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drawing6.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5.xml" ContentType="application/vnd.openxmlformats-officedocument.drawing+xml"/>
  <Override PartName="/xl/drawings/drawing4.xml" ContentType="application/vnd.openxmlformats-officedocument.drawing+xml"/>
  <Override PartName="/xl/drawings/drawing2.xml" ContentType="application/vnd.openxmlformats-officedocument.drawing+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Builder" sheetId="1" state="visible" r:id="rId3"/>
    <sheet name="Estimate Summary" sheetId="2" state="visible" r:id="rId4"/>
    <sheet name="Estimate vs IP FC Actuals" sheetId="3" state="visible" r:id="rId5"/>
    <sheet name="Advanced Controls" sheetId="4" state="visible" r:id="rId6"/>
    <sheet name="Service Add-Ons" sheetId="5" state="visible" r:id="rId7"/>
    <sheet name="Grouped Adjustments" sheetId="6" state="visible" r:id="rId8"/>
    <sheet name="Grouping Review" sheetId="7" state="visible" r:id="rId9"/>
    <sheet name="Implant Selection" sheetId="8" state="visible" r:id="rId10"/>
    <sheet name="Estimate Breakdown" sheetId="9" state="visible" r:id="rId11"/>
    <sheet name="Line Item Detail" sheetId="10" state="visible" r:id="rId12"/>
    <sheet name="Pharmacy Template" sheetId="11" state="visible" r:id="rId13"/>
    <sheet name="Service Template" sheetId="12" state="visible" r:id="rId14"/>
    <sheet name="Pharmacy Metrics" sheetId="13" state="visible" r:id="rId15"/>
    <sheet name="IP FC Actuals" sheetId="14" state="visible" r:id="rId16"/>
    <sheet name="Professional Fees Review" sheetId="15" state="visible" r:id="rId17"/>
    <sheet name="Reference" sheetId="16" state="visible" r:id="rId18"/>
  </sheets>
  <definedNames>
    <definedName function="false" hidden="true" localSheetId="8" name="_xlnm._FilterDatabase" vbProcedure="false">'Estimate Breakdown'!$A$3:$J$90</definedName>
    <definedName function="false" hidden="true" localSheetId="6" name="_xlnm._FilterDatabase" vbProcedure="false">'Grouping Review'!$A$12:$G$16</definedName>
    <definedName function="false" hidden="true" localSheetId="13" name="_xlnm._FilterDatabase" vbProcedure="false">'IP FC Actuals'!$A$4:$AF$30</definedName>
    <definedName function="false" hidden="true" localSheetId="12" name="_xlnm._FilterDatabase" vbProcedure="false">'Pharmacy Metrics'!$A$3:$R$29</definedName>
    <definedName function="false" hidden="true" localSheetId="10" name="_xlnm._FilterDatabase" vbProcedure="false">'Pharmacy Template'!$A$3:$R$520</definedName>
    <definedName function="false" hidden="true" localSheetId="11" name="_xlnm._FilterDatabase" vbProcedure="false">'Service Template'!$A$3:$P$30</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Codex</author>
  </authors>
  <commentList>
    <comment ref="B5" authorId="0">
      <text>
        <r>
          <rPr>
            <sz val="10"/>
            <rFont val="Arial"/>
            <family val="2"/>
          </rPr>
          <t xml:space="preserve">Estimate mode chooses the low, typical, or high amount band across line items. It does not change the selected driver value unless that driver row is set differently.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4</xdr:row>
                <xdr:rowOff>1</xdr:rowOff>
              </xdr:to>
            </anchor>
          </commentPr>
        </mc:Choice>
        <mc:Fallback/>
      </mc:AlternateContent>
    </comment>
    <comment ref="B6" authorId="0">
      <text>
        <r>
          <rPr>
            <sz val="10"/>
            <rFont val="Arial"/>
            <family val="2"/>
          </rPr>
          <t xml:space="preserve">Set to Yes to use the emergency OT tariff ladder for the resolved OT slab.</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4</xdr:row>
                <xdr:rowOff>1</xdr:rowOff>
              </xdr:to>
            </anchor>
          </commentPr>
        </mc:Choice>
        <mc:Fallback/>
      </mc:AlternateContent>
    </comment>
    <comment ref="B8" authorId="0">
      <text>
        <r>
          <rPr>
            <sz val="10"/>
            <rFont val="Arial"/>
            <family val="2"/>
          </rPr>
          <t xml:space="preserve">Robotic charge is controlled here, not from Service Add-Ons. Robotic-specific variants default to Yes; mixed variants stay blank unless robotic-charge presence is above the threshold.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4</xdr:row>
                <xdr:rowOff>1</xdr:rowOff>
              </xdr:to>
            </anchor>
          </commentPr>
        </mc:Choice>
        <mc:Fallback/>
      </mc:AlternateContent>
    </comment>
    <comment ref="E3" authorId="0">
      <text>
        <r>
          <rPr>
            <sz val="10"/>
            <rFont val="Arial"/>
            <family val="2"/>
          </rPr>
          <t xml:space="preserve">Auto resolves service, pharmacy, and PF historical bases separately. Any manual basis here overrides all resolved bases together.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4</xdr:row>
                <xdr:rowOff>1</xdr:rowOff>
              </xdr:to>
            </anchor>
          </commentPr>
        </mc:Choice>
        <mc:Fallback/>
      </mc:AlternateContent>
    </comment>
    <comment ref="E6" authorId="0">
      <text>
        <r>
          <rPr>
            <sz val="10"/>
            <rFont val="Arial"/>
            <family val="2"/>
          </rPr>
          <t xml:space="preserve">Set to Yes to add one tariff-backed MLC charge.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4</xdr:row>
                <xdr:rowOff>1</xdr:rowOff>
              </xdr:to>
            </anchor>
          </commentPr>
        </mc:Choice>
        <mc:Fallback/>
      </mc:AlternateContent>
    </comment>
    <comment ref="E8" authorId="0">
      <text>
        <r>
          <rPr>
            <sz val="10"/>
            <rFont val="Arial"/>
            <family val="2"/>
          </rPr>
          <t xml:space="preserve">Historical presence rate for the treatment's mapped robotic-charge rows. If it is above the threshold, mixed variants default Robotic to Yes.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45</xdr:colOff>
                <xdr:row>4</xdr:row>
                <xdr:rowOff>1</xdr:rowOff>
              </xdr:to>
            </anchor>
          </commentPr>
        </mc:Choice>
        <mc:Fallback/>
      </mc:AlternateContent>
    </comment>
    <comment ref="E10" authorId="0">
      <text>
        <r>
          <rPr>
            <sz val="10"/>
            <rFont val="Arial"/>
            <family val="2"/>
          </rPr>
          <t xml:space="preserve">LOS is always derived as the selected ICU Days plus selected Ward Days.</t>
        </r>
      </text>
      <mc:AlternateContent>
        <mc:Choice Requires="v2">
          <commentPr autoFill="true" autoScale="false" colHidden="false" locked="false" rowHidden="false" textHAlign="justify" textVAlign="top">
            <anchor moveWithCells="false" sizeWithCells="false">
              <xdr:from>
                <xdr:col>0</xdr:col>
                <xdr:colOff>79</xdr:colOff>
                <xdr:row>1</xdr:row>
                <xdr:rowOff>15</xdr:rowOff>
              </xdr:from>
              <xdr:to>
                <xdr:col>1</xdr:col>
                <xdr:colOff>45</xdr:colOff>
                <xdr:row>5</xdr:row>
                <xdr:rowOff>14</xdr:rowOff>
              </xdr:to>
            </anchor>
          </commentPr>
        </mc:Choice>
        <mc:Fallback/>
      </mc:AlternateContent>
    </comment>
    <comment ref="E11" authorId="0">
      <text>
        <r>
          <rPr>
            <sz val="10"/>
            <rFont val="Arial"/>
            <family val="2"/>
          </rPr>
          <t xml:space="preserve">Choose P25, P50, P75, or Manual for this driver.</t>
        </r>
      </text>
      <mc:AlternateContent>
        <mc:Choice Requires="v2">
          <commentPr autoFill="true" autoScale="false" colHidden="false" locked="false" rowHidden="false" textHAlign="justify" textVAlign="top">
            <anchor moveWithCells="false" sizeWithCells="false">
              <xdr:from>
                <xdr:col>0</xdr:col>
                <xdr:colOff>79</xdr:colOff>
                <xdr:row>1</xdr:row>
                <xdr:rowOff>15</xdr:rowOff>
              </xdr:from>
              <xdr:to>
                <xdr:col>1</xdr:col>
                <xdr:colOff>45</xdr:colOff>
                <xdr:row>5</xdr:row>
                <xdr:rowOff>14</xdr:rowOff>
              </xdr:to>
            </anchor>
          </commentPr>
        </mc:Choice>
        <mc:Fallback/>
      </mc:AlternateContent>
    </comment>
    <comment ref="E12" authorId="0">
      <text>
        <r>
          <rPr>
            <sz val="10"/>
            <rFont val="Arial"/>
            <family val="2"/>
          </rPr>
          <t xml:space="preserve">Choose P25, P50, P75, or Manual for this driver.</t>
        </r>
      </text>
      <mc:AlternateContent>
        <mc:Choice Requires="v2">
          <commentPr autoFill="true" autoScale="false" colHidden="false" locked="false" rowHidden="false" textHAlign="justify" textVAlign="top">
            <anchor moveWithCells="false" sizeWithCells="false">
              <xdr:from>
                <xdr:col>0</xdr:col>
                <xdr:colOff>79</xdr:colOff>
                <xdr:row>1</xdr:row>
                <xdr:rowOff>15</xdr:rowOff>
              </xdr:from>
              <xdr:to>
                <xdr:col>1</xdr:col>
                <xdr:colOff>45</xdr:colOff>
                <xdr:row>5</xdr:row>
                <xdr:rowOff>14</xdr:rowOff>
              </xdr:to>
            </anchor>
          </commentPr>
        </mc:Choice>
        <mc:Fallback/>
      </mc:AlternateContent>
    </comment>
    <comment ref="E13" authorId="0">
      <text>
        <r>
          <rPr>
            <sz val="10"/>
            <rFont val="Arial"/>
            <family val="2"/>
          </rPr>
          <t xml:space="preserve">Choose P25, P50, P75, or Manual for this driver.</t>
        </r>
      </text>
      <mc:AlternateContent>
        <mc:Choice Requires="v2">
          <commentPr autoFill="true" autoScale="false" colHidden="false" locked="false" rowHidden="false" textHAlign="justify" textVAlign="top">
            <anchor moveWithCells="false" sizeWithCells="false">
              <xdr:from>
                <xdr:col>0</xdr:col>
                <xdr:colOff>79</xdr:colOff>
                <xdr:row>1</xdr:row>
                <xdr:rowOff>15</xdr:rowOff>
              </xdr:from>
              <xdr:to>
                <xdr:col>1</xdr:col>
                <xdr:colOff>45</xdr:colOff>
                <xdr:row>5</xdr:row>
                <xdr:rowOff>14</xdr:rowOff>
              </xdr:to>
            </anchor>
          </commentPr>
        </mc:Choice>
        <mc:Fallback/>
      </mc:AlternateContent>
    </comment>
    <comment ref="F11" authorId="0">
      <text>
        <r>
          <rPr>
            <sz val="10"/>
            <rFont val="Arial"/>
            <family val="2"/>
          </rPr>
          <t xml:space="preserve">This manual number is used only when Selection is set to Manual for the same row.</t>
        </r>
      </text>
      <mc:AlternateContent>
        <mc:Choice Requires="v2">
          <commentPr autoFill="true" autoScale="false" colHidden="false" locked="false" rowHidden="false" textHAlign="justify" textVAlign="top">
            <anchor moveWithCells="false" sizeWithCells="false">
              <xdr:from>
                <xdr:col>0</xdr:col>
                <xdr:colOff>79</xdr:colOff>
                <xdr:row>1</xdr:row>
                <xdr:rowOff>15</xdr:rowOff>
              </xdr:from>
              <xdr:to>
                <xdr:col>1</xdr:col>
                <xdr:colOff>45</xdr:colOff>
                <xdr:row>5</xdr:row>
                <xdr:rowOff>14</xdr:rowOff>
              </xdr:to>
            </anchor>
          </commentPr>
        </mc:Choice>
        <mc:Fallback/>
      </mc:AlternateContent>
    </comment>
    <comment ref="F12" authorId="0">
      <text>
        <r>
          <rPr>
            <sz val="10"/>
            <rFont val="Arial"/>
            <family val="2"/>
          </rPr>
          <t xml:space="preserve">This manual number is used only when Selection is set to Manual for the same row.</t>
        </r>
      </text>
      <mc:AlternateContent>
        <mc:Choice Requires="v2">
          <commentPr autoFill="true" autoScale="false" colHidden="false" locked="false" rowHidden="false" textHAlign="justify" textVAlign="top">
            <anchor moveWithCells="false" sizeWithCells="false">
              <xdr:from>
                <xdr:col>0</xdr:col>
                <xdr:colOff>79</xdr:colOff>
                <xdr:row>1</xdr:row>
                <xdr:rowOff>15</xdr:rowOff>
              </xdr:from>
              <xdr:to>
                <xdr:col>1</xdr:col>
                <xdr:colOff>45</xdr:colOff>
                <xdr:row>5</xdr:row>
                <xdr:rowOff>14</xdr:rowOff>
              </xdr:to>
            </anchor>
          </commentPr>
        </mc:Choice>
        <mc:Fallback/>
      </mc:AlternateContent>
    </comment>
    <comment ref="F13" authorId="0">
      <text>
        <r>
          <rPr>
            <sz val="10"/>
            <rFont val="Arial"/>
            <family val="2"/>
          </rPr>
          <t xml:space="preserve">This manual number is used only when Selection is set to Manual for the same row.</t>
        </r>
      </text>
      <mc:AlternateContent>
        <mc:Choice Requires="v2">
          <commentPr autoFill="true" autoScale="false" colHidden="false" locked="false" rowHidden="false" textHAlign="justify" textVAlign="top">
            <anchor moveWithCells="false" sizeWithCells="false">
              <xdr:from>
                <xdr:col>0</xdr:col>
                <xdr:colOff>79</xdr:colOff>
                <xdr:row>1</xdr:row>
                <xdr:rowOff>15</xdr:rowOff>
              </xdr:from>
              <xdr:to>
                <xdr:col>1</xdr:col>
                <xdr:colOff>45</xdr:colOff>
                <xdr:row>5</xdr:row>
                <xdr:rowOff>14</xdr:rowOff>
              </xdr:to>
            </anchor>
          </commentPr>
        </mc:Choice>
        <mc:Fallback/>
      </mc:AlternateContent>
    </comment>
    <comment ref="G10" authorId="0">
      <text>
        <r>
          <rPr>
            <sz val="10"/>
            <rFont val="Arial"/>
            <family val="2"/>
          </rPr>
          <t xml:space="preserve">This derived LOS value feeds all LOS-dependent line items so stay-day logic stays consistent with ICU + ward.</t>
        </r>
      </text>
      <mc:AlternateContent>
        <mc:Choice Requires="v2">
          <commentPr autoFill="true" autoScale="false" colHidden="false" locked="false" rowHidden="false" textHAlign="justify" textVAlign="top">
            <anchor moveWithCells="false" sizeWithCells="false">
              <xdr:from>
                <xdr:col>0</xdr:col>
                <xdr:colOff>79</xdr:colOff>
                <xdr:row>1</xdr:row>
                <xdr:rowOff>15</xdr:rowOff>
              </xdr:from>
              <xdr:to>
                <xdr:col>1</xdr:col>
                <xdr:colOff>45</xdr:colOff>
                <xdr:row>5</xdr:row>
                <xdr:rowOff>14</xdr:rowOff>
              </xdr:to>
            </anchor>
          </commentPr>
        </mc:Choice>
        <mc:Fallback/>
      </mc:AlternateContent>
    </comment>
    <comment ref="G11" authorId="0">
      <text>
        <r>
          <rPr>
            <sz val="10"/>
            <rFont val="Arial"/>
            <family val="2"/>
          </rPr>
          <t xml:space="preserve">This is the driver value currently feeding the estimate.</t>
        </r>
      </text>
      <mc:AlternateContent>
        <mc:Choice Requires="v2">
          <commentPr autoFill="true" autoScale="false" colHidden="false" locked="false" rowHidden="false" textHAlign="justify" textVAlign="top">
            <anchor moveWithCells="false" sizeWithCells="false">
              <xdr:from>
                <xdr:col>0</xdr:col>
                <xdr:colOff>79</xdr:colOff>
                <xdr:row>1</xdr:row>
                <xdr:rowOff>15</xdr:rowOff>
              </xdr:from>
              <xdr:to>
                <xdr:col>1</xdr:col>
                <xdr:colOff>45</xdr:colOff>
                <xdr:row>5</xdr:row>
                <xdr:rowOff>14</xdr:rowOff>
              </xdr:to>
            </anchor>
          </commentPr>
        </mc:Choice>
        <mc:Fallback/>
      </mc:AlternateContent>
    </comment>
    <comment ref="G12" authorId="0">
      <text>
        <r>
          <rPr>
            <sz val="10"/>
            <rFont val="Arial"/>
            <family val="2"/>
          </rPr>
          <t xml:space="preserve">This is the driver value currently feeding the estimate.</t>
        </r>
      </text>
      <mc:AlternateContent>
        <mc:Choice Requires="v2">
          <commentPr autoFill="true" autoScale="false" colHidden="false" locked="false" rowHidden="false" textHAlign="justify" textVAlign="top">
            <anchor moveWithCells="false" sizeWithCells="false">
              <xdr:from>
                <xdr:col>0</xdr:col>
                <xdr:colOff>79</xdr:colOff>
                <xdr:row>1</xdr:row>
                <xdr:rowOff>15</xdr:rowOff>
              </xdr:from>
              <xdr:to>
                <xdr:col>1</xdr:col>
                <xdr:colOff>45</xdr:colOff>
                <xdr:row>5</xdr:row>
                <xdr:rowOff>14</xdr:rowOff>
              </xdr:to>
            </anchor>
          </commentPr>
        </mc:Choice>
        <mc:Fallback/>
      </mc:AlternateContent>
    </comment>
    <comment ref="G13" authorId="0">
      <text>
        <r>
          <rPr>
            <sz val="10"/>
            <rFont val="Arial"/>
            <family val="2"/>
          </rPr>
          <t xml:space="preserve">This is the driver value currently feeding the estimate.</t>
        </r>
      </text>
      <mc:AlternateContent>
        <mc:Choice Requires="v2">
          <commentPr autoFill="true" autoScale="false" colHidden="false" locked="false" rowHidden="false" textHAlign="justify" textVAlign="top">
            <anchor moveWithCells="false" sizeWithCells="false">
              <xdr:from>
                <xdr:col>0</xdr:col>
                <xdr:colOff>79</xdr:colOff>
                <xdr:row>1</xdr:row>
                <xdr:rowOff>15</xdr:rowOff>
              </xdr:from>
              <xdr:to>
                <xdr:col>1</xdr:col>
                <xdr:colOff>45</xdr:colOff>
                <xdr:row>5</xdr:row>
                <xdr:rowOff>14</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Codex</author>
  </authors>
  <commentList>
    <comment ref="B4" authorId="0">
      <text>
        <r>
          <rPr>
            <sz val="10"/>
            <rFont val="Arial"/>
            <family val="2"/>
          </rPr>
          <t xml:space="preserve">Default P50 keeps the typical implant estimate. Use Family, Brand, or Exact Item override only when you want to change the implant assumption.</t>
        </r>
      </text>
      <mc:AlternateContent>
        <mc:Choice Requires="v2">
          <commentPr autoFill="true" autoScale="false" colHidden="false" locked="false" rowHidden="false" textHAlign="justify" textVAlign="top">
            <anchor moveWithCells="false" sizeWithCells="false">
              <xdr:from>
                <xdr:col>0</xdr:col>
                <xdr:colOff>79</xdr:colOff>
                <xdr:row>2</xdr:row>
                <xdr:rowOff>96</xdr:rowOff>
              </xdr:from>
              <xdr:to>
                <xdr:col>1</xdr:col>
                <xdr:colOff>90</xdr:colOff>
                <xdr:row>4</xdr:row>
                <xdr:rowOff>1</xdr:rowOff>
              </xdr:to>
            </anchor>
          </commentPr>
        </mc:Choice>
        <mc:Fallback/>
      </mc:AlternateContent>
    </comment>
    <comment ref="F6" authorId="0">
      <text>
        <r>
          <rPr>
            <sz val="10"/>
            <rFont val="Arial"/>
            <family val="2"/>
          </rPr>
          <t xml:space="preserve">This is the implant amount currently feeding the main estimate.</t>
        </r>
      </text>
      <mc:AlternateContent>
        <mc:Choice Requires="v2">
          <commentPr autoFill="true" autoScale="false" colHidden="false" locked="false" rowHidden="false" textHAlign="justify" textVAlign="top">
            <anchor moveWithCells="false" sizeWithCells="false">
              <xdr:from>
                <xdr:col>0</xdr:col>
                <xdr:colOff>79</xdr:colOff>
                <xdr:row>2</xdr:row>
                <xdr:rowOff>96</xdr:rowOff>
              </xdr:from>
              <xdr:to>
                <xdr:col>1</xdr:col>
                <xdr:colOff>90</xdr:colOff>
                <xdr:row>4</xdr:row>
                <xdr:rowOff>1</xdr:rowOff>
              </xdr:to>
            </anchor>
          </commentPr>
        </mc:Choice>
        <mc:Fallback/>
      </mc:AlternateContent>
    </comment>
  </commentList>
</comments>
</file>

<file path=xl/sharedStrings.xml><?xml version="1.0" encoding="utf-8"?>
<sst xmlns="http://schemas.openxmlformats.org/spreadsheetml/2006/main" count="30975" uniqueCount="6635">
  <si>
    <t xml:space="preserve">FC Estimate Builder</t>
  </si>
  <si>
    <t xml:space="preserve">Procedure</t>
  </si>
  <si>
    <t xml:space="preserve">Robotic TKR Unilateral - Right</t>
  </si>
  <si>
    <t xml:space="preserve">Pricing Mode</t>
  </si>
  <si>
    <t xml:space="preserve">Cash / TR1</t>
  </si>
  <si>
    <t xml:space="preserve">Insurance Org Code</t>
  </si>
  <si>
    <t xml:space="preserve">Estimate Pricing</t>
  </si>
  <si>
    <t xml:space="preserve">Historical Payer Basis</t>
  </si>
  <si>
    <t xml:space="preserve">Auto (Recommended)</t>
  </si>
  <si>
    <t xml:space="preserve">Resolved Org Name</t>
  </si>
  <si>
    <t xml:space="preserve">Selected Room Type</t>
  </si>
  <si>
    <t xml:space="preserve">Single</t>
  </si>
  <si>
    <t xml:space="preserve">Resolved Payor Bucket</t>
  </si>
  <si>
    <t xml:space="preserve">Resolved Tariff Name</t>
  </si>
  <si>
    <t xml:space="preserve">Selected Estimate Mode</t>
  </si>
  <si>
    <t xml:space="preserve">Typical</t>
  </si>
  <si>
    <t xml:space="preserve">Resolved Tariff Code</t>
  </si>
  <si>
    <t xml:space="preserve">Resolved Pharmacy Basis</t>
  </si>
  <si>
    <t xml:space="preserve">Emergency OT?</t>
  </si>
  <si>
    <t xml:space="preserve">No</t>
  </si>
  <si>
    <t xml:space="preserve">MLC?</t>
  </si>
  <si>
    <t xml:space="preserve">Resolved Service Basis</t>
  </si>
  <si>
    <t xml:space="preserve">Clinical Drivers</t>
  </si>
  <si>
    <t xml:space="preserve">Resolved PF Basis</t>
  </si>
  <si>
    <t xml:space="preserve">Robotic?</t>
  </si>
  <si>
    <t xml:space="preserve">Yes</t>
  </si>
  <si>
    <t xml:space="preserve">Robotic Charge Presence Rate</t>
  </si>
  <si>
    <t xml:space="preserve">Basis Resolver</t>
  </si>
  <si>
    <t xml:space="preserve">Driver</t>
  </si>
  <si>
    <t xml:space="preserve">P25</t>
  </si>
  <si>
    <t xml:space="preserve">P50</t>
  </si>
  <si>
    <t xml:space="preserve">P75</t>
  </si>
  <si>
    <t xml:space="preserve">Selection</t>
  </si>
  <si>
    <t xml:space="preserve">Manual Value
(used only if Selection = Manual)</t>
  </si>
  <si>
    <t xml:space="preserve">Selected Value</t>
  </si>
  <si>
    <t xml:space="preserve">LOS</t>
  </si>
  <si>
    <t xml:space="preserve">Derived</t>
  </si>
  <si>
    <t xml:space="preserve">ICU Days</t>
  </si>
  <si>
    <t xml:space="preserve">Ward Days</t>
  </si>
  <si>
    <t xml:space="preserve">OT Hours</t>
  </si>
  <si>
    <t xml:space="preserve">Resolved OT Slot (Hours)</t>
  </si>
  <si>
    <t xml:space="preserve">Resolved OT Slot Code</t>
  </si>
  <si>
    <t xml:space="preserve">Resolved OT Slot Label</t>
  </si>
  <si>
    <t xml:space="preserve">Resolved OT Type</t>
  </si>
  <si>
    <t xml:space="preserve">How To Use</t>
  </si>
  <si>
    <t xml:space="preserve">1. Cash mode uses TR1 pricing. Insurance mode uses the tariff code resolved from the selected insurance organization.</t>
  </si>
  <si>
    <t xml:space="preserve">2. Historical Payer Basis can stay on Auto to resolve service, pharmacy, and PF reference cohorts separately, or be manually overridden for all three together.</t>
  </si>
  <si>
    <t xml:space="preserve">3. LOS is always derived as ICU Days + Ward Days. Manual Value is used only for ICU Days, Ward Days, or OT Hours when that row's Selection is set to Manual.</t>
  </si>
  <si>
    <t xml:space="preserve">4. Estimate Mode changes the amount band used downstream: Low = P25, Typical = P50, High = P75 for each eligible line item.</t>
  </si>
  <si>
    <t xml:space="preserve">5. OT pricing uses the nearest supported tariff OT slot from the selected OT duration and Emergency OT setting.</t>
  </si>
  <si>
    <t xml:space="preserve">6. Drug administration and insurance-excluded service items are automatically suppressed in insurance mode. Package details and patient-policy coverage are not applied in this workbook yet.</t>
  </si>
  <si>
    <t xml:space="preserve">7. Robotic charge is controlled from the Builder. When Robotic is Yes, all mapped robotic-charge rows are included; when No, they are fully excluded.</t>
  </si>
  <si>
    <t xml:space="preserve">8. MLC adds one tariff-backed MLC charge only when the MLC input is Yes. Use Advanced Controls, Implant Selection, Service Add-Ons, and Grouped Adjustments only when the default estimate needs refinement.</t>
  </si>
  <si>
    <t xml:space="preserve">9. Read the final estimate and bucket summary on Estimate Summary.</t>
  </si>
  <si>
    <t xml:space="preserve">Estimate Summary</t>
  </si>
  <si>
    <t xml:space="preserve">Selected Room</t>
  </si>
  <si>
    <t xml:space="preserve">Final Estimate</t>
  </si>
  <si>
    <t xml:space="preserve">How estimate mode works</t>
  </si>
  <si>
    <t xml:space="preserve">Low uses P25 amounts, Typical uses P50, and High uses P75. Driver rows change only if their own Selection or Manual value changes. OT uses the resolved tariff OT slot from the selected OT duration and Emergency OT setting. Insurance mode prices services from the selected org tariff and suppresses insurance-excluded rows.</t>
  </si>
  <si>
    <t xml:space="preserve">Room</t>
  </si>
  <si>
    <t xml:space="preserve">Low</t>
  </si>
  <si>
    <t xml:space="preserve">High</t>
  </si>
  <si>
    <t xml:space="preserve">Selected Drivers &amp; Controls</t>
  </si>
  <si>
    <t xml:space="preserve">Cohort Basis Counts</t>
  </si>
  <si>
    <t xml:space="preserve">General</t>
  </si>
  <si>
    <t xml:space="preserve">Selected LOS</t>
  </si>
  <si>
    <t xml:space="preserve">Selected Cohort Size</t>
  </si>
  <si>
    <t xml:space="preserve">Twin</t>
  </si>
  <si>
    <t xml:space="preserve">Selected ICU Days</t>
  </si>
  <si>
    <t xml:space="preserve">Cash Count</t>
  </si>
  <si>
    <t xml:space="preserve">Pharmacy Benchmark Basis</t>
  </si>
  <si>
    <t xml:space="preserve">Selected Ward Days</t>
  </si>
  <si>
    <t xml:space="preserve">GIPSA Count</t>
  </si>
  <si>
    <t xml:space="preserve">Selected OT Hours</t>
  </si>
  <si>
    <t xml:space="preserve">Non-GIPSA Count</t>
  </si>
  <si>
    <t xml:space="preserve">Corporate Count</t>
  </si>
  <si>
    <t xml:space="preserve">Bucket</t>
  </si>
  <si>
    <t xml:space="preserve">Selected Estimate</t>
  </si>
  <si>
    <t xml:space="preserve">Resolved OT Slot Hours</t>
  </si>
  <si>
    <t xml:space="preserve">Room Charges</t>
  </si>
  <si>
    <t xml:space="preserve">Pharmacy P50 by Basis</t>
  </si>
  <si>
    <t xml:space="preserve">Investigations</t>
  </si>
  <si>
    <t xml:space="preserve">Cash</t>
  </si>
  <si>
    <t xml:space="preserve">GIPSA</t>
  </si>
  <si>
    <t xml:space="preserve">Non-GIPSA</t>
  </si>
  <si>
    <t xml:space="preserve">Corporate</t>
  </si>
  <si>
    <t xml:space="preserve">Insurance All</t>
  </si>
  <si>
    <t xml:space="preserve">All Payers</t>
  </si>
  <si>
    <t xml:space="preserve">Procedure / OT Charges</t>
  </si>
  <si>
    <t xml:space="preserve">IP Drugs / Day</t>
  </si>
  <si>
    <t xml:space="preserve">Bedside Services</t>
  </si>
  <si>
    <t xml:space="preserve">OT Consumables Selected Typical</t>
  </si>
  <si>
    <t xml:space="preserve">IP Consumables / Day</t>
  </si>
  <si>
    <t xml:space="preserve">Pharmacy</t>
  </si>
  <si>
    <t xml:space="preserve">Implants Selected Typical</t>
  </si>
  <si>
    <t xml:space="preserve">OT Drugs</t>
  </si>
  <si>
    <t xml:space="preserve">Drug Administration Charges</t>
  </si>
  <si>
    <t xml:space="preserve">Optional Add-Ons Selected Typical</t>
  </si>
  <si>
    <t xml:space="preserve">OT Consumables</t>
  </si>
  <si>
    <t xml:space="preserve">Professional Fees</t>
  </si>
  <si>
    <t xml:space="preserve">Grouped Adjustments Selected Typical</t>
  </si>
  <si>
    <t xml:space="preserve">Implants</t>
  </si>
  <si>
    <t xml:space="preserve">Optional Add-Ons</t>
  </si>
  <si>
    <t xml:space="preserve">Grouped Adjustments Included Count</t>
  </si>
  <si>
    <t xml:space="preserve">Grand Total</t>
  </si>
  <si>
    <t xml:space="preserve">Professional Fees (Historic Basis P50)</t>
  </si>
  <si>
    <t xml:space="preserve">Grand Total (Historic PF)</t>
  </si>
  <si>
    <t xml:space="preserve">Service Count Check</t>
  </si>
  <si>
    <t xml:space="preserve">Selected Basis PF Mix</t>
  </si>
  <si>
    <t xml:space="preserve">Professional Fees by Payer</t>
  </si>
  <si>
    <t xml:space="preserve">Current Included</t>
  </si>
  <si>
    <t xml:space="preserve">PF Bucket</t>
  </si>
  <si>
    <t xml:space="preserve">Note</t>
  </si>
  <si>
    <t xml:space="preserve">Payer</t>
  </si>
  <si>
    <t xml:space="preserve">Cases</t>
  </si>
  <si>
    <t xml:space="preserve">Historical P25</t>
  </si>
  <si>
    <t xml:space="preserve">Collectible Historical PF</t>
  </si>
  <si>
    <t xml:space="preserve">Total collectible PF</t>
  </si>
  <si>
    <t xml:space="preserve">Historical P50</t>
  </si>
  <si>
    <t xml:space="preserve">Named PF</t>
  </si>
  <si>
    <t xml:space="preserve">Named doctor rows</t>
  </si>
  <si>
    <t xml:space="preserve">GIPSA Insurance</t>
  </si>
  <si>
    <t xml:space="preserve">Historical P75</t>
  </si>
  <si>
    <t xml:space="preserve">General Needed PF</t>
  </si>
  <si>
    <t xml:space="preserve">General-needed rows</t>
  </si>
  <si>
    <t xml:space="preserve">Non-GIPSA Insurance</t>
  </si>
  <si>
    <t xml:space="preserve">Alert</t>
  </si>
  <si>
    <t xml:space="preserve">Surgeon Named</t>
  </si>
  <si>
    <t xml:space="preserve">Named surgeon rows</t>
  </si>
  <si>
    <t xml:space="preserve">Assistant Surgeon Named</t>
  </si>
  <si>
    <t xml:space="preserve">Named assistant surgeon rows</t>
  </si>
  <si>
    <t xml:space="preserve">Anesthetist Named</t>
  </si>
  <si>
    <t xml:space="preserve">Named anesthetist rows</t>
  </si>
  <si>
    <t xml:space="preserve">Assistant Anesthetist Named</t>
  </si>
  <si>
    <t xml:space="preserve">Named assistant anesthetist rows</t>
  </si>
  <si>
    <t xml:space="preserve">Consultant / Physician Named</t>
  </si>
  <si>
    <t xml:space="preserve">Named consultant/physician rows</t>
  </si>
  <si>
    <t xml:space="preserve">Selected Basis PF Shape</t>
  </si>
  <si>
    <t xml:space="preserve">IP FC Actuals Selected-Basis Snapshot</t>
  </si>
  <si>
    <t xml:space="preserve">Field</t>
  </si>
  <si>
    <t xml:space="preserve">Basis</t>
  </si>
  <si>
    <t xml:space="preserve">Notes</t>
  </si>
  <si>
    <t xml:space="preserve">LOS Days</t>
  </si>
  <si>
    <t xml:space="preserve">Service Line Count</t>
  </si>
  <si>
    <t xml:space="preserve">Room Charges / Day</t>
  </si>
  <si>
    <t xml:space="preserve">IP Drugs</t>
  </si>
  <si>
    <t xml:space="preserve">IP Consumables</t>
  </si>
  <si>
    <t xml:space="preserve">Pharmacy Total</t>
  </si>
  <si>
    <t xml:space="preserve">Professional Fees (Historic Basis PF)</t>
  </si>
  <si>
    <t xml:space="preserve">Collectible historical PF reference from the selected PF payer basis.</t>
  </si>
  <si>
    <t xml:space="preserve">Total Amount ex F&amp;B, Returns, plus Drug Admin</t>
  </si>
  <si>
    <t xml:space="preserve">Component-mix comparator when auto basis differs across service, pharmacy, and PF.</t>
  </si>
  <si>
    <t xml:space="preserve">Estimate vs IP FC Actuals</t>
  </si>
  <si>
    <t xml:space="preserve">Compares the current estimate against basis-aligned historical actuals. Service buckets use the resolved service basis, pharmacy and drug administration use the resolved pharmacy basis, and professional fees use the resolved PF basis.</t>
  </si>
  <si>
    <t xml:space="preserve">Metric</t>
  </si>
  <si>
    <t xml:space="preserve">Comparison Basis</t>
  </si>
  <si>
    <t xml:space="preserve">Actual P25</t>
  </si>
  <si>
    <t xml:space="preserve">Actual P50</t>
  </si>
  <si>
    <t xml:space="preserve">Actual P75</t>
  </si>
  <si>
    <t xml:space="preserve">Delta vs P25</t>
  </si>
  <si>
    <t xml:space="preserve">Delta vs P50</t>
  </si>
  <si>
    <t xml:space="preserve">Delta vs P75</t>
  </si>
  <si>
    <t xml:space="preserve">Status</t>
  </si>
  <si>
    <t xml:space="preserve">Professional Fees (Calculated)</t>
  </si>
  <si>
    <t xml:space="preserve">Grand Total (Calculated PF)</t>
  </si>
  <si>
    <t xml:space="preserve">Selected</t>
  </si>
  <si>
    <t xml:space="preserve">Component Cohort</t>
  </si>
  <si>
    <t xml:space="preserve">Resolved Basis</t>
  </si>
  <si>
    <t xml:space="preserve">Cases Used</t>
  </si>
  <si>
    <t xml:space="preserve">Scope</t>
  </si>
  <si>
    <t xml:space="preserve">Service Actual Cohort</t>
  </si>
  <si>
    <t xml:space="preserve">Service buckets and LOS/ICU/ward/OT service-context metrics</t>
  </si>
  <si>
    <t xml:space="preserve">Pharmacy Actual Cohort</t>
  </si>
  <si>
    <t xml:space="preserve">Pharmacy buckets, per-day pharmacy metrics, and drug administration</t>
  </si>
  <si>
    <t xml:space="preserve">PF Actual Cohort</t>
  </si>
  <si>
    <t xml:space="preserve">Professional-fee comparison rows, including historic PF reference</t>
  </si>
  <si>
    <t xml:space="preserve">1. Robotic-charge rows are controlled from the Builder, not from Service Add-Ons. Generic non-robotic variants leave that control blank or No unless the user explicitly includes robotic charges.</t>
  </si>
  <si>
    <t xml:space="preserve">2. OT Consumables show historical P25 / P50 / P75 anchors separately. The applied resolved value defaults to historical P50 and only changes when Advanced Controls selections intentionally change it.</t>
  </si>
  <si>
    <t xml:space="preserve">3. Pharmacy comparison is split into IP drugs, IP consumables, OT drugs, OT consumables, implants, and the rolled-up pharmacy total. LOS-linked pharmacy rows also show per-day comparators.</t>
  </si>
  <si>
    <t xml:space="preserve">4. Drug Administration Charges are shown separately so Bedside Services compares cleanly against historical bedside actuals.</t>
  </si>
  <si>
    <t xml:space="preserve">5. Grand Total (Historic PF) swaps the calculated PF estimate for the selected-basis collectible historical PF reference.</t>
  </si>
  <si>
    <t xml:space="preserve">6. Case counts are shown at the service / pharmacy / PF component-basis level because all rows inside each component share the same resolved historical cohort.</t>
  </si>
  <si>
    <t xml:space="preserve">Advanced Controls</t>
  </si>
  <si>
    <t xml:space="preserve">Adjust only the OT consumables portion here. Implant overrides are handled on the Implant Selection sheet. Service add-ons are handled on the Service Add-Ons sheet.</t>
  </si>
  <si>
    <t xml:space="preserve">OT consumables: benchmark anchors stay fixed at cohort P25 / P50 / P75. The resolved applied value defaults to historical P50 when no shortlist items are selected, then moves by expected-contribution bands from the shortlist below: &lt;=30% stays at P25, 30% to 50% uses P50, and &gt;50% uses P75.</t>
  </si>
  <si>
    <t xml:space="preserve">OT Consumables Benchmark</t>
  </si>
  <si>
    <t xml:space="preserve">Resolved OT Consumables</t>
  </si>
  <si>
    <t xml:space="preserve">Applied Value</t>
  </si>
  <si>
    <t xml:space="preserve">Item</t>
  </si>
  <si>
    <t xml:space="preserve">Typical Qty</t>
  </si>
  <si>
    <t xml:space="preserve">Typical Rate</t>
  </si>
  <si>
    <t xml:space="preserve">Typical Amount</t>
  </si>
  <si>
    <t xml:space="preserve">Presence Rate</t>
  </si>
  <si>
    <t xml:space="preserve">Expected Contribution</t>
  </si>
  <si>
    <t xml:space="preserve">Cumulative Share</t>
  </si>
  <si>
    <t xml:space="preserve">PURESIGHT ARRAY SET KNEE(4515-70-011-DEPUY)</t>
  </si>
  <si>
    <t xml:space="preserve">Exclude</t>
  </si>
  <si>
    <t xml:space="preserve">MAKO DRAPE KIT(PRYMAX)</t>
  </si>
  <si>
    <t xml:space="preserve">STERILE DRAPE KIT(4515-70-018-DEPUY)</t>
  </si>
  <si>
    <t xml:space="preserve">STERILE DRAPE KIT(4515-70-008-DEPUY)</t>
  </si>
  <si>
    <t xml:space="preserve">OSCILLATING SAW BLADE 85MMX19X2MM(4515-70-000-DEPUY)</t>
  </si>
  <si>
    <t xml:space="preserve">MICS SAGITTAL BLADE STANDARD(116170-STRYKER)</t>
  </si>
  <si>
    <t xml:space="preserve">STRATAFIX 1 SXPP1A203(ETHICON)</t>
  </si>
  <si>
    <t xml:space="preserve">116171 MICS SAGITTAL BLADE NARROW</t>
  </si>
  <si>
    <t xml:space="preserve">107120 MAKO VIZADISCS</t>
  </si>
  <si>
    <t xml:space="preserve">CORK SCREW FT-2 5.5MM WITH NEEDLE 16.3MM(AR-1928SNF-2-ARTHREX)</t>
  </si>
  <si>
    <t xml:space="preserve">Service Add-Ons</t>
  </si>
  <si>
    <t xml:space="preserve">Include only the service items that are clinically expected for this case. Rows are prioritized by expected historical contribution first, then presence rate, so the most likely and financially meaningful add-ons appear first.</t>
  </si>
  <si>
    <t xml:space="preserve">Service Line Count Alert</t>
  </si>
  <si>
    <t xml:space="preserve">Service Name</t>
  </si>
  <si>
    <t xml:space="preserve">Grouping</t>
  </si>
  <si>
    <t xml:space="preserve">Qty P25</t>
  </si>
  <si>
    <t xml:space="preserve">Qty P50</t>
  </si>
  <si>
    <t xml:space="preserve">Qty P75</t>
  </si>
  <si>
    <t xml:space="preserve">Selected Tariff Rate</t>
  </si>
  <si>
    <t xml:space="preserve">Typical Gross</t>
  </si>
  <si>
    <t xml:space="preserve">Low Amt</t>
  </si>
  <si>
    <t xml:space="preserve">Typical Amt</t>
  </si>
  <si>
    <t xml:space="preserve">High Amt</t>
  </si>
  <si>
    <t xml:space="preserve">Code</t>
  </si>
  <si>
    <t xml:space="preserve">FIBRINOGEN</t>
  </si>
  <si>
    <t xml:space="preserve">Coagulation Tests</t>
  </si>
  <si>
    <t xml:space="preserve">BIO0106</t>
  </si>
  <si>
    <t xml:space="preserve">CORTISOL</t>
  </si>
  <si>
    <t xml:space="preserve">Hormone Tests</t>
  </si>
  <si>
    <t xml:space="preserve">BIO0181</t>
  </si>
  <si>
    <t xml:space="preserve">Base Included Non-Pharmacy Count</t>
  </si>
  <si>
    <t xml:space="preserve">GRBS</t>
  </si>
  <si>
    <t xml:space="preserve">GRBS Monitoring</t>
  </si>
  <si>
    <t xml:space="preserve">EME0020</t>
  </si>
  <si>
    <t xml:space="preserve">Selected Optional Count</t>
  </si>
  <si>
    <t xml:space="preserve">CRP</t>
  </si>
  <si>
    <t xml:space="preserve">Inflammatory Marker Tests</t>
  </si>
  <si>
    <t xml:space="preserve">BIO0121</t>
  </si>
  <si>
    <t xml:space="preserve">Current Included Non-Pharmacy Count</t>
  </si>
  <si>
    <t xml:space="preserve">PACKED RED BLOOD CELLS</t>
  </si>
  <si>
    <t xml:space="preserve">Blood Bank Services</t>
  </si>
  <si>
    <t xml:space="preserve">BLD0024</t>
  </si>
  <si>
    <t xml:space="preserve">OXYGEN PER DAY</t>
  </si>
  <si>
    <t xml:space="preserve">Oxygen / HFNT Charges</t>
  </si>
  <si>
    <t xml:space="preserve">EME0016</t>
  </si>
  <si>
    <t xml:space="preserve">EVMS - ENHANCED VITALS MONITORING SYSTEM (DOZEE)</t>
  </si>
  <si>
    <t xml:space="preserve">Patient Monitoring</t>
  </si>
  <si>
    <t xml:space="preserve">EME5045</t>
  </si>
  <si>
    <t xml:space="preserve">NEBULIZATION PER DAY</t>
  </si>
  <si>
    <t xml:space="preserve">Nebulization Charges</t>
  </si>
  <si>
    <t xml:space="preserve">EME0052</t>
  </si>
  <si>
    <t xml:space="preserve">ESR</t>
  </si>
  <si>
    <t xml:space="preserve">Haematology Counts</t>
  </si>
  <si>
    <t xml:space="preserve">PAT0007</t>
  </si>
  <si>
    <t xml:space="preserve">SYRINGE PUMP PER DAY</t>
  </si>
  <si>
    <t xml:space="preserve">Syringe Pump Charges</t>
  </si>
  <si>
    <t xml:space="preserve">EME0018</t>
  </si>
  <si>
    <t xml:space="preserve">FOLEY'S CATHETERIZATION</t>
  </si>
  <si>
    <t xml:space="preserve">Catheterization / Cannulation</t>
  </si>
  <si>
    <t xml:space="preserve">EME0080</t>
  </si>
  <si>
    <t xml:space="preserve">TROPONIN-I</t>
  </si>
  <si>
    <t xml:space="preserve">Cardiac Marker Tests</t>
  </si>
  <si>
    <t xml:space="preserve">BIO0098</t>
  </si>
  <si>
    <t xml:space="preserve">TRANSFUSION</t>
  </si>
  <si>
    <t xml:space="preserve">Blood Transfusion</t>
  </si>
  <si>
    <t xml:space="preserve">EME0088</t>
  </si>
  <si>
    <t xml:space="preserve">PRE ANAESTHETIST CHECK</t>
  </si>
  <si>
    <t xml:space="preserve">Pre-Anaesthesia Check</t>
  </si>
  <si>
    <t xml:space="preserve">ANS0003</t>
  </si>
  <si>
    <t xml:space="preserve">THYROID PROFILE</t>
  </si>
  <si>
    <t xml:space="preserve">Thyroid Tests</t>
  </si>
  <si>
    <t xml:space="preserve">BIO0097</t>
  </si>
  <si>
    <t xml:space="preserve">CROSS MATCHING</t>
  </si>
  <si>
    <t xml:space="preserve">BLD0009</t>
  </si>
  <si>
    <t xml:space="preserve">ABG (ARTERIAL BLOOD GASES)</t>
  </si>
  <si>
    <t xml:space="preserve">Blood Gas Analysis</t>
  </si>
  <si>
    <t xml:space="preserve">BIO0064</t>
  </si>
  <si>
    <t xml:space="preserve">X-RAY AP VIEW (BEDSIDE)</t>
  </si>
  <si>
    <t xml:space="preserve">X-Ray / Fluoroscopy</t>
  </si>
  <si>
    <t xml:space="preserve">XRY044</t>
  </si>
  <si>
    <t xml:space="preserve">PHYSIOTHERAPY CONSULTATION</t>
  </si>
  <si>
    <t xml:space="preserve">Consultation Charges</t>
  </si>
  <si>
    <t xml:space="preserve">PHY5076</t>
  </si>
  <si>
    <t xml:space="preserve">CBC (COMPLETE BLOOD COUNT)</t>
  </si>
  <si>
    <t xml:space="preserve">PAT0078</t>
  </si>
  <si>
    <t xml:space="preserve">FBS (FASTING PLASMA GLUCOSE)</t>
  </si>
  <si>
    <t xml:space="preserve">Diabetes / Glucose Tests</t>
  </si>
  <si>
    <t xml:space="preserve">BIO0075</t>
  </si>
  <si>
    <t xml:space="preserve">POTASSIUM</t>
  </si>
  <si>
    <t xml:space="preserve">Renal Function / Electrolytes</t>
  </si>
  <si>
    <t xml:space="preserve">BIO0005</t>
  </si>
  <si>
    <t xml:space="preserve">BLOOD GROUP AND RH (D) TYPING</t>
  </si>
  <si>
    <t xml:space="preserve">BLD0001</t>
  </si>
  <si>
    <t xml:space="preserve">ECG</t>
  </si>
  <si>
    <t xml:space="preserve">CAR0080</t>
  </si>
  <si>
    <t xml:space="preserve">CUE (COMPLETE URINE EXAMINATION)</t>
  </si>
  <si>
    <t xml:space="preserve">Urine Tests</t>
  </si>
  <si>
    <t xml:space="preserve">PAT0041</t>
  </si>
  <si>
    <t xml:space="preserve">PSYCHOLOGIST COUNSELLING</t>
  </si>
  <si>
    <t xml:space="preserve">Psychology / Counselling</t>
  </si>
  <si>
    <t xml:space="preserve">PSY0036</t>
  </si>
  <si>
    <t xml:space="preserve">X-RAY SCANOGRAM (ACADEMIC CASES)</t>
  </si>
  <si>
    <t xml:space="preserve">XRY5133</t>
  </si>
  <si>
    <t xml:space="preserve">Grouped Adjustments</t>
  </si>
  <si>
    <t xml:space="preserve">Grouped adjustments complete common high-presence service groups without double counting. Auto groups (&gt;90% presence) start included; optional groups (75% to &lt;90%) start excluded. Any selected child add-ons from the same grouping automatically reduce the grouped residual.</t>
  </si>
  <si>
    <t xml:space="preserve">Included Rows</t>
  </si>
  <si>
    <t xml:space="preserve">FC Bucket</t>
  </si>
  <si>
    <t xml:space="preserve">Group Presence Rate</t>
  </si>
  <si>
    <t xml:space="preserve">Group Amount P25 Exact</t>
  </si>
  <si>
    <t xml:space="preserve">Group Amount P50 Exact</t>
  </si>
  <si>
    <t xml:space="preserve">Group Amount P75 Exact</t>
  </si>
  <si>
    <t xml:space="preserve">Captured By Default</t>
  </si>
  <si>
    <t xml:space="preserve">Selected Add-On Amount</t>
  </si>
  <si>
    <t xml:space="preserve">Net Residual Low</t>
  </si>
  <si>
    <t xml:space="preserve">Net Residual Typical</t>
  </si>
  <si>
    <t xml:space="preserve">Net Residual High</t>
  </si>
  <si>
    <t xml:space="preserve">Selected Amount</t>
  </si>
  <si>
    <t xml:space="preserve">Why</t>
  </si>
  <si>
    <t xml:space="preserve">Include</t>
  </si>
  <si>
    <t xml:space="preserve">Auto common-case residual</t>
  </si>
  <si>
    <t xml:space="preserve">Grouping Review</t>
  </si>
  <si>
    <t xml:space="preserve">This review sheet highlights only high-presence service groups where the current FC default estimate does not fully capture the group’s exact P50 case amount. It is an audit layer only and does not change estimate totals.</t>
  </si>
  <si>
    <t xml:space="preserve">Captured by Default</t>
  </si>
  <si>
    <t xml:space="preserve">Left Out vs P50</t>
  </si>
  <si>
    <t xml:space="preserve">2080</t>
  </si>
  <si>
    <t xml:space="preserve">1710</t>
  </si>
  <si>
    <t xml:space="preserve">370</t>
  </si>
  <si>
    <t xml:space="preserve">material_gap</t>
  </si>
  <si>
    <t xml:space="preserve">Grouping Child Detail</t>
  </si>
  <si>
    <t xml:space="preserve">These child rows are shown only for flagged groups so you can see what made it into the FC default and what stayed out.</t>
  </si>
  <si>
    <t xml:space="preserve">Item Code</t>
  </si>
  <si>
    <t xml:space="preserve">Item Name</t>
  </si>
  <si>
    <t xml:space="preserve">Made It To FC Default</t>
  </si>
  <si>
    <t xml:space="preserve">Why Not Default</t>
  </si>
  <si>
    <t xml:space="preserve">PAT0042</t>
  </si>
  <si>
    <t xml:space="preserve">CBP (COMPLETE BLOOD PICTURE)</t>
  </si>
  <si>
    <t xml:space="preserve">1250</t>
  </si>
  <si>
    <t xml:space="preserve">default_included</t>
  </si>
  <si>
    <t xml:space="preserve">PAT0045</t>
  </si>
  <si>
    <t xml:space="preserve">HAEMOGLOBIN</t>
  </si>
  <si>
    <t xml:space="preserve">460</t>
  </si>
  <si>
    <t xml:space="preserve">below_presence_threshold</t>
  </si>
  <si>
    <t xml:space="preserve">545</t>
  </si>
  <si>
    <t xml:space="preserve">Implant Selection</t>
  </si>
  <si>
    <t xml:space="preserve">Family List</t>
  </si>
  <si>
    <t xml:space="preserve">Brand List</t>
  </si>
  <si>
    <t xml:space="preserve">Item List</t>
  </si>
  <si>
    <t xml:space="preserve">Family</t>
  </si>
  <si>
    <t xml:space="preserve">Presence</t>
  </si>
  <si>
    <t xml:space="preserve">Rate P25</t>
  </si>
  <si>
    <t xml:space="preserve">Rate P50</t>
  </si>
  <si>
    <t xml:space="preserve">Amount P50</t>
  </si>
  <si>
    <t xml:space="preserve">Brand</t>
  </si>
  <si>
    <t xml:space="preserve">Brand Key</t>
  </si>
  <si>
    <t xml:space="preserve">Use this sheet only if you want to override the default implant estimate.</t>
  </si>
  <si>
    <t xml:space="preserve">All</t>
  </si>
  <si>
    <t xml:space="preserve">None</t>
  </si>
  <si>
    <t xml:space="preserve">Femoral Component</t>
  </si>
  <si>
    <t xml:space="preserve">ATTUNE</t>
  </si>
  <si>
    <t xml:space="preserve">Femoral Component|ATTUNE</t>
  </si>
  <si>
    <t xml:space="preserve">ATTM83</t>
  </si>
  <si>
    <t xml:space="preserve">ATTUNE FEMORAL C/R CEMENTED RIGHT SEZE 3(1504-00-203-DEPUY)</t>
  </si>
  <si>
    <t xml:space="preserve">Default P50 uses the cohort-typical implant estimate. Family, Brand, and Exact Item overrides change only the implant portion of the estimate.</t>
  </si>
  <si>
    <t xml:space="preserve">Tibial Insert / Bearing</t>
  </si>
  <si>
    <t xml:space="preserve">RESTORIS MCK</t>
  </si>
  <si>
    <t xml:space="preserve">Femoral Component|RESTORIS MCK</t>
  </si>
  <si>
    <t xml:space="preserve">ATTM161</t>
  </si>
  <si>
    <t xml:space="preserve">ATTUNE FEMORAL COMPONENT CEMENTED CRUCIATE RETAINING RIGHT 2(1504-00-202-DEPUY SYNTHES)</t>
  </si>
  <si>
    <t xml:space="preserve">Implant Estimate Mode</t>
  </si>
  <si>
    <t xml:space="preserve">Default P50</t>
  </si>
  <si>
    <t xml:space="preserve">Accessory Hardware</t>
  </si>
  <si>
    <t xml:space="preserve">Bone Cement</t>
  </si>
  <si>
    <t xml:space="preserve">TRIATHLON</t>
  </si>
  <si>
    <t xml:space="preserve">Femoral Component|TRIATHLON</t>
  </si>
  <si>
    <t xml:space="preserve">ATTM97</t>
  </si>
  <si>
    <t xml:space="preserve">ATTUNE FEMORAL COMPONENT CEMENTED CRUCIATE RETAINING RIGHT 4 NARROW(1504-00-224-DEPUY SYNTHES)</t>
  </si>
  <si>
    <t xml:space="preserve">Selected Family</t>
  </si>
  <si>
    <t xml:space="preserve">Other</t>
  </si>
  <si>
    <t xml:space="preserve">Tibial Baseplate</t>
  </si>
  <si>
    <t xml:space="preserve">Tibial Insert / Bearing|ATTUNE</t>
  </si>
  <si>
    <t xml:space="preserve">ATTM84</t>
  </si>
  <si>
    <t xml:space="preserve">ATTUNE FEMORAL COMPONENT CEMENTED CRUCIATE RETAINING RIGHT 4(1504-00-204-DEPUY SYNTHES)</t>
  </si>
  <si>
    <t xml:space="preserve">Selected Brand</t>
  </si>
  <si>
    <t xml:space="preserve">Resolved Implant Estimate</t>
  </si>
  <si>
    <t xml:space="preserve">Stem / Extension</t>
  </si>
  <si>
    <t xml:space="preserve">Tibial Insert / Bearing|RESTORIS MCK</t>
  </si>
  <si>
    <t xml:space="preserve">ATTM85</t>
  </si>
  <si>
    <t xml:space="preserve">ATTUNE FEMORAL COMPONENT CEMENTED CRUCIATE RETAINING RIGHT 5(1504-00-205-DEPUY SYNTHES)</t>
  </si>
  <si>
    <t xml:space="preserve">Selected Item Code</t>
  </si>
  <si>
    <t xml:space="preserve">SIMPLEX</t>
  </si>
  <si>
    <t xml:space="preserve">Screw</t>
  </si>
  <si>
    <t xml:space="preserve">Tibial Insert / Bearing|TRIATHLON</t>
  </si>
  <si>
    <t xml:space="preserve">ATTM86</t>
  </si>
  <si>
    <t xml:space="preserve">ATTUNE FEMORAL COMPONENT CEMENTED CRUCIATE RETAINING RIGHT 6(1504-00-206-DEPUY SYNTHES)</t>
  </si>
  <si>
    <t xml:space="preserve">SMARTSET</t>
  </si>
  <si>
    <t xml:space="preserve">Pin</t>
  </si>
  <si>
    <t xml:space="preserve">Bone Cement|SIMPLEX</t>
  </si>
  <si>
    <t xml:space="preserve">RESM71</t>
  </si>
  <si>
    <t xml:space="preserve">RESTORIS MCK FEMORAL COMPONENT RIGHT MEDIAL LEFT LATERAL KNEE 4(180514-STRYKER CORP)</t>
  </si>
  <si>
    <t xml:space="preserve">Bone Cement|SMARTSET</t>
  </si>
  <si>
    <t xml:space="preserve">RESM68</t>
  </si>
  <si>
    <t xml:space="preserve">RESTORIS MCK FEMORAL COMPONET RM/LL SIZE-1(180511-STRYKER)</t>
  </si>
  <si>
    <t xml:space="preserve">Family Summary</t>
  </si>
  <si>
    <t xml:space="preserve">Brand View</t>
  </si>
  <si>
    <t xml:space="preserve">Tibial Baseplate|ATTUNE</t>
  </si>
  <si>
    <t xml:space="preserve">RESM69</t>
  </si>
  <si>
    <t xml:space="preserve">RESTORIS MCK FEMORAL COMPONET RM/LL SIZE-2(180512-STRYKER)</t>
  </si>
  <si>
    <t xml:space="preserve">Rate P75</t>
  </si>
  <si>
    <t xml:space="preserve">Matches Family</t>
  </si>
  <si>
    <t xml:space="preserve">Tibial Baseplate|Other</t>
  </si>
  <si>
    <t xml:space="preserve">RESM70</t>
  </si>
  <si>
    <t xml:space="preserve">RESTORIS MCK FEMORAL COMPONET RM/LL SIZE-3(180513-STRYKER)</t>
  </si>
  <si>
    <t xml:space="preserve">Tibial Baseplate|RESTORIS MCK</t>
  </si>
  <si>
    <t xml:space="preserve">TRIM131</t>
  </si>
  <si>
    <t xml:space="preserve">5510F202 TRIATHLON -CR FEM CEMENT RIGHT 2</t>
  </si>
  <si>
    <t xml:space="preserve">Tibial Baseplate|TRIATHLON</t>
  </si>
  <si>
    <t xml:space="preserve">TRIM132</t>
  </si>
  <si>
    <t xml:space="preserve">5510F402 TRIATHLON CR FEMORAL CEMENT RIGHT 4</t>
  </si>
  <si>
    <t xml:space="preserve">Stem / Extension|ATTUNE</t>
  </si>
  <si>
    <t xml:space="preserve">TRIM122</t>
  </si>
  <si>
    <t xml:space="preserve">TRIATHLON CR FEMORAL CEMENT RIGHT-3(5510F302-STRYKER)</t>
  </si>
  <si>
    <t xml:space="preserve">Stem / Extension|TRIATHLON</t>
  </si>
  <si>
    <t xml:space="preserve">TRIM133</t>
  </si>
  <si>
    <t xml:space="preserve">TRIATHLON FEMORAL COMPONENT CEMENTED CRUCIATE RETAINING RIGHT TRITANIUM 5(5510-F-502-STRYKER CORP)</t>
  </si>
  <si>
    <t xml:space="preserve">Screw|Accessory Hardware</t>
  </si>
  <si>
    <t xml:space="preserve">TRIM108</t>
  </si>
  <si>
    <t xml:space="preserve">TRIATHLON FEMORAL COMPONENT CRUCIATE RETAINING CEMENTED PRIMARY REFERENCING RIGHT KNEE TRITANIUM 3(5510F302-STRYKER CORP)</t>
  </si>
  <si>
    <t xml:space="preserve">Pin|Accessory Hardware</t>
  </si>
  <si>
    <t xml:space="preserve">ATTM223</t>
  </si>
  <si>
    <t xml:space="preserve">ATTUNE KNEE SYSTEM TIBIAL INSERT FIXED BEARING MEDIAL STABILIZED RIGHT SIZE 4MM*6MM(1520-20-406-DEPUY)</t>
  </si>
  <si>
    <t xml:space="preserve">ATTM208</t>
  </si>
  <si>
    <t xml:space="preserve">ATTUNE KNEE SYSTEM TIBIAL INSERT FIXED BEARING MEDIAL STABILIZED RIGHT SIZE AOX 6MM*6MM(1520-20-606-DEPUY)</t>
  </si>
  <si>
    <t xml:space="preserve">ATTM232</t>
  </si>
  <si>
    <t xml:space="preserve">ATTUNE KNEE SYSTEM TIBIAL INSERT FIXED BEARING MEDIAL STABILIZED RIGHTSIZE 3MM X 7MM(1520-20-307-DEPUY)</t>
  </si>
  <si>
    <t xml:space="preserve">ATTM221</t>
  </si>
  <si>
    <t xml:space="preserve">ATTUNE KNEE SYSTEM TIBIAL INSERT FIXED BEARING MEDIAL STABILIZED RIGHTSIZE 5MM X 10MM(1520-20-510-DEPUY)</t>
  </si>
  <si>
    <t xml:space="preserve">ATTM106</t>
  </si>
  <si>
    <t xml:space="preserve">ATTUNE TIBIAL INSERT F/B CRUCIATE RETAINING 3MM*6MM(1516-20-306-DEPUY)</t>
  </si>
  <si>
    <t xml:space="preserve">ATTM101</t>
  </si>
  <si>
    <t xml:space="preserve">ATTUNE TIBIAL INSERT FIXED BEARING CRUCIATE RETAINING AOX 2 6MM(1516-20-206-DEPUY SYNTHES)</t>
  </si>
  <si>
    <t xml:space="preserve">ATTM108</t>
  </si>
  <si>
    <t xml:space="preserve">ATTUNE TIBIAL INSERT FIXED BEARING CRUCIATE RETAINING AOX 3 8MM(1516-20-308-DEPUY SYNTHES)</t>
  </si>
  <si>
    <t xml:space="preserve">ATTM110</t>
  </si>
  <si>
    <t xml:space="preserve">ATTUNE TIBIAL INSERT FIXED BEARING CRUCIATE RETAINING AOX 4 5MM(1516-20-405-DEPUY SYNTHES)</t>
  </si>
  <si>
    <t xml:space="preserve">ATTM111</t>
  </si>
  <si>
    <t xml:space="preserve">ATTUNE TIBIAL INSERT FIXED BEARING CRUCIATE RETAINING AOX 4 6MM(1516-20-406-DEPUY SYNTHES)</t>
  </si>
  <si>
    <t xml:space="preserve">Exact Item View</t>
  </si>
  <si>
    <t xml:space="preserve">ATTM115</t>
  </si>
  <si>
    <t xml:space="preserve">ATTUNE TIBIAL INSERT FIXED BEARING CRUCIATE RETAINING AOX 5 5MM(1516-20-505-DEPUY SYNTHES)</t>
  </si>
  <si>
    <t xml:space="preserve">Matches Selection</t>
  </si>
  <si>
    <t xml:space="preserve">RESM87</t>
  </si>
  <si>
    <t xml:space="preserve">1807031 RESTORIS MCK TIBIAL INSERT 3 X 8MM</t>
  </si>
  <si>
    <t xml:space="preserve">MCKM01</t>
  </si>
  <si>
    <t xml:space="preserve">MCK ONLAY TIBIAL INSERT SIZE 1MM*9MM(180701-2-STRYKER)</t>
  </si>
  <si>
    <t xml:space="preserve">RESM100</t>
  </si>
  <si>
    <t xml:space="preserve">RESTORIS MCK TIBIAL ONLAY INSERT SIZE-2MM*09MM(180702-2-STRYKER)</t>
  </si>
  <si>
    <t xml:space="preserve">RESM88</t>
  </si>
  <si>
    <t xml:space="preserve">RESTORIS TIBIAL INSERT MULTI COMPARTMENTAL ONLAY KNEE 4 9MM(180704-2-STRYKER CORP)</t>
  </si>
  <si>
    <t xml:space="preserve">TRIM157</t>
  </si>
  <si>
    <t xml:space="preserve">5531G409E TRIATHLON X3 TIBIAL BEARING INSERT CS 4 X 9 MM</t>
  </si>
  <si>
    <t xml:space="preserve">TRIM153</t>
  </si>
  <si>
    <t xml:space="preserve">TRIATHLON INSERT CS X3 2*11MM(5531G211-STRYKER)</t>
  </si>
  <si>
    <t xml:space="preserve">TRIM151</t>
  </si>
  <si>
    <t xml:space="preserve">TRIATHLON INSERT CS X31MM*11MM(5531G111-STRYKER)</t>
  </si>
  <si>
    <t xml:space="preserve">TRIM355</t>
  </si>
  <si>
    <t xml:space="preserve">TRIATHLON TIBIAL INSERT CRUCIATE STABILIZED BEARING KNEE X3 3 10MM(5531-G-310-E-STRYKER CORP)</t>
  </si>
  <si>
    <t xml:space="preserve">TRIM358</t>
  </si>
  <si>
    <t xml:space="preserve">TRIATHLON TIBIAL INSERT CRUCIATE STABILIZED BEARING KNEE X3 5 10MM(5531-G-510-E-STRYKER CORP)</t>
  </si>
  <si>
    <t xml:space="preserve">TRIM114</t>
  </si>
  <si>
    <t xml:space="preserve">TRIATHLON TIBIAL INSERT CRUCIATE SUBSTITUTING BEARING KNEE X3 2 9MM(5531-G-209-E-STRYKER CORP)</t>
  </si>
  <si>
    <t xml:space="preserve">TRIM158</t>
  </si>
  <si>
    <t xml:space="preserve">TRIATHLON TIBIAL INSERT CRUCIATE SUBSTITUTING BEARING KNEE X3 4 11MM(5531-G-411-E-STRYKER CORP)</t>
  </si>
  <si>
    <t xml:space="preserve">TRIM110</t>
  </si>
  <si>
    <t xml:space="preserve">TRIATHLON X3 TIBIAL BEARING INSERT CS SIZE-3*9MM(5531G309E-STRYKER)</t>
  </si>
  <si>
    <t xml:space="preserve">SIMM01</t>
  </si>
  <si>
    <t xml:space="preserve">SIMPLEX BONE CEMENT 40 GR [6191-0-001]</t>
  </si>
  <si>
    <t xml:space="preserve">BONM151</t>
  </si>
  <si>
    <t xml:space="preserve">SIMPLEX P BONE CEMENT 40GM(6191-0-001-STRYKER CORP)</t>
  </si>
  <si>
    <t xml:space="preserve">SIMM30</t>
  </si>
  <si>
    <t xml:space="preserve">SIMPLEX PALCOS BONE CEMENT(61910001-STRYKER)</t>
  </si>
  <si>
    <t xml:space="preserve">SMAM40</t>
  </si>
  <si>
    <t xml:space="preserve">SMART SET GHV GENTAMICIAN 40GRM(3095-040-DEPUY)</t>
  </si>
  <si>
    <t xml:space="preserve">ATTM169</t>
  </si>
  <si>
    <t xml:space="preserve">ATTUNE KNEE SYSTEM REVISION TIBIAL BASE FIXED BEARING CEMENTED SIZE 2MM(1506-40-002-DEPUY)</t>
  </si>
  <si>
    <t xml:space="preserve">ATTM138</t>
  </si>
  <si>
    <t xml:space="preserve">ATTUNE TIBIAL BASEPLATE FIXED BEARING CEMENTED 4MM(1506-70-004-JOHNSON &amp; JOHNSON)</t>
  </si>
  <si>
    <t xml:space="preserve">ATTM27</t>
  </si>
  <si>
    <t xml:space="preserve">ATTUNE TIBIAL BASEPLATE FIXED BEARING CEMENTED 5MM(1506-70-005-DEPUY SYNTHES)</t>
  </si>
  <si>
    <t xml:space="preserve">ATTM168</t>
  </si>
  <si>
    <t xml:space="preserve">ATTUNE TIBIAL BASEPLATE FIXED BEARING REVISION CEMENTED CONSTRAINED KNEE 3(1506-40-003-DEPUY SYNTHES)</t>
  </si>
  <si>
    <t xml:space="preserve">ATTM176</t>
  </si>
  <si>
    <t xml:space="preserve">ORTHOPAEDIC BEARING TIBIAL BASE FIXED CEMENTED KNEE SYSTEM REVISION 6MM(1506-40-006-DEPUY SYNTHES)</t>
  </si>
  <si>
    <t xml:space="preserve">RESM79</t>
  </si>
  <si>
    <t xml:space="preserve">RESTORIS MCK TIBIAL BASE PLATE RM/LL SIZE-1(180611-STRYKER)</t>
  </si>
  <si>
    <t xml:space="preserve">RESM80</t>
  </si>
  <si>
    <t xml:space="preserve">RESTORIS MCK TIBIAL BASE PLATE RM/LL SIZE-2(180612-STRYKER)</t>
  </si>
  <si>
    <t xml:space="preserve">RESM81</t>
  </si>
  <si>
    <t xml:space="preserve">RESTORIS MCK TIBIAL BASE PLATE RM/LL SIZE-3(180613-STRYKER)</t>
  </si>
  <si>
    <t xml:space="preserve">RESM82</t>
  </si>
  <si>
    <t xml:space="preserve">RESTORIS MCK TIBIAL BASEPLATE ONLAY RIGHT MEDIAL LEFT LATERAL 4(180614-STRYKER CORP)</t>
  </si>
  <si>
    <t xml:space="preserve">TRIM184</t>
  </si>
  <si>
    <t xml:space="preserve">5520B400 TRIATHLON TIBIA BP CEMENTED SIZE 4</t>
  </si>
  <si>
    <t xml:space="preserve">TRIM185</t>
  </si>
  <si>
    <t xml:space="preserve">5521B100 TRIATHLON TOT KNEE UNIVERSAL TIB BASE PLATE (STRYKER)</t>
  </si>
  <si>
    <t xml:space="preserve">TRIM187</t>
  </si>
  <si>
    <t xml:space="preserve">5521B200 TRIATHLON UNIVERSAL BP 2(STRYKER)</t>
  </si>
  <si>
    <t xml:space="preserve">TRIM188</t>
  </si>
  <si>
    <t xml:space="preserve">5521B300 TRIATHLON UNIVERSAL BP 3(STRYKER)</t>
  </si>
  <si>
    <t xml:space="preserve">TRIM189</t>
  </si>
  <si>
    <t xml:space="preserve">TRIATHLON TIBIAL BASEPLATE CEMENTED TOTAL KNEE UNIVERSAL 4(5521-B-400-STRYKER CORP)</t>
  </si>
  <si>
    <t xml:space="preserve">TRIM191</t>
  </si>
  <si>
    <t xml:space="preserve">TRIATHLON TIBIAL BASEPLATE PRIMARY CEMENTED STERILE 5(5520-B-500-STRYKER CORP)</t>
  </si>
  <si>
    <t xml:space="preserve">ATTM164</t>
  </si>
  <si>
    <t xml:space="preserve">ATTUNE TIBIAL BASEPLATE STEMMABLE CEMENTED KNEE 4MM(1506-40-004-DEPUY SYNTHES)</t>
  </si>
  <si>
    <t xml:space="preserve">TRIM197</t>
  </si>
  <si>
    <t xml:space="preserve">5560S112 TRIATHLON TOTAL KNEE CEMENTED STEM 12MM X 50 MM</t>
  </si>
  <si>
    <t xml:space="preserve">TRIM196</t>
  </si>
  <si>
    <t xml:space="preserve">TRIATHLON TS FEMORAL STEM CEMENTED KNEE TITANIUM 12X100MM(5560-S-212-STRYKER CORP)</t>
  </si>
  <si>
    <t xml:space="preserve">CORM9076</t>
  </si>
  <si>
    <t xml:space="preserve">CORTICAL SCREW SLF TAPP 3.5MM*20MM 20TPI(A458000020-PITKAR)</t>
  </si>
  <si>
    <t xml:space="preserve">LOCM2609</t>
  </si>
  <si>
    <t xml:space="preserve">LOCKING SCREW SELF-TAPPING 3.5X26MM(AI07100026-PITKAR ORTHOTOOLS PVT LTD)</t>
  </si>
  <si>
    <t xml:space="preserve">ARRU07</t>
  </si>
  <si>
    <t xml:space="preserve">ARRAY DRILL PIN 175MM*4MM(4515-70-006-DEPUY)</t>
  </si>
  <si>
    <t xml:space="preserve">BONM229</t>
  </si>
  <si>
    <t xml:space="preserve">BONE PIN 3.2MM*140MM(143140/213527-STRYKER)</t>
  </si>
  <si>
    <t xml:space="preserve">Estimate Breakdown</t>
  </si>
  <si>
    <t xml:space="preserve">This sheet shows the currently selected estimate only. Use Line Item Detail if you need the full low / typical / high mechanics.</t>
  </si>
  <si>
    <t xml:space="preserve">Line Item</t>
  </si>
  <si>
    <t xml:space="preserve">Summary Bucket</t>
  </si>
  <si>
    <t xml:space="preserve">Sub-Bucket</t>
  </si>
  <si>
    <t xml:space="preserve">Source Type</t>
  </si>
  <si>
    <t xml:space="preserve">How Calculated</t>
  </si>
  <si>
    <t xml:space="preserve">Included?</t>
  </si>
  <si>
    <t xml:space="preserve">Selected Quantity</t>
  </si>
  <si>
    <t xml:space="preserve">Selected Rate</t>
  </si>
  <si>
    <t xml:space="preserve">Parent Bucket</t>
  </si>
  <si>
    <t xml:space="preserve">Source</t>
  </si>
  <si>
    <t xml:space="preserve">How</t>
  </si>
  <si>
    <t xml:space="preserve">Selected Qty</t>
  </si>
  <si>
    <t xml:space="preserve">Qty Low</t>
  </si>
  <si>
    <t xml:space="preserve">Qty Typical</t>
  </si>
  <si>
    <t xml:space="preserve">Qty High</t>
  </si>
  <si>
    <t xml:space="preserve">Rate General</t>
  </si>
  <si>
    <t xml:space="preserve">Rate Twin</t>
  </si>
  <si>
    <t xml:space="preserve">Rate Single</t>
  </si>
  <si>
    <t xml:space="preserve">General Low</t>
  </si>
  <si>
    <t xml:space="preserve">General Typical</t>
  </si>
  <si>
    <t xml:space="preserve">General High</t>
  </si>
  <si>
    <t xml:space="preserve">Twin Low</t>
  </si>
  <si>
    <t xml:space="preserve">Twin Typical</t>
  </si>
  <si>
    <t xml:space="preserve">Twin High</t>
  </si>
  <si>
    <t xml:space="preserve">Single Low</t>
  </si>
  <si>
    <t xml:space="preserve">Single Typical</t>
  </si>
  <si>
    <t xml:space="preserve">Single High</t>
  </si>
  <si>
    <t xml:space="preserve">Selected Total General</t>
  </si>
  <si>
    <t xml:space="preserve">Selected Total Twin</t>
  </si>
  <si>
    <t xml:space="preserve">Selected Total Single</t>
  </si>
  <si>
    <t xml:space="preserve">X-RAY KNEE JOINT AP &amp; LATERAL VIEW (BEDSIDE)</t>
  </si>
  <si>
    <t xml:space="preserve">Template</t>
  </si>
  <si>
    <t xml:space="preserve">Auto-Included</t>
  </si>
  <si>
    <t xml:space="preserve">XRY5090</t>
  </si>
  <si>
    <t xml:space="preserve">Nursing - Room</t>
  </si>
  <si>
    <t xml:space="preserve">Ward Care</t>
  </si>
  <si>
    <t xml:space="preserve">Logic</t>
  </si>
  <si>
    <t xml:space="preserve">Ward days x rate</t>
  </si>
  <si>
    <t xml:space="preserve">ROM5189</t>
  </si>
  <si>
    <t xml:space="preserve">Nursing - ICU</t>
  </si>
  <si>
    <t xml:space="preserve">Critical Care</t>
  </si>
  <si>
    <t xml:space="preserve">ICU days x rate</t>
  </si>
  <si>
    <t xml:space="preserve">DMO</t>
  </si>
  <si>
    <t xml:space="preserve">ROM0093</t>
  </si>
  <si>
    <t xml:space="preserve">ICU - Surgical</t>
  </si>
  <si>
    <t xml:space="preserve">ROM5009</t>
  </si>
  <si>
    <t xml:space="preserve">Bed Charges - Ward</t>
  </si>
  <si>
    <t xml:space="preserve">Ward days x room rate</t>
  </si>
  <si>
    <t xml:space="preserve">ROOM_BED</t>
  </si>
  <si>
    <t xml:space="preserve">CSSD CHARGES FOR GA</t>
  </si>
  <si>
    <t xml:space="preserve">OT Charges</t>
  </si>
  <si>
    <t xml:space="preserve">RNS5005</t>
  </si>
  <si>
    <t xml:space="preserve">Medical Records</t>
  </si>
  <si>
    <t xml:space="preserve">Administrative</t>
  </si>
  <si>
    <t xml:space="preserve">Fixed 1</t>
  </si>
  <si>
    <t xml:space="preserve">RNS0120</t>
  </si>
  <si>
    <t xml:space="preserve">PHYSIOTHERAPY PACKAGE 5 VISITS</t>
  </si>
  <si>
    <t xml:space="preserve">Physiotherapy</t>
  </si>
  <si>
    <t xml:space="preserve">PHY5082</t>
  </si>
  <si>
    <t xml:space="preserve">ROBO (TKR) - UNILATERAL</t>
  </si>
  <si>
    <t xml:space="preserve">OTI0098</t>
  </si>
  <si>
    <t xml:space="preserve">Instrument Charges (Major)</t>
  </si>
  <si>
    <t xml:space="preserve">OTI0018</t>
  </si>
  <si>
    <t xml:space="preserve">OT Disinfection Charges</t>
  </si>
  <si>
    <t xml:space="preserve">OTI0015</t>
  </si>
  <si>
    <t xml:space="preserve">Post Surgery Recovery Charges</t>
  </si>
  <si>
    <t xml:space="preserve">OTC5005</t>
  </si>
  <si>
    <t xml:space="preserve">Selected OT duration snapped to the nearest supported tariff OT slot using the normal or emergency ladder</t>
  </si>
  <si>
    <t xml:space="preserve">Cath Lab Charges</t>
  </si>
  <si>
    <t xml:space="preserve">Cath Lab Hours</t>
  </si>
  <si>
    <t xml:space="preserve">Historical Cath Lab Family</t>
  </si>
  <si>
    <t xml:space="preserve">Actual billed cath-lab slot-family P25 / P50 / P75 from the selected historical payer basis.</t>
  </si>
  <si>
    <t xml:space="preserve">Intensivist Per Day</t>
  </si>
  <si>
    <t xml:space="preserve">ICC0002</t>
  </si>
  <si>
    <t xml:space="preserve">Assistant Intensivist Per Day</t>
  </si>
  <si>
    <t xml:space="preserve">ICC0001</t>
  </si>
  <si>
    <t xml:space="preserve">Ward Consumables</t>
  </si>
  <si>
    <t xml:space="preserve">LOS days x rate</t>
  </si>
  <si>
    <t xml:space="preserve">HSP5013</t>
  </si>
  <si>
    <t xml:space="preserve">Warmer</t>
  </si>
  <si>
    <t xml:space="preserve">Bedside</t>
  </si>
  <si>
    <t xml:space="preserve">EME0087</t>
  </si>
  <si>
    <t xml:space="preserve">Monitor Per Day</t>
  </si>
  <si>
    <t xml:space="preserve">EME0019</t>
  </si>
  <si>
    <t xml:space="preserve">Oxygen Per Hour</t>
  </si>
  <si>
    <t xml:space="preserve">EME0017</t>
  </si>
  <si>
    <t xml:space="preserve">Diet Consultation</t>
  </si>
  <si>
    <t xml:space="preserve">Consultation</t>
  </si>
  <si>
    <t xml:space="preserve">DIE0001</t>
  </si>
  <si>
    <t xml:space="preserve">Dressing - Minor</t>
  </si>
  <si>
    <t xml:space="preserve">CAS0007</t>
  </si>
  <si>
    <t xml:space="preserve">Bedside ECG</t>
  </si>
  <si>
    <t xml:space="preserve">CAR5341</t>
  </si>
  <si>
    <t xml:space="preserve">Albumin</t>
  </si>
  <si>
    <t xml:space="preserve">BIO0162</t>
  </si>
  <si>
    <t xml:space="preserve">Sodium</t>
  </si>
  <si>
    <t xml:space="preserve">BIO0004</t>
  </si>
  <si>
    <t xml:space="preserve">Electrolytes</t>
  </si>
  <si>
    <t xml:space="preserve">BIO0003</t>
  </si>
  <si>
    <t xml:space="preserve">Creatinine</t>
  </si>
  <si>
    <t xml:space="preserve">BIO0002</t>
  </si>
  <si>
    <t xml:space="preserve">Urea</t>
  </si>
  <si>
    <t xml:space="preserve">BIO0001</t>
  </si>
  <si>
    <t xml:space="preserve">MLC Charges</t>
  </si>
  <si>
    <t xml:space="preserve">Applied only when MLC input is Yes</t>
  </si>
  <si>
    <t xml:space="preserve">HSP0047</t>
  </si>
  <si>
    <t xml:space="preserve">Pharmacy Related</t>
  </si>
  <si>
    <t xml:space="preserve">12.5% of pharmacy total</t>
  </si>
  <si>
    <t xml:space="preserve">Surgeon</t>
  </si>
  <si>
    <t xml:space="preserve">Cash PF % of pre-PF subtotal</t>
  </si>
  <si>
    <t xml:space="preserve">Assistant Surgeon</t>
  </si>
  <si>
    <t xml:space="preserve">Cash PF % of surgeon fee</t>
  </si>
  <si>
    <t xml:space="preserve">Anesthetist</t>
  </si>
  <si>
    <t xml:space="preserve">Assistant Anesthetist</t>
  </si>
  <si>
    <t xml:space="preserve">Cash PF % of anesthetist fee</t>
  </si>
  <si>
    <t xml:space="preserve">IP Drugs &amp; Medications</t>
  </si>
  <si>
    <t xml:space="preserve">IP Pharmacy</t>
  </si>
  <si>
    <t xml:space="preserve">History</t>
  </si>
  <si>
    <t xml:space="preserve">Historic per-LOS-day percentile x selected LOS</t>
  </si>
  <si>
    <t xml:space="preserve">OT Drugs &amp; Medications</t>
  </si>
  <si>
    <t xml:space="preserve">OT Pharmacy</t>
  </si>
  <si>
    <t xml:space="preserve">Bucket quartiles</t>
  </si>
  <si>
    <t xml:space="preserve">Advanced</t>
  </si>
  <si>
    <t xml:space="preserve">OT consumables variance controls</t>
  </si>
  <si>
    <t xml:space="preserve">Implant variance controls</t>
  </si>
  <si>
    <t xml:space="preserve">Include / Exclude selection</t>
  </si>
  <si>
    <t xml:space="preserve">Coagulation Tests Residual</t>
  </si>
  <si>
    <t xml:space="preserve">Grouped Residual</t>
  </si>
  <si>
    <t xml:space="preserve">Mode-aware grouped residual net of selected child add-ons from same grouping</t>
  </si>
  <si>
    <t xml:space="preserve">Inflammatory Marker Tests Residual</t>
  </si>
  <si>
    <t xml:space="preserve">Haematology Counts Residual</t>
  </si>
  <si>
    <t xml:space="preserve">Subtotal Before Professional Fees</t>
  </si>
  <si>
    <t xml:space="preserve">Cleaned Pharmacy Template</t>
  </si>
  <si>
    <t xml:space="preserve">Classification</t>
  </si>
  <si>
    <t xml:space="preserve">OT Present</t>
  </si>
  <si>
    <t xml:space="preserve">IP Present</t>
  </si>
  <si>
    <t xml:space="preserve">Returns Present</t>
  </si>
  <si>
    <t xml:space="preserve">Case Count</t>
  </si>
  <si>
    <t xml:space="preserve">OT Qty Typical</t>
  </si>
  <si>
    <t xml:space="preserve">IP Qty Typical</t>
  </si>
  <si>
    <t xml:space="preserve">Overall Qty Typical</t>
  </si>
  <si>
    <t xml:space="preserve">OT Amount Typical</t>
  </si>
  <si>
    <t xml:space="preserve">IP Amount Typical</t>
  </si>
  <si>
    <t xml:space="preserve">Overall Amount Typical</t>
  </si>
  <si>
    <t xml:space="preserve">Observed Rate Count</t>
  </si>
  <si>
    <t xml:space="preserve">Observed Rate Min</t>
  </si>
  <si>
    <t xml:space="preserve">Observed Rate Max</t>
  </si>
  <si>
    <t xml:space="preserve">Observed Rate Values</t>
  </si>
  <si>
    <t xml:space="preserve">CLOG03</t>
  </si>
  <si>
    <t xml:space="preserve">CLOHEX ADS 200ML MOUTH WASH</t>
  </si>
  <si>
    <t xml:space="preserve">Drugs / Medicines / IVs / Nutrition Products</t>
  </si>
  <si>
    <t xml:space="preserve">False</t>
  </si>
  <si>
    <t xml:space="preserve">True</t>
  </si>
  <si>
    <t xml:space="preserve">26</t>
  </si>
  <si>
    <t xml:space="preserve">100</t>
  </si>
  <si>
    <t xml:space="preserve">0</t>
  </si>
  <si>
    <t xml:space="preserve">1</t>
  </si>
  <si>
    <t xml:space="preserve">270.7</t>
  </si>
  <si>
    <t xml:space="preserve">ENOI05</t>
  </si>
  <si>
    <t xml:space="preserve">ENOXATIL 40MG INJ</t>
  </si>
  <si>
    <t xml:space="preserve">2</t>
  </si>
  <si>
    <t xml:space="preserve">957.1</t>
  </si>
  <si>
    <t xml:space="preserve">478.55</t>
  </si>
  <si>
    <t xml:space="preserve">G2KI01</t>
  </si>
  <si>
    <t xml:space="preserve">G2K 40MG INJ</t>
  </si>
  <si>
    <t xml:space="preserve">4</t>
  </si>
  <si>
    <t xml:space="preserve">215.56</t>
  </si>
  <si>
    <t xml:space="preserve">53.89</t>
  </si>
  <si>
    <t xml:space="preserve">ROPI13</t>
  </si>
  <si>
    <t xml:space="preserve">ROPIZUVA 0.2% 20ML INJ</t>
  </si>
  <si>
    <t xml:space="preserve">785.12</t>
  </si>
  <si>
    <t xml:space="preserve">196.28</t>
  </si>
  <si>
    <t xml:space="preserve">215.9</t>
  </si>
  <si>
    <t xml:space="preserve">196.28 | 215.9</t>
  </si>
  <si>
    <t xml:space="preserve">VERI10</t>
  </si>
  <si>
    <t xml:space="preserve">VERFEN 2ML INJ</t>
  </si>
  <si>
    <t xml:space="preserve">44.75</t>
  </si>
  <si>
    <t xml:space="preserve">44.77</t>
  </si>
  <si>
    <t xml:space="preserve">44.75 | 44.77</t>
  </si>
  <si>
    <t xml:space="preserve">ADVR01</t>
  </si>
  <si>
    <t xml:space="preserve">ADVACRYL 0 ADVA2534(AMS)</t>
  </si>
  <si>
    <t xml:space="preserve">Treatment Supplies</t>
  </si>
  <si>
    <t xml:space="preserve">913</t>
  </si>
  <si>
    <t xml:space="preserve">914.58</t>
  </si>
  <si>
    <t xml:space="preserve">913 | 914.58</t>
  </si>
  <si>
    <t xml:space="preserve">CLIU5</t>
  </si>
  <si>
    <t xml:space="preserve">CLING DRAPE 15CM*500CM(CD01-SURGIWEAR)</t>
  </si>
  <si>
    <t xml:space="preserve">61.88</t>
  </si>
  <si>
    <t xml:space="preserve">ECGU48</t>
  </si>
  <si>
    <t xml:space="preserve">ECG ELECTRODES ADULT(SUCHIKA)</t>
  </si>
  <si>
    <t xml:space="preserve">3</t>
  </si>
  <si>
    <t xml:space="preserve">105</t>
  </si>
  <si>
    <t xml:space="preserve">35</t>
  </si>
  <si>
    <t xml:space="preserve">IOBU02</t>
  </si>
  <si>
    <t xml:space="preserve">IOBAN 56CM*45CM(6650-3M)</t>
  </si>
  <si>
    <t xml:space="preserve">1903</t>
  </si>
  <si>
    <t xml:space="preserve">MEPU50</t>
  </si>
  <si>
    <t xml:space="preserve">MEPILEX BORDER POST-OP 10CM*35CM(496650-MOLNLYCKE)</t>
  </si>
  <si>
    <t xml:space="preserve">1769</t>
  </si>
  <si>
    <t xml:space="preserve">1886</t>
  </si>
  <si>
    <t xml:space="preserve">1769 | 1886</t>
  </si>
  <si>
    <t xml:space="preserve">SURU160</t>
  </si>
  <si>
    <t xml:space="preserve">SURGICAL GLOVE 7.5(BLISTER PACK-SURGICARE-KANAM)</t>
  </si>
  <si>
    <t xml:space="preserve">5</t>
  </si>
  <si>
    <t xml:space="preserve">5.5</t>
  </si>
  <si>
    <t xml:space="preserve">510</t>
  </si>
  <si>
    <t xml:space="preserve">561</t>
  </si>
  <si>
    <t xml:space="preserve">102</t>
  </si>
  <si>
    <t xml:space="preserve">SURU84</t>
  </si>
  <si>
    <t xml:space="preserve">SURGICAL BLADE 11(GLASSVAN)</t>
  </si>
  <si>
    <t xml:space="preserve">7.67</t>
  </si>
  <si>
    <t xml:space="preserve">6.09</t>
  </si>
  <si>
    <t xml:space="preserve">6.09 | 7.67</t>
  </si>
  <si>
    <t xml:space="preserve">SURU85</t>
  </si>
  <si>
    <t xml:space="preserve">SURGICAL BLADE 22(GLASSVAN)</t>
  </si>
  <si>
    <t xml:space="preserve">15.34</t>
  </si>
  <si>
    <t xml:space="preserve">SYRU121</t>
  </si>
  <si>
    <t xml:space="preserve">SYRINGE 50ML LL(LIFELONG)</t>
  </si>
  <si>
    <t xml:space="preserve">998.4</t>
  </si>
  <si>
    <t xml:space="preserve">332.8</t>
  </si>
  <si>
    <t xml:space="preserve">SYRU63</t>
  </si>
  <si>
    <t xml:space="preserve">SYRINGE 10ML(LIFELONG)</t>
  </si>
  <si>
    <t xml:space="preserve">8.5</t>
  </si>
  <si>
    <t xml:space="preserve">10</t>
  </si>
  <si>
    <t xml:space="preserve">76.4</t>
  </si>
  <si>
    <t xml:space="preserve">324.7</t>
  </si>
  <si>
    <t xml:space="preserve">382</t>
  </si>
  <si>
    <t xml:space="preserve">38.2</t>
  </si>
  <si>
    <t xml:space="preserve">SYRU70</t>
  </si>
  <si>
    <t xml:space="preserve">SYRINGE 2ML(LIFELONG)</t>
  </si>
  <si>
    <t xml:space="preserve">51.3</t>
  </si>
  <si>
    <t xml:space="preserve">94.05</t>
  </si>
  <si>
    <t xml:space="preserve">17.1</t>
  </si>
  <si>
    <t xml:space="preserve">UNDU17</t>
  </si>
  <si>
    <t xml:space="preserve">UNDERPAD 90CM X 60CM(MAGMACARE)</t>
  </si>
  <si>
    <t xml:space="preserve">646.9</t>
  </si>
  <si>
    <t xml:space="preserve">210</t>
  </si>
  <si>
    <t xml:space="preserve">270</t>
  </si>
  <si>
    <t xml:space="preserve">210 | 211.27 | 225 | 270</t>
  </si>
  <si>
    <t xml:space="preserve">CHGC01</t>
  </si>
  <si>
    <t xml:space="preserve">CHG SKIN PREP 2% 500ML(3M)</t>
  </si>
  <si>
    <t xml:space="preserve">25</t>
  </si>
  <si>
    <t xml:space="preserve">96.15</t>
  </si>
  <si>
    <t xml:space="preserve">2006</t>
  </si>
  <si>
    <t xml:space="preserve">200.6</t>
  </si>
  <si>
    <t xml:space="preserve">200.63</t>
  </si>
  <si>
    <t xml:space="preserve">200.6 | 200.63</t>
  </si>
  <si>
    <t xml:space="preserve">ADVR04</t>
  </si>
  <si>
    <t xml:space="preserve">ADVACRYL 1 ADVA2421P(AMS)</t>
  </si>
  <si>
    <t xml:space="preserve">1004</t>
  </si>
  <si>
    <t xml:space="preserve">1104</t>
  </si>
  <si>
    <t xml:space="preserve">1004 | 1104</t>
  </si>
  <si>
    <t xml:space="preserve">SKIS01</t>
  </si>
  <si>
    <t xml:space="preserve">SKIN STAPLER 35 PIN(ADVASKN-35-AMS)</t>
  </si>
  <si>
    <t xml:space="preserve">2592</t>
  </si>
  <si>
    <t xml:space="preserve">1296</t>
  </si>
  <si>
    <t xml:space="preserve">2536</t>
  </si>
  <si>
    <t xml:space="preserve">1296 | 1425 | 2306 | 2536</t>
  </si>
  <si>
    <t xml:space="preserve">SPOC03</t>
  </si>
  <si>
    <t xml:space="preserve">SPONGE GAUZE 4 BUNDLE(STERILE)</t>
  </si>
  <si>
    <t xml:space="preserve">7</t>
  </si>
  <si>
    <t xml:space="preserve">245</t>
  </si>
  <si>
    <t xml:space="preserve">STIU9</t>
  </si>
  <si>
    <t xml:space="preserve">STIMUPLEX NEEDLE 100MM 21G*4IN(4894260-BBRAUN)</t>
  </si>
  <si>
    <t xml:space="preserve">1416.94</t>
  </si>
  <si>
    <t xml:space="preserve">1288.13</t>
  </si>
  <si>
    <t xml:space="preserve">1288.13 | 1416.94</t>
  </si>
  <si>
    <t xml:space="preserve">SURU107</t>
  </si>
  <si>
    <t xml:space="preserve">SURGICAL CLIPPER BLADE ( 9680 -3M )</t>
  </si>
  <si>
    <t xml:space="preserve">871.5</t>
  </si>
  <si>
    <t xml:space="preserve">SYRU90</t>
  </si>
  <si>
    <t xml:space="preserve">SYRINGE 5ML(LIFELONG)</t>
  </si>
  <si>
    <t xml:space="preserve">50.62</t>
  </si>
  <si>
    <t xml:space="preserve">101</t>
  </si>
  <si>
    <t xml:space="preserve">126.25</t>
  </si>
  <si>
    <t xml:space="preserve">25.25</t>
  </si>
  <si>
    <t xml:space="preserve">25.31</t>
  </si>
  <si>
    <t xml:space="preserve">25.25 | 25.31</t>
  </si>
  <si>
    <t xml:space="preserve">ROPI09</t>
  </si>
  <si>
    <t xml:space="preserve">ROPIZUVA 0.75% 20ML INJ</t>
  </si>
  <si>
    <t xml:space="preserve">24</t>
  </si>
  <si>
    <t xml:space="preserve">92.31</t>
  </si>
  <si>
    <t xml:space="preserve">313.12</t>
  </si>
  <si>
    <t xml:space="preserve">ROPI16</t>
  </si>
  <si>
    <t xml:space="preserve">ROPIN HEAVY 0.75% 4ML INJ</t>
  </si>
  <si>
    <t xml:space="preserve">132.15</t>
  </si>
  <si>
    <t xml:space="preserve">120.47</t>
  </si>
  <si>
    <t xml:space="preserve">120.47 | 128 | 132.15</t>
  </si>
  <si>
    <t xml:space="preserve">ADVR07</t>
  </si>
  <si>
    <t xml:space="preserve">ADVACRYL 2 ADVA2478P(AMS)</t>
  </si>
  <si>
    <t xml:space="preserve">1130</t>
  </si>
  <si>
    <t xml:space="preserve">1131.49</t>
  </si>
  <si>
    <t xml:space="preserve">1130 | 1131.49</t>
  </si>
  <si>
    <t xml:space="preserve">PROS60</t>
  </si>
  <si>
    <t xml:space="preserve">PRO-OPERATIVE SHOWER KIT(3M)</t>
  </si>
  <si>
    <t xml:space="preserve">595</t>
  </si>
  <si>
    <t xml:space="preserve">TOPU09</t>
  </si>
  <si>
    <t xml:space="preserve">TOP C NET 15CM*10M(4100-DYNA)</t>
  </si>
  <si>
    <t xml:space="preserve">120.3</t>
  </si>
  <si>
    <t xml:space="preserve">116.6</t>
  </si>
  <si>
    <t xml:space="preserve">124.4</t>
  </si>
  <si>
    <t xml:space="preserve">116.6 | 116.63 | 124 | 124.4</t>
  </si>
  <si>
    <t xml:space="preserve">POVC01</t>
  </si>
  <si>
    <t xml:space="preserve">POVINANZ SOLUTION 10% 500ML(NANZ MEDSCIENCE)</t>
  </si>
  <si>
    <t xml:space="preserve">23</t>
  </si>
  <si>
    <t xml:space="preserve">88.46</t>
  </si>
  <si>
    <t xml:space="preserve">537</t>
  </si>
  <si>
    <t xml:space="preserve">100.6</t>
  </si>
  <si>
    <t xml:space="preserve">107.4</t>
  </si>
  <si>
    <t xml:space="preserve">100.6 | 100.69 | 107.4</t>
  </si>
  <si>
    <t xml:space="preserve">VASI03</t>
  </si>
  <si>
    <t xml:space="preserve">VASOCON 1ML INJ</t>
  </si>
  <si>
    <t xml:space="preserve">13.04</t>
  </si>
  <si>
    <t xml:space="preserve">DEXI20</t>
  </si>
  <si>
    <t xml:space="preserve">DEXARIL 2ML INJ</t>
  </si>
  <si>
    <t xml:space="preserve">22</t>
  </si>
  <si>
    <t xml:space="preserve">84.62</t>
  </si>
  <si>
    <t xml:space="preserve">10.88</t>
  </si>
  <si>
    <t xml:space="preserve">KETI01</t>
  </si>
  <si>
    <t xml:space="preserve">KETOROL 1ML INJ</t>
  </si>
  <si>
    <t xml:space="preserve">75.44</t>
  </si>
  <si>
    <t xml:space="preserve">37.72</t>
  </si>
  <si>
    <t xml:space="preserve">CAUU19</t>
  </si>
  <si>
    <t xml:space="preserve">CAUTERY PENCIL(E2516-MEDTRONIC)</t>
  </si>
  <si>
    <t xml:space="preserve">1369.7</t>
  </si>
  <si>
    <t xml:space="preserve">673</t>
  </si>
  <si>
    <t xml:space="preserve">718</t>
  </si>
  <si>
    <t xml:space="preserve">673 | 673.12 | 674.2 | 718</t>
  </si>
  <si>
    <t xml:space="preserve">AVAC02</t>
  </si>
  <si>
    <t xml:space="preserve">AVAGARD 4% CHG SCRUB 500ML(3M)</t>
  </si>
  <si>
    <t xml:space="preserve">21</t>
  </si>
  <si>
    <t xml:space="preserve">80.77</t>
  </si>
  <si>
    <t xml:space="preserve">1078</t>
  </si>
  <si>
    <t xml:space="preserve">215.6</t>
  </si>
  <si>
    <t xml:space="preserve">PARI07</t>
  </si>
  <si>
    <t xml:space="preserve">PARAGLASS 100ML IV</t>
  </si>
  <si>
    <t xml:space="preserve">814.28</t>
  </si>
  <si>
    <t xml:space="preserve">868.57</t>
  </si>
  <si>
    <t xml:space="preserve">814.28 | 868.57</t>
  </si>
  <si>
    <t xml:space="preserve">SURU13</t>
  </si>
  <si>
    <t xml:space="preserve">SURGICAL GLOVE 7.5(SURGICARE-KANAM)</t>
  </si>
  <si>
    <t xml:space="preserve">91</t>
  </si>
  <si>
    <t xml:space="preserve">90.94</t>
  </si>
  <si>
    <t xml:space="preserve">90.94 | 91</t>
  </si>
  <si>
    <t xml:space="preserve">SYRU83</t>
  </si>
  <si>
    <t xml:space="preserve">SYRINGE 20ML(LIFELONG)</t>
  </si>
  <si>
    <t xml:space="preserve">71.25</t>
  </si>
  <si>
    <t xml:space="preserve">63</t>
  </si>
  <si>
    <t xml:space="preserve">63 | 71.25</t>
  </si>
  <si>
    <t xml:space="preserve">GLAI09</t>
  </si>
  <si>
    <t xml:space="preserve">GLANTRAX 500MG 5ML INJ</t>
  </si>
  <si>
    <t xml:space="preserve">20</t>
  </si>
  <si>
    <t xml:space="preserve">76.92</t>
  </si>
  <si>
    <t xml:space="preserve">2.5</t>
  </si>
  <si>
    <t xml:space="preserve">180</t>
  </si>
  <si>
    <t xml:space="preserve">72</t>
  </si>
  <si>
    <t xml:space="preserve">NS0F04</t>
  </si>
  <si>
    <t xml:space="preserve">NS 0.9% 500ML EH(PROPORT NS-PROMEA)</t>
  </si>
  <si>
    <t xml:space="preserve">375.8</t>
  </si>
  <si>
    <t xml:space="preserve">93.95</t>
  </si>
  <si>
    <t xml:space="preserve">100.21</t>
  </si>
  <si>
    <t xml:space="preserve">93.95 | 100.21</t>
  </si>
  <si>
    <t xml:space="preserve">ENCU14</t>
  </si>
  <si>
    <t xml:space="preserve">MICROOPTIC STERILE GLOVE 7.5(ENCORE-JK ANSELL)</t>
  </si>
  <si>
    <t xml:space="preserve">256</t>
  </si>
  <si>
    <t xml:space="preserve">117</t>
  </si>
  <si>
    <t xml:space="preserve">128</t>
  </si>
  <si>
    <t xml:space="preserve">117 | 128</t>
  </si>
  <si>
    <t xml:space="preserve">GAUC92</t>
  </si>
  <si>
    <t xml:space="preserve">GAUZE MOPS X-RAY 30CM*30CM*6PLY 10PCS(BMT)</t>
  </si>
  <si>
    <t xml:space="preserve">1160</t>
  </si>
  <si>
    <t xml:space="preserve">46.4</t>
  </si>
  <si>
    <t xml:space="preserve">VENU8161</t>
  </si>
  <si>
    <t xml:space="preserve">VENFLON-I 20G(BD)</t>
  </si>
  <si>
    <t xml:space="preserve">321</t>
  </si>
  <si>
    <t xml:space="preserve">321.04</t>
  </si>
  <si>
    <t xml:space="preserve">321.09</t>
  </si>
  <si>
    <t xml:space="preserve">321 | 321.09</t>
  </si>
  <si>
    <t xml:space="preserve">NS0F08</t>
  </si>
  <si>
    <t xml:space="preserve">NS 0.9% 100ML EH(PROPORT NS-PROMEA)</t>
  </si>
  <si>
    <t xml:space="preserve">19</t>
  </si>
  <si>
    <t xml:space="preserve">73.08</t>
  </si>
  <si>
    <t xml:space="preserve">314.51</t>
  </si>
  <si>
    <t xml:space="preserve">44.93</t>
  </si>
  <si>
    <t xml:space="preserve">47.92</t>
  </si>
  <si>
    <t xml:space="preserve">44.93 | 47.92</t>
  </si>
  <si>
    <t xml:space="preserve">BEDU47</t>
  </si>
  <si>
    <t xml:space="preserve">BED BATH TOWELS 300MMX240MM(PACK OF 10-MAGMACARE)</t>
  </si>
  <si>
    <t xml:space="preserve">1060</t>
  </si>
  <si>
    <t xml:space="preserve">530</t>
  </si>
  <si>
    <t xml:space="preserve">650</t>
  </si>
  <si>
    <t xml:space="preserve">530 | 650</t>
  </si>
  <si>
    <t xml:space="preserve">ENCU12</t>
  </si>
  <si>
    <t xml:space="preserve">MICROOPTIC STERILE GLOVE 7.0(ENCORE-JK ANSELL)</t>
  </si>
  <si>
    <t xml:space="preserve">234</t>
  </si>
  <si>
    <t xml:space="preserve">SURU159</t>
  </si>
  <si>
    <t xml:space="preserve">SURGICAL GLOVE 7.0(BLISTER PACK-SURGICARE-KANAM)</t>
  </si>
  <si>
    <t xml:space="preserve">1020</t>
  </si>
  <si>
    <t xml:space="preserve">INJI04</t>
  </si>
  <si>
    <t xml:space="preserve">INJICORT 40MG INJ</t>
  </si>
  <si>
    <t xml:space="preserve">18</t>
  </si>
  <si>
    <t xml:space="preserve">69.23</t>
  </si>
  <si>
    <t xml:space="preserve">162.19</t>
  </si>
  <si>
    <t xml:space="preserve">162.1</t>
  </si>
  <si>
    <t xml:space="preserve">162.1 | 162.19</t>
  </si>
  <si>
    <t xml:space="preserve">PERI01</t>
  </si>
  <si>
    <t xml:space="preserve">PERINORM 2ML INJ</t>
  </si>
  <si>
    <t xml:space="preserve">11.4</t>
  </si>
  <si>
    <t xml:space="preserve">5.61</t>
  </si>
  <si>
    <t xml:space="preserve">5.7</t>
  </si>
  <si>
    <t xml:space="preserve">5.61 | 5.7</t>
  </si>
  <si>
    <t xml:space="preserve">BREU21</t>
  </si>
  <si>
    <t xml:space="preserve">BREAZER SPIROMETER 5000ML(ROMSONS)</t>
  </si>
  <si>
    <t xml:space="preserve">993</t>
  </si>
  <si>
    <t xml:space="preserve">1000.31</t>
  </si>
  <si>
    <t xml:space="preserve">993 | 1000.31</t>
  </si>
  <si>
    <t xml:space="preserve">EASU30</t>
  </si>
  <si>
    <t xml:space="preserve">EASYFIX CLEAR EC 1 7CM X 8.5CM(DYNA)</t>
  </si>
  <si>
    <t xml:space="preserve">69.71</t>
  </si>
  <si>
    <t xml:space="preserve">69</t>
  </si>
  <si>
    <t xml:space="preserve">70.42</t>
  </si>
  <si>
    <t xml:space="preserve">69 | 70.42</t>
  </si>
  <si>
    <t xml:space="preserve">IVSU25</t>
  </si>
  <si>
    <t xml:space="preserve">IV SET-LL(BUYWEL)</t>
  </si>
  <si>
    <t xml:space="preserve">SYRU95</t>
  </si>
  <si>
    <t xml:space="preserve">SYRINGE 20ML LL(LIFE LONG)</t>
  </si>
  <si>
    <t xml:space="preserve">150.4</t>
  </si>
  <si>
    <t xml:space="preserve">75.2</t>
  </si>
  <si>
    <t xml:space="preserve">71.25 | 75.2</t>
  </si>
  <si>
    <t xml:space="preserve">AXII03</t>
  </si>
  <si>
    <t xml:space="preserve">AXIFUR H 1.5GM INJ</t>
  </si>
  <si>
    <t xml:space="preserve">17</t>
  </si>
  <si>
    <t xml:space="preserve">65.38</t>
  </si>
  <si>
    <t xml:space="preserve">1085.34</t>
  </si>
  <si>
    <t xml:space="preserve">361.78</t>
  </si>
  <si>
    <t xml:space="preserve">SWIS29</t>
  </si>
  <si>
    <t xml:space="preserve">SWIFTOLAC SYR 150ML</t>
  </si>
  <si>
    <t xml:space="preserve">196.88</t>
  </si>
  <si>
    <t xml:space="preserve">VACU16</t>
  </si>
  <si>
    <t xml:space="preserve">VACCULINE(VACCU SUCK SUCTION SET-ROMSON)</t>
  </si>
  <si>
    <t xml:space="preserve">739</t>
  </si>
  <si>
    <t xml:space="preserve">795</t>
  </si>
  <si>
    <t xml:space="preserve">739 | 795</t>
  </si>
  <si>
    <t xml:space="preserve">16</t>
  </si>
  <si>
    <t xml:space="preserve">61.54</t>
  </si>
  <si>
    <t xml:space="preserve">VOMI01</t>
  </si>
  <si>
    <t xml:space="preserve">VOMIKIND 2ML INJ</t>
  </si>
  <si>
    <t xml:space="preserve">50.84</t>
  </si>
  <si>
    <t xml:space="preserve">12.71</t>
  </si>
  <si>
    <t xml:space="preserve">CAPU32</t>
  </si>
  <si>
    <t xml:space="preserve">SURGICAL CAPS</t>
  </si>
  <si>
    <t xml:space="preserve">160</t>
  </si>
  <si>
    <t xml:space="preserve">CAUU21</t>
  </si>
  <si>
    <t xml:space="preserve">CAUTERY PAD ADULT(MEDTRONIC)</t>
  </si>
  <si>
    <t xml:space="preserve">1166</t>
  </si>
  <si>
    <t xml:space="preserve">1133</t>
  </si>
  <si>
    <t xml:space="preserve">1244</t>
  </si>
  <si>
    <t xml:space="preserve">1133 | 1166 | 1166.25 | 1244</t>
  </si>
  <si>
    <t xml:space="preserve">COTC05</t>
  </si>
  <si>
    <t xml:space="preserve">COTTON BALL STERILE(KIMS)</t>
  </si>
  <si>
    <t xml:space="preserve">3.5</t>
  </si>
  <si>
    <t xml:space="preserve">87.5</t>
  </si>
  <si>
    <t xml:space="preserve">MAKU03</t>
  </si>
  <si>
    <t xml:space="preserve">21618.59</t>
  </si>
  <si>
    <t xml:space="preserve">21584.06</t>
  </si>
  <si>
    <t xml:space="preserve">21584.06 | 21618.59</t>
  </si>
  <si>
    <t xml:space="preserve">SPIU32</t>
  </si>
  <si>
    <t xml:space="preserve">SPINAL NEEDLE 26G(BD)</t>
  </si>
  <si>
    <t xml:space="preserve">221.5</t>
  </si>
  <si>
    <t xml:space="preserve">221.72</t>
  </si>
  <si>
    <t xml:space="preserve">221.5 | 221.72</t>
  </si>
  <si>
    <t xml:space="preserve">STRR18</t>
  </si>
  <si>
    <t xml:space="preserve">3760</t>
  </si>
  <si>
    <t xml:space="preserve">THEI15</t>
  </si>
  <si>
    <t xml:space="preserve">THEMIDOL 2ML INJECTION</t>
  </si>
  <si>
    <t xml:space="preserve">15</t>
  </si>
  <si>
    <t xml:space="preserve">57.69</t>
  </si>
  <si>
    <t xml:space="preserve">25.15</t>
  </si>
  <si>
    <t xml:space="preserve">TROI08</t>
  </si>
  <si>
    <t xml:space="preserve">TROPINE 1ML INJ</t>
  </si>
  <si>
    <t xml:space="preserve">7.3</t>
  </si>
  <si>
    <t xml:space="preserve">7.18</t>
  </si>
  <si>
    <t xml:space="preserve">7.18 | 7.3</t>
  </si>
  <si>
    <t xml:space="preserve">DIGU36</t>
  </si>
  <si>
    <t xml:space="preserve">DIGITAL THERMOMETER(GLIDER-MAGMACARE)</t>
  </si>
  <si>
    <t xml:space="preserve">250</t>
  </si>
  <si>
    <t xml:space="preserve">FACU81</t>
  </si>
  <si>
    <t xml:space="preserve">FACE MASK 3PLY(ELASTIC-SVTC)</t>
  </si>
  <si>
    <t xml:space="preserve">CREU42</t>
  </si>
  <si>
    <t xml:space="preserve">CREPE BANDAGE 15CM(VELSOFT-15-DATT])</t>
  </si>
  <si>
    <t xml:space="preserve">14</t>
  </si>
  <si>
    <t xml:space="preserve">53.85</t>
  </si>
  <si>
    <t xml:space="preserve">DIAU127</t>
  </si>
  <si>
    <t xml:space="preserve">DIAPER ADULT XL 120CMX142.5CM(MAGMACARE)</t>
  </si>
  <si>
    <t xml:space="preserve">378.3</t>
  </si>
  <si>
    <t xml:space="preserve">126.1</t>
  </si>
  <si>
    <t xml:space="preserve">126.56</t>
  </si>
  <si>
    <t xml:space="preserve">126.1 | 126.56</t>
  </si>
  <si>
    <t xml:space="preserve">THRU09</t>
  </si>
  <si>
    <t xml:space="preserve">THREE WAY EXTENSION 10CM(BD)</t>
  </si>
  <si>
    <t xml:space="preserve">287</t>
  </si>
  <si>
    <t xml:space="preserve">261.5</t>
  </si>
  <si>
    <t xml:space="preserve">261.5 | 261.56 | 287</t>
  </si>
  <si>
    <t xml:space="preserve">KABF09</t>
  </si>
  <si>
    <t xml:space="preserve">KABILYTE 500ML (FRESENIUS KABI) IV</t>
  </si>
  <si>
    <t xml:space="preserve">13</t>
  </si>
  <si>
    <t xml:space="preserve">50</t>
  </si>
  <si>
    <t xml:space="preserve">1060.32</t>
  </si>
  <si>
    <t xml:space="preserve">353</t>
  </si>
  <si>
    <t xml:space="preserve">388</t>
  </si>
  <si>
    <t xml:space="preserve">353 | 353.44 | 388</t>
  </si>
  <si>
    <t xml:space="preserve">LOCG39</t>
  </si>
  <si>
    <t xml:space="preserve">LOCAM 2% 30GM GEL</t>
  </si>
  <si>
    <t xml:space="preserve">34.5</t>
  </si>
  <si>
    <t xml:space="preserve">NITU59</t>
  </si>
  <si>
    <t xml:space="preserve">NITRILE POWDER FREE EXAMINATION GLOVES LARGE(DURAMITT-TEGAMEN)</t>
  </si>
  <si>
    <t xml:space="preserve">40</t>
  </si>
  <si>
    <t xml:space="preserve">1200</t>
  </si>
  <si>
    <t xml:space="preserve">30</t>
  </si>
  <si>
    <t xml:space="preserve">PARI04</t>
  </si>
  <si>
    <t xml:space="preserve">PARACIP 100ML INJECTION(HS)</t>
  </si>
  <si>
    <t xml:space="preserve">6</t>
  </si>
  <si>
    <t xml:space="preserve">3819.84</t>
  </si>
  <si>
    <t xml:space="preserve">4456.48</t>
  </si>
  <si>
    <t xml:space="preserve">578.77</t>
  </si>
  <si>
    <t xml:space="preserve">636.64</t>
  </si>
  <si>
    <t xml:space="preserve">578.77 | 636.64</t>
  </si>
  <si>
    <t xml:space="preserve">PHYF01</t>
  </si>
  <si>
    <t xml:space="preserve">PHYSIOMAX 500ML IV(OTSUKA)</t>
  </si>
  <si>
    <t xml:space="preserve">1443.76</t>
  </si>
  <si>
    <t xml:space="preserve">360.94</t>
  </si>
  <si>
    <t xml:space="preserve">DIAU125</t>
  </si>
  <si>
    <t xml:space="preserve">DIAPER ADULT LARGE 100CMX150CM(MAGMACARE)</t>
  </si>
  <si>
    <t xml:space="preserve">243</t>
  </si>
  <si>
    <t xml:space="preserve">121.5</t>
  </si>
  <si>
    <t xml:space="preserve">175</t>
  </si>
  <si>
    <t xml:space="preserve">121.5 | 121.87 | 175</t>
  </si>
  <si>
    <t xml:space="preserve">ENCU10</t>
  </si>
  <si>
    <t xml:space="preserve">MICROOPTIC STERILE GLOVE 6.5(ENCORE-JK ANSELL)</t>
  </si>
  <si>
    <t xml:space="preserve">OXYU83</t>
  </si>
  <si>
    <t xml:space="preserve">OXYGEN MASK ADULT(BUYWEL)</t>
  </si>
  <si>
    <t xml:space="preserve">421</t>
  </si>
  <si>
    <t xml:space="preserve">PLAU74</t>
  </si>
  <si>
    <t xml:space="preserve">PLASTIC PLAIN SHEET 210CMX120CM(BIOANTHEM)</t>
  </si>
  <si>
    <t xml:space="preserve">220</t>
  </si>
  <si>
    <t xml:space="preserve">PREU127</t>
  </si>
  <si>
    <t xml:space="preserve">PREFILLED FLUSH SYRINGE BLISTER PACK 10ML(RIBBEL)</t>
  </si>
  <si>
    <t xml:space="preserve">660</t>
  </si>
  <si>
    <t xml:space="preserve">XAMI03</t>
  </si>
  <si>
    <t xml:space="preserve">XAMDEX 100MCG 1ML INJ</t>
  </si>
  <si>
    <t xml:space="preserve">12</t>
  </si>
  <si>
    <t xml:space="preserve">46.15</t>
  </si>
  <si>
    <t xml:space="preserve">847.05</t>
  </si>
  <si>
    <t xml:space="preserve">846.56</t>
  </si>
  <si>
    <t xml:space="preserve">846.56 | 847.05</t>
  </si>
  <si>
    <t xml:space="preserve">PMLU44</t>
  </si>
  <si>
    <t xml:space="preserve">PM LINE M/F 200CM(BUYWEL)</t>
  </si>
  <si>
    <t xml:space="preserve">327</t>
  </si>
  <si>
    <t xml:space="preserve">SURU158</t>
  </si>
  <si>
    <t xml:space="preserve">SURGICAL GLOVE 6.5(BLISTER PACK-SURGICARE-KANAM)</t>
  </si>
  <si>
    <t xml:space="preserve">357</t>
  </si>
  <si>
    <t xml:space="preserve">ANZT01</t>
  </si>
  <si>
    <t xml:space="preserve">ANZILUM 0.5MG TAB</t>
  </si>
  <si>
    <t xml:space="preserve">11</t>
  </si>
  <si>
    <t xml:space="preserve">42.31</t>
  </si>
  <si>
    <t xml:space="preserve">3.14</t>
  </si>
  <si>
    <t xml:space="preserve">ENEU07</t>
  </si>
  <si>
    <t xml:space="preserve">ENEMA 100ML</t>
  </si>
  <si>
    <t xml:space="preserve">70</t>
  </si>
  <si>
    <t xml:space="preserve">80</t>
  </si>
  <si>
    <t xml:space="preserve">70 | 80</t>
  </si>
  <si>
    <t xml:space="preserve">BEDU21</t>
  </si>
  <si>
    <t xml:space="preserve">BED PAN PLASTIC(BENCO)</t>
  </si>
  <si>
    <t xml:space="preserve">276</t>
  </si>
  <si>
    <t xml:space="preserve">275</t>
  </si>
  <si>
    <t xml:space="preserve">325</t>
  </si>
  <si>
    <t xml:space="preserve">275 | 276 | 310 | 325</t>
  </si>
  <si>
    <t xml:space="preserve">CREU11</t>
  </si>
  <si>
    <t xml:space="preserve">LEUKOCREPE BANDAGE 15CM(72992-03-BSN)</t>
  </si>
  <si>
    <t xml:space="preserve">675</t>
  </si>
  <si>
    <t xml:space="preserve">IVCU10</t>
  </si>
  <si>
    <t xml:space="preserve">IV CANNULIZATION SET ADVANCED WITH 1683 TEGADERM(3M)</t>
  </si>
  <si>
    <t xml:space="preserve">355</t>
  </si>
  <si>
    <t xml:space="preserve">38.46</t>
  </si>
  <si>
    <t xml:space="preserve">ATRI01</t>
  </si>
  <si>
    <t xml:space="preserve">ATROPINE 1ML INJ</t>
  </si>
  <si>
    <t xml:space="preserve">7.2</t>
  </si>
  <si>
    <t xml:space="preserve">7.2 | 7.3</t>
  </si>
  <si>
    <t xml:space="preserve">CEVI02</t>
  </si>
  <si>
    <t xml:space="preserve">CEVISTAT 1.5GM INJECTION</t>
  </si>
  <si>
    <t xml:space="preserve">1067.07</t>
  </si>
  <si>
    <t xml:space="preserve">355.69</t>
  </si>
  <si>
    <t xml:space="preserve">361.88</t>
  </si>
  <si>
    <t xml:space="preserve">355.69 | 361.88</t>
  </si>
  <si>
    <t xml:space="preserve">IVFU03</t>
  </si>
  <si>
    <t xml:space="preserve">IV FLOW REGULATOR(POLYFLO-POLYMED)</t>
  </si>
  <si>
    <t xml:space="preserve">515.62</t>
  </si>
  <si>
    <t xml:space="preserve">NOVI17</t>
  </si>
  <si>
    <t xml:space="preserve">NOVOTAM 2MG/2ML INJ</t>
  </si>
  <si>
    <t xml:space="preserve">37.68</t>
  </si>
  <si>
    <t xml:space="preserve">12.47</t>
  </si>
  <si>
    <t xml:space="preserve">12.65</t>
  </si>
  <si>
    <t xml:space="preserve">12.47 | 12.65</t>
  </si>
  <si>
    <t xml:space="preserve">NS0F10</t>
  </si>
  <si>
    <t xml:space="preserve">NS 0.9% 3000ML NH(PROLINE NS-PROMEA)</t>
  </si>
  <si>
    <t xml:space="preserve">560.65</t>
  </si>
  <si>
    <t xml:space="preserve">XSUI03</t>
  </si>
  <si>
    <t xml:space="preserve">XSULIN R 40 IU/10ML INJECTION</t>
  </si>
  <si>
    <t xml:space="preserve">181.39</t>
  </si>
  <si>
    <t xml:space="preserve">CAPU37</t>
  </si>
  <si>
    <t xml:space="preserve">CAPS(MEDIBLUE)</t>
  </si>
  <si>
    <t xml:space="preserve">DIAU124</t>
  </si>
  <si>
    <t xml:space="preserve">DIAPER ADULT XXL 110CMX154CMS(MAGMACARE)</t>
  </si>
  <si>
    <t xml:space="preserve">538.65</t>
  </si>
  <si>
    <t xml:space="preserve">130.08</t>
  </si>
  <si>
    <t xml:space="preserve">140</t>
  </si>
  <si>
    <t xml:space="preserve">130.08 | 130.8 | 131.46 | 140</t>
  </si>
  <si>
    <t xml:space="preserve">ENCU26</t>
  </si>
  <si>
    <t xml:space="preserve">ENCORE LATEX UNDERGLOVE 7.5 NO(ANSELL)</t>
  </si>
  <si>
    <t xml:space="preserve">282.5</t>
  </si>
  <si>
    <t xml:space="preserve">113</t>
  </si>
  <si>
    <t xml:space="preserve">FACU131</t>
  </si>
  <si>
    <t xml:space="preserve">FACE MASK 3 PLY EARLOOP(PROVIN HEALTHCARE-SVTC)</t>
  </si>
  <si>
    <t xml:space="preserve">170</t>
  </si>
  <si>
    <t xml:space="preserve">NEEU67</t>
  </si>
  <si>
    <t xml:space="preserve">NEEDLE DISPOSABLE 18G X 1.5IN(NIPRO)</t>
  </si>
  <si>
    <t xml:space="preserve">4.31</t>
  </si>
  <si>
    <t xml:space="preserve">POSI03</t>
  </si>
  <si>
    <t xml:space="preserve">POSIFLUSH SP 10ML(306575-BD)</t>
  </si>
  <si>
    <t xml:space="preserve">205.5</t>
  </si>
  <si>
    <t xml:space="preserve">68.5</t>
  </si>
  <si>
    <t xml:space="preserve">PURU02</t>
  </si>
  <si>
    <t xml:space="preserve">53250</t>
  </si>
  <si>
    <t xml:space="preserve">26625</t>
  </si>
  <si>
    <t xml:space="preserve">SPIU59</t>
  </si>
  <si>
    <t xml:space="preserve">SPIKIER VENTE(ROMSONS)</t>
  </si>
  <si>
    <t xml:space="preserve">169.69</t>
  </si>
  <si>
    <t xml:space="preserve">172.84</t>
  </si>
  <si>
    <t xml:space="preserve">178.13</t>
  </si>
  <si>
    <t xml:space="preserve">169.69 | 176 | 178.13</t>
  </si>
  <si>
    <t xml:space="preserve">SYRU140</t>
  </si>
  <si>
    <t xml:space="preserve">SYRINGE 3ML LL(KAREJET-ROMSONS)</t>
  </si>
  <si>
    <t xml:space="preserve">6.5</t>
  </si>
  <si>
    <t xml:space="preserve">175.5</t>
  </si>
  <si>
    <t xml:space="preserve">27</t>
  </si>
  <si>
    <t xml:space="preserve">9</t>
  </si>
  <si>
    <t xml:space="preserve">34.62</t>
  </si>
  <si>
    <t xml:space="preserve">ALPT01</t>
  </si>
  <si>
    <t xml:space="preserve">ALPRAX 0.25MG TAB</t>
  </si>
  <si>
    <t xml:space="preserve">2.64</t>
  </si>
  <si>
    <t xml:space="preserve">2.04</t>
  </si>
  <si>
    <t xml:space="preserve">2.04 | 2.64</t>
  </si>
  <si>
    <t xml:space="preserve">NITU57</t>
  </si>
  <si>
    <t xml:space="preserve">NITRILE POWDER FREE EXAMINATION GLOVES MEDIUM(DURAMITT-TEGAMEN)</t>
  </si>
  <si>
    <t xml:space="preserve">300</t>
  </si>
  <si>
    <t xml:space="preserve">420</t>
  </si>
  <si>
    <t xml:space="preserve">SMARTSET GHV BONE CEMENT GENTAMICIN 40GM(3095-040-DEPUY SYNTHES)</t>
  </si>
  <si>
    <t xml:space="preserve">Implants / Stents</t>
  </si>
  <si>
    <t xml:space="preserve">5730</t>
  </si>
  <si>
    <t xml:space="preserve">COTTON BALLS(STERILE)</t>
  </si>
  <si>
    <t xml:space="preserve">DIGU22</t>
  </si>
  <si>
    <t xml:space="preserve">DIGITAL THERMOMETER(MICROGENE)</t>
  </si>
  <si>
    <t xml:space="preserve">187</t>
  </si>
  <si>
    <t xml:space="preserve">DISU100</t>
  </si>
  <si>
    <t xml:space="preserve">PLAIN SHEET 210CM*120CM(RAJ MEDITECH)</t>
  </si>
  <si>
    <t xml:space="preserve">150</t>
  </si>
  <si>
    <t xml:space="preserve">HIPU08</t>
  </si>
  <si>
    <t xml:space="preserve">HIP U DRAPE(E511- SURGIWEAR)</t>
  </si>
  <si>
    <t xml:space="preserve">1063.13</t>
  </si>
  <si>
    <t xml:space="preserve">1063</t>
  </si>
  <si>
    <t xml:space="preserve">1063 | 1063.13</t>
  </si>
  <si>
    <t xml:space="preserve">OXYU01</t>
  </si>
  <si>
    <t xml:space="preserve">OXYGEN MASK ADULT(VINJOH)</t>
  </si>
  <si>
    <t xml:space="preserve">464</t>
  </si>
  <si>
    <t xml:space="preserve">SPIU19</t>
  </si>
  <si>
    <t xml:space="preserve">SPINAL NEEDLE 27G(BD)</t>
  </si>
  <si>
    <t xml:space="preserve">SURU11</t>
  </si>
  <si>
    <t xml:space="preserve">SURGICAL GLOVE 6.5(SURGICARE-KANAM)</t>
  </si>
  <si>
    <t xml:space="preserve">273</t>
  </si>
  <si>
    <t xml:space="preserve">SURU12</t>
  </si>
  <si>
    <t xml:space="preserve">SURGICAL GLOVE 7.0(SURGICARE-KANAM)</t>
  </si>
  <si>
    <t xml:space="preserve">8</t>
  </si>
  <si>
    <t xml:space="preserve">728</t>
  </si>
  <si>
    <t xml:space="preserve">819</t>
  </si>
  <si>
    <t xml:space="preserve">VACU27</t>
  </si>
  <si>
    <t xml:space="preserve">VACUUM SUCTION SET 250CM(MORRISONS)</t>
  </si>
  <si>
    <t xml:space="preserve">767</t>
  </si>
  <si>
    <t xml:space="preserve">30.77</t>
  </si>
  <si>
    <t xml:space="preserve">IDII01</t>
  </si>
  <si>
    <t xml:space="preserve">IDIAQUA 1ML INJ</t>
  </si>
  <si>
    <t xml:space="preserve">120</t>
  </si>
  <si>
    <t xml:space="preserve">56.25</t>
  </si>
  <si>
    <t xml:space="preserve">60</t>
  </si>
  <si>
    <t xml:space="preserve">56.25 | 60</t>
  </si>
  <si>
    <t xml:space="preserve">IFIF01</t>
  </si>
  <si>
    <t xml:space="preserve">IFIMOL 1000MG 100ML IV</t>
  </si>
  <si>
    <t xml:space="preserve">2669.03</t>
  </si>
  <si>
    <t xml:space="preserve">410.62</t>
  </si>
  <si>
    <t xml:space="preserve">MEZI01</t>
  </si>
  <si>
    <t xml:space="preserve">MEZOLAM 5ML INJ</t>
  </si>
  <si>
    <t xml:space="preserve">31.55</t>
  </si>
  <si>
    <t xml:space="preserve">NORF136</t>
  </si>
  <si>
    <t xml:space="preserve">NORMAL SALINE 0.9% 100ML PLASTIC EH(ACULIFE)</t>
  </si>
  <si>
    <t xml:space="preserve">1.5</t>
  </si>
  <si>
    <t xml:space="preserve">7.5</t>
  </si>
  <si>
    <t xml:space="preserve">67.39</t>
  </si>
  <si>
    <t xml:space="preserve">292.04</t>
  </si>
  <si>
    <t xml:space="preserve">336.98</t>
  </si>
  <si>
    <t xml:space="preserve">NS0F05</t>
  </si>
  <si>
    <t xml:space="preserve">NS 0.9% 1000ML NH(PROLINE NS-PROMEA)</t>
  </si>
  <si>
    <t xml:space="preserve">62.24</t>
  </si>
  <si>
    <t xml:space="preserve">NS0F06</t>
  </si>
  <si>
    <t xml:space="preserve">NS 0.9% 100ML NH(PRODISC NS-PROMEA)</t>
  </si>
  <si>
    <t xml:space="preserve">21.02</t>
  </si>
  <si>
    <t xml:space="preserve">PREC103</t>
  </si>
  <si>
    <t xml:space="preserve">PRENURA 75MG CAP</t>
  </si>
  <si>
    <t xml:space="preserve">14.57</t>
  </si>
  <si>
    <t xml:space="preserve">9.71</t>
  </si>
  <si>
    <t xml:space="preserve">SUPI10</t>
  </si>
  <si>
    <t xml:space="preserve">SUPRIDOL 2ML INJ</t>
  </si>
  <si>
    <t xml:space="preserve">88.19</t>
  </si>
  <si>
    <t xml:space="preserve">25.12</t>
  </si>
  <si>
    <t xml:space="preserve">25.3</t>
  </si>
  <si>
    <t xml:space="preserve">25.12 | 25.3</t>
  </si>
  <si>
    <t xml:space="preserve">0.1</t>
  </si>
  <si>
    <t xml:space="preserve">LATU73</t>
  </si>
  <si>
    <t xml:space="preserve">LATEX EXAMINATION GLOVES-MEDIUM(NITRILE-SUCHIKA)</t>
  </si>
  <si>
    <t xml:space="preserve">937.2</t>
  </si>
  <si>
    <t xml:space="preserve">23.43</t>
  </si>
  <si>
    <t xml:space="preserve">NEEU08</t>
  </si>
  <si>
    <t xml:space="preserve">NEEDLES 16G*1.5 IN(HMD)</t>
  </si>
  <si>
    <t xml:space="preserve">5.32</t>
  </si>
  <si>
    <t xml:space="preserve">NEEU66</t>
  </si>
  <si>
    <t xml:space="preserve">NEEDLE DISPOSABLE 16G X 1.5IN(NIPRO)</t>
  </si>
  <si>
    <t xml:space="preserve">3.98</t>
  </si>
  <si>
    <t xml:space="preserve">26.92</t>
  </si>
  <si>
    <t xml:space="preserve">GB2C01</t>
  </si>
  <si>
    <t xml:space="preserve">GB 29-75MG CAPSULE</t>
  </si>
  <si>
    <t xml:space="preserve">33.2</t>
  </si>
  <si>
    <t xml:space="preserve">16.6</t>
  </si>
  <si>
    <t xml:space="preserve">BEDU36</t>
  </si>
  <si>
    <t xml:space="preserve">BED BATH TOWEL 300MM*240MM 10S PACK(WIPEX-ROMSONS)</t>
  </si>
  <si>
    <t xml:space="preserve">570</t>
  </si>
  <si>
    <t xml:space="preserve">577</t>
  </si>
  <si>
    <t xml:space="preserve">570 | 577</t>
  </si>
  <si>
    <t xml:space="preserve">CARU60</t>
  </si>
  <si>
    <t xml:space="preserve">C ARM COVER POLY 2PIECE(P0325-PRIMEWEAR)</t>
  </si>
  <si>
    <t xml:space="preserve">277</t>
  </si>
  <si>
    <t xml:space="preserve">LEGU6</t>
  </si>
  <si>
    <t xml:space="preserve">LEG U DRAPE(PRIMEWEAR)</t>
  </si>
  <si>
    <t xml:space="preserve">609</t>
  </si>
  <si>
    <t xml:space="preserve">609 | 650</t>
  </si>
  <si>
    <t xml:space="preserve">MAKM01</t>
  </si>
  <si>
    <t xml:space="preserve">4218.6</t>
  </si>
  <si>
    <t xml:space="preserve">4218.75</t>
  </si>
  <si>
    <t xml:space="preserve">4218.6 | 4218.75</t>
  </si>
  <si>
    <t xml:space="preserve">MICU137</t>
  </si>
  <si>
    <t xml:space="preserve">10578</t>
  </si>
  <si>
    <t xml:space="preserve">3526</t>
  </si>
  <si>
    <t xml:space="preserve">SPIU05</t>
  </si>
  <si>
    <t xml:space="preserve">SPINAL NEEDLE 25G(BD)</t>
  </si>
  <si>
    <t xml:space="preserve">SURU10</t>
  </si>
  <si>
    <t xml:space="preserve">SURGICAL GLOVE 6.0(SURGICARE-KANAM)</t>
  </si>
  <si>
    <t xml:space="preserve">363.76</t>
  </si>
  <si>
    <t xml:space="preserve">SYRU119</t>
  </si>
  <si>
    <t xml:space="preserve">SYRINGE 5ML LL(LIFE LONG)</t>
  </si>
  <si>
    <t xml:space="preserve">75.75</t>
  </si>
  <si>
    <t xml:space="preserve">34.9</t>
  </si>
  <si>
    <t xml:space="preserve">25.25 | 34.9</t>
  </si>
  <si>
    <t xml:space="preserve">VOLU08</t>
  </si>
  <si>
    <t xml:space="preserve">VOLDYNE SPIROMETER LUNG EXERCISER 4000ML(8884719016-MEDLINE)</t>
  </si>
  <si>
    <t xml:space="preserve">1650</t>
  </si>
  <si>
    <t xml:space="preserve">1550</t>
  </si>
  <si>
    <t xml:space="preserve">1550 | 1650</t>
  </si>
  <si>
    <t xml:space="preserve">DEPI16</t>
  </si>
  <si>
    <t xml:space="preserve">DEPOCILONE 40MG INJ</t>
  </si>
  <si>
    <t xml:space="preserve">23.08</t>
  </si>
  <si>
    <t xml:space="preserve">96.8</t>
  </si>
  <si>
    <t xml:space="preserve">94</t>
  </si>
  <si>
    <t xml:space="preserve">94 | 96.8</t>
  </si>
  <si>
    <t xml:space="preserve">JUSI02</t>
  </si>
  <si>
    <t xml:space="preserve">JUSTIN AQ 1ML INJ</t>
  </si>
  <si>
    <t xml:space="preserve">71.43</t>
  </si>
  <si>
    <t xml:space="preserve">23.8</t>
  </si>
  <si>
    <t xml:space="preserve">23.81</t>
  </si>
  <si>
    <t xml:space="preserve">23.8 | 23.81</t>
  </si>
  <si>
    <t xml:space="preserve">MIDI09</t>
  </si>
  <si>
    <t xml:space="preserve">MIDFAST 5ML INJ</t>
  </si>
  <si>
    <t xml:space="preserve">31.59</t>
  </si>
  <si>
    <t xml:space="preserve">NORF140</t>
  </si>
  <si>
    <t xml:space="preserve">NORMAL SALINE 0.9% 500ML FREEPORT/FLEXI(UNIBAG-ACULIFE)</t>
  </si>
  <si>
    <t xml:space="preserve">93.94</t>
  </si>
  <si>
    <t xml:space="preserve">140.91</t>
  </si>
  <si>
    <t xml:space="preserve">94.01</t>
  </si>
  <si>
    <t xml:space="preserve">93.94 | 94.01</t>
  </si>
  <si>
    <t xml:space="preserve">NORF177</t>
  </si>
  <si>
    <t xml:space="preserve">NORMAL SALINE 0.9% 3000ML EH(ACULIFE)</t>
  </si>
  <si>
    <t xml:space="preserve">747.44</t>
  </si>
  <si>
    <t xml:space="preserve">NORF90</t>
  </si>
  <si>
    <t xml:space="preserve">NORMAL SALINE 0.9% 500ML PLASTIC EH(FRESENIUS)</t>
  </si>
  <si>
    <t xml:space="preserve">93.92</t>
  </si>
  <si>
    <t xml:space="preserve">187.84</t>
  </si>
  <si>
    <t xml:space="preserve">281.76</t>
  </si>
  <si>
    <t xml:space="preserve">REST03</t>
  </si>
  <si>
    <t xml:space="preserve">RESTYL 0.25MG TAB</t>
  </si>
  <si>
    <t xml:space="preserve">3.51</t>
  </si>
  <si>
    <t xml:space="preserve">2.27</t>
  </si>
  <si>
    <t xml:space="preserve">2.34</t>
  </si>
  <si>
    <t xml:space="preserve">2.27 | 2.34</t>
  </si>
  <si>
    <t xml:space="preserve">ARRAY DRILL PIN 4X175MM(4515-70-006-DEPUY SYNTHES)</t>
  </si>
  <si>
    <t xml:space="preserve">1406.25</t>
  </si>
  <si>
    <t xml:space="preserve">1500</t>
  </si>
  <si>
    <t xml:space="preserve">1406.25 | 1500</t>
  </si>
  <si>
    <t xml:space="preserve">0.02</t>
  </si>
  <si>
    <t xml:space="preserve">0.02 | 0.1</t>
  </si>
  <si>
    <t xml:space="preserve">ENCU13</t>
  </si>
  <si>
    <t xml:space="preserve">MICROOPTIC STERILE GLOVE 8.0(ENCORE-JK ANSELL)</t>
  </si>
  <si>
    <t xml:space="preserve">117.19</t>
  </si>
  <si>
    <t xml:space="preserve">117 | 117.19</t>
  </si>
  <si>
    <t xml:space="preserve">ENCU24</t>
  </si>
  <si>
    <t xml:space="preserve">ENCORE LATEX UNDERGLOVE 7.0 NO(ANSELL)</t>
  </si>
  <si>
    <t xml:space="preserve">462</t>
  </si>
  <si>
    <t xml:space="preserve">113 | 113.44 | 117</t>
  </si>
  <si>
    <t xml:space="preserve">GDRU06</t>
  </si>
  <si>
    <t xml:space="preserve">G DRESS-5 5CM*6CM(GD5-SURGIWEAR )</t>
  </si>
  <si>
    <t xml:space="preserve">75</t>
  </si>
  <si>
    <t xml:space="preserve">MOPC04</t>
  </si>
  <si>
    <t xml:space="preserve">MOPS WITH X-RAY DETECTABLE FILAMENT 6PLY 25CM*25CM(READY GAUGE-BMT)</t>
  </si>
  <si>
    <t xml:space="preserve">45</t>
  </si>
  <si>
    <t xml:space="preserve">1476</t>
  </si>
  <si>
    <t xml:space="preserve">32.8</t>
  </si>
  <si>
    <t xml:space="preserve">PMLU33</t>
  </si>
  <si>
    <t xml:space="preserve">PM LINE M/F 200CM(LIFE-O-LINE)</t>
  </si>
  <si>
    <t xml:space="preserve">534</t>
  </si>
  <si>
    <t xml:space="preserve">425</t>
  </si>
  <si>
    <t xml:space="preserve">425 | 534</t>
  </si>
  <si>
    <t xml:space="preserve">STEU256</t>
  </si>
  <si>
    <t xml:space="preserve">28040</t>
  </si>
  <si>
    <t xml:space="preserve">STRR05</t>
  </si>
  <si>
    <t xml:space="preserve">STRATAFIX SYMMETRIC PDS PLUS 1 SXPP1A201(ETHICON)</t>
  </si>
  <si>
    <t xml:space="preserve">3862</t>
  </si>
  <si>
    <t xml:space="preserve">SURU69</t>
  </si>
  <si>
    <t xml:space="preserve">SURGICAL BLADE 15(GLASSVAN)</t>
  </si>
  <si>
    <t xml:space="preserve">38.35</t>
  </si>
  <si>
    <t xml:space="preserve">SYRU49</t>
  </si>
  <si>
    <t xml:space="preserve">SYRINGE 3ML LUERLOCK(BD)</t>
  </si>
  <si>
    <t xml:space="preserve">222.25</t>
  </si>
  <si>
    <t xml:space="preserve">30.5</t>
  </si>
  <si>
    <t xml:space="preserve">33</t>
  </si>
  <si>
    <t xml:space="preserve">30.5 | 33</t>
  </si>
  <si>
    <t xml:space="preserve">SYRU75</t>
  </si>
  <si>
    <t xml:space="preserve">SYRINGE INSULIN 1ML 31G NEEDLE 40 UNITS(HMD)</t>
  </si>
  <si>
    <t xml:space="preserve">11.25</t>
  </si>
  <si>
    <t xml:space="preserve">THRU08</t>
  </si>
  <si>
    <t xml:space="preserve">THREE WAY EXTENSION 10CM(POLYMED)</t>
  </si>
  <si>
    <t xml:space="preserve">276.57</t>
  </si>
  <si>
    <t xml:space="preserve">252.19</t>
  </si>
  <si>
    <t xml:space="preserve">252.19 | 276.57</t>
  </si>
  <si>
    <t xml:space="preserve">THRU61</t>
  </si>
  <si>
    <t xml:space="preserve">THR/TKR KIT(SMART PACK-MEDLINE)</t>
  </si>
  <si>
    <t xml:space="preserve">3393.25</t>
  </si>
  <si>
    <t xml:space="preserve">3286.5</t>
  </si>
  <si>
    <t xml:space="preserve">3500</t>
  </si>
  <si>
    <t xml:space="preserve">3286.5 | 3500</t>
  </si>
  <si>
    <t xml:space="preserve">URIU35</t>
  </si>
  <si>
    <t xml:space="preserve">URINAL POT MALE FEMALE(ALPHA MEDICARE AND DEVICES)</t>
  </si>
  <si>
    <t xml:space="preserve">VENU57</t>
  </si>
  <si>
    <t xml:space="preserve">VENFLON PRO SAFETY 20G(BD)</t>
  </si>
  <si>
    <t xml:space="preserve">490.5</t>
  </si>
  <si>
    <t xml:space="preserve">19.23</t>
  </si>
  <si>
    <t xml:space="preserve">AVII01</t>
  </si>
  <si>
    <t xml:space="preserve">AVIL 2ML INJ</t>
  </si>
  <si>
    <t xml:space="preserve">5.86</t>
  </si>
  <si>
    <t xml:space="preserve">5.87</t>
  </si>
  <si>
    <t xml:space="preserve">5.86 | 5.87</t>
  </si>
  <si>
    <t xml:space="preserve">NORF45</t>
  </si>
  <si>
    <t xml:space="preserve">NORMAL SALINE 1000ML(PLASTIC)(ACULIFE)</t>
  </si>
  <si>
    <t xml:space="preserve">186.72</t>
  </si>
  <si>
    <t xml:space="preserve">NORF93</t>
  </si>
  <si>
    <t xml:space="preserve">NORMAL SALINE 0.9% 500ML FREEFLEX(FRESENIUS)</t>
  </si>
  <si>
    <t xml:space="preserve">375.68</t>
  </si>
  <si>
    <t xml:space="preserve">LEGU37</t>
  </si>
  <si>
    <t xml:space="preserve">LEG U DRAPE(D501-SURGIWARE)</t>
  </si>
  <si>
    <t xml:space="preserve">SURU14</t>
  </si>
  <si>
    <t xml:space="preserve">SURGICAL GLOVE 8.0(SURGICARE-KANAM)</t>
  </si>
  <si>
    <t xml:space="preserve">SYRU137</t>
  </si>
  <si>
    <t xml:space="preserve">SYRINGE INSULIN 1ML 31G NEEDLE (40 UNITS)(NIPRO)</t>
  </si>
  <si>
    <t xml:space="preserve">135</t>
  </si>
  <si>
    <t xml:space="preserve">22.5</t>
  </si>
  <si>
    <t xml:space="preserve">HORP04</t>
  </si>
  <si>
    <t xml:space="preserve">HORLICKS DIABETES PLUS VANILLA 400GM</t>
  </si>
  <si>
    <t xml:space="preserve">15.38</t>
  </si>
  <si>
    <t xml:space="preserve">0.5</t>
  </si>
  <si>
    <t xml:space="preserve">349.5</t>
  </si>
  <si>
    <t xml:space="preserve">699</t>
  </si>
  <si>
    <t xml:space="preserve">LOXI6</t>
  </si>
  <si>
    <t xml:space="preserve">LOXICARD 2% 50ML INJ</t>
  </si>
  <si>
    <t xml:space="preserve">56.84</t>
  </si>
  <si>
    <t xml:space="preserve">55.48</t>
  </si>
  <si>
    <t xml:space="preserve">58.2</t>
  </si>
  <si>
    <t xml:space="preserve">55.48 | 58.2</t>
  </si>
  <si>
    <t xml:space="preserve">MEPI18</t>
  </si>
  <si>
    <t xml:space="preserve">MEPUP 10ML INJ</t>
  </si>
  <si>
    <t xml:space="preserve">NORMAL SALINE 0.9% 500ML FLEXIFLOW(UNIBAG-ACULIFE)</t>
  </si>
  <si>
    <t xml:space="preserve">NORF72</t>
  </si>
  <si>
    <t xml:space="preserve">NORMAL SALINE 0.9% 3000ML PLASTIC(PENTAGON)</t>
  </si>
  <si>
    <t xml:space="preserve">697.55</t>
  </si>
  <si>
    <t xml:space="preserve">SYRU122</t>
  </si>
  <si>
    <t xml:space="preserve">SYRINGES INSULIN 1ML 40 IU(POLYMED)</t>
  </si>
  <si>
    <t xml:space="preserve">11 | 11.25</t>
  </si>
  <si>
    <t xml:space="preserve">43628</t>
  </si>
  <si>
    <t xml:space="preserve">NEBU29</t>
  </si>
  <si>
    <t xml:space="preserve">NEBULIZER MASK ADULT(LIFE-O-LINE)</t>
  </si>
  <si>
    <t xml:space="preserve">436</t>
  </si>
  <si>
    <t xml:space="preserve">421.87</t>
  </si>
  <si>
    <t xml:space="preserve">450</t>
  </si>
  <si>
    <t xml:space="preserve">421.87 | 422 | 450</t>
  </si>
  <si>
    <t xml:space="preserve">PREU128</t>
  </si>
  <si>
    <t xml:space="preserve">PREFILLED FLUSH SYRINGE BLISTER PACK 5ML(RIBBEL)</t>
  </si>
  <si>
    <t xml:space="preserve">SAGM04</t>
  </si>
  <si>
    <t xml:space="preserve">SAGITAL STRIKER BLADE MEDIUM/LONG(2108-109-000-STRYKER)</t>
  </si>
  <si>
    <t xml:space="preserve">4500</t>
  </si>
  <si>
    <t xml:space="preserve">SAGM13</t>
  </si>
  <si>
    <t xml:space="preserve">9999.99</t>
  </si>
  <si>
    <t xml:space="preserve">3333.33</t>
  </si>
  <si>
    <t xml:space="preserve">STEU194</t>
  </si>
  <si>
    <t xml:space="preserve">SURU182</t>
  </si>
  <si>
    <t xml:space="preserve">SURGEON GOWN REINFORCED 5515</t>
  </si>
  <si>
    <t xml:space="preserve">1120</t>
  </si>
  <si>
    <t xml:space="preserve">560</t>
  </si>
  <si>
    <t xml:space="preserve">SYRU120</t>
  </si>
  <si>
    <t xml:space="preserve">SYRINGE 10ML LL(LIFE LONG)</t>
  </si>
  <si>
    <t xml:space="preserve">79.43</t>
  </si>
  <si>
    <t xml:space="preserve">52.95</t>
  </si>
  <si>
    <t xml:space="preserve">38.2 | 52.95</t>
  </si>
  <si>
    <t xml:space="preserve">SYRU136</t>
  </si>
  <si>
    <t xml:space="preserve">SYRINGE 5ML(DISPOJEKT-HMD)</t>
  </si>
  <si>
    <t xml:space="preserve">107.43</t>
  </si>
  <si>
    <t xml:space="preserve">35.81</t>
  </si>
  <si>
    <t xml:space="preserve">11.54</t>
  </si>
  <si>
    <t xml:space="preserve">ADRI15</t>
  </si>
  <si>
    <t xml:space="preserve">ADRENALINE 1MG INJECTION</t>
  </si>
  <si>
    <t xml:space="preserve">52.2</t>
  </si>
  <si>
    <t xml:space="preserve">13.05</t>
  </si>
  <si>
    <t xml:space="preserve">DERI03</t>
  </si>
  <si>
    <t xml:space="preserve">DERINIDE RESPULES 0.5MG</t>
  </si>
  <si>
    <t xml:space="preserve">22.91</t>
  </si>
  <si>
    <t xml:space="preserve">22.9</t>
  </si>
  <si>
    <t xml:space="preserve">22.9 | 22.91</t>
  </si>
  <si>
    <t xml:space="preserve">DEXI13</t>
  </si>
  <si>
    <t xml:space="preserve">DEXTOMID 100MCG 1ML INJ</t>
  </si>
  <si>
    <t xml:space="preserve">687</t>
  </si>
  <si>
    <t xml:space="preserve">644.06</t>
  </si>
  <si>
    <t xml:space="preserve">644.06 | 687</t>
  </si>
  <si>
    <t xml:space="preserve">GLYI06</t>
  </si>
  <si>
    <t xml:space="preserve">GLYCOGEM 0.2MG INJECTION</t>
  </si>
  <si>
    <t xml:space="preserve">14.5</t>
  </si>
  <si>
    <t xml:space="preserve">HORLICKS DIABETES + VANILLA 400GM POWDER</t>
  </si>
  <si>
    <t xml:space="preserve">NORF39</t>
  </si>
  <si>
    <t xml:space="preserve">NORMAL SALINE 0.9% 500ML(PLASTIC)(ACULIFE)</t>
  </si>
  <si>
    <t xml:space="preserve">37.24</t>
  </si>
  <si>
    <t xml:space="preserve">NS0F11</t>
  </si>
  <si>
    <t xml:space="preserve">NS 0.9% 500ML NH(PRODISC NS-PROMEA)</t>
  </si>
  <si>
    <t xml:space="preserve">37.25</t>
  </si>
  <si>
    <t xml:space="preserve">RL5F18</t>
  </si>
  <si>
    <t xml:space="preserve">RL 500ML IV NH(PRORING RL-PROMEA)</t>
  </si>
  <si>
    <t xml:space="preserve">60.35</t>
  </si>
  <si>
    <t xml:space="preserve">SALR03</t>
  </si>
  <si>
    <t xml:space="preserve">SALBAIR I NEB 1.25MG TRANSPULES</t>
  </si>
  <si>
    <t xml:space="preserve">24.28</t>
  </si>
  <si>
    <t xml:space="preserve">13.69</t>
  </si>
  <si>
    <t xml:space="preserve">13.69 | 24.28</t>
  </si>
  <si>
    <t xml:space="preserve">THYT60</t>
  </si>
  <si>
    <t xml:space="preserve">THYRORITE 25MCG TAB</t>
  </si>
  <si>
    <t xml:space="preserve">1.25</t>
  </si>
  <si>
    <t xml:space="preserve">1.33</t>
  </si>
  <si>
    <t xml:space="preserve">1.25 | 1.33</t>
  </si>
  <si>
    <t xml:space="preserve">WOSI02</t>
  </si>
  <si>
    <t xml:space="preserve">WOSULIN-R 40 IU/ML 10ML INJ</t>
  </si>
  <si>
    <t xml:space="preserve">13340.05</t>
  </si>
  <si>
    <t xml:space="preserve">13340.04</t>
  </si>
  <si>
    <t xml:space="preserve">13340.04 | 13340.05</t>
  </si>
  <si>
    <t xml:space="preserve">36130</t>
  </si>
  <si>
    <t xml:space="preserve">TRIATHLON TIBIAL BASEPLATE CEMENTED 2 UNIVERSAL(5521-B-200-STRYKER CORP)</t>
  </si>
  <si>
    <t xml:space="preserve">39660</t>
  </si>
  <si>
    <t xml:space="preserve">EEXU02</t>
  </si>
  <si>
    <t xml:space="preserve">EEXTRA LINE TRIO 15CM(GS-3178T-ROMSONS)</t>
  </si>
  <si>
    <t xml:space="preserve">971</t>
  </si>
  <si>
    <t xml:space="preserve">EPIU02</t>
  </si>
  <si>
    <t xml:space="preserve">EPIDURAL MINIPACK SYSTEM-1 18G(PORTEX)</t>
  </si>
  <si>
    <t xml:space="preserve">1817.81</t>
  </si>
  <si>
    <t xml:space="preserve">1991</t>
  </si>
  <si>
    <t xml:space="preserve">1817.81 | 1991</t>
  </si>
  <si>
    <t xml:space="preserve">IVSU38</t>
  </si>
  <si>
    <t xml:space="preserve">IV SET(INTRACARE BCV-ROMSONS)</t>
  </si>
  <si>
    <t xml:space="preserve">617</t>
  </si>
  <si>
    <t xml:space="preserve">KWIM176</t>
  </si>
  <si>
    <t xml:space="preserve">KIRSCHNER SURGICAL WIRE STERILE 2.5X150MM(1450.S.2.5.150-OROMED)</t>
  </si>
  <si>
    <t xml:space="preserve">MICU115</t>
  </si>
  <si>
    <t xml:space="preserve">MICRO POLYSITE PLUS (DUO) EXTENSION(POLYMED)</t>
  </si>
  <si>
    <t xml:space="preserve">768</t>
  </si>
  <si>
    <t xml:space="preserve">OSCU03</t>
  </si>
  <si>
    <t xml:space="preserve">30093</t>
  </si>
  <si>
    <t xml:space="preserve">OXYU72</t>
  </si>
  <si>
    <t xml:space="preserve">OXYGEN MASK ADULT(FLEXI COMFORT-ROMSON)</t>
  </si>
  <si>
    <t xml:space="preserve">PMLU46</t>
  </si>
  <si>
    <t xml:space="preserve">PM LINE M/M 200CM(BUYWEL)</t>
  </si>
  <si>
    <t xml:space="preserve">SAGM05</t>
  </si>
  <si>
    <t xml:space="preserve">SAGITTAL BLADE LONG NARROW THIN(2108-103-000-STRYKER)</t>
  </si>
  <si>
    <t xml:space="preserve">4285</t>
  </si>
  <si>
    <t xml:space="preserve">STEI10</t>
  </si>
  <si>
    <t xml:space="preserve">STERILE WATER 10ML(ACULIFE)</t>
  </si>
  <si>
    <t xml:space="preserve">2.58</t>
  </si>
  <si>
    <t xml:space="preserve">5.24</t>
  </si>
  <si>
    <t xml:space="preserve">2.62</t>
  </si>
  <si>
    <t xml:space="preserve">2.58 | 2.62</t>
  </si>
  <si>
    <t xml:space="preserve">SURU157</t>
  </si>
  <si>
    <t xml:space="preserve">SURGICAL GLOVE 6.0(BLISTER PACK-SURGICARE-KANAM)</t>
  </si>
  <si>
    <t xml:space="preserve">SURU337</t>
  </si>
  <si>
    <t xml:space="preserve">SURGICAL GOWN STERILE PRIMARY PLUS HP XL LEVEL-3(MOLNLYCKE)</t>
  </si>
  <si>
    <t xml:space="preserve">2920</t>
  </si>
  <si>
    <t xml:space="preserve">730</t>
  </si>
  <si>
    <t xml:space="preserve">SYRU88</t>
  </si>
  <si>
    <t xml:space="preserve">SYRINGE 10ML LL(BD)</t>
  </si>
  <si>
    <t xml:space="preserve">264</t>
  </si>
  <si>
    <t xml:space="preserve">44</t>
  </si>
  <si>
    <t xml:space="preserve">THRU79</t>
  </si>
  <si>
    <t xml:space="preserve">THREE WAY EXTENSION 10CM(DISPOWAY+-HMD)</t>
  </si>
  <si>
    <t xml:space="preserve">393.86</t>
  </si>
  <si>
    <t xml:space="preserve">VENU8160</t>
  </si>
  <si>
    <t xml:space="preserve">VENFLON-I 22G(BD)</t>
  </si>
  <si>
    <t xml:space="preserve">292.03</t>
  </si>
  <si>
    <t xml:space="preserve">292.03 | 321</t>
  </si>
  <si>
    <t xml:space="preserve">7.69</t>
  </si>
  <si>
    <t xml:space="preserve">ANAI01</t>
  </si>
  <si>
    <t xml:space="preserve">ANAWIN 0.25% 20ML INJ</t>
  </si>
  <si>
    <t xml:space="preserve">118.3</t>
  </si>
  <si>
    <t xml:space="preserve">59.15</t>
  </si>
  <si>
    <t xml:space="preserve">ANZT02</t>
  </si>
  <si>
    <t xml:space="preserve">ANZILIUM 0.25 MG TAB</t>
  </si>
  <si>
    <t xml:space="preserve">1.35</t>
  </si>
  <si>
    <t xml:space="preserve">ASTI01</t>
  </si>
  <si>
    <t xml:space="preserve">ASTHALIN RESPULES 2.5ML</t>
  </si>
  <si>
    <t xml:space="preserve">AZTT03</t>
  </si>
  <si>
    <t xml:space="preserve">AZTOR 10MG TAB</t>
  </si>
  <si>
    <t xml:space="preserve">13.6</t>
  </si>
  <si>
    <t xml:space="preserve">5.31</t>
  </si>
  <si>
    <t xml:space="preserve">5.53</t>
  </si>
  <si>
    <t xml:space="preserve">5.31 | 5.53</t>
  </si>
  <si>
    <t xml:space="preserve">BUPI09</t>
  </si>
  <si>
    <t xml:space="preserve">BUPITROY HEAVY 4ML INJ</t>
  </si>
  <si>
    <t xml:space="preserve">53.88</t>
  </si>
  <si>
    <t xml:space="preserve">BUPP01</t>
  </si>
  <si>
    <t xml:space="preserve">BUPRIGESIC 10MCG PATCH</t>
  </si>
  <si>
    <t xml:space="preserve">1499</t>
  </si>
  <si>
    <t xml:space="preserve">CALI01</t>
  </si>
  <si>
    <t xml:space="preserve">CALCIUM GLUCONATE 10ML INJ</t>
  </si>
  <si>
    <t xml:space="preserve">7.13</t>
  </si>
  <si>
    <t xml:space="preserve">3.56</t>
  </si>
  <si>
    <t xml:space="preserve">10.7</t>
  </si>
  <si>
    <t xml:space="preserve">CORI02</t>
  </si>
  <si>
    <t xml:space="preserve">CORT S 100MG INJ</t>
  </si>
  <si>
    <t xml:space="preserve">47.7</t>
  </si>
  <si>
    <t xml:space="preserve">23.85</t>
  </si>
  <si>
    <t xml:space="preserve">71.55</t>
  </si>
  <si>
    <t xml:space="preserve">CURU43</t>
  </si>
  <si>
    <t xml:space="preserve">CUROS DISINFECTING CAP STRIP FOR MALE LUERS(3M)</t>
  </si>
  <si>
    <t xml:space="preserve">261.6</t>
  </si>
  <si>
    <t xml:space="preserve">43.6</t>
  </si>
  <si>
    <t xml:space="preserve">DICI13</t>
  </si>
  <si>
    <t xml:space="preserve">DICLORAN AQ 75MG/1ML INJECTION</t>
  </si>
  <si>
    <t xml:space="preserve">78.4</t>
  </si>
  <si>
    <t xml:space="preserve">22.4</t>
  </si>
  <si>
    <t xml:space="preserve">FORR01</t>
  </si>
  <si>
    <t xml:space="preserve">FORMONIDE REPSULES 0.5MG</t>
  </si>
  <si>
    <t xml:space="preserve">277.93</t>
  </si>
  <si>
    <t xml:space="preserve">79.4</t>
  </si>
  <si>
    <t xml:space="preserve">79.41</t>
  </si>
  <si>
    <t xml:space="preserve">79.4 | 79.41</t>
  </si>
  <si>
    <t xml:space="preserve">GEMT3</t>
  </si>
  <si>
    <t xml:space="preserve">GEMER 1MG TAB</t>
  </si>
  <si>
    <t xml:space="preserve">11.19</t>
  </si>
  <si>
    <t xml:space="preserve">HISI03</t>
  </si>
  <si>
    <t xml:space="preserve">HISONE-100MG INJ</t>
  </si>
  <si>
    <t xml:space="preserve">47.81</t>
  </si>
  <si>
    <t xml:space="preserve">LOCI04</t>
  </si>
  <si>
    <t xml:space="preserve">LOCAM A 2% 30ML INJECTION</t>
  </si>
  <si>
    <t xml:space="preserve">LOXI8</t>
  </si>
  <si>
    <t xml:space="preserve">LOX 2% ADRENALINE 30ML INJ</t>
  </si>
  <si>
    <t xml:space="preserve">67.2</t>
  </si>
  <si>
    <t xml:space="preserve">33.6</t>
  </si>
  <si>
    <t xml:space="preserve">LYCI02</t>
  </si>
  <si>
    <t xml:space="preserve">LYCORTIN-S 100MG INJ</t>
  </si>
  <si>
    <t xml:space="preserve">47.65</t>
  </si>
  <si>
    <t xml:space="preserve">MAGI04</t>
  </si>
  <si>
    <t xml:space="preserve">MAGNESIUM SULPHATE 2ML INJ</t>
  </si>
  <si>
    <t xml:space="preserve">36.33</t>
  </si>
  <si>
    <t xml:space="preserve">10.38</t>
  </si>
  <si>
    <t xml:space="preserve">MAXC5</t>
  </si>
  <si>
    <t xml:space="preserve">MAXGALIN 75MG CAP</t>
  </si>
  <si>
    <t xml:space="preserve">41.34</t>
  </si>
  <si>
    <t xml:space="preserve">19.68</t>
  </si>
  <si>
    <t xml:space="preserve">19.68 | 21</t>
  </si>
  <si>
    <t xml:space="preserve">REST04</t>
  </si>
  <si>
    <t xml:space="preserve">RESTYL 0.5MG TAB</t>
  </si>
  <si>
    <t xml:space="preserve">4.54</t>
  </si>
  <si>
    <t xml:space="preserve">4.32</t>
  </si>
  <si>
    <t xml:space="preserve">4.75</t>
  </si>
  <si>
    <t xml:space="preserve">4.32 | 4.75</t>
  </si>
  <si>
    <t xml:space="preserve">RINF21</t>
  </si>
  <si>
    <t xml:space="preserve">RL 500ML PLASTIC IV(ACULIFE)</t>
  </si>
  <si>
    <t xml:space="preserve">30.18</t>
  </si>
  <si>
    <t xml:space="preserve">RINF22</t>
  </si>
  <si>
    <t xml:space="preserve">RL 1000ML PLASTIC IV(ACULIFE)</t>
  </si>
  <si>
    <t xml:space="preserve">286.86</t>
  </si>
  <si>
    <t xml:space="preserve">81.96</t>
  </si>
  <si>
    <t xml:space="preserve">ROPI21</t>
  </si>
  <si>
    <t xml:space="preserve">ROPIZUVA 7.5MG/20ML INJECTION</t>
  </si>
  <si>
    <t xml:space="preserve">469.68</t>
  </si>
  <si>
    <t xml:space="preserve">ROST30</t>
  </si>
  <si>
    <t xml:space="preserve">ROSUBEST 10MG TAB</t>
  </si>
  <si>
    <t xml:space="preserve">23.88</t>
  </si>
  <si>
    <t xml:space="preserve">11.94</t>
  </si>
  <si>
    <t xml:space="preserve">STAT01</t>
  </si>
  <si>
    <t xml:space="preserve">STAMLO 5MG TAB</t>
  </si>
  <si>
    <t xml:space="preserve">2.66</t>
  </si>
  <si>
    <t xml:space="preserve">SURU220</t>
  </si>
  <si>
    <t xml:space="preserve">SURGICARE NUERO POWDER FREE GLOVE 7.0(KANAM)</t>
  </si>
  <si>
    <t xml:space="preserve">280</t>
  </si>
  <si>
    <t xml:space="preserve">TEMT10</t>
  </si>
  <si>
    <t xml:space="preserve">TEMFIX 650MG TAB</t>
  </si>
  <si>
    <t xml:space="preserve">4.26</t>
  </si>
  <si>
    <t xml:space="preserve">2.13</t>
  </si>
  <si>
    <t xml:space="preserve">THYT01</t>
  </si>
  <si>
    <t xml:space="preserve">THYRONORM 50MCG TAB</t>
  </si>
  <si>
    <t xml:space="preserve">2.2</t>
  </si>
  <si>
    <t xml:space="preserve">1.1</t>
  </si>
  <si>
    <t xml:space="preserve">THYT17</t>
  </si>
  <si>
    <t xml:space="preserve">THYRONORM 88MCG TAB</t>
  </si>
  <si>
    <t xml:space="preserve">7.02</t>
  </si>
  <si>
    <t xml:space="preserve">1.75</t>
  </si>
  <si>
    <t xml:space="preserve">1.76</t>
  </si>
  <si>
    <t xml:space="preserve">1.75 | 1.76</t>
  </si>
  <si>
    <t xml:space="preserve">ZUPP01</t>
  </si>
  <si>
    <t xml:space="preserve">ZUPRINOR 10MCG PATCH</t>
  </si>
  <si>
    <t xml:space="preserve">1729.7</t>
  </si>
  <si>
    <t xml:space="preserve">1153.13</t>
  </si>
  <si>
    <t xml:space="preserve">ATTUNE FEMORAL COMPONENT CEMENTED CRUCIATE RETAINING RIGHT 3(1504-00-203-DEPUY SYNTHES)</t>
  </si>
  <si>
    <t xml:space="preserve">36136</t>
  </si>
  <si>
    <t xml:space="preserve">TRIATHLON FEMORAL COMPONENT CEMENTED CRUCIATE RETAINING RIGHT TRITANIUM 2(5510-F-202-STRYKER CORP)</t>
  </si>
  <si>
    <t xml:space="preserve">TRIATHLON TIBIAL INSERT CRUCIATE SUBSTITUTING BEARING KNEE X3 2 11MM(5531-G-211-STRYKER CORP)</t>
  </si>
  <si>
    <t xml:space="preserve">0.06</t>
  </si>
  <si>
    <t xml:space="preserve">SYRINGE 10ML LL WITH NEEDLE(KAREJET-ROMSONS)</t>
  </si>
  <si>
    <t xml:space="preserve">SYRINGE 5ML LL(KARE JET-ROMSONS)</t>
  </si>
  <si>
    <t xml:space="preserve">BALM23</t>
  </si>
  <si>
    <t xml:space="preserve">BALL BUR MICS 6MM(110135-ZIMMER)</t>
  </si>
  <si>
    <t xml:space="preserve">12985.31</t>
  </si>
  <si>
    <t xml:space="preserve">BANU51</t>
  </si>
  <si>
    <t xml:space="preserve">BANDAGE 10CMX3M(BAPUJI)</t>
  </si>
  <si>
    <t xml:space="preserve">93.75</t>
  </si>
  <si>
    <t xml:space="preserve">18.75</t>
  </si>
  <si>
    <t xml:space="preserve">BLOU55</t>
  </si>
  <si>
    <t xml:space="preserve">BLOOD SET(MORRISONS)</t>
  </si>
  <si>
    <t xml:space="preserve">270.94</t>
  </si>
  <si>
    <t xml:space="preserve">271.87</t>
  </si>
  <si>
    <t xml:space="preserve">270 | 271.87</t>
  </si>
  <si>
    <t xml:space="preserve">CHEM05</t>
  </si>
  <si>
    <t xml:space="preserve">111645 CHECK POINT KIT STERILE</t>
  </si>
  <si>
    <t xml:space="preserve">12946.87</t>
  </si>
  <si>
    <t xml:space="preserve">CREU07</t>
  </si>
  <si>
    <t xml:space="preserve">CREPE BANDAGE 10CM(3M)</t>
  </si>
  <si>
    <t xml:space="preserve">1427.32</t>
  </si>
  <si>
    <t xml:space="preserve">530.63</t>
  </si>
  <si>
    <t xml:space="preserve">581</t>
  </si>
  <si>
    <t xml:space="preserve">530.63 | 581</t>
  </si>
  <si>
    <t xml:space="preserve">CURU44</t>
  </si>
  <si>
    <t xml:space="preserve">CUROS TIPS DISINFECTING CAP FOR NEEDLELESS CONNECTORS(3M)</t>
  </si>
  <si>
    <t xml:space="preserve">246.38</t>
  </si>
  <si>
    <t xml:space="preserve">33.75</t>
  </si>
  <si>
    <t xml:space="preserve">36</t>
  </si>
  <si>
    <t xml:space="preserve">33.75 | 36</t>
  </si>
  <si>
    <t xml:space="preserve">DISU367</t>
  </si>
  <si>
    <t xml:space="preserve">DISPOSABLE PLASTIC APRON(RESPICARE)</t>
  </si>
  <si>
    <t xml:space="preserve">1045</t>
  </si>
  <si>
    <t xml:space="preserve">130</t>
  </si>
  <si>
    <t xml:space="preserve">130 | 170</t>
  </si>
  <si>
    <t xml:space="preserve">FEEU06</t>
  </si>
  <si>
    <t xml:space="preserve">FEEDY NO-10(ROMSONS)</t>
  </si>
  <si>
    <t xml:space="preserve">FOLU02</t>
  </si>
  <si>
    <t xml:space="preserve">FOLEYS CATHETER 2WAY 14F(RUSCH)</t>
  </si>
  <si>
    <t xml:space="preserve">164</t>
  </si>
  <si>
    <t xml:space="preserve">KWIM175</t>
  </si>
  <si>
    <t xml:space="preserve">KIRSCHNER SURGICAL WIRE STERILE 2X150MM(1450.S.2.0.150-OROMED)</t>
  </si>
  <si>
    <t xml:space="preserve">POLU32</t>
  </si>
  <si>
    <t xml:space="preserve">POLYURO URINE COLLECTION BAG 2000ML(POLYMED)</t>
  </si>
  <si>
    <t xml:space="preserve">235</t>
  </si>
  <si>
    <t xml:space="preserve">470</t>
  </si>
  <si>
    <t xml:space="preserve">POSI02</t>
  </si>
  <si>
    <t xml:space="preserve">POSIFLUSH SP 5ML(306574-BD)</t>
  </si>
  <si>
    <t xml:space="preserve">113.19</t>
  </si>
  <si>
    <t xml:space="preserve">56</t>
  </si>
  <si>
    <t xml:space="preserve">57.19</t>
  </si>
  <si>
    <t xml:space="preserve">56 | 57.19</t>
  </si>
  <si>
    <t xml:space="preserve">PULM04</t>
  </si>
  <si>
    <t xml:space="preserve">PULSAVAC (BELL)</t>
  </si>
  <si>
    <t xml:space="preserve">7734.18</t>
  </si>
  <si>
    <t xml:space="preserve">7734</t>
  </si>
  <si>
    <t xml:space="preserve">7734.37</t>
  </si>
  <si>
    <t xml:space="preserve">7734 | 7734.37</t>
  </si>
  <si>
    <t xml:space="preserve">SMAU13</t>
  </si>
  <si>
    <t xml:space="preserve">SMARTSITE TRI EXTENSION(BD)</t>
  </si>
  <si>
    <t xml:space="preserve">936.5</t>
  </si>
  <si>
    <t xml:space="preserve">SURU168</t>
  </si>
  <si>
    <t xml:space="preserve">SURGICAL GLOVE 8.0(BLISTER PACK-SURGICARE-KANAM)</t>
  </si>
  <si>
    <t xml:space="preserve">918</t>
  </si>
  <si>
    <t xml:space="preserve">SYRU145</t>
  </si>
  <si>
    <t xml:space="preserve">30.2</t>
  </si>
  <si>
    <t xml:space="preserve">151</t>
  </si>
  <si>
    <t xml:space="preserve">181.2</t>
  </si>
  <si>
    <t xml:space="preserve">SYRU146</t>
  </si>
  <si>
    <t xml:space="preserve">313.3</t>
  </si>
  <si>
    <t xml:space="preserve">48.2</t>
  </si>
  <si>
    <t xml:space="preserve">TRUR117</t>
  </si>
  <si>
    <t xml:space="preserve">TRUGLYDE 2 SN2478(HEALTHIUM)</t>
  </si>
  <si>
    <t xml:space="preserve">1066</t>
  </si>
  <si>
    <t xml:space="preserve">URINAL POT MALE/FEMALE(ALPHA MEDICARE)</t>
  </si>
  <si>
    <t xml:space="preserve">3.85</t>
  </si>
  <si>
    <t xml:space="preserve">NEOMIT 8MG/4ML INJ</t>
  </si>
  <si>
    <t xml:space="preserve">TRANEMIC 500MG 5ML INJ</t>
  </si>
  <si>
    <t xml:space="preserve">AMLT22</t>
  </si>
  <si>
    <t xml:space="preserve">AMLOVAS 5MG TAB</t>
  </si>
  <si>
    <t xml:space="preserve">AMLT36</t>
  </si>
  <si>
    <t xml:space="preserve">AMLOKIND 5MG TAB</t>
  </si>
  <si>
    <t xml:space="preserve">1.57</t>
  </si>
  <si>
    <t xml:space="preserve">ASEC05</t>
  </si>
  <si>
    <t xml:space="preserve">ASEPTOSHIELD PLUS 500ML(DR SCHUMACHER)</t>
  </si>
  <si>
    <t xml:space="preserve">5445</t>
  </si>
  <si>
    <t xml:space="preserve">1089</t>
  </si>
  <si>
    <t xml:space="preserve">ATOT59</t>
  </si>
  <si>
    <t xml:space="preserve">ATOCOR 40MG TAB</t>
  </si>
  <si>
    <t xml:space="preserve">20.6</t>
  </si>
  <si>
    <t xml:space="preserve">BEPI03</t>
  </si>
  <si>
    <t xml:space="preserve">BEPARINE 5000 IU INJ 5ML</t>
  </si>
  <si>
    <t xml:space="preserve">113.29</t>
  </si>
  <si>
    <t xml:space="preserve">BETS08</t>
  </si>
  <si>
    <t xml:space="preserve">BETADINE 10% 100ML SOLUTION</t>
  </si>
  <si>
    <t xml:space="preserve">102.9</t>
  </si>
  <si>
    <t xml:space="preserve">BIOC56</t>
  </si>
  <si>
    <t xml:space="preserve">BIODOXI-LB CAP</t>
  </si>
  <si>
    <t xml:space="preserve">56.22</t>
  </si>
  <si>
    <t xml:space="preserve">9.37</t>
  </si>
  <si>
    <t xml:space="preserve">BIST08</t>
  </si>
  <si>
    <t xml:space="preserve">BISOTAB 5MG TAB</t>
  </si>
  <si>
    <t xml:space="preserve">10.61</t>
  </si>
  <si>
    <t xml:space="preserve">BIST12</t>
  </si>
  <si>
    <t xml:space="preserve">BISOHEART 2.5MG TAB</t>
  </si>
  <si>
    <t xml:space="preserve">6.94</t>
  </si>
  <si>
    <t xml:space="preserve">BRIT13</t>
  </si>
  <si>
    <t xml:space="preserve">BRIV 100MG TAB</t>
  </si>
  <si>
    <t xml:space="preserve">272.24</t>
  </si>
  <si>
    <t xml:space="preserve">34.03</t>
  </si>
  <si>
    <t xml:space="preserve">BUPP02</t>
  </si>
  <si>
    <t xml:space="preserve">BUPRIGESIC PATCH 5MCG</t>
  </si>
  <si>
    <t xml:space="preserve">781.4</t>
  </si>
  <si>
    <t xml:space="preserve">BUSI03</t>
  </si>
  <si>
    <t xml:space="preserve">BUSCOGAST 1ML INJ</t>
  </si>
  <si>
    <t xml:space="preserve">CEGI03</t>
  </si>
  <si>
    <t xml:space="preserve">CEGAVA 1.5GM INJ</t>
  </si>
  <si>
    <t xml:space="preserve">997.34</t>
  </si>
  <si>
    <t xml:space="preserve">498.67</t>
  </si>
  <si>
    <t xml:space="preserve">CELP05</t>
  </si>
  <si>
    <t xml:space="preserve">CELEVIDA DLS STRAWBERRY 400GM POWDER</t>
  </si>
  <si>
    <t xml:space="preserve">1629</t>
  </si>
  <si>
    <t xml:space="preserve">CELS39</t>
  </si>
  <si>
    <t xml:space="preserve">CELEVIDA DIAFIBER SACHET 12GM(PACK OF 30S)</t>
  </si>
  <si>
    <t xml:space="preserve">1068</t>
  </si>
  <si>
    <t xml:space="preserve">CHYT05</t>
  </si>
  <si>
    <t xml:space="preserve">CHYMOTHAL FORTE TAB</t>
  </si>
  <si>
    <t xml:space="preserve">94.48</t>
  </si>
  <si>
    <t xml:space="preserve">23.62</t>
  </si>
  <si>
    <t xml:space="preserve">CILT06</t>
  </si>
  <si>
    <t xml:space="preserve">CILAMET XL 25MG TAB</t>
  </si>
  <si>
    <t xml:space="preserve">39</t>
  </si>
  <si>
    <t xml:space="preserve">CILT12</t>
  </si>
  <si>
    <t xml:space="preserve">CILACAR 5MG TAB</t>
  </si>
  <si>
    <t xml:space="preserve">37.56</t>
  </si>
  <si>
    <t xml:space="preserve">9.39</t>
  </si>
  <si>
    <t xml:space="preserve">CINT04</t>
  </si>
  <si>
    <t xml:space="preserve">CINOD 10MG TAB</t>
  </si>
  <si>
    <t xml:space="preserve">133.5</t>
  </si>
  <si>
    <t xml:space="preserve">13.35</t>
  </si>
  <si>
    <t xml:space="preserve">CINT06</t>
  </si>
  <si>
    <t xml:space="preserve">CINOD 20MG TAB</t>
  </si>
  <si>
    <t xml:space="preserve">34</t>
  </si>
  <si>
    <t xml:space="preserve">CIPT11</t>
  </si>
  <si>
    <t xml:space="preserve">CIPLAR LA 40MG TAB</t>
  </si>
  <si>
    <t xml:space="preserve">CONT02</t>
  </si>
  <si>
    <t xml:space="preserve">CONCOR 5MG TAB</t>
  </si>
  <si>
    <t xml:space="preserve">13.22</t>
  </si>
  <si>
    <t xml:space="preserve">DEXI38</t>
  </si>
  <si>
    <t xml:space="preserve">DEXLOG 100MCG/1ML INJECTION</t>
  </si>
  <si>
    <t xml:space="preserve">543.75</t>
  </si>
  <si>
    <t xml:space="preserve">DULT15</t>
  </si>
  <si>
    <t xml:space="preserve">DULCOFLEX TAB</t>
  </si>
  <si>
    <t xml:space="preserve">2.46</t>
  </si>
  <si>
    <t xml:space="preserve">1.23</t>
  </si>
  <si>
    <t xml:space="preserve">ECOC08</t>
  </si>
  <si>
    <t xml:space="preserve">ECOSPRIN-AV 150/20MG CAP</t>
  </si>
  <si>
    <t xml:space="preserve">ECOT01</t>
  </si>
  <si>
    <t xml:space="preserve">ECOSPRIN 75MG TAB</t>
  </si>
  <si>
    <t xml:space="preserve">0.74</t>
  </si>
  <si>
    <t xml:space="preserve">0.37</t>
  </si>
  <si>
    <t xml:space="preserve">GABT5</t>
  </si>
  <si>
    <t xml:space="preserve">GABAPIN 300MG CAP</t>
  </si>
  <si>
    <t xml:space="preserve">48</t>
  </si>
  <si>
    <t xml:space="preserve">HETI13</t>
  </si>
  <si>
    <t xml:space="preserve">HETROFOL 1% 20ML INJECTION</t>
  </si>
  <si>
    <t xml:space="preserve">138.75</t>
  </si>
  <si>
    <t xml:space="preserve">IPRI03</t>
  </si>
  <si>
    <t xml:space="preserve">IPRAVENT 2ML RESPULES</t>
  </si>
  <si>
    <t xml:space="preserve">12.42</t>
  </si>
  <si>
    <t xml:space="preserve">6.21</t>
  </si>
  <si>
    <t xml:space="preserve">IVFU02</t>
  </si>
  <si>
    <t xml:space="preserve">IV FLOW REGULATOR(BUYWEL)</t>
  </si>
  <si>
    <t xml:space="preserve">701</t>
  </si>
  <si>
    <t xml:space="preserve">LETT03</t>
  </si>
  <si>
    <t xml:space="preserve">LETHYROX 12.5MCG TAB</t>
  </si>
  <si>
    <t xml:space="preserve">5.12</t>
  </si>
  <si>
    <t xml:space="preserve">1.28</t>
  </si>
  <si>
    <t xml:space="preserve">LIMT01</t>
  </si>
  <si>
    <t xml:space="preserve">LIMCEE 500MG TAB</t>
  </si>
  <si>
    <t xml:space="preserve">6.56</t>
  </si>
  <si>
    <t xml:space="preserve">1.64</t>
  </si>
  <si>
    <t xml:space="preserve">LIZT01</t>
  </si>
  <si>
    <t xml:space="preserve">LIZOLID 600MG TAB</t>
  </si>
  <si>
    <t xml:space="preserve">149.6</t>
  </si>
  <si>
    <t xml:space="preserve">37.4</t>
  </si>
  <si>
    <t xml:space="preserve">LOCI03</t>
  </si>
  <si>
    <t xml:space="preserve">LOCAM 2% 30ML INJECTION</t>
  </si>
  <si>
    <t xml:space="preserve">33.25</t>
  </si>
  <si>
    <t xml:space="preserve">MEPI16</t>
  </si>
  <si>
    <t xml:space="preserve">MEPHNOR 30MG INJ</t>
  </si>
  <si>
    <t xml:space="preserve">327.42</t>
  </si>
  <si>
    <t xml:space="preserve">METI7</t>
  </si>
  <si>
    <t xml:space="preserve">METOLAR 5ML INJ</t>
  </si>
  <si>
    <t xml:space="preserve">36.3</t>
  </si>
  <si>
    <t xml:space="preserve">18.15</t>
  </si>
  <si>
    <t xml:space="preserve">METT03</t>
  </si>
  <si>
    <t xml:space="preserve">MET XL 50MG TAB</t>
  </si>
  <si>
    <t xml:space="preserve">6.65</t>
  </si>
  <si>
    <t xml:space="preserve">METT04</t>
  </si>
  <si>
    <t xml:space="preserve">MET XL 25MG TAB</t>
  </si>
  <si>
    <t xml:space="preserve">4.53</t>
  </si>
  <si>
    <t xml:space="preserve">METT32</t>
  </si>
  <si>
    <t xml:space="preserve">MET XL-AM 50/5MG TAB</t>
  </si>
  <si>
    <t xml:space="preserve">45.99</t>
  </si>
  <si>
    <t xml:space="preserve">15.33</t>
  </si>
  <si>
    <t xml:space="preserve">MIDI04</t>
  </si>
  <si>
    <t xml:space="preserve">MIDFAST 10ML INJ</t>
  </si>
  <si>
    <t xml:space="preserve">63.17</t>
  </si>
  <si>
    <t xml:space="preserve">MONT28</t>
  </si>
  <si>
    <t xml:space="preserve">MONTEK-LC TAB</t>
  </si>
  <si>
    <t xml:space="preserve">24.56</t>
  </si>
  <si>
    <t xml:space="preserve">MUCT13</t>
  </si>
  <si>
    <t xml:space="preserve">MUCINAC-AB TAB</t>
  </si>
  <si>
    <t xml:space="preserve">31.7</t>
  </si>
  <si>
    <t xml:space="preserve">15.85</t>
  </si>
  <si>
    <t xml:space="preserve">NEOI57</t>
  </si>
  <si>
    <t xml:space="preserve">25.03</t>
  </si>
  <si>
    <t xml:space="preserve">NEUT40</t>
  </si>
  <si>
    <t xml:space="preserve">NEURIT-CD3 TAB</t>
  </si>
  <si>
    <t xml:space="preserve">152</t>
  </si>
  <si>
    <t xml:space="preserve">38</t>
  </si>
  <si>
    <t xml:space="preserve">NEXT16</t>
  </si>
  <si>
    <t xml:space="preserve">NEXITO LS TAB</t>
  </si>
  <si>
    <t xml:space="preserve">66.36</t>
  </si>
  <si>
    <t xml:space="preserve">16.59</t>
  </si>
  <si>
    <t xml:space="preserve">NEXT8</t>
  </si>
  <si>
    <t xml:space="preserve">NEXITO FORTE TAB</t>
  </si>
  <si>
    <t xml:space="preserve">19.9</t>
  </si>
  <si>
    <t xml:space="preserve">NICT02</t>
  </si>
  <si>
    <t xml:space="preserve">NICARDIA RETARD 20MG TAB</t>
  </si>
  <si>
    <t xml:space="preserve">9.66</t>
  </si>
  <si>
    <t xml:space="preserve">4.83</t>
  </si>
  <si>
    <t xml:space="preserve">NURU02</t>
  </si>
  <si>
    <t xml:space="preserve">NURSE CRIMP CAP(SRI VIJAYA SAI)</t>
  </si>
  <si>
    <t xml:space="preserve">156</t>
  </si>
  <si>
    <t xml:space="preserve">PHEI08</t>
  </si>
  <si>
    <t xml:space="preserve">PHENPRES INJ</t>
  </si>
  <si>
    <t xml:space="preserve">407.8</t>
  </si>
  <si>
    <t xml:space="preserve">POTI08</t>
  </si>
  <si>
    <t xml:space="preserve">POTLYTE 10ML INJ</t>
  </si>
  <si>
    <t xml:space="preserve">25.5</t>
  </si>
  <si>
    <t xml:space="preserve">POTI10</t>
  </si>
  <si>
    <t xml:space="preserve">POTSAV 10ML INJECTION</t>
  </si>
  <si>
    <t xml:space="preserve">127.55</t>
  </si>
  <si>
    <t xml:space="preserve">25.51</t>
  </si>
  <si>
    <t xml:space="preserve">POVC03</t>
  </si>
  <si>
    <t xml:space="preserve">POVINANZ SCRUB 7.5% 500ML(NANZ MEDSCIENCE)</t>
  </si>
  <si>
    <t xml:space="preserve">1031.25</t>
  </si>
  <si>
    <t xml:space="preserve">206.25</t>
  </si>
  <si>
    <t xml:space="preserve">PRAT83</t>
  </si>
  <si>
    <t xml:space="preserve">PRASOPHEG 40MG TABLET</t>
  </si>
  <si>
    <t xml:space="preserve">15.74</t>
  </si>
  <si>
    <t xml:space="preserve">ROPI04</t>
  </si>
  <si>
    <t xml:space="preserve">ROPIN 0.2% 20ML INJ</t>
  </si>
  <si>
    <t xml:space="preserve">378.6</t>
  </si>
  <si>
    <t xml:space="preserve">189.3</t>
  </si>
  <si>
    <t xml:space="preserve">ROST02</t>
  </si>
  <si>
    <t xml:space="preserve">ROSUVAS 10MG TAB</t>
  </si>
  <si>
    <t xml:space="preserve">69.18</t>
  </si>
  <si>
    <t xml:space="preserve">23.06</t>
  </si>
  <si>
    <t xml:space="preserve">ROST124</t>
  </si>
  <si>
    <t xml:space="preserve">ROSUR 10MG TAB</t>
  </si>
  <si>
    <t xml:space="preserve">33.92</t>
  </si>
  <si>
    <t xml:space="preserve">16.96</t>
  </si>
  <si>
    <t xml:space="preserve">SERG02</t>
  </si>
  <si>
    <t xml:space="preserve">SEROFLO 250MCG INHALER</t>
  </si>
  <si>
    <t xml:space="preserve">832</t>
  </si>
  <si>
    <t xml:space="preserve">SERO01</t>
  </si>
  <si>
    <t xml:space="preserve">SERVINADINE 20GM OINTMENT</t>
  </si>
  <si>
    <t xml:space="preserve">84.4</t>
  </si>
  <si>
    <t xml:space="preserve">SHET09</t>
  </si>
  <si>
    <t xml:space="preserve">SHELCAL-XT TAB</t>
  </si>
  <si>
    <t xml:space="preserve">53.62</t>
  </si>
  <si>
    <t xml:space="preserve">26.81</t>
  </si>
  <si>
    <t xml:space="preserve">SYNT01</t>
  </si>
  <si>
    <t xml:space="preserve">SYNDOPA PLUS TAB</t>
  </si>
  <si>
    <t xml:space="preserve">30.25</t>
  </si>
  <si>
    <t xml:space="preserve">2.75</t>
  </si>
  <si>
    <t xml:space="preserve">TELT308</t>
  </si>
  <si>
    <t xml:space="preserve">TELDIL 40MG TAB</t>
  </si>
  <si>
    <t xml:space="preserve">7.53</t>
  </si>
  <si>
    <t xml:space="preserve">TELT423</t>
  </si>
  <si>
    <t xml:space="preserve">TELMISPOT 40MG TABLET</t>
  </si>
  <si>
    <t xml:space="preserve">14.2</t>
  </si>
  <si>
    <t xml:space="preserve">7.1</t>
  </si>
  <si>
    <t xml:space="preserve">TELT63</t>
  </si>
  <si>
    <t xml:space="preserve">TELMINORM BXL 40/25 MG TAB</t>
  </si>
  <si>
    <t xml:space="preserve">TEMT14</t>
  </si>
  <si>
    <t xml:space="preserve">TEMFIX TR TABLET</t>
  </si>
  <si>
    <t xml:space="preserve">14.39</t>
  </si>
  <si>
    <t xml:space="preserve">TEXT02</t>
  </si>
  <si>
    <t xml:space="preserve">TEXAKIND 500MG TAB</t>
  </si>
  <si>
    <t xml:space="preserve">31.8</t>
  </si>
  <si>
    <t xml:space="preserve">15.9</t>
  </si>
  <si>
    <t xml:space="preserve">THEP06</t>
  </si>
  <si>
    <t xml:space="preserve">THEMIBUPRINE-P 5MCG PATCH</t>
  </si>
  <si>
    <t xml:space="preserve">896.15</t>
  </si>
  <si>
    <t xml:space="preserve">THYT06</t>
  </si>
  <si>
    <t xml:space="preserve">THYROX 100MCG TAB</t>
  </si>
  <si>
    <t xml:space="preserve">4.2</t>
  </si>
  <si>
    <t xml:space="preserve">1.4</t>
  </si>
  <si>
    <t xml:space="preserve">THYT15</t>
  </si>
  <si>
    <t xml:space="preserve">THYRONORM 75MCG TAB</t>
  </si>
  <si>
    <t xml:space="preserve">3.06</t>
  </si>
  <si>
    <t xml:space="preserve">1.53</t>
  </si>
  <si>
    <t xml:space="preserve">TRAI09</t>
  </si>
  <si>
    <t xml:space="preserve">512.47</t>
  </si>
  <si>
    <t xml:space="preserve">73.21</t>
  </si>
  <si>
    <t xml:space="preserve">TRET02</t>
  </si>
  <si>
    <t xml:space="preserve">TRENAXA 500MG TAB</t>
  </si>
  <si>
    <t xml:space="preserve">39.6</t>
  </si>
  <si>
    <t xml:space="preserve">19.8</t>
  </si>
  <si>
    <t xml:space="preserve">TRIT44</t>
  </si>
  <si>
    <t xml:space="preserve">TRIOLMEZEST 40MG TAB</t>
  </si>
  <si>
    <t xml:space="preserve">VERI06</t>
  </si>
  <si>
    <t xml:space="preserve">VERFEN 10ML INJ</t>
  </si>
  <si>
    <t xml:space="preserve">223.85</t>
  </si>
  <si>
    <t xml:space="preserve">VETI01</t>
  </si>
  <si>
    <t xml:space="preserve">VETIRA 5ML INJ</t>
  </si>
  <si>
    <t xml:space="preserve">122.7</t>
  </si>
  <si>
    <t xml:space="preserve">VILT31</t>
  </si>
  <si>
    <t xml:space="preserve">VILDAPRIDE-M 50/500MG TAB</t>
  </si>
  <si>
    <t xml:space="preserve">23.74</t>
  </si>
  <si>
    <t xml:space="preserve">11.87</t>
  </si>
  <si>
    <t xml:space="preserve">WOKS02</t>
  </si>
  <si>
    <t xml:space="preserve">WOKADINE 100ML SOL</t>
  </si>
  <si>
    <t xml:space="preserve">102.53</t>
  </si>
  <si>
    <t xml:space="preserve">ZOVC01</t>
  </si>
  <si>
    <t xml:space="preserve">ZOVANTA 40MG TAB</t>
  </si>
  <si>
    <t xml:space="preserve">ZU-T01</t>
  </si>
  <si>
    <t xml:space="preserve">ZU-C 500MG TAB</t>
  </si>
  <si>
    <t xml:space="preserve">19.89</t>
  </si>
  <si>
    <t xml:space="preserve">6.63</t>
  </si>
  <si>
    <t xml:space="preserve">ZUVT03</t>
  </si>
  <si>
    <t xml:space="preserve">ZUVASTAT 20MG TAB</t>
  </si>
  <si>
    <t xml:space="preserve">21.51</t>
  </si>
  <si>
    <t xml:space="preserve">ZYRT09</t>
  </si>
  <si>
    <t xml:space="preserve">ZYROVA 20MG TAB</t>
  </si>
  <si>
    <t xml:space="preserve">92.88</t>
  </si>
  <si>
    <t xml:space="preserve">46.44</t>
  </si>
  <si>
    <t xml:space="preserve">ZYTO02</t>
  </si>
  <si>
    <t xml:space="preserve">ZYTEE RB GEL 10ML</t>
  </si>
  <si>
    <t xml:space="preserve">120.94</t>
  </si>
  <si>
    <t xml:space="preserve">13344.05</t>
  </si>
  <si>
    <t xml:space="preserve">13344</t>
  </si>
  <si>
    <t xml:space="preserve">13344.01</t>
  </si>
  <si>
    <t xml:space="preserve">23742</t>
  </si>
  <si>
    <t xml:space="preserve">ATTUNE TIBIAL BASEPLATE FIXED BEARING REVISION CEMENTED CONSTRAINED KNEE 2(1506-40-002-DEPUY SYNTHES)</t>
  </si>
  <si>
    <t xml:space="preserve">13344.09</t>
  </si>
  <si>
    <t xml:space="preserve">30768.75</t>
  </si>
  <si>
    <t xml:space="preserve">227.9</t>
  </si>
  <si>
    <t xml:space="preserve">565.35</t>
  </si>
  <si>
    <t xml:space="preserve">33924.98</t>
  </si>
  <si>
    <t xml:space="preserve">33925</t>
  </si>
  <si>
    <t xml:space="preserve">26680.1</t>
  </si>
  <si>
    <t xml:space="preserve">13339.5</t>
  </si>
  <si>
    <t xml:space="preserve">TRIATHLON FEMORAL COMPONENT CRUCIATE RETAINING CEMENTED PRIMARY REFERENCING RIGHT KNEE TRITANIUM 4(5510F402-STRYKER CORP)</t>
  </si>
  <si>
    <t xml:space="preserve">13340</t>
  </si>
  <si>
    <t xml:space="preserve">23735.05</t>
  </si>
  <si>
    <t xml:space="preserve">TRIATHLON TIBIAL BASEPLATE CEMENTED 3 UNIVERSAL(5521-B-300-STRYKER CORP)</t>
  </si>
  <si>
    <t xml:space="preserve">23735</t>
  </si>
  <si>
    <t xml:space="preserve">TRIATHLON TS FEMORAL STEM CEMENTED KNEE TITANIUM 12X50MM(5560-S-112-STRYKER CORP)</t>
  </si>
  <si>
    <t xml:space="preserve">DIAPER ADULT MEDIUM 75CMX110CM(MAGMACARE)</t>
  </si>
  <si>
    <t xml:space="preserve">STERIDRAPE ISOLATION BAG 50CM*50CM(1003-3M)</t>
  </si>
  <si>
    <t xml:space="preserve">ADVR02</t>
  </si>
  <si>
    <t xml:space="preserve">ADVACRYL 1 ADVA2347(AMS)</t>
  </si>
  <si>
    <t xml:space="preserve">818</t>
  </si>
  <si>
    <t xml:space="preserve">ADVR10</t>
  </si>
  <si>
    <t xml:space="preserve">ADVACRYL 2-0 ADVA2404(AMS)</t>
  </si>
  <si>
    <t xml:space="preserve">1629.38</t>
  </si>
  <si>
    <t xml:space="preserve">814.69</t>
  </si>
  <si>
    <t xml:space="preserve">ADVR105</t>
  </si>
  <si>
    <t xml:space="preserve">ADVAGRIP 180 1-0 ADVAGL0337(AMS)</t>
  </si>
  <si>
    <t xml:space="preserve">2952</t>
  </si>
  <si>
    <t xml:space="preserve">ADVR21</t>
  </si>
  <si>
    <t xml:space="preserve">ADVACRYL 1 ADVA2826E(AMS)</t>
  </si>
  <si>
    <t xml:space="preserve">2160</t>
  </si>
  <si>
    <t xml:space="preserve">720</t>
  </si>
  <si>
    <t xml:space="preserve">ADVR34</t>
  </si>
  <si>
    <t xml:space="preserve">ADVALENE 0 ADVA830(AMS)</t>
  </si>
  <si>
    <t xml:space="preserve">1156.02</t>
  </si>
  <si>
    <t xml:space="preserve">385.34</t>
  </si>
  <si>
    <t xml:space="preserve">ALCC05</t>
  </si>
  <si>
    <t xml:space="preserve">ALCOHOL SWABS(NANZ)</t>
  </si>
  <si>
    <t xml:space="preserve">2.81</t>
  </si>
  <si>
    <t xml:space="preserve">APRU13</t>
  </si>
  <si>
    <t xml:space="preserve">APRON PLASTIC DISPOSABLE(MEDIBLUE)</t>
  </si>
  <si>
    <t xml:space="preserve">240</t>
  </si>
  <si>
    <t xml:space="preserve">ARTU02</t>
  </si>
  <si>
    <t xml:space="preserve">ARTIFLEX 15CM*3M(72966-01/72966-03-BSN)</t>
  </si>
  <si>
    <t xml:space="preserve">638</t>
  </si>
  <si>
    <t xml:space="preserve">319</t>
  </si>
  <si>
    <t xml:space="preserve">BLOU54</t>
  </si>
  <si>
    <t xml:space="preserve">BLOOD SET(BUYWEL)</t>
  </si>
  <si>
    <t xml:space="preserve">210.94</t>
  </si>
  <si>
    <t xml:space="preserve">CARU47</t>
  </si>
  <si>
    <t xml:space="preserve">C ARM COVER 2PIECE(D306-2-SURGIWEAR)</t>
  </si>
  <si>
    <t xml:space="preserve">199.51</t>
  </si>
  <si>
    <t xml:space="preserve">CAUU22</t>
  </si>
  <si>
    <t xml:space="preserve">CAUTERY PENCIL LONG TIP(MEDTRONIC)</t>
  </si>
  <si>
    <t xml:space="preserve">995</t>
  </si>
  <si>
    <t xml:space="preserve">CORM10400</t>
  </si>
  <si>
    <t xml:space="preserve">27280</t>
  </si>
  <si>
    <t xml:space="preserve">CREU27</t>
  </si>
  <si>
    <t xml:space="preserve">CREPE BANDAGE 10CM(VELSOFT-10-DATT)</t>
  </si>
  <si>
    <t xml:space="preserve">447</t>
  </si>
  <si>
    <t xml:space="preserve">CURU01</t>
  </si>
  <si>
    <t xml:space="preserve">CURAPORE STERILE 10CM X 30CM/9CM X 30CM(LOHMANN AND RAUSCHER)</t>
  </si>
  <si>
    <t xml:space="preserve">356</t>
  </si>
  <si>
    <t xml:space="preserve">DERU28</t>
  </si>
  <si>
    <t xml:space="preserve">DERMI SURGICAL MARKER(DERMARK-ROMSONS)</t>
  </si>
  <si>
    <t xml:space="preserve">331</t>
  </si>
  <si>
    <t xml:space="preserve">DIAU126</t>
  </si>
  <si>
    <t xml:space="preserve">116.8</t>
  </si>
  <si>
    <t xml:space="preserve">DREC02</t>
  </si>
  <si>
    <t xml:space="preserve">DRESSING PAD STERILE(KIMS)</t>
  </si>
  <si>
    <t xml:space="preserve">200</t>
  </si>
  <si>
    <t xml:space="preserve">ENCU11</t>
  </si>
  <si>
    <t xml:space="preserve">MICROOPTIC STERILE GLOVE 6.0(ENCORE-JK ANSELL)</t>
  </si>
  <si>
    <t xml:space="preserve">2341.9</t>
  </si>
  <si>
    <t xml:space="preserve">ENCU25</t>
  </si>
  <si>
    <t xml:space="preserve">ENCORE LATEX UNDERGLOVE 6.5 NO(ANSELL)</t>
  </si>
  <si>
    <t xml:space="preserve">113.44</t>
  </si>
  <si>
    <t xml:space="preserve">ENCU29</t>
  </si>
  <si>
    <t xml:space="preserve">ENCORE LATEX UNDERGLOVE 8.0 NO(ANSELL)</t>
  </si>
  <si>
    <t xml:space="preserve">1134.4</t>
  </si>
  <si>
    <t xml:space="preserve">ENCU3</t>
  </si>
  <si>
    <t xml:space="preserve">ENCORE ORTHOPEDIC GLOVES 6.5(JK ANSELL)</t>
  </si>
  <si>
    <t xml:space="preserve">1181.2</t>
  </si>
  <si>
    <t xml:space="preserve">118.12</t>
  </si>
  <si>
    <t xml:space="preserve">FEEU05</t>
  </si>
  <si>
    <t xml:space="preserve">FEEDY NO-09(ROMSONS)</t>
  </si>
  <si>
    <t xml:space="preserve">FOLU08</t>
  </si>
  <si>
    <t xml:space="preserve">FOLEYS CATHETER 2WAY 12F(RUSCH)</t>
  </si>
  <si>
    <t xml:space="preserve">FOLU161</t>
  </si>
  <si>
    <t xml:space="preserve">FOLEYS CATHETER TWO WAY 14F(UROCATH-ROMSONS)</t>
  </si>
  <si>
    <t xml:space="preserve">259.5</t>
  </si>
  <si>
    <t xml:space="preserve">GAUC20</t>
  </si>
  <si>
    <t xml:space="preserve">GAUZE DRESSING MOP 12 PLY WITH X-RAY THREAD 10X10CM(VELSAWAB)</t>
  </si>
  <si>
    <t xml:space="preserve">GDRU07</t>
  </si>
  <si>
    <t xml:space="preserve">G DRESS-10 8.5X6.5CM(GD10-SURGIWEAR)</t>
  </si>
  <si>
    <t xml:space="preserve">129.4</t>
  </si>
  <si>
    <t xml:space="preserve">25.88</t>
  </si>
  <si>
    <t xml:space="preserve">GEEC02</t>
  </si>
  <si>
    <t xml:space="preserve">GE ENTROPY SENSOR(M1038681-GE HEALTHCARE PVT LTD)</t>
  </si>
  <si>
    <t xml:space="preserve">1649</t>
  </si>
  <si>
    <t xml:space="preserve">HANU01</t>
  </si>
  <si>
    <t xml:space="preserve">HAND CARE GLOVES STERILE SMALL EVA(HI-CARE)</t>
  </si>
  <si>
    <t xml:space="preserve">HOTU11</t>
  </si>
  <si>
    <t xml:space="preserve">HOT AND COLD PACK(DYNAMIC)</t>
  </si>
  <si>
    <t xml:space="preserve">380</t>
  </si>
  <si>
    <t xml:space="preserve">KNEU03</t>
  </si>
  <si>
    <t xml:space="preserve">KNEE IMMOBILIZER LARGE(DYNAMIC TECHNO MEDICALS)</t>
  </si>
  <si>
    <t xml:space="preserve">1295</t>
  </si>
  <si>
    <t xml:space="preserve">KWIM232</t>
  </si>
  <si>
    <t xml:space="preserve">KIRSCHNER SURGICAL WIRE DOUBLE ENDED TROCAR POINT 2.5X285MM(1450.2.5.285-OROMED)</t>
  </si>
  <si>
    <t xml:space="preserve">211</t>
  </si>
  <si>
    <t xml:space="preserve">MEAU26</t>
  </si>
  <si>
    <t xml:space="preserve">MEASUREXE 250ML(UROMETER-ROMSONS)</t>
  </si>
  <si>
    <t xml:space="preserve">890</t>
  </si>
  <si>
    <t xml:space="preserve">MEPU46</t>
  </si>
  <si>
    <t xml:space="preserve">MEPILEX BORDER POST-OP 10CM*20CM(496400-MOLNLYCKE)</t>
  </si>
  <si>
    <t xml:space="preserve">1013.44</t>
  </si>
  <si>
    <t xml:space="preserve">MEPU62</t>
  </si>
  <si>
    <t xml:space="preserve">MEPILEX BORDER POST OP 9CM*10CM(MOLNYCKE)</t>
  </si>
  <si>
    <t xml:space="preserve">569</t>
  </si>
  <si>
    <t xml:space="preserve">MERR26</t>
  </si>
  <si>
    <t xml:space="preserve">MERSILK 4-0 NW5050(ETHICON)</t>
  </si>
  <si>
    <t xml:space="preserve">896.24</t>
  </si>
  <si>
    <t xml:space="preserve">224.06</t>
  </si>
  <si>
    <t xml:space="preserve">MICRO POLY SYTE BI EXTENSION(POLYMED)</t>
  </si>
  <si>
    <t xml:space="preserve">MICU133</t>
  </si>
  <si>
    <t xml:space="preserve">MICRO INFUSION SET(BUYMED-BUYWEL)</t>
  </si>
  <si>
    <t xml:space="preserve">225</t>
  </si>
  <si>
    <t xml:space="preserve">NASU122</t>
  </si>
  <si>
    <t xml:space="preserve">NASAL CANNULA ADULT(LIFE-O-LINE)</t>
  </si>
  <si>
    <t xml:space="preserve">229.69</t>
  </si>
  <si>
    <t xml:space="preserve">NEEU69</t>
  </si>
  <si>
    <t xml:space="preserve">NEEDLE DISPOSABLE 26G X 0.5IN(NIPRO)</t>
  </si>
  <si>
    <t xml:space="preserve">3.28</t>
  </si>
  <si>
    <t xml:space="preserve">NEEU85</t>
  </si>
  <si>
    <t xml:space="preserve">NEEDLES 16G*1.5IN(ROMSONS)</t>
  </si>
  <si>
    <t xml:space="preserve">NOVR06</t>
  </si>
  <si>
    <t xml:space="preserve">NOVOSYN VIOLET 2(5)90CM HS40S(M) DDP(BBRAUN)</t>
  </si>
  <si>
    <t xml:space="preserve">1546.88</t>
  </si>
  <si>
    <t xml:space="preserve">OXYU86</t>
  </si>
  <si>
    <t xml:space="preserve">OXYGEN MASK ADULT(LIFE-O-LINE)</t>
  </si>
  <si>
    <t xml:space="preserve">PHYR01</t>
  </si>
  <si>
    <t xml:space="preserve">PHYSIO BALLS(DYNAMIC)</t>
  </si>
  <si>
    <t xml:space="preserve">999</t>
  </si>
  <si>
    <t xml:space="preserve">PROR53</t>
  </si>
  <si>
    <t xml:space="preserve">PROLENE 2-0 NW844(ETHICON)</t>
  </si>
  <si>
    <t xml:space="preserve">1880</t>
  </si>
  <si>
    <t xml:space="preserve">PULSAVAC WOUND DEBRIDEMENT SYSTEM(BELL PHARMA)</t>
  </si>
  <si>
    <t xml:space="preserve">8250</t>
  </si>
  <si>
    <t xml:space="preserve">ROMU04</t>
  </si>
  <si>
    <t xml:space="preserve">ROMO VAC SET-12(ROMSONS)</t>
  </si>
  <si>
    <t xml:space="preserve">928</t>
  </si>
  <si>
    <t xml:space="preserve">SIGU09</t>
  </si>
  <si>
    <t xml:space="preserve">SIGNATURE LATEX MICRO STERILE GLOVE 6.5(MEDLINE)</t>
  </si>
  <si>
    <t xml:space="preserve">112.5</t>
  </si>
  <si>
    <t xml:space="preserve">STEU119</t>
  </si>
  <si>
    <t xml:space="preserve">1600</t>
  </si>
  <si>
    <t xml:space="preserve">STIU14</t>
  </si>
  <si>
    <t xml:space="preserve">STIMUPLEX ULTRA NEEDLE 22G*50MM(B.BRAUN)</t>
  </si>
  <si>
    <t xml:space="preserve">1593.75</t>
  </si>
  <si>
    <t xml:space="preserve">SURU325</t>
  </si>
  <si>
    <t xml:space="preserve">SURGEON GOWN REINFORCED WRAPAROUND XXL(BIO5506-BIOANTHEM)</t>
  </si>
  <si>
    <t xml:space="preserve">750</t>
  </si>
  <si>
    <t xml:space="preserve">THRU36</t>
  </si>
  <si>
    <t xml:space="preserve">THREE WAY EXTENSION 100CM(POLYMED)</t>
  </si>
  <si>
    <t xml:space="preserve">632</t>
  </si>
  <si>
    <t xml:space="preserve">316</t>
  </si>
  <si>
    <t xml:space="preserve">THR/TKR KIT(MEDLINE INDUSTRIES)</t>
  </si>
  <si>
    <t xml:space="preserve">TRUR116</t>
  </si>
  <si>
    <t xml:space="preserve">TRUGLYDE 1 SN2421(HEALTHIUM)</t>
  </si>
  <si>
    <t xml:space="preserve">967</t>
  </si>
  <si>
    <t xml:space="preserve">TRUR17</t>
  </si>
  <si>
    <t xml:space="preserve">TRUGLYDE 2-0 SN2345(HEALTHIUM)</t>
  </si>
  <si>
    <t xml:space="preserve">1471.88</t>
  </si>
  <si>
    <t xml:space="preserve">735.94</t>
  </si>
  <si>
    <t xml:space="preserve">TRUR54</t>
  </si>
  <si>
    <t xml:space="preserve">TRUGLYDE 1 SN2347(HEALTHIUM)</t>
  </si>
  <si>
    <t xml:space="preserve">1642.5</t>
  </si>
  <si>
    <t xml:space="preserve">821.25</t>
  </si>
  <si>
    <t xml:space="preserve">VELU17</t>
  </si>
  <si>
    <t xml:space="preserve">VELFIX-EASY WITH PAD 8CM*15CM(5507E-DMP)</t>
  </si>
  <si>
    <t xml:space="preserve">202</t>
  </si>
  <si>
    <t xml:space="preserve">VENU8162</t>
  </si>
  <si>
    <t xml:space="preserve">VENFLON-I 18G(BD)</t>
  </si>
  <si>
    <t xml:space="preserve">WALU01</t>
  </si>
  <si>
    <t xml:space="preserve">WALKER FOLDING (DYNA REHAID)</t>
  </si>
  <si>
    <t xml:space="preserve">2625</t>
  </si>
  <si>
    <t xml:space="preserve">Cleaned Service Template</t>
  </si>
  <si>
    <t xml:space="preserve">Tariff Code</t>
  </si>
  <si>
    <t xml:space="preserve">Tariff General</t>
  </si>
  <si>
    <t xml:space="preserve">Tariff Twin</t>
  </si>
  <si>
    <t xml:space="preserve">Tariff Single</t>
  </si>
  <si>
    <t xml:space="preserve">Tariff ICU</t>
  </si>
  <si>
    <t xml:space="preserve">Room Dependent</t>
  </si>
  <si>
    <t xml:space="preserve">TR1</t>
  </si>
  <si>
    <t xml:space="preserve">500</t>
  </si>
  <si>
    <t xml:space="preserve">1000</t>
  </si>
  <si>
    <t xml:space="preserve">1110</t>
  </si>
  <si>
    <t xml:space="preserve">410.5</t>
  </si>
  <si>
    <t xml:space="preserve">680</t>
  </si>
  <si>
    <t xml:space="preserve">810</t>
  </si>
  <si>
    <t xml:space="preserve">940</t>
  </si>
  <si>
    <t xml:space="preserve">1430</t>
  </si>
  <si>
    <t xml:space="preserve">1580</t>
  </si>
  <si>
    <t xml:space="preserve">360</t>
  </si>
  <si>
    <t xml:space="preserve">400</t>
  </si>
  <si>
    <t xml:space="preserve">430</t>
  </si>
  <si>
    <t xml:space="preserve">415</t>
  </si>
  <si>
    <t xml:space="preserve">1920</t>
  </si>
  <si>
    <t xml:space="preserve">2120</t>
  </si>
  <si>
    <t xml:space="preserve">2290</t>
  </si>
  <si>
    <t xml:space="preserve">2910</t>
  </si>
  <si>
    <t xml:space="preserve">3220</t>
  </si>
  <si>
    <t xml:space="preserve">3470</t>
  </si>
  <si>
    <t xml:space="preserve">2430</t>
  </si>
  <si>
    <t xml:space="preserve">2690</t>
  </si>
  <si>
    <t xml:space="preserve">2900</t>
  </si>
  <si>
    <t xml:space="preserve">5590</t>
  </si>
  <si>
    <t xml:space="preserve">1220</t>
  </si>
  <si>
    <t xml:space="preserve">1320</t>
  </si>
  <si>
    <t xml:space="preserve">2730</t>
  </si>
  <si>
    <t xml:space="preserve">3020</t>
  </si>
  <si>
    <t xml:space="preserve">3260</t>
  </si>
  <si>
    <t xml:space="preserve">580</t>
  </si>
  <si>
    <t xml:space="preserve">2650</t>
  </si>
  <si>
    <t xml:space="preserve">310</t>
  </si>
  <si>
    <t xml:space="preserve">340</t>
  </si>
  <si>
    <t xml:space="preserve">330</t>
  </si>
  <si>
    <t xml:space="preserve">860</t>
  </si>
  <si>
    <t xml:space="preserve">950</t>
  </si>
  <si>
    <t xml:space="preserve">Anesthetist - General - Needed</t>
  </si>
  <si>
    <t xml:space="preserve">930</t>
  </si>
  <si>
    <t xml:space="preserve">1030</t>
  </si>
  <si>
    <t xml:space="preserve">3620</t>
  </si>
  <si>
    <t xml:space="preserve">7240</t>
  </si>
  <si>
    <t xml:space="preserve">350</t>
  </si>
  <si>
    <t xml:space="preserve">1690</t>
  </si>
  <si>
    <t xml:space="preserve">2.25</t>
  </si>
  <si>
    <t xml:space="preserve">800</t>
  </si>
  <si>
    <t xml:space="preserve">870</t>
  </si>
  <si>
    <t xml:space="preserve">1305</t>
  </si>
  <si>
    <t xml:space="preserve">980</t>
  </si>
  <si>
    <t xml:space="preserve">1080</t>
  </si>
  <si>
    <t xml:space="preserve">1170</t>
  </si>
  <si>
    <t xml:space="preserve">Emergency</t>
  </si>
  <si>
    <t xml:space="preserve">Other Services</t>
  </si>
  <si>
    <t xml:space="preserve">Pharmacy Metrics Across Cohort IPs</t>
  </si>
  <si>
    <t xml:space="preserve">Admission No</t>
  </si>
  <si>
    <t xml:space="preserve">Patient Name</t>
  </si>
  <si>
    <t xml:space="preserve">IP Drugs / LOS Day</t>
  </si>
  <si>
    <t xml:space="preserve">IP Consumables / LOS Day</t>
  </si>
  <si>
    <t xml:space="preserve">Implant Amount</t>
  </si>
  <si>
    <t xml:space="preserve">Implant Line Count</t>
  </si>
  <si>
    <t xml:space="preserve">IP Drugs Amount</t>
  </si>
  <si>
    <t xml:space="preserve">IP Drugs Line Count</t>
  </si>
  <si>
    <t xml:space="preserve">IP Treatment Supplies Amount</t>
  </si>
  <si>
    <t xml:space="preserve">IP Treatment Supplies Line Count</t>
  </si>
  <si>
    <t xml:space="preserve">OT Drugs Amount</t>
  </si>
  <si>
    <t xml:space="preserve">OT Drugs Line Count</t>
  </si>
  <si>
    <t xml:space="preserve">OT Treatment Supplies Amount</t>
  </si>
  <si>
    <t xml:space="preserve">OT Treatment Supplies Line Count</t>
  </si>
  <si>
    <t xml:space="preserve">Gross Return Qty</t>
  </si>
  <si>
    <t xml:space="preserve">Unclassified Item Count</t>
  </si>
  <si>
    <t xml:space="preserve">IPGB2526007170</t>
  </si>
  <si>
    <t xml:space="preserve">MEDA MANGA</t>
  </si>
  <si>
    <t xml:space="preserve">IPGB2526007396</t>
  </si>
  <si>
    <t xml:space="preserve">RAFEEQ BEGUM</t>
  </si>
  <si>
    <t xml:space="preserve">IPGB2526007541</t>
  </si>
  <si>
    <t xml:space="preserve">SESHA RATNAM V</t>
  </si>
  <si>
    <t xml:space="preserve">IPGB2526007640</t>
  </si>
  <si>
    <t xml:space="preserve">ARUNA P</t>
  </si>
  <si>
    <t xml:space="preserve">IPGB2526007674</t>
  </si>
  <si>
    <t xml:space="preserve">MARISETTI NAGAVENI</t>
  </si>
  <si>
    <t xml:space="preserve">IPGB2526007738</t>
  </si>
  <si>
    <t xml:space="preserve">SUSHMA GROVER</t>
  </si>
  <si>
    <t xml:space="preserve">IPGB2526008255</t>
  </si>
  <si>
    <t xml:space="preserve">DURGAM SAMPATH</t>
  </si>
  <si>
    <t xml:space="preserve">IPGB2526008483</t>
  </si>
  <si>
    <t xml:space="preserve">U VENKATESWARA RAO</t>
  </si>
  <si>
    <t xml:space="preserve">IPGB2526008520</t>
  </si>
  <si>
    <t xml:space="preserve">FARZANA ZAMAN</t>
  </si>
  <si>
    <t xml:space="preserve">IPGB2526008624</t>
  </si>
  <si>
    <t xml:space="preserve">BUSIREDDY JAYAMMA</t>
  </si>
  <si>
    <t xml:space="preserve">IPGB2526009297</t>
  </si>
  <si>
    <t xml:space="preserve">AKKIPELLI PEDDA PANDU</t>
  </si>
  <si>
    <t xml:space="preserve">IPGB2526009816</t>
  </si>
  <si>
    <t xml:space="preserve">A RAMAVANNU REDDY</t>
  </si>
  <si>
    <t xml:space="preserve">IPGB2526010008</t>
  </si>
  <si>
    <t xml:space="preserve">KANCHAPU KANAKA RATNAM</t>
  </si>
  <si>
    <t xml:space="preserve">IPGB2526010133</t>
  </si>
  <si>
    <t xml:space="preserve">ANUBOTHULA RAMAKOTAMMA</t>
  </si>
  <si>
    <t xml:space="preserve">IPGB2526010309</t>
  </si>
  <si>
    <t xml:space="preserve">SATTI SUBBALAKSHMI</t>
  </si>
  <si>
    <t xml:space="preserve">IPGB2526010374</t>
  </si>
  <si>
    <t xml:space="preserve">B CHANDARAO</t>
  </si>
  <si>
    <t xml:space="preserve">IPGB2627000156</t>
  </si>
  <si>
    <t xml:space="preserve">NAGAPATNAM VARANASI ANNAPURNA</t>
  </si>
  <si>
    <t xml:space="preserve">IPGB2627000249</t>
  </si>
  <si>
    <t xml:space="preserve">MAGATHALA RAVI KUMAR</t>
  </si>
  <si>
    <t xml:space="preserve">IPGB2627000257</t>
  </si>
  <si>
    <t xml:space="preserve">S DILSHAD</t>
  </si>
  <si>
    <t xml:space="preserve">IPGB2627000485</t>
  </si>
  <si>
    <t xml:space="preserve">MATTA KRISHNAVENI</t>
  </si>
  <si>
    <t xml:space="preserve">IPGB2627000577</t>
  </si>
  <si>
    <t xml:space="preserve">PATRA MEENAKUMARI TALASU</t>
  </si>
  <si>
    <t xml:space="preserve">IPGB2627000622</t>
  </si>
  <si>
    <t xml:space="preserve">PARVATHI DONTHINENI</t>
  </si>
  <si>
    <t xml:space="preserve">IPGB2627000729</t>
  </si>
  <si>
    <t xml:space="preserve">ATYAM RAMANI</t>
  </si>
  <si>
    <t xml:space="preserve">IPGB2627000947</t>
  </si>
  <si>
    <t xml:space="preserve">HEMALATHA THOTA</t>
  </si>
  <si>
    <t xml:space="preserve">IPGB2627001047</t>
  </si>
  <si>
    <t xml:space="preserve">S VENKATA NARAYANA</t>
  </si>
  <si>
    <t xml:space="preserve">IPGB2627001175</t>
  </si>
  <si>
    <t xml:space="preserve">HAJAPPA</t>
  </si>
  <si>
    <t xml:space="preserve">Per-IP Actual FC Bucket Amounts</t>
  </si>
  <si>
    <t xml:space="preserve">Actual billed amounts by IP after excluding Food &amp; Beverage service rows and pharmacy returns, with a separate 12.5% drug administration field added on top of pharmacy. This audit layer also shows management type, ICU unit, LOS breakup, and per-day normalized room/IP-pharmacy fields.</t>
  </si>
  <si>
    <t xml:space="preserve">Payor Bucket</t>
  </si>
  <si>
    <t xml:space="preserve">Payer / Patient Type</t>
  </si>
  <si>
    <t xml:space="preserve">Organization</t>
  </si>
  <si>
    <t xml:space="preserve">Management Type</t>
  </si>
  <si>
    <t xml:space="preserve">Room Category</t>
  </si>
  <si>
    <t xml:space="preserve">ICU Unit</t>
  </si>
  <si>
    <t xml:space="preserve">Services Total ex F&amp;B</t>
  </si>
  <si>
    <t xml:space="preserve">Food &amp; Beverage Excluded</t>
  </si>
  <si>
    <t xml:space="preserve">Pharmacy Returns Excluded</t>
  </si>
  <si>
    <t xml:space="preserve">General Patients</t>
  </si>
  <si>
    <t xml:space="preserve">Surgical</t>
  </si>
  <si>
    <t xml:space="preserve">Deluxe</t>
  </si>
  <si>
    <t xml:space="preserve">Professional Fees Review</t>
  </si>
  <si>
    <t xml:space="preserve">Current Estimate PF Behavior</t>
  </si>
  <si>
    <t xml:space="preserve">Cash formula in estimate body; historical PF shown as review context.</t>
  </si>
  <si>
    <t xml:space="preserve">Purpose</t>
  </si>
  <si>
    <t xml:space="preserve">Historical PF reference only. This sheet does not auto-change the modeled estimate.</t>
  </si>
  <si>
    <t xml:space="preserve">Template-Level PF Signals</t>
  </si>
  <si>
    <t xml:space="preserve">Payer Sensitive</t>
  </si>
  <si>
    <t xml:space="preserve">Mixed Billing Shape</t>
  </si>
  <si>
    <t xml:space="preserve">Stable Across Payers</t>
  </si>
  <si>
    <t xml:space="preserve">Package Override Expected Later</t>
  </si>
  <si>
    <t xml:space="preserve">Overall Note</t>
  </si>
  <si>
    <t xml:space="preserve">PF insight is review-only in this pass; package-level PF handling remains a later layer.</t>
  </si>
  <si>
    <t xml:space="preserve">Payer-Wise Historical PF Summary</t>
  </si>
  <si>
    <t xml:space="preserve">payor_bucket</t>
  </si>
  <si>
    <t xml:space="preserve">admission_count</t>
  </si>
  <si>
    <t xml:space="preserve">pf_collectible_historical_total_p25</t>
  </si>
  <si>
    <t xml:space="preserve">pf_collectible_historical_total_p50</t>
  </si>
  <si>
    <t xml:space="preserve">pf_collectible_historical_total_p75</t>
  </si>
  <si>
    <t xml:space="preserve">pf_named_total_p50</t>
  </si>
  <si>
    <t xml:space="preserve">pf_general_needed_total_p50</t>
  </si>
  <si>
    <t xml:space="preserve">surgeon_row_prevalence_pct</t>
  </si>
  <si>
    <t xml:space="preserve">assistant_surgeon_row_prevalence_pct</t>
  </si>
  <si>
    <t xml:space="preserve">anesthetist_row_prevalence_pct</t>
  </si>
  <si>
    <t xml:space="preserve">assistant_anesthetist_row_prevalence_pct</t>
  </si>
  <si>
    <t xml:space="preserve">consultant_or_physician_row_prevalence_pct</t>
  </si>
  <si>
    <t xml:space="preserve">dominant_pf_shape</t>
  </si>
  <si>
    <t xml:space="preserve">96442</t>
  </si>
  <si>
    <t xml:space="preserve">98192</t>
  </si>
  <si>
    <t xml:space="preserve">99817</t>
  </si>
  <si>
    <t xml:space="preserve">97062</t>
  </si>
  <si>
    <t xml:space="preserve">880</t>
  </si>
  <si>
    <t xml:space="preserve">cash_formula_like</t>
  </si>
  <si>
    <t xml:space="preserve">Modeled PF vs Historical PF</t>
  </si>
  <si>
    <t xml:space="preserve">Historical Collectible PF P25</t>
  </si>
  <si>
    <t xml:space="preserve">Historical Collectible PF P50</t>
  </si>
  <si>
    <t xml:space="preserve">Historical Collectible PF P75</t>
  </si>
  <si>
    <t xml:space="preserve">Modeled PF Formula P25</t>
  </si>
  <si>
    <t xml:space="preserve">Modeled PF Formula P50</t>
  </si>
  <si>
    <t xml:space="preserve">Modeled PF Formula P75</t>
  </si>
  <si>
    <t xml:space="preserve">Difference P50</t>
  </si>
  <si>
    <t xml:space="preserve">Median Absolute % Error</t>
  </si>
  <si>
    <t xml:space="preserve">Reference Data</t>
  </si>
  <si>
    <t xml:space="preserve">basis_label</t>
  </si>
  <si>
    <t xml:space="preserve">cohort_size</t>
  </si>
  <si>
    <t xml:space="preserve">cash_count</t>
  </si>
  <si>
    <t xml:space="preserve">gipsa_count</t>
  </si>
  <si>
    <t xml:space="preserve">non_gipsa_count</t>
  </si>
  <si>
    <t xml:space="preserve">corporate_count</t>
  </si>
  <si>
    <t xml:space="preserve">los_p25</t>
  </si>
  <si>
    <t xml:space="preserve">los_p50</t>
  </si>
  <si>
    <t xml:space="preserve">los_p75</t>
  </si>
  <si>
    <t xml:space="preserve">icu_p25</t>
  </si>
  <si>
    <t xml:space="preserve">icu_p50</t>
  </si>
  <si>
    <t xml:space="preserve">icu_p75</t>
  </si>
  <si>
    <t xml:space="preserve">ward_p25</t>
  </si>
  <si>
    <t xml:space="preserve">ward_p50</t>
  </si>
  <si>
    <t xml:space="preserve">ward_p75</t>
  </si>
  <si>
    <t xml:space="preserve">ot_p25</t>
  </si>
  <si>
    <t xml:space="preserve">ot_p50</t>
  </si>
  <si>
    <t xml:space="preserve">ot_p75</t>
  </si>
  <si>
    <t xml:space="preserve">service_line_p25</t>
  </si>
  <si>
    <t xml:space="preserve">service_line_p50</t>
  </si>
  <si>
    <t xml:space="preserve">service_line_p75</t>
  </si>
  <si>
    <t xml:space="preserve">ip_drugs_p25</t>
  </si>
  <si>
    <t xml:space="preserve">ip_drugs_p50</t>
  </si>
  <si>
    <t xml:space="preserve">ip_drugs_p75</t>
  </si>
  <si>
    <t xml:space="preserve">ip_consumables_p25</t>
  </si>
  <si>
    <t xml:space="preserve">ip_consumables_p50</t>
  </si>
  <si>
    <t xml:space="preserve">ip_consumables_p75</t>
  </si>
  <si>
    <t xml:space="preserve">ot_drugs_p25</t>
  </si>
  <si>
    <t xml:space="preserve">ot_drugs_p50</t>
  </si>
  <si>
    <t xml:space="preserve">ot_drugs_p75</t>
  </si>
  <si>
    <t xml:space="preserve">ot_consumables_p25</t>
  </si>
  <si>
    <t xml:space="preserve">ot_consumables_p50</t>
  </si>
  <si>
    <t xml:space="preserve">ot_consumables_p75</t>
  </si>
  <si>
    <t xml:space="preserve">implants_p25</t>
  </si>
  <si>
    <t xml:space="preserve">implants_p50</t>
  </si>
  <si>
    <t xml:space="preserve">implants_p75</t>
  </si>
  <si>
    <t xml:space="preserve">ip_drugs_day_p25</t>
  </si>
  <si>
    <t xml:space="preserve">ip_drugs_day_p50</t>
  </si>
  <si>
    <t xml:space="preserve">ip_drugs_day_p75</t>
  </si>
  <si>
    <t xml:space="preserve">ip_consumables_day_p25</t>
  </si>
  <si>
    <t xml:space="preserve">ip_consumables_day_p50</t>
  </si>
  <si>
    <t xml:space="preserve">ip_consumables_day_p75</t>
  </si>
  <si>
    <t xml:space="preserve">cath_lab_p25</t>
  </si>
  <si>
    <t xml:space="preserve">key</t>
  </si>
  <si>
    <t xml:space="preserve">item_code</t>
  </si>
  <si>
    <t xml:space="preserve">item_name</t>
  </si>
  <si>
    <t xml:space="preserve">fc_estimate_bucket</t>
  </si>
  <si>
    <t xml:space="preserve">grouping</t>
  </si>
  <si>
    <t xml:space="preserve">case_presence_rate</t>
  </si>
  <si>
    <t xml:space="preserve">quantity_p25</t>
  </si>
  <si>
    <t xml:space="preserve">quantity_p50</t>
  </si>
  <si>
    <t xml:space="preserve">quantity_p75</t>
  </si>
  <si>
    <t xml:space="preserve">amount_cash_typical</t>
  </si>
  <si>
    <t xml:space="preserve">tariff_general</t>
  </si>
  <si>
    <t xml:space="preserve">tariff_twin</t>
  </si>
  <si>
    <t xml:space="preserve">tariff_single</t>
  </si>
  <si>
    <t xml:space="preserve">tariff_icu</t>
  </si>
  <si>
    <t xml:space="preserve">classification</t>
  </si>
  <si>
    <t xml:space="preserve">present_in_ip_pharmacy</t>
  </si>
  <si>
    <t xml:space="preserve">present_in_ot_pharmacy</t>
  </si>
  <si>
    <t xml:space="preserve">ot_quantity_typical_cleaned</t>
  </si>
  <si>
    <t xml:space="preserve">ot_amount_typical_cleaned</t>
  </si>
  <si>
    <t xml:space="preserve">overall_amount_typical_cleaned</t>
  </si>
  <si>
    <t xml:space="preserve">basis_name_key</t>
  </si>
  <si>
    <t xml:space="preserve">organization_cd</t>
  </si>
  <si>
    <t xml:space="preserve">organization_name</t>
  </si>
  <si>
    <t xml:space="preserve">organization_label</t>
  </si>
  <si>
    <t xml:space="preserve">tariff_code</t>
  </si>
  <si>
    <t xml:space="preserve">tariff_name</t>
  </si>
  <si>
    <t xml:space="preserve">case_count</t>
  </si>
  <si>
    <t xml:space="preserve">matrix_key</t>
  </si>
  <si>
    <t xml:space="preserve">general</t>
  </si>
  <si>
    <t xml:space="preserve">twin</t>
  </si>
  <si>
    <t xml:space="preserve">single</t>
  </si>
  <si>
    <t xml:space="preserve">icu</t>
  </si>
  <si>
    <t xml:space="preserve">ot_slot_hours</t>
  </si>
  <si>
    <t xml:space="preserve">ot_mode</t>
  </si>
  <si>
    <t xml:space="preserve">policy_scope</t>
  </si>
  <si>
    <t xml:space="preserve">exclude_from_insurance_estimate</t>
  </si>
  <si>
    <t xml:space="preserve">note</t>
  </si>
  <si>
    <t xml:space="preserve">pf_named_total_p25</t>
  </si>
  <si>
    <t xml:space="preserve">pf_named_total_p75</t>
  </si>
  <si>
    <t xml:space="preserve">pf_general_needed_total_p25</t>
  </si>
  <si>
    <t xml:space="preserve">pf_general_needed_total_p75</t>
  </si>
  <si>
    <t xml:space="preserve">surgeon_named_total_p25</t>
  </si>
  <si>
    <t xml:space="preserve">surgeon_named_total_p50</t>
  </si>
  <si>
    <t xml:space="preserve">surgeon_named_total_p75</t>
  </si>
  <si>
    <t xml:space="preserve">assistant_surgeon_named_total_p25</t>
  </si>
  <si>
    <t xml:space="preserve">assistant_surgeon_named_total_p50</t>
  </si>
  <si>
    <t xml:space="preserve">assistant_surgeon_named_total_p75</t>
  </si>
  <si>
    <t xml:space="preserve">anesthetist_named_total_p25</t>
  </si>
  <si>
    <t xml:space="preserve">anesthetist_named_total_p50</t>
  </si>
  <si>
    <t xml:space="preserve">anesthetist_named_total_p75</t>
  </si>
  <si>
    <t xml:space="preserve">assistant_anesthetist_named_total_p25</t>
  </si>
  <si>
    <t xml:space="preserve">assistant_anesthetist_named_total_p50</t>
  </si>
  <si>
    <t xml:space="preserve">assistant_anesthetist_named_total_p75</t>
  </si>
  <si>
    <t xml:space="preserve">consultant_or_physician_named_total_p25</t>
  </si>
  <si>
    <t xml:space="preserve">consultant_or_physician_named_total_p50</t>
  </si>
  <si>
    <t xml:space="preserve">consultant_or_physician_named_total_p75</t>
  </si>
  <si>
    <t xml:space="preserve">lookup_key</t>
  </si>
  <si>
    <t xml:space="preserve">component</t>
  </si>
  <si>
    <t xml:space="preserve">target_payor_bucket</t>
  </si>
  <si>
    <t xml:space="preserve">basis</t>
  </si>
  <si>
    <t xml:space="preserve">anchor_p25</t>
  </si>
  <si>
    <t xml:space="preserve">anchor_p50</t>
  </si>
  <si>
    <t xml:space="preserve">anchor_p75</t>
  </si>
  <si>
    <t xml:space="preserve">variability_score</t>
  </si>
  <si>
    <t xml:space="preserve">spread_vs_insurance_all</t>
  </si>
  <si>
    <t xml:space="preserve">spread_vs_all_payers</t>
  </si>
  <si>
    <t xml:space="preserve">recommended_status</t>
  </si>
  <si>
    <t xml:space="preserve">selected_basis</t>
  </si>
  <si>
    <t xml:space="preserve">selected_case_count</t>
  </si>
  <si>
    <t xml:space="preserve">confidence</t>
  </si>
  <si>
    <t xml:space="preserve">selection_reason</t>
  </si>
  <si>
    <t xml:space="preserve">field_key</t>
  </si>
  <si>
    <t xml:space="preserve">field_label</t>
  </si>
  <si>
    <t xml:space="preserve">min</t>
  </si>
  <si>
    <t xml:space="preserve">max</t>
  </si>
  <si>
    <t xml:space="preserve">average</t>
  </si>
  <si>
    <t xml:space="preserve">p25</t>
  </si>
  <si>
    <t xml:space="preserve">p50</t>
  </si>
  <si>
    <t xml:space="preserve">p75</t>
  </si>
  <si>
    <t xml:space="preserve">Cath Lab Family Metrics</t>
  </si>
  <si>
    <t xml:space="preserve">Cash|CAR0080</t>
  </si>
  <si>
    <t xml:space="preserve">Cash|CLOG03|CLOHEX ADS 200ML MOUTH WASH</t>
  </si>
  <si>
    <t xml:space="preserve">Cash|CLOHEX ADS 200ML MOUTH WASH</t>
  </si>
  <si>
    <t xml:space="preserve">ORG56</t>
  </si>
  <si>
    <t xml:space="preserve">THE NEW INDIA ASSURANCE CO. LTD.</t>
  </si>
  <si>
    <t xml:space="preserve">ORG56 - THE NEW INDIA ASSURANCE CO. LTD.</t>
  </si>
  <si>
    <t xml:space="preserve">TR290</t>
  </si>
  <si>
    <t xml:space="preserve">KIMI_GIPS_24(C)</t>
  </si>
  <si>
    <t xml:space="preserve">TR1|BIO0001</t>
  </si>
  <si>
    <t xml:space="preserve">KIMS</t>
  </si>
  <si>
    <t xml:space="preserve">UREA</t>
  </si>
  <si>
    <t xml:space="preserve">TR1|normal|0.5</t>
  </si>
  <si>
    <t xml:space="preserve">normal</t>
  </si>
  <si>
    <t xml:space="preserve">OTC0005</t>
  </si>
  <si>
    <t xml:space="preserve">OT - 1/2 HOUR</t>
  </si>
  <si>
    <t xml:space="preserve">RNS0070</t>
  </si>
  <si>
    <t xml:space="preserve">both_gipsa_and_non_gipsa</t>
  </si>
  <si>
    <t xml:space="preserve">Excluded for insurance FC estimate basis in v1.</t>
  </si>
  <si>
    <t xml:space="preserve">service_basis|Cash</t>
  </si>
  <si>
    <t xml:space="preserve">service_basis</t>
  </si>
  <si>
    <t xml:space="preserve">recommended_exact</t>
  </si>
  <si>
    <t xml:space="preserve">medium</t>
  </si>
  <si>
    <t xml:space="preserve">Cash selected for service_basis against Cash; recommended exact with 26 cases.</t>
  </si>
  <si>
    <t xml:space="preserve">Cash|los_days</t>
  </si>
  <si>
    <t xml:space="preserve">los_days</t>
  </si>
  <si>
    <t xml:space="preserve">LOS / ICU / Ward / OT Quartiles</t>
  </si>
  <si>
    <t xml:space="preserve">metric</t>
  </si>
  <si>
    <t xml:space="preserve">Cash|XRY044</t>
  </si>
  <si>
    <t xml:space="preserve">Cash|ENOI05|ENOXATIL 40MG INJ</t>
  </si>
  <si>
    <t xml:space="preserve">Cash|ENOXATIL 40MG INJ</t>
  </si>
  <si>
    <t xml:space="preserve">ORG54</t>
  </si>
  <si>
    <t xml:space="preserve">THE ORIENTAL INSURANCE CO. LTD.</t>
  </si>
  <si>
    <t xml:space="preserve">ORG54 - THE ORIENTAL INSURANCE CO. LTD.</t>
  </si>
  <si>
    <t xml:space="preserve">TR1|BIO0002</t>
  </si>
  <si>
    <t xml:space="preserve">CREATININE</t>
  </si>
  <si>
    <t xml:space="preserve">TR1|emergency|0.5</t>
  </si>
  <si>
    <t xml:space="preserve">emergency</t>
  </si>
  <si>
    <t xml:space="preserve">OTC0054</t>
  </si>
  <si>
    <t xml:space="preserve">OT-E - 1/2 HOUR</t>
  </si>
  <si>
    <t xml:space="preserve">OTI0060</t>
  </si>
  <si>
    <t xml:space="preserve">insufficient_volume</t>
  </si>
  <si>
    <t xml:space="preserve">Cash|icu_days</t>
  </si>
  <si>
    <t xml:space="preserve">icu_days</t>
  </si>
  <si>
    <t xml:space="preserve">cath_lab_amount_net</t>
  </si>
  <si>
    <t xml:space="preserve">Cash|XRY5090</t>
  </si>
  <si>
    <t xml:space="preserve">Cash|G2KI01|G2K 40MG INJ</t>
  </si>
  <si>
    <t xml:space="preserve">Cash|G2K 40MG INJ</t>
  </si>
  <si>
    <t xml:space="preserve">ORG53</t>
  </si>
  <si>
    <t xml:space="preserve">UNITED INDIA INSURANCE CO. LTD.</t>
  </si>
  <si>
    <t xml:space="preserve">ORG53 - UNITED INDIA INSURANCE CO. LTD.</t>
  </si>
  <si>
    <t xml:space="preserve">TR1|BIO0003</t>
  </si>
  <si>
    <t xml:space="preserve">ELECTROLYTES</t>
  </si>
  <si>
    <t xml:space="preserve">TR1|normal|1</t>
  </si>
  <si>
    <t xml:space="preserve">OTC0006</t>
  </si>
  <si>
    <t xml:space="preserve">OT - 1 HOUR</t>
  </si>
  <si>
    <t xml:space="preserve">Cash|ward_days</t>
  </si>
  <si>
    <t xml:space="preserve">ward_days</t>
  </si>
  <si>
    <t xml:space="preserve">Cash|XRY5133</t>
  </si>
  <si>
    <t xml:space="preserve">Cash|ROPI13|ROPIZUVA 0.2% 20ML INJ</t>
  </si>
  <si>
    <t xml:space="preserve">Cash|ROPIZUVA 0.2% 20ML INJ</t>
  </si>
  <si>
    <t xml:space="preserve">ORG55</t>
  </si>
  <si>
    <t xml:space="preserve">NATIONAL INSURANCE COMPANY LTD.</t>
  </si>
  <si>
    <t xml:space="preserve">ORG55 - NATIONAL INSURANCE COMPANY LTD.</t>
  </si>
  <si>
    <t xml:space="preserve">TR1|BIO0004</t>
  </si>
  <si>
    <t xml:space="preserve">SODIUM</t>
  </si>
  <si>
    <t xml:space="preserve">TR1|emergency|1</t>
  </si>
  <si>
    <t xml:space="preserve">OTC0055</t>
  </si>
  <si>
    <t xml:space="preserve">OT-E - 1 HOUR</t>
  </si>
  <si>
    <t xml:space="preserve">OTI0001</t>
  </si>
  <si>
    <t xml:space="preserve">Cash|ot_hours</t>
  </si>
  <si>
    <t xml:space="preserve">ot_hours</t>
  </si>
  <si>
    <t xml:space="preserve">Cash|BIO0001</t>
  </si>
  <si>
    <t xml:space="preserve">Cash|VERI10|VERFEN 2ML INJ</t>
  </si>
  <si>
    <t xml:space="preserve">Cash|VERFEN 2ML INJ</t>
  </si>
  <si>
    <t xml:space="preserve">ORG61</t>
  </si>
  <si>
    <t xml:space="preserve">STAR HEALTH AND ALLIED INSURANCE CO. LTD.</t>
  </si>
  <si>
    <t xml:space="preserve">ORG61 - STAR HEALTH AND ALLIED INSURANCE CO. LTD.</t>
  </si>
  <si>
    <t xml:space="preserve">TR287</t>
  </si>
  <si>
    <t xml:space="preserve">STAR_HYD_23(C)</t>
  </si>
  <si>
    <t xml:space="preserve">TR1|BIO0162</t>
  </si>
  <si>
    <t xml:space="preserve">ALBUMIN</t>
  </si>
  <si>
    <t xml:space="preserve">TR1|normal|1.5</t>
  </si>
  <si>
    <t xml:space="preserve">OTC0007</t>
  </si>
  <si>
    <t xml:space="preserve">OT - 1 1/2 HOUR</t>
  </si>
  <si>
    <t xml:space="preserve">OTI0061</t>
  </si>
  <si>
    <t xml:space="preserve">Cash|service_line_count</t>
  </si>
  <si>
    <t xml:space="preserve">service_line_count</t>
  </si>
  <si>
    <t xml:space="preserve">Cash|BIO0002</t>
  </si>
  <si>
    <t xml:space="preserve">Cash|ADVR01|ADVACRYL 0 ADVA2534(AMS)</t>
  </si>
  <si>
    <t xml:space="preserve">Cash|ADVACRYL 0 ADVA2534(AMS)</t>
  </si>
  <si>
    <t xml:space="preserve">ORG59</t>
  </si>
  <si>
    <t xml:space="preserve">ICICI LOMBARD GENERAL INSURANCE CO. LTD.</t>
  </si>
  <si>
    <t xml:space="preserve">ORG59 - ICICI LOMBARD GENERAL INSURANCE CO. LTD.</t>
  </si>
  <si>
    <t xml:space="preserve">TR201</t>
  </si>
  <si>
    <t xml:space="preserve">SSG_ICICI</t>
  </si>
  <si>
    <t xml:space="preserve">TR1|CAR5341</t>
  </si>
  <si>
    <t xml:space="preserve">BEDSIDE ECG</t>
  </si>
  <si>
    <t xml:space="preserve">TR1|emergency|1.5</t>
  </si>
  <si>
    <t xml:space="preserve">OTC0056</t>
  </si>
  <si>
    <t xml:space="preserve">OT-E - 1 1/2 HOUR</t>
  </si>
  <si>
    <t xml:space="preserve">materially_different_keep_separate</t>
  </si>
  <si>
    <t xml:space="preserve">Cash|room_charges</t>
  </si>
  <si>
    <t xml:space="preserve">room_charges</t>
  </si>
  <si>
    <t xml:space="preserve">Cash|BIO0003</t>
  </si>
  <si>
    <t xml:space="preserve">Cash|CLIU5|CLING DRAPE 15CM*500CM(CD01-SURGIWEAR)</t>
  </si>
  <si>
    <t xml:space="preserve">Cash|CLING DRAPE 15CM*500CM(CD01-SURGIWEAR)</t>
  </si>
  <si>
    <t xml:space="preserve">ORG1199</t>
  </si>
  <si>
    <t xml:space="preserve">CARE HEALTH INSURANCE LTD.</t>
  </si>
  <si>
    <t xml:space="preserve">ORG1199 - CARE HEALTH INSURANCE LTD.</t>
  </si>
  <si>
    <t xml:space="preserve">TR202</t>
  </si>
  <si>
    <t xml:space="preserve">SSG_CARE</t>
  </si>
  <si>
    <t xml:space="preserve">TR1|CAS0007</t>
  </si>
  <si>
    <t xml:space="preserve">DRESSING-MINOR</t>
  </si>
  <si>
    <t xml:space="preserve">TR1|normal|2</t>
  </si>
  <si>
    <t xml:space="preserve">OTC0008</t>
  </si>
  <si>
    <t xml:space="preserve">OT - 2 HOURS</t>
  </si>
  <si>
    <t xml:space="preserve">EME5011</t>
  </si>
  <si>
    <t xml:space="preserve">pharmacy_basis|Cash</t>
  </si>
  <si>
    <t xml:space="preserve">pharmacy_basis</t>
  </si>
  <si>
    <t xml:space="preserve">Cash selected for pharmacy_basis against Cash; recommended exact with 26 cases.</t>
  </si>
  <si>
    <t xml:space="preserve">Cash|room_charges_per_day</t>
  </si>
  <si>
    <t xml:space="preserve">room_charges_per_day</t>
  </si>
  <si>
    <t xml:space="preserve">Cash|BIO0004</t>
  </si>
  <si>
    <t xml:space="preserve">Cash|ECGU48|ECG ELECTRODES ADULT(SUCHIKA)</t>
  </si>
  <si>
    <t xml:space="preserve">Cash|ECG ELECTRODES ADULT(SUCHIKA)</t>
  </si>
  <si>
    <t xml:space="preserve">ORG1197</t>
  </si>
  <si>
    <t xml:space="preserve">ADITYA BIRLA HEALTH INSURANCE CO. LTD.</t>
  </si>
  <si>
    <t xml:space="preserve">ORG1197 - ADITYA BIRLA HEALTH INSURANCE CO. LTD.</t>
  </si>
  <si>
    <t xml:space="preserve">TR285</t>
  </si>
  <si>
    <t xml:space="preserve">MEDI ASST-23(C)</t>
  </si>
  <si>
    <t xml:space="preserve">TR1|DIE0001</t>
  </si>
  <si>
    <t xml:space="preserve">DIET CONSULTATION</t>
  </si>
  <si>
    <t xml:space="preserve">TR1|emergency|2</t>
  </si>
  <si>
    <t xml:space="preserve">OTC0057</t>
  </si>
  <si>
    <t xml:space="preserve">OT-E - 2 HOURS</t>
  </si>
  <si>
    <t xml:space="preserve">Cash|investigations</t>
  </si>
  <si>
    <t xml:space="preserve">investigations</t>
  </si>
  <si>
    <t xml:space="preserve">Pharmacy Bucket Quartiles</t>
  </si>
  <si>
    <t xml:space="preserve">Cash|BIO0005</t>
  </si>
  <si>
    <t xml:space="preserve">Cash|IOBU02|IOBAN 56CM*45CM(6650-3M)</t>
  </si>
  <si>
    <t xml:space="preserve">Cash|IOBAN 56CM*45CM(6650-3M)</t>
  </si>
  <si>
    <t xml:space="preserve">ORG57</t>
  </si>
  <si>
    <t xml:space="preserve">BAJAJ ALLIANZ GENERAL INSURANCE CO. LTD.</t>
  </si>
  <si>
    <t xml:space="preserve">ORG57 - BAJAJ ALLIANZ GENERAL INSURANCE CO. LTD.</t>
  </si>
  <si>
    <t xml:space="preserve">TR289</t>
  </si>
  <si>
    <t xml:space="preserve">BAJA_HYD_23(C)</t>
  </si>
  <si>
    <t xml:space="preserve">TR1|EME0017</t>
  </si>
  <si>
    <t xml:space="preserve">OXYGEN PER HOUR</t>
  </si>
  <si>
    <t xml:space="preserve">TR1|normal|2.5</t>
  </si>
  <si>
    <t xml:space="preserve">OTC0009</t>
  </si>
  <si>
    <t xml:space="preserve">OT - 2 1/2 HOURS</t>
  </si>
  <si>
    <t xml:space="preserve">OTI0075</t>
  </si>
  <si>
    <t xml:space="preserve">Cash|procedure_ot_charges</t>
  </si>
  <si>
    <t xml:space="preserve">procedure_ot_charges</t>
  </si>
  <si>
    <t xml:space="preserve">bucket</t>
  </si>
  <si>
    <t xml:space="preserve">Cash|BIO0064</t>
  </si>
  <si>
    <t xml:space="preserve">Cash|MEPU50|MEPILEX BORDER POST-OP 10CM*35CM(496650-MOLNLYCKE)</t>
  </si>
  <si>
    <t xml:space="preserve">Cash|MEPILEX BORDER POST-OP 10CM*35CM(496650-MOLNLYCKE)</t>
  </si>
  <si>
    <t xml:space="preserve">ORG126</t>
  </si>
  <si>
    <t xml:space="preserve">HDFC ERGO GENERAL INSURANCE CO. LTD.</t>
  </si>
  <si>
    <t xml:space="preserve">ORG126 - HDFC ERGO GENERAL INSURANCE CO. LTD.</t>
  </si>
  <si>
    <t xml:space="preserve">TR286</t>
  </si>
  <si>
    <t xml:space="preserve">HDFC_HYD_23(C)</t>
  </si>
  <si>
    <t xml:space="preserve">TR1|EME0019</t>
  </si>
  <si>
    <t xml:space="preserve">MONITOR PER DAY</t>
  </si>
  <si>
    <t xml:space="preserve">TR1|emergency|2.5</t>
  </si>
  <si>
    <t xml:space="preserve">OTC0058</t>
  </si>
  <si>
    <t xml:space="preserve">OT-E - 2 1/2 HOURS</t>
  </si>
  <si>
    <t xml:space="preserve">OTI0059</t>
  </si>
  <si>
    <t xml:space="preserve">Cash|bedside_services</t>
  </si>
  <si>
    <t xml:space="preserve">bedside_services</t>
  </si>
  <si>
    <t xml:space="preserve">ip_drugs</t>
  </si>
  <si>
    <t xml:space="preserve">Cash|BIO0075</t>
  </si>
  <si>
    <t xml:space="preserve">Cash|SURU160|SURGICAL GLOVE 7.5(BLISTER PACK-SURGICARE-KANAM)</t>
  </si>
  <si>
    <t xml:space="preserve">Cash|SURGICAL GLOVE 7.5(BLISTER PACK-SURGICARE-KANAM)</t>
  </si>
  <si>
    <t xml:space="preserve">ORG71</t>
  </si>
  <si>
    <t xml:space="preserve">MEDI ASSIST INSURANCE TPA PVT. LTD.</t>
  </si>
  <si>
    <t xml:space="preserve">ORG71 - MEDI ASSIST INSURANCE TPA PVT. LTD.</t>
  </si>
  <si>
    <t xml:space="preserve">TR292</t>
  </si>
  <si>
    <t xml:space="preserve">KIMSI_MA_2024(C</t>
  </si>
  <si>
    <t xml:space="preserve">TR1|EME0087</t>
  </si>
  <si>
    <t xml:space="preserve">WARMER</t>
  </si>
  <si>
    <t xml:space="preserve">TR1|normal|3</t>
  </si>
  <si>
    <t xml:space="preserve">OTC0010</t>
  </si>
  <si>
    <t xml:space="preserve">OT - 3 HOURS</t>
  </si>
  <si>
    <t xml:space="preserve">Cash|professional_fees</t>
  </si>
  <si>
    <t xml:space="preserve">professional_fees</t>
  </si>
  <si>
    <t xml:space="preserve">ip_consumables</t>
  </si>
  <si>
    <t xml:space="preserve">Cash|BIO0097</t>
  </si>
  <si>
    <t xml:space="preserve">Cash|SURU84|SURGICAL BLADE 11(GLASSVAN)</t>
  </si>
  <si>
    <t xml:space="preserve">Cash|SURGICAL BLADE 11(GLASSVAN)</t>
  </si>
  <si>
    <t xml:space="preserve">ORG1206</t>
  </si>
  <si>
    <t xml:space="preserve">TATA AIG GENERAL INSURANCE CO. LTD.</t>
  </si>
  <si>
    <t xml:space="preserve">ORG1206 - TATA AIG GENERAL INSURANCE CO. LTD.</t>
  </si>
  <si>
    <t xml:space="preserve">TR288</t>
  </si>
  <si>
    <t xml:space="preserve">KIMSI-2023(C)</t>
  </si>
  <si>
    <t xml:space="preserve">TR1|HSP0047</t>
  </si>
  <si>
    <t xml:space="preserve">MLC CHARGES-IP</t>
  </si>
  <si>
    <t xml:space="preserve">TR1|emergency|3</t>
  </si>
  <si>
    <t xml:space="preserve">OTC0059</t>
  </si>
  <si>
    <t xml:space="preserve">OT-E - 3 HOURS</t>
  </si>
  <si>
    <t xml:space="preserve">Cash|ip_drugs</t>
  </si>
  <si>
    <t xml:space="preserve">ot_drugs</t>
  </si>
  <si>
    <t xml:space="preserve">Cash|BIO0098</t>
  </si>
  <si>
    <t xml:space="preserve">Cash|SURU85|SURGICAL BLADE 22(GLASSVAN)</t>
  </si>
  <si>
    <t xml:space="preserve">Cash|SURGICAL BLADE 22(GLASSVAN)</t>
  </si>
  <si>
    <t xml:space="preserve">ORG1249</t>
  </si>
  <si>
    <t xml:space="preserve">SBI GENERAL INSURANCE CO. LTD.</t>
  </si>
  <si>
    <t xml:space="preserve">ORG1249 - SBI GENERAL INSURANCE CO. LTD.</t>
  </si>
  <si>
    <t xml:space="preserve">TR240</t>
  </si>
  <si>
    <t xml:space="preserve">KIMSI_MA_2024</t>
  </si>
  <si>
    <t xml:space="preserve">TR1|HSP5013</t>
  </si>
  <si>
    <t xml:space="preserve">WARD CONSUMABLES</t>
  </si>
  <si>
    <t xml:space="preserve">TR1|normal|3.5</t>
  </si>
  <si>
    <t xml:space="preserve">OTC0011</t>
  </si>
  <si>
    <t xml:space="preserve">OT - 3 1/2 HOURS</t>
  </si>
  <si>
    <t xml:space="preserve">pf_basis|Cash</t>
  </si>
  <si>
    <t xml:space="preserve">pf_basis</t>
  </si>
  <si>
    <t xml:space="preserve">Cash selected for pf_basis against Cash; recommended exact with 26 cases.</t>
  </si>
  <si>
    <t xml:space="preserve">Cash|ip_drugs_per_day</t>
  </si>
  <si>
    <t xml:space="preserve">ip_drugs_per_day</t>
  </si>
  <si>
    <t xml:space="preserve">ot_consumables</t>
  </si>
  <si>
    <t xml:space="preserve">Cash|BIO0106</t>
  </si>
  <si>
    <t xml:space="preserve">Cash|SYRU121|SYRINGE 50ML LL(LIFELONG)</t>
  </si>
  <si>
    <t xml:space="preserve">Cash|SYRINGE 50ML LL(LIFELONG)</t>
  </si>
  <si>
    <t xml:space="preserve">ORG1238</t>
  </si>
  <si>
    <t xml:space="preserve">GO DIGIT GENERAL INSURANCE LTD.</t>
  </si>
  <si>
    <t xml:space="preserve">ORG1238 - GO DIGIT GENERAL INSURANCE LTD.</t>
  </si>
  <si>
    <t xml:space="preserve">TR1|ICC0001</t>
  </si>
  <si>
    <t xml:space="preserve">ASSISTANT INTENSIVIST PER DAY</t>
  </si>
  <si>
    <t xml:space="preserve">TR1|emergency|3.5</t>
  </si>
  <si>
    <t xml:space="preserve">OTC0060</t>
  </si>
  <si>
    <t xml:space="preserve">OT-E - 3 1/2 HOURS</t>
  </si>
  <si>
    <t xml:space="preserve">OTI0014</t>
  </si>
  <si>
    <t xml:space="preserve">Cash|ip_consumables</t>
  </si>
  <si>
    <t xml:space="preserve">implants</t>
  </si>
  <si>
    <t xml:space="preserve">Cash|BIO0121</t>
  </si>
  <si>
    <t xml:space="preserve">Cash|SYRU63|SYRINGE 10ML(LIFELONG)</t>
  </si>
  <si>
    <t xml:space="preserve">Cash|SYRINGE 10ML(LIFELONG)</t>
  </si>
  <si>
    <t xml:space="preserve">ORG119</t>
  </si>
  <si>
    <t xml:space="preserve">GENERALI CENTRAL INSURANCE CO. LTD.</t>
  </si>
  <si>
    <t xml:space="preserve">ORG119 - GENERALI CENTRAL INSURANCE CO. LTD.</t>
  </si>
  <si>
    <t xml:space="preserve">TR1|ICC0002</t>
  </si>
  <si>
    <t xml:space="preserve">INTENSIVIST PER DAY</t>
  </si>
  <si>
    <t xml:space="preserve">TR1|normal|4</t>
  </si>
  <si>
    <t xml:space="preserve">OTC0012</t>
  </si>
  <si>
    <t xml:space="preserve">OT - 4 HOURS</t>
  </si>
  <si>
    <t xml:space="preserve">Cash|ip_consumables_per_day</t>
  </si>
  <si>
    <t xml:space="preserve">ip_consumables_per_day</t>
  </si>
  <si>
    <t xml:space="preserve">Cash|BIO0162</t>
  </si>
  <si>
    <t xml:space="preserve">Liver Function Tests</t>
  </si>
  <si>
    <t xml:space="preserve">Cash|SYRU70|SYRINGE 2ML(LIFELONG)</t>
  </si>
  <si>
    <t xml:space="preserve">Cash|SYRINGE 2ML(LIFELONG)</t>
  </si>
  <si>
    <t xml:space="preserve">ORG1147</t>
  </si>
  <si>
    <t xml:space="preserve">MANIPALCIGNA HEALTH INSURANCE CO. LTD.</t>
  </si>
  <si>
    <t xml:space="preserve">ORG1147 - MANIPALCIGNA HEALTH INSURANCE CO. LTD.</t>
  </si>
  <si>
    <t xml:space="preserve">TR1|OTC0010</t>
  </si>
  <si>
    <t xml:space="preserve">TR1|emergency|4</t>
  </si>
  <si>
    <t xml:space="preserve">OTC0061</t>
  </si>
  <si>
    <t xml:space="preserve">OT-E - 4 HOURS</t>
  </si>
  <si>
    <t xml:space="preserve">EME5047</t>
  </si>
  <si>
    <t xml:space="preserve">Cash|ot_drugs</t>
  </si>
  <si>
    <t xml:space="preserve">IP Pharmacy Per LOS Day Quartiles</t>
  </si>
  <si>
    <t xml:space="preserve">Cash|BIO0181</t>
  </si>
  <si>
    <t xml:space="preserve">Cash|UNDU17|UNDERPAD 90CM X 60CM(MAGMACARE)</t>
  </si>
  <si>
    <t xml:space="preserve">Cash|UNDERPAD 90CM X 60CM(MAGMACARE)</t>
  </si>
  <si>
    <t xml:space="preserve">ORG60</t>
  </si>
  <si>
    <t xml:space="preserve">INDUSIND GENERAL INSURANCE CO. LTD.</t>
  </si>
  <si>
    <t xml:space="preserve">ORG60 - INDUSIND GENERAL INSURANCE CO. LTD.</t>
  </si>
  <si>
    <t xml:space="preserve">TR1|OTC5005</t>
  </si>
  <si>
    <t xml:space="preserve">POST SURGERY RECOVERY CHARGES</t>
  </si>
  <si>
    <t xml:space="preserve">TR1|normal|4.5</t>
  </si>
  <si>
    <t xml:space="preserve">OTC0013</t>
  </si>
  <si>
    <t xml:space="preserve">OT - 4 1/2 HOURS</t>
  </si>
  <si>
    <t xml:space="preserve">OTI0036</t>
  </si>
  <si>
    <t xml:space="preserve">Cash|ot_consumables</t>
  </si>
  <si>
    <t xml:space="preserve">Cash|BLD0001</t>
  </si>
  <si>
    <t xml:space="preserve">Cash|CHGC01|CHG SKIN PREP 2% 500ML(3M)</t>
  </si>
  <si>
    <t xml:space="preserve">Cash|CHG SKIN PREP 2% 500ML(3M)</t>
  </si>
  <si>
    <t xml:space="preserve">ORG120</t>
  </si>
  <si>
    <t xml:space="preserve">NIVA BUPA HEALTH INSURANCE CO. LTD.</t>
  </si>
  <si>
    <t xml:space="preserve">ORG120 - NIVA BUPA HEALTH INSURANCE CO. LTD.</t>
  </si>
  <si>
    <t xml:space="preserve">TR303</t>
  </si>
  <si>
    <t xml:space="preserve">KIMSI_NIVA_2025</t>
  </si>
  <si>
    <t xml:space="preserve">TR1|OTI0015</t>
  </si>
  <si>
    <t xml:space="preserve">OT DISINFECTION CHARGES</t>
  </si>
  <si>
    <t xml:space="preserve">TR1|emergency|4.5</t>
  </si>
  <si>
    <t xml:space="preserve">OTC0062</t>
  </si>
  <si>
    <t xml:space="preserve">OT-E - 4 1/2 HOURS</t>
  </si>
  <si>
    <t xml:space="preserve">HSP5049</t>
  </si>
  <si>
    <t xml:space="preserve">Cash|implants</t>
  </si>
  <si>
    <t xml:space="preserve">ip_drugs_per_los_day</t>
  </si>
  <si>
    <t xml:space="preserve">Cash|BLD0009</t>
  </si>
  <si>
    <t xml:space="preserve">Cash|ADVR04|ADVACRYL 1 ADVA2421P(AMS)</t>
  </si>
  <si>
    <t xml:space="preserve">Cash|ADVACRYL 1 ADVA2421P(AMS)</t>
  </si>
  <si>
    <t xml:space="preserve">ORG1425</t>
  </si>
  <si>
    <t xml:space="preserve">MAGMA GENERAL INSURANCE LTD.</t>
  </si>
  <si>
    <t xml:space="preserve">ORG1425 - MAGMA GENERAL INSURANCE LTD.</t>
  </si>
  <si>
    <t xml:space="preserve">TR1|OTI0018</t>
  </si>
  <si>
    <t xml:space="preserve">INSTRUMENT CHARGES (MAJOR)</t>
  </si>
  <si>
    <t xml:space="preserve">TR1|normal|5</t>
  </si>
  <si>
    <t xml:space="preserve">OTC0014</t>
  </si>
  <si>
    <t xml:space="preserve">OT - 5 HOURS</t>
  </si>
  <si>
    <t xml:space="preserve">CAR5028</t>
  </si>
  <si>
    <t xml:space="preserve">service_basis|GIPSA Insurance</t>
  </si>
  <si>
    <t xml:space="preserve">All Payers selected for service_basis against GIPSA Insurance; recommended fallback all payers with 26 cases.</t>
  </si>
  <si>
    <t xml:space="preserve">Cash|pharmacy_total</t>
  </si>
  <si>
    <t xml:space="preserve">pharmacy_total</t>
  </si>
  <si>
    <t xml:space="preserve">ip_consumables_per_los_day</t>
  </si>
  <si>
    <t xml:space="preserve">Cash|BLD0024</t>
  </si>
  <si>
    <t xml:space="preserve">Cash|SKIS01|SKIN STAPLER 35 PIN(ADVASKN-35-AMS)</t>
  </si>
  <si>
    <t xml:space="preserve">Cash|SKIN STAPLER 35 PIN(ADVASKN-35-AMS)</t>
  </si>
  <si>
    <t xml:space="preserve">ORG778</t>
  </si>
  <si>
    <t xml:space="preserve">LIBERTY GENERAL INSURANCE LTD.</t>
  </si>
  <si>
    <t xml:space="preserve">ORG778 - LIBERTY GENERAL INSURANCE LTD.</t>
  </si>
  <si>
    <t xml:space="preserve">TR284</t>
  </si>
  <si>
    <t xml:space="preserve">KIMSI-22(C)</t>
  </si>
  <si>
    <t xml:space="preserve">TR1|OTI0098</t>
  </si>
  <si>
    <t xml:space="preserve">TR1|emergency|5</t>
  </si>
  <si>
    <t xml:space="preserve">OTC0063</t>
  </si>
  <si>
    <t xml:space="preserve">OT-E - 5 HOURS</t>
  </si>
  <si>
    <t xml:space="preserve">OTI0058</t>
  </si>
  <si>
    <t xml:space="preserve">Cash|drug_administration_charges</t>
  </si>
  <si>
    <t xml:space="preserve">drug_administration_charges</t>
  </si>
  <si>
    <t xml:space="preserve">Cash|PAT0007</t>
  </si>
  <si>
    <t xml:space="preserve">Cash|SPOC03|SPONGE GAUZE 4 BUNDLE(STERILE)</t>
  </si>
  <si>
    <t xml:space="preserve">Cash|SPONGE GAUZE 4 BUNDLE(STERILE)</t>
  </si>
  <si>
    <t xml:space="preserve">ORG1144</t>
  </si>
  <si>
    <t xml:space="preserve">VIDAL HEALTH INSURANCE TPA PVT. LTD.</t>
  </si>
  <si>
    <t xml:space="preserve">ORG1144 - VIDAL HEALTH INSURANCE TPA PVT. LTD.</t>
  </si>
  <si>
    <t xml:space="preserve">TR1|PAT0042</t>
  </si>
  <si>
    <t xml:space="preserve">TR1|normal|5.5</t>
  </si>
  <si>
    <t xml:space="preserve">OTC0015</t>
  </si>
  <si>
    <t xml:space="preserve">OT - 5 1/2 HOURS</t>
  </si>
  <si>
    <t xml:space="preserve">OTI0025</t>
  </si>
  <si>
    <t xml:space="preserve">Cash|services_total_excluding_food_and_beverage</t>
  </si>
  <si>
    <t xml:space="preserve">services_total_excluding_food_and_beverage</t>
  </si>
  <si>
    <t xml:space="preserve">Cleaned Service Line Count Quartiles</t>
  </si>
  <si>
    <t xml:space="preserve">Cash|PAT0041</t>
  </si>
  <si>
    <t xml:space="preserve">Cash|STIU9|STIMUPLEX NEEDLE 100MM 21G*4IN(4894260-BBRAUN)</t>
  </si>
  <si>
    <t xml:space="preserve">Cash|STIMUPLEX NEEDLE 100MM 21G*4IN(4894260-BBRAUN)</t>
  </si>
  <si>
    <t xml:space="preserve">ORG66</t>
  </si>
  <si>
    <t xml:space="preserve">FAMILY HEALTH PLAN INSURANCE TPA LTD.</t>
  </si>
  <si>
    <t xml:space="preserve">ORG66 - FAMILY HEALTH PLAN INSURANCE TPA LTD.</t>
  </si>
  <si>
    <t xml:space="preserve">TR1|PAT0045</t>
  </si>
  <si>
    <t xml:space="preserve">TR1|emergency|5.5</t>
  </si>
  <si>
    <t xml:space="preserve">OTC0064</t>
  </si>
  <si>
    <t xml:space="preserve">OT-E - 5 1/2 HOURS</t>
  </si>
  <si>
    <t xml:space="preserve">OTI0101</t>
  </si>
  <si>
    <t xml:space="preserve">Cash|food_and_beverage_excluded</t>
  </si>
  <si>
    <t xml:space="preserve">food_and_beverage_excluded</t>
  </si>
  <si>
    <t xml:space="preserve">Cash|PAT0042</t>
  </si>
  <si>
    <t xml:space="preserve">Cash|SURU107|SURGICAL CLIPPER BLADE ( 9680 -3M )</t>
  </si>
  <si>
    <t xml:space="preserve">Cash|SURGICAL CLIPPER BLADE ( 9680 -3M )</t>
  </si>
  <si>
    <t xml:space="preserve">ORG50</t>
  </si>
  <si>
    <t xml:space="preserve">IFFCO-TOKIO GENERAL INSURANCE CO. LTD.</t>
  </si>
  <si>
    <t xml:space="preserve">ORG50 - IFFCO-TOKIO GENERAL INSURANCE CO. LTD.</t>
  </si>
  <si>
    <t xml:space="preserve">TR206</t>
  </si>
  <si>
    <t xml:space="preserve">SSG_IFFCO</t>
  </si>
  <si>
    <t xml:space="preserve">TR1|PHY5082</t>
  </si>
  <si>
    <t xml:space="preserve">TR1|normal|6</t>
  </si>
  <si>
    <t xml:space="preserve">OTC0016</t>
  </si>
  <si>
    <t xml:space="preserve">OT - 6 HOURS</t>
  </si>
  <si>
    <t xml:space="preserve">Cash|pharmacy_returns_excluded</t>
  </si>
  <si>
    <t xml:space="preserve">pharmacy_returns_excluded</t>
  </si>
  <si>
    <t xml:space="preserve">cleaned_distinct_service_line_count</t>
  </si>
  <si>
    <t xml:space="preserve">Cash|PAT0045</t>
  </si>
  <si>
    <t xml:space="preserve">Cash|SYRU90|SYRINGE 5ML(LIFELONG)</t>
  </si>
  <si>
    <t xml:space="preserve">Cash|SYRINGE 5ML(LIFELONG)</t>
  </si>
  <si>
    <t xml:space="preserve">ORG1424</t>
  </si>
  <si>
    <t xml:space="preserve">ZURICH KOTAK GENERAL INSURANCE CO. (I) LTD.</t>
  </si>
  <si>
    <t xml:space="preserve">ORG1424 - ZURICH KOTAK GENERAL INSURANCE CO. (I) LTD.</t>
  </si>
  <si>
    <t xml:space="preserve">TR1|RNS0120</t>
  </si>
  <si>
    <t xml:space="preserve">MEDICAL RECORDS- &gt; 1 DAY</t>
  </si>
  <si>
    <t xml:space="preserve">TR1|emergency|6</t>
  </si>
  <si>
    <t xml:space="preserve">OTC0065</t>
  </si>
  <si>
    <t xml:space="preserve">OT-E - 6 HOURS</t>
  </si>
  <si>
    <t xml:space="preserve">recommended_fallback_all_payers</t>
  </si>
  <si>
    <t xml:space="preserve">Cash|total_amount_excluding_food_and_beverage_and_returns_plus_drug_admin</t>
  </si>
  <si>
    <t xml:space="preserve">total_amount_excluding_food_and_beverage_and_returns_plus_drug_admin</t>
  </si>
  <si>
    <t xml:space="preserve">Cash|PAT0078</t>
  </si>
  <si>
    <t xml:space="preserve">Cash|ROPI09|ROPIZUVA 0.75% 20ML INJ</t>
  </si>
  <si>
    <t xml:space="preserve">Cash|ROPIZUVA 0.75% 20ML INJ</t>
  </si>
  <si>
    <t xml:space="preserve">ORG73</t>
  </si>
  <si>
    <t xml:space="preserve">PARAMOUNT HEALTH SERVICES &amp; INSURANCE TPA PVT. LTD.</t>
  </si>
  <si>
    <t xml:space="preserve">ORG73 - PARAMOUNT HEALTH SERVICES &amp; INSURANCE TPA PVT. LTD.</t>
  </si>
  <si>
    <t xml:space="preserve">TR1|RNS5005</t>
  </si>
  <si>
    <t xml:space="preserve">TR1|normal|6.5</t>
  </si>
  <si>
    <t xml:space="preserve">OTC0017</t>
  </si>
  <si>
    <t xml:space="preserve">OT - 6 1/2 HOURS</t>
  </si>
  <si>
    <t xml:space="preserve">pharmacy_basis|GIPSA Insurance</t>
  </si>
  <si>
    <t xml:space="preserve">All Payers selected for pharmacy_basis against GIPSA Insurance; recommended fallback all payers with 26 cases.</t>
  </si>
  <si>
    <t xml:space="preserve">GIPSA Insurance|los_days</t>
  </si>
  <si>
    <t xml:space="preserve">Cleaned Services Template</t>
  </si>
  <si>
    <t xml:space="preserve">Cash|PHY5082</t>
  </si>
  <si>
    <t xml:space="preserve">Cash|ROPI16|ROPIN HEAVY 0.75% 4ML INJ</t>
  </si>
  <si>
    <t xml:space="preserve">Cash|ROPIN HEAVY 0.75% 4ML INJ</t>
  </si>
  <si>
    <t xml:space="preserve">ORG99</t>
  </si>
  <si>
    <t xml:space="preserve">ROYAL SUNDARAM GENERAL INSURANCE CO. LTD.</t>
  </si>
  <si>
    <t xml:space="preserve">ORG99 - ROYAL SUNDARAM GENERAL INSURANCE CO. LTD.</t>
  </si>
  <si>
    <t xml:space="preserve">TR1|ROM0001</t>
  </si>
  <si>
    <t xml:space="preserve">ROM0001</t>
  </si>
  <si>
    <t xml:space="preserve">BED CHARGES - GENERAL WARD</t>
  </si>
  <si>
    <t xml:space="preserve">TR1|emergency|6.5</t>
  </si>
  <si>
    <t xml:space="preserve">OTC0066</t>
  </si>
  <si>
    <t xml:space="preserve">OT-E - 6 1/2 HOURS</t>
  </si>
  <si>
    <t xml:space="preserve">GIPSA Insurance|icu_days</t>
  </si>
  <si>
    <t xml:space="preserve">Cash|ANS0003</t>
  </si>
  <si>
    <t xml:space="preserve">Cash|ADVR07|ADVACRYL 2 ADVA2478P(AMS)</t>
  </si>
  <si>
    <t xml:space="preserve">Cash|ADVACRYL 2 ADVA2478P(AMS)</t>
  </si>
  <si>
    <t xml:space="preserve">ORG1368</t>
  </si>
  <si>
    <t xml:space="preserve">AMANAH INSURANCE</t>
  </si>
  <si>
    <t xml:space="preserve">ORG1368 - AMANAH INSURANCE</t>
  </si>
  <si>
    <t xml:space="preserve">TR177</t>
  </si>
  <si>
    <t xml:space="preserve">KIMS_INT_23</t>
  </si>
  <si>
    <t xml:space="preserve">TR1|ROM0024</t>
  </si>
  <si>
    <t xml:space="preserve">ROM0024</t>
  </si>
  <si>
    <t xml:space="preserve">BED CHARGES - TWIN SHARING</t>
  </si>
  <si>
    <t xml:space="preserve">TR1|normal|7</t>
  </si>
  <si>
    <t xml:space="preserve">OTC0018</t>
  </si>
  <si>
    <t xml:space="preserve">OT - 7 HOURS</t>
  </si>
  <si>
    <t xml:space="preserve">GIPSA Insurance|ward_days</t>
  </si>
  <si>
    <t xml:space="preserve">Cash|DIE0001</t>
  </si>
  <si>
    <t xml:space="preserve">Doctors &amp; Professionals - General - Needed</t>
  </si>
  <si>
    <t xml:space="preserve">Cash|PROS60|PRO-OPERATIVE SHOWER KIT(3M)</t>
  </si>
  <si>
    <t xml:space="preserve">Cash|PRO-OPERATIVE SHOWER KIT(3M)</t>
  </si>
  <si>
    <t xml:space="preserve">ORG1428</t>
  </si>
  <si>
    <t xml:space="preserve">ZUNO GENERAL INSURANCE LTD.</t>
  </si>
  <si>
    <t xml:space="preserve">ORG1428 - ZUNO GENERAL INSURANCE LTD.</t>
  </si>
  <si>
    <t xml:space="preserve">TR1|ROM0036</t>
  </si>
  <si>
    <t xml:space="preserve">ROM0036</t>
  </si>
  <si>
    <t xml:space="preserve">BED CHARGES - SINGLE</t>
  </si>
  <si>
    <t xml:space="preserve">TR1|emergency|7</t>
  </si>
  <si>
    <t xml:space="preserve">OTC0067</t>
  </si>
  <si>
    <t xml:space="preserve">OT-E - 7 HOURS</t>
  </si>
  <si>
    <t xml:space="preserve">GIPSA Insurance|ot_hours</t>
  </si>
  <si>
    <t xml:space="preserve">Cash|PHY5076</t>
  </si>
  <si>
    <t xml:space="preserve">Cash|TOPU09|TOP C NET 15CM*10M(4100-DYNA)</t>
  </si>
  <si>
    <t xml:space="preserve">Cash|TOP C NET 15CM*10M(4100-DYNA)</t>
  </si>
  <si>
    <t xml:space="preserve">ORG95</t>
  </si>
  <si>
    <t xml:space="preserve">CHOLAMANDALAM MS GENERAL INSURANCE CO. LTD.</t>
  </si>
  <si>
    <t xml:space="preserve">ORG95 - CHOLAMANDALAM MS GENERAL INSURANCE CO. LTD.</t>
  </si>
  <si>
    <t xml:space="preserve">TR1|ROM0093</t>
  </si>
  <si>
    <t xml:space="preserve">DMO CHARGES</t>
  </si>
  <si>
    <t xml:space="preserve">TR1|normal|7.5</t>
  </si>
  <si>
    <t xml:space="preserve">OTC0019</t>
  </si>
  <si>
    <t xml:space="preserve">OT - 7 1/2 HOURS</t>
  </si>
  <si>
    <t xml:space="preserve">GIPSA Insurance|service_line_count</t>
  </si>
  <si>
    <t xml:space="preserve">Cash|CAR5341</t>
  </si>
  <si>
    <t xml:space="preserve">Cash|POVC01|POVINANZ SOLUTION 10% 500ML(NANZ MEDSCIENCE)</t>
  </si>
  <si>
    <t xml:space="preserve">Cash|POVINANZ SOLUTION 10% 500ML(NANZ MEDSCIENCE)</t>
  </si>
  <si>
    <t xml:space="preserve">ORG68</t>
  </si>
  <si>
    <t xml:space="preserve">HERITAGE HEALTH INSURANCE TPA PVT. LTD.</t>
  </si>
  <si>
    <t xml:space="preserve">ORG68 - HERITAGE HEALTH INSURANCE TPA PVT. LTD.</t>
  </si>
  <si>
    <t xml:space="preserve">TR160</t>
  </si>
  <si>
    <t xml:space="preserve">SUNSHINE 18-20</t>
  </si>
  <si>
    <t xml:space="preserve">TR1|ROM5009</t>
  </si>
  <si>
    <t xml:space="preserve">ICU CHARGES - SURGICAL</t>
  </si>
  <si>
    <t xml:space="preserve">TR1|emergency|7.5</t>
  </si>
  <si>
    <t xml:space="preserve">OTC0068</t>
  </si>
  <si>
    <t xml:space="preserve">OT-E - 7 1/2 HOURS</t>
  </si>
  <si>
    <t xml:space="preserve">GIPSA Insurance|room_charges</t>
  </si>
  <si>
    <t xml:space="preserve">Cash|CAS0007</t>
  </si>
  <si>
    <t xml:space="preserve">Dressing Charges</t>
  </si>
  <si>
    <t xml:space="preserve">Cash|VASI03|VASOCON 1ML INJ</t>
  </si>
  <si>
    <t xml:space="preserve">Cash|VASOCON 1ML INJ</t>
  </si>
  <si>
    <t xml:space="preserve">ORG1154</t>
  </si>
  <si>
    <t xml:space="preserve">UNIVERSAL SOMPO GENERAL INSURANCE CO. LTD.</t>
  </si>
  <si>
    <t xml:space="preserve">ORG1154 - UNIVERSAL SOMPO GENERAL INSURANCE CO. LTD.</t>
  </si>
  <si>
    <t xml:space="preserve">TR1|ROM5189</t>
  </si>
  <si>
    <t xml:space="preserve">NURSING CHARGES</t>
  </si>
  <si>
    <t xml:space="preserve">TR1|normal|8</t>
  </si>
  <si>
    <t xml:space="preserve">OTC0020</t>
  </si>
  <si>
    <t xml:space="preserve">OT - 8 HOURS</t>
  </si>
  <si>
    <t xml:space="preserve">pf_basis|GIPSA Insurance</t>
  </si>
  <si>
    <t xml:space="preserve">All Payers selected for pf_basis against GIPSA Insurance; recommended fallback all payers with 26 cases.</t>
  </si>
  <si>
    <t xml:space="preserve">GIPSA Insurance|room_charges_per_day</t>
  </si>
  <si>
    <t xml:space="preserve">Cash|EME0016</t>
  </si>
  <si>
    <t xml:space="preserve">Cash|DEXI20|DEXARIL 2ML INJ</t>
  </si>
  <si>
    <t xml:space="preserve">Cash|DEXARIL 2ML INJ</t>
  </si>
  <si>
    <t xml:space="preserve">VOLO HEALTH INSURANCE TPA PVT. LTD.</t>
  </si>
  <si>
    <t xml:space="preserve">ORG1144 - VOLO HEALTH INSURANCE TPA PVT. LTD.</t>
  </si>
  <si>
    <t xml:space="preserve">TR1|XRY5090</t>
  </si>
  <si>
    <t xml:space="preserve">TR1|emergency|8</t>
  </si>
  <si>
    <t xml:space="preserve">OTC0069</t>
  </si>
  <si>
    <t xml:space="preserve">OT-E - 8 HOURS</t>
  </si>
  <si>
    <t xml:space="preserve">GIPSA Insurance|investigations</t>
  </si>
  <si>
    <t xml:space="preserve">Cash|EME0017</t>
  </si>
  <si>
    <t xml:space="preserve">Cash|KETI01|KETOROL 1ML INJ</t>
  </si>
  <si>
    <t xml:space="preserve">Cash|KETOROL 1ML INJ</t>
  </si>
  <si>
    <t xml:space="preserve">ORG753</t>
  </si>
  <si>
    <t xml:space="preserve">HEALTH INSURANCE TPA OF INDIA LTD.</t>
  </si>
  <si>
    <t xml:space="preserve">ORG753 - HEALTH INSURANCE TPA OF INDIA LTD.</t>
  </si>
  <si>
    <t xml:space="preserve">TR1|CAR0080</t>
  </si>
  <si>
    <t xml:space="preserve">TR160|normal|0.5</t>
  </si>
  <si>
    <t xml:space="preserve">GIPSA Insurance|procedure_ot_charges</t>
  </si>
  <si>
    <t xml:space="preserve">Cash|EME0018</t>
  </si>
  <si>
    <t xml:space="preserve">Cash|CAUU19|CAUTERY PENCIL(E2516-MEDTRONIC)</t>
  </si>
  <si>
    <t xml:space="preserve">Cash|CAUTERY PENCIL(E2516-MEDTRONIC)</t>
  </si>
  <si>
    <t xml:space="preserve">ORG125</t>
  </si>
  <si>
    <t xml:space="preserve">HEALTHINDIA INSURANCE TPA SERVICES PVT. LTD.</t>
  </si>
  <si>
    <t xml:space="preserve">ORG125 - HEALTHINDIA INSURANCE TPA SERVICES PVT. LTD.</t>
  </si>
  <si>
    <t xml:space="preserve">TR1|XRY044</t>
  </si>
  <si>
    <t xml:space="preserve">TR160|normal|1</t>
  </si>
  <si>
    <t xml:space="preserve">GIPSA Insurance|bedside_services</t>
  </si>
  <si>
    <t xml:space="preserve">Cash|EME0019</t>
  </si>
  <si>
    <t xml:space="preserve">Cash|AVAC02|AVAGARD 4% CHG SCRUB 500ML(3M)</t>
  </si>
  <si>
    <t xml:space="preserve">Cash|AVAGARD 4% CHG SCRUB 500ML(3M)</t>
  </si>
  <si>
    <t xml:space="preserve">ORG72</t>
  </si>
  <si>
    <t xml:space="preserve">MDINDIA HEALTH INSURANCE TPA PVT. LTD.</t>
  </si>
  <si>
    <t xml:space="preserve">ORG72 - MDINDIA HEALTH INSURANCE TPA PVT. LTD.</t>
  </si>
  <si>
    <t xml:space="preserve">TR1|XRY5133</t>
  </si>
  <si>
    <t xml:space="preserve">TR160|normal|1.5</t>
  </si>
  <si>
    <t xml:space="preserve">GIPSA Insurance|professional_fees</t>
  </si>
  <si>
    <t xml:space="preserve">Cash|EME0020</t>
  </si>
  <si>
    <t xml:space="preserve">Cash|PARI07|PARAGLASS 100ML IV</t>
  </si>
  <si>
    <t xml:space="preserve">Cash|PARAGLASS 100ML IV</t>
  </si>
  <si>
    <t xml:space="preserve">ORG123</t>
  </si>
  <si>
    <t xml:space="preserve">GOOD HEALTH INSURANCE TPA LTD.</t>
  </si>
  <si>
    <t xml:space="preserve">ORG123 - GOOD HEALTH INSURANCE TPA LTD.</t>
  </si>
  <si>
    <t xml:space="preserve">TR1|BIO0005</t>
  </si>
  <si>
    <t xml:space="preserve">TR160|normal|2</t>
  </si>
  <si>
    <t xml:space="preserve">GIPSA Insurance|ip_drugs</t>
  </si>
  <si>
    <t xml:space="preserve">Cash|EME0052</t>
  </si>
  <si>
    <t xml:space="preserve">Cash|SURU13|SURGICAL GLOVE 7.5(SURGICARE-KANAM)</t>
  </si>
  <si>
    <t xml:space="preserve">Cash|SURGICAL GLOVE 7.5(SURGICARE-KANAM)</t>
  </si>
  <si>
    <t xml:space="preserve">ORG1392</t>
  </si>
  <si>
    <t xml:space="preserve">BAJAJ ALLIANZ GENERAL INSURANCE CO. LTD. (MSN)</t>
  </si>
  <si>
    <t xml:space="preserve">ORG1392 - BAJAJ ALLIANZ GENERAL INSURANCE CO. LTD. (MSN)</t>
  </si>
  <si>
    <t xml:space="preserve">TR291</t>
  </si>
  <si>
    <t xml:space="preserve">KIMSI_MSN_24(C)</t>
  </si>
  <si>
    <t xml:space="preserve">TR1|BIO0064</t>
  </si>
  <si>
    <t xml:space="preserve">TR160|normal|2.5</t>
  </si>
  <si>
    <t xml:space="preserve">service_basis|Non-GIPSA Insurance</t>
  </si>
  <si>
    <t xml:space="preserve">All Payers selected for service_basis against Non-GIPSA Insurance; recommended fallback all payers with 26 cases.</t>
  </si>
  <si>
    <t xml:space="preserve">GIPSA Insurance|ip_drugs_per_day</t>
  </si>
  <si>
    <t xml:space="preserve">Cash|EME0080</t>
  </si>
  <si>
    <t xml:space="preserve">Cash|SYRU83|SYRINGE 20ML(LIFELONG)</t>
  </si>
  <si>
    <t xml:space="preserve">Cash|SYRINGE 20ML(LIFELONG)</t>
  </si>
  <si>
    <t xml:space="preserve">ORG728</t>
  </si>
  <si>
    <t xml:space="preserve">HEALTH ASSIST INSURANCE TPA PVT. LTD.</t>
  </si>
  <si>
    <t xml:space="preserve">ORG728 - HEALTH ASSIST INSURANCE TPA PVT. LTD.</t>
  </si>
  <si>
    <t xml:space="preserve">TR1|BIO0075</t>
  </si>
  <si>
    <t xml:space="preserve">TR160|normal|3</t>
  </si>
  <si>
    <t xml:space="preserve">GIPSA Insurance|ip_consumables</t>
  </si>
  <si>
    <t xml:space="preserve">Cash|EME0087</t>
  </si>
  <si>
    <t xml:space="preserve">Neonatal Warmer / Incubator Charges</t>
  </si>
  <si>
    <t xml:space="preserve">Cash|GLAI09|GLANTRAX 500MG 5ML INJ</t>
  </si>
  <si>
    <t xml:space="preserve">Cash|GLANTRAX 500MG 5ML INJ</t>
  </si>
  <si>
    <t xml:space="preserve">ORG121</t>
  </si>
  <si>
    <t xml:space="preserve">RAKSHA TPA PVT LTD</t>
  </si>
  <si>
    <t xml:space="preserve">ORG121 - RAKSHA TPA PVT LTD</t>
  </si>
  <si>
    <t xml:space="preserve">TR1|BIO0097</t>
  </si>
  <si>
    <t xml:space="preserve">TR160|normal|3.5</t>
  </si>
  <si>
    <t xml:space="preserve">GIPSA Insurance|ip_consumables_per_day</t>
  </si>
  <si>
    <t xml:space="preserve">Cash|EME5045</t>
  </si>
  <si>
    <t xml:space="preserve">Cash|NS0F04|NS 0.9% 500ML EH(PROPORT NS-PROMEA)</t>
  </si>
  <si>
    <t xml:space="preserve">Cash|NS 0.9% 500ML EH(PROPORT NS-PROMEA)</t>
  </si>
  <si>
    <t xml:space="preserve">ORG1311</t>
  </si>
  <si>
    <t xml:space="preserve">ACKO GENERAL INSURANCE LTD.</t>
  </si>
  <si>
    <t xml:space="preserve">ORG1311 - ACKO GENERAL INSURANCE LTD.</t>
  </si>
  <si>
    <t xml:space="preserve">TR1|BIO0098</t>
  </si>
  <si>
    <t xml:space="preserve">TR160|normal|4</t>
  </si>
  <si>
    <t xml:space="preserve">GIPSA Insurance|ot_drugs</t>
  </si>
  <si>
    <t xml:space="preserve">Cash|ICC0001</t>
  </si>
  <si>
    <t xml:space="preserve">Intensivist Charges</t>
  </si>
  <si>
    <t xml:space="preserve">Cash|ENCU14|MICROOPTIC STERILE GLOVE 7.5(ENCORE-JK ANSELL)</t>
  </si>
  <si>
    <t xml:space="preserve">Cash|MICROOPTIC STERILE GLOVE 7.5(ENCORE-JK ANSELL)</t>
  </si>
  <si>
    <t xml:space="preserve">ORG1280</t>
  </si>
  <si>
    <t xml:space="preserve">NAVI GENERAL INSURANCE LTD.</t>
  </si>
  <si>
    <t xml:space="preserve">ORG1280 - NAVI GENERAL INSURANCE LTD.</t>
  </si>
  <si>
    <t xml:space="preserve">TR1|BIO0106</t>
  </si>
  <si>
    <t xml:space="preserve">TR160|normal|4.5</t>
  </si>
  <si>
    <t xml:space="preserve">GIPSA Insurance|ot_consumables</t>
  </si>
  <si>
    <t xml:space="preserve">Cash|ICC0002</t>
  </si>
  <si>
    <t xml:space="preserve">Cash|GAUC92|GAUZE MOPS X-RAY 30CM*30CM*6PLY 10PCS(BMT)</t>
  </si>
  <si>
    <t xml:space="preserve">Cash|GAUZE MOPS X-RAY 30CM*30CM*6PLY 10PCS(BMT)</t>
  </si>
  <si>
    <t xml:space="preserve">ORG1169</t>
  </si>
  <si>
    <t xml:space="preserve">ERICSON INSURANCE TPA PVT. LTD.</t>
  </si>
  <si>
    <t xml:space="preserve">ORG1169 - ERICSON INSURANCE TPA PVT. LTD.</t>
  </si>
  <si>
    <t xml:space="preserve">TR1|BIO0121</t>
  </si>
  <si>
    <t xml:space="preserve">TR160|normal|5</t>
  </si>
  <si>
    <t xml:space="preserve">GIPSA Insurance|implants</t>
  </si>
  <si>
    <t xml:space="preserve">Cash|EME0088</t>
  </si>
  <si>
    <t xml:space="preserve">Cash|VENU8161|VENFLON-I 20G(BD)</t>
  </si>
  <si>
    <t xml:space="preserve">Cash|VENFLON-I 20G(BD)</t>
  </si>
  <si>
    <t xml:space="preserve">ORG1495</t>
  </si>
  <si>
    <t xml:space="preserve">HDFC LIFE INSURANCE CO. LTD.</t>
  </si>
  <si>
    <t xml:space="preserve">ORG1495 - HDFC LIFE INSURANCE CO. LTD.</t>
  </si>
  <si>
    <t xml:space="preserve">TR1|BIO0181</t>
  </si>
  <si>
    <t xml:space="preserve">TR160|normal|5.5</t>
  </si>
  <si>
    <t xml:space="preserve">pharmacy_basis|Non-GIPSA Insurance</t>
  </si>
  <si>
    <t xml:space="preserve">All Payers selected for pharmacy_basis against Non-GIPSA Insurance; recommended fallback all payers with 26 cases.</t>
  </si>
  <si>
    <t xml:space="preserve">GIPSA Insurance|pharmacy_total</t>
  </si>
  <si>
    <t xml:space="preserve">Cash|OTI0098</t>
  </si>
  <si>
    <t xml:space="preserve">OT</t>
  </si>
  <si>
    <t xml:space="preserve">Robotic Equipment Charges</t>
  </si>
  <si>
    <t xml:space="preserve">Cash|NS0F08|NS 0.9% 100ML EH(PROPORT NS-PROMEA)</t>
  </si>
  <si>
    <t xml:space="preserve">Cash|NS 0.9% 100ML EH(PROPORT NS-PROMEA)</t>
  </si>
  <si>
    <t xml:space="preserve">TR1|BLD0001</t>
  </si>
  <si>
    <t xml:space="preserve">TR160|normal|6</t>
  </si>
  <si>
    <t xml:space="preserve">GIPSA Insurance|drug_administration_charges</t>
  </si>
  <si>
    <t xml:space="preserve">Cash|RNS5005</t>
  </si>
  <si>
    <t xml:space="preserve">CSSD Charges</t>
  </si>
  <si>
    <t xml:space="preserve">Cash|BEDU47|BED BATH TOWELS 300MMX240MM(PACK OF 10-MAGMACARE)</t>
  </si>
  <si>
    <t xml:space="preserve">Cash|BED BATH TOWELS 300MMX240MM(PACK OF 10-MAGMACARE)</t>
  </si>
  <si>
    <t xml:space="preserve">TR1|BLD0009</t>
  </si>
  <si>
    <t xml:space="preserve">TR160|normal|6.5</t>
  </si>
  <si>
    <t xml:space="preserve">GIPSA Insurance|services_total_excluding_food_and_beverage</t>
  </si>
  <si>
    <t xml:space="preserve">Cash|ROM5189</t>
  </si>
  <si>
    <t xml:space="preserve">Nursing Charges</t>
  </si>
  <si>
    <t xml:space="preserve">Cash|ENCU12|MICROOPTIC STERILE GLOVE 7.0(ENCORE-JK ANSELL)</t>
  </si>
  <si>
    <t xml:space="preserve">Cash|MICROOPTIC STERILE GLOVE 7.0(ENCORE-JK ANSELL)</t>
  </si>
  <si>
    <t xml:space="preserve">TR1|BLD0024</t>
  </si>
  <si>
    <t xml:space="preserve">TR160|normal|7</t>
  </si>
  <si>
    <t xml:space="preserve">GIPSA Insurance|food_and_beverage_excluded</t>
  </si>
  <si>
    <t xml:space="preserve">Cash|HSP5013</t>
  </si>
  <si>
    <t xml:space="preserve">Cash|SURU159|SURGICAL GLOVE 7.0(BLISTER PACK-SURGICARE-KANAM)</t>
  </si>
  <si>
    <t xml:space="preserve">Cash|SURGICAL GLOVE 7.0(BLISTER PACK-SURGICARE-KANAM)</t>
  </si>
  <si>
    <t xml:space="preserve">TR1|PAT0007</t>
  </si>
  <si>
    <t xml:space="preserve">TR160|normal|7.5</t>
  </si>
  <si>
    <t xml:space="preserve">GIPSA Insurance|pharmacy_returns_excluded</t>
  </si>
  <si>
    <t xml:space="preserve">Cash|ROM0093</t>
  </si>
  <si>
    <t xml:space="preserve">DMO Charges</t>
  </si>
  <si>
    <t xml:space="preserve">Cash|INJI04|INJICORT 40MG INJ</t>
  </si>
  <si>
    <t xml:space="preserve">Cash|INJICORT 40MG INJ</t>
  </si>
  <si>
    <t xml:space="preserve">TR1|PAT0041</t>
  </si>
  <si>
    <t xml:space="preserve">TR160|normal|8</t>
  </si>
  <si>
    <t xml:space="preserve">GIPSA Insurance|total_amount_excluding_food_and_beverage_and_returns_plus_drug_admin</t>
  </si>
  <si>
    <t xml:space="preserve">Cash|OTC5005</t>
  </si>
  <si>
    <t xml:space="preserve">Post-Surgery Recovery Charges</t>
  </si>
  <si>
    <t xml:space="preserve">Cash|PERI01|PERINORM 2ML INJ</t>
  </si>
  <si>
    <t xml:space="preserve">Cash|PERINORM 2ML INJ</t>
  </si>
  <si>
    <t xml:space="preserve">TR1|PAT0078</t>
  </si>
  <si>
    <t xml:space="preserve">TR177|normal|0.5</t>
  </si>
  <si>
    <t xml:space="preserve">pf_basis|Non-GIPSA Insurance</t>
  </si>
  <si>
    <t xml:space="preserve">All Payers selected for pf_basis against Non-GIPSA Insurance; recommended fallback all payers with 26 cases.</t>
  </si>
  <si>
    <t xml:space="preserve">Non-GIPSA Insurance|los_days</t>
  </si>
  <si>
    <t xml:space="preserve">Cash|OTI0015</t>
  </si>
  <si>
    <t xml:space="preserve">Cash|BREU21|BREAZER SPIROMETER 5000ML(ROMSONS)</t>
  </si>
  <si>
    <t xml:space="preserve">Cash|BREAZER SPIROMETER 5000ML(ROMSONS)</t>
  </si>
  <si>
    <t xml:space="preserve">TR1|ANS0003</t>
  </si>
  <si>
    <t xml:space="preserve">TR177|emergency|0.5</t>
  </si>
  <si>
    <t xml:space="preserve">Non-GIPSA Insurance|icu_days</t>
  </si>
  <si>
    <t xml:space="preserve">Cash|OTI0018</t>
  </si>
  <si>
    <t xml:space="preserve">Instrument Charges</t>
  </si>
  <si>
    <t xml:space="preserve">Cash|EASU30|EASYFIX CLEAR EC 1 7CM X 8.5CM(DYNA)</t>
  </si>
  <si>
    <t xml:space="preserve">Cash|EASYFIX CLEAR EC 1 7CM X 8.5CM(DYNA)</t>
  </si>
  <si>
    <t xml:space="preserve">TR1|PHY5076</t>
  </si>
  <si>
    <t xml:space="preserve">TR177|normal|1</t>
  </si>
  <si>
    <t xml:space="preserve">Non-GIPSA Insurance|ward_days</t>
  </si>
  <si>
    <t xml:space="preserve">Cash|PSY0036</t>
  </si>
  <si>
    <t xml:space="preserve">Cash|IVSU25|IV SET-LL(BUYWEL)</t>
  </si>
  <si>
    <t xml:space="preserve">Cash|IV SET-LL(BUYWEL)</t>
  </si>
  <si>
    <t xml:space="preserve">TR1|EME0016</t>
  </si>
  <si>
    <t xml:space="preserve">TR177|emergency|1</t>
  </si>
  <si>
    <t xml:space="preserve">Non-GIPSA Insurance|ot_hours</t>
  </si>
  <si>
    <t xml:space="preserve">Cash|SYRU95|SYRINGE 20ML LL(LIFE LONG)</t>
  </si>
  <si>
    <t xml:space="preserve">Cash|SYRINGE 20ML LL(LIFE LONG)</t>
  </si>
  <si>
    <t xml:space="preserve">TR1|EME0018</t>
  </si>
  <si>
    <t xml:space="preserve">TR177|normal|1.5</t>
  </si>
  <si>
    <t xml:space="preserve">Non-GIPSA Insurance|service_line_count</t>
  </si>
  <si>
    <t xml:space="preserve">GIPSA Insurance|CAR0080</t>
  </si>
  <si>
    <t xml:space="preserve">Cash|AXII03|AXIFUR H 1.5GM INJ</t>
  </si>
  <si>
    <t xml:space="preserve">Cash|AXIFUR H 1.5GM INJ</t>
  </si>
  <si>
    <t xml:space="preserve">TR1|EME0020</t>
  </si>
  <si>
    <t xml:space="preserve">TR177|emergency|1.5</t>
  </si>
  <si>
    <t xml:space="preserve">Non-GIPSA Insurance|room_charges</t>
  </si>
  <si>
    <t xml:space="preserve">GIPSA Insurance|XRY044</t>
  </si>
  <si>
    <t xml:space="preserve">Cash|SWIS29|SWIFTOLAC SYR 150ML</t>
  </si>
  <si>
    <t xml:space="preserve">Cash|SWIFTOLAC SYR 150ML</t>
  </si>
  <si>
    <t xml:space="preserve">TR1|EME0052</t>
  </si>
  <si>
    <t xml:space="preserve">TR177|normal|2</t>
  </si>
  <si>
    <t xml:space="preserve">service_basis|Corporate</t>
  </si>
  <si>
    <t xml:space="preserve">All Payers selected for service_basis against Corporate; recommended fallback all payers with 26 cases.</t>
  </si>
  <si>
    <t xml:space="preserve">Non-GIPSA Insurance|room_charges_per_day</t>
  </si>
  <si>
    <t xml:space="preserve">Optional Service Rows</t>
  </si>
  <si>
    <t xml:space="preserve">GIPSA Insurance|XRY5090</t>
  </si>
  <si>
    <t xml:space="preserve">Cash|VACU16|VACCULINE(VACCU SUCK SUCTION SET-ROMSON)</t>
  </si>
  <si>
    <t xml:space="preserve">Cash|VACCULINE(VACCU SUCK SUCTION SET-ROMSON)</t>
  </si>
  <si>
    <t xml:space="preserve">TR1|EME0080</t>
  </si>
  <si>
    <t xml:space="preserve">TR177|emergency|2</t>
  </si>
  <si>
    <t xml:space="preserve">Non-GIPSA Insurance|investigations</t>
  </si>
  <si>
    <t xml:space="preserve">GIPSA Insurance|XRY5133</t>
  </si>
  <si>
    <t xml:space="preserve">Cash||NS 0.9% 100ML EH(PROPORT NS-PROMEA)</t>
  </si>
  <si>
    <t xml:space="preserve">TR1|EME5045</t>
  </si>
  <si>
    <t xml:space="preserve">TR177|normal|2.5</t>
  </si>
  <si>
    <t xml:space="preserve">Non-GIPSA Insurance|procedure_ot_charges</t>
  </si>
  <si>
    <t xml:space="preserve">GIPSA Insurance|BIO0001</t>
  </si>
  <si>
    <t xml:space="preserve">Cash|VOMI01|VOMIKIND 2ML INJ</t>
  </si>
  <si>
    <t xml:space="preserve">Cash|VOMIKIND 2ML INJ</t>
  </si>
  <si>
    <t xml:space="preserve">TR1|EME0088</t>
  </si>
  <si>
    <t xml:space="preserve">TR177|emergency|2.5</t>
  </si>
  <si>
    <t xml:space="preserve">Non-GIPSA Insurance|bedside_services</t>
  </si>
  <si>
    <t xml:space="preserve">GIPSA Insurance|BIO0002</t>
  </si>
  <si>
    <t xml:space="preserve">Cash|CAPU32|SURGICAL CAPS</t>
  </si>
  <si>
    <t xml:space="preserve">Cash|SURGICAL CAPS</t>
  </si>
  <si>
    <t xml:space="preserve">TR1|PSY0036</t>
  </si>
  <si>
    <t xml:space="preserve">TR177|normal|3</t>
  </si>
  <si>
    <t xml:space="preserve">Non-GIPSA Insurance|professional_fees</t>
  </si>
  <si>
    <t xml:space="preserve">GIPSA Insurance|BIO0003</t>
  </si>
  <si>
    <t xml:space="preserve">Cash|CAUU21|CAUTERY PAD ADULT(MEDTRONIC)</t>
  </si>
  <si>
    <t xml:space="preserve">Cash|CAUTERY PAD ADULT(MEDTRONIC)</t>
  </si>
  <si>
    <t xml:space="preserve">TR160|BIO0001</t>
  </si>
  <si>
    <t xml:space="preserve">TR177|emergency|3</t>
  </si>
  <si>
    <t xml:space="preserve">Non-GIPSA Insurance|ip_drugs</t>
  </si>
  <si>
    <t xml:space="preserve">GIPSA Insurance|BIO0004</t>
  </si>
  <si>
    <t xml:space="preserve">Cash|COTC05|COTTON BALL STERILE(KIMS)</t>
  </si>
  <si>
    <t xml:space="preserve">Cash|COTTON BALL STERILE(KIMS)</t>
  </si>
  <si>
    <t xml:space="preserve">TR160|BIO0002</t>
  </si>
  <si>
    <t xml:space="preserve">TR177|normal|3.5</t>
  </si>
  <si>
    <t xml:space="preserve">pharmacy_basis|Corporate</t>
  </si>
  <si>
    <t xml:space="preserve">All Payers selected for pharmacy_basis against Corporate; recommended fallback all payers with 26 cases.</t>
  </si>
  <si>
    <t xml:space="preserve">Non-GIPSA Insurance|ip_drugs_per_day</t>
  </si>
  <si>
    <t xml:space="preserve">GIPSA Insurance|BIO0005</t>
  </si>
  <si>
    <t xml:space="preserve">Cash|MAKU03|MAKO DRAPE KIT(PRYMAX)</t>
  </si>
  <si>
    <t xml:space="preserve">Cash|MAKO DRAPE KIT(PRYMAX)</t>
  </si>
  <si>
    <t xml:space="preserve">TR160|BIO0003</t>
  </si>
  <si>
    <t xml:space="preserve">TR177|emergency|3.5</t>
  </si>
  <si>
    <t xml:space="preserve">Non-GIPSA Insurance|ip_consumables</t>
  </si>
  <si>
    <t xml:space="preserve">GIPSA Insurance|BIO0064</t>
  </si>
  <si>
    <t xml:space="preserve">Cash|SPIU32|SPINAL NEEDLE 26G(BD)</t>
  </si>
  <si>
    <t xml:space="preserve">Cash|SPINAL NEEDLE 26G(BD)</t>
  </si>
  <si>
    <t xml:space="preserve">TR160|BIO0004</t>
  </si>
  <si>
    <t xml:space="preserve">TR177|normal|4</t>
  </si>
  <si>
    <t xml:space="preserve">Non-GIPSA Insurance|ip_consumables_per_day</t>
  </si>
  <si>
    <t xml:space="preserve">GIPSA Insurance|BIO0075</t>
  </si>
  <si>
    <t xml:space="preserve">Cash|STRR18|STRATAFIX 1 SXPP1A203(ETHICON)</t>
  </si>
  <si>
    <t xml:space="preserve">Cash|STRATAFIX 1 SXPP1A203(ETHICON)</t>
  </si>
  <si>
    <t xml:space="preserve">TR160|BIO0162</t>
  </si>
  <si>
    <t xml:space="preserve">TR177|emergency|4</t>
  </si>
  <si>
    <t xml:space="preserve">Non-GIPSA Insurance|ot_drugs</t>
  </si>
  <si>
    <t xml:space="preserve">GIPSA Insurance|BIO0097</t>
  </si>
  <si>
    <t xml:space="preserve">Cash|THEI15|THEMIDOL 2ML INJECTION</t>
  </si>
  <si>
    <t xml:space="preserve">Cash|THEMIDOL 2ML INJECTION</t>
  </si>
  <si>
    <t xml:space="preserve">TR160|CAR5341</t>
  </si>
  <si>
    <t xml:space="preserve">TR177|normal|4.5</t>
  </si>
  <si>
    <t xml:space="preserve">Non-GIPSA Insurance|ot_consumables</t>
  </si>
  <si>
    <t xml:space="preserve">GIPSA Insurance|BIO0098</t>
  </si>
  <si>
    <t xml:space="preserve">Cash|TROI08|TROPINE 1ML INJ</t>
  </si>
  <si>
    <t xml:space="preserve">Cash|TROPINE 1ML INJ</t>
  </si>
  <si>
    <t xml:space="preserve">TR160|CAS0007</t>
  </si>
  <si>
    <t xml:space="preserve">TR177|emergency|4.5</t>
  </si>
  <si>
    <t xml:space="preserve">Non-GIPSA Insurance|implants</t>
  </si>
  <si>
    <t xml:space="preserve">GIPSA Insurance|BIO0106</t>
  </si>
  <si>
    <t xml:space="preserve">Cash|DIGU36|DIGITAL THERMOMETER(GLIDER-MAGMACARE)</t>
  </si>
  <si>
    <t xml:space="preserve">Cash|DIGITAL THERMOMETER(GLIDER-MAGMACARE)</t>
  </si>
  <si>
    <t xml:space="preserve">TR160|DIE0001</t>
  </si>
  <si>
    <t xml:space="preserve">TR177|normal|5</t>
  </si>
  <si>
    <t xml:space="preserve">pf_basis|Corporate</t>
  </si>
  <si>
    <t xml:space="preserve">All Payers selected for pf_basis against Corporate; recommended fallback all payers with 26 cases.</t>
  </si>
  <si>
    <t xml:space="preserve">Non-GIPSA Insurance|pharmacy_total</t>
  </si>
  <si>
    <t xml:space="preserve">GIPSA Insurance|BIO0121</t>
  </si>
  <si>
    <t xml:space="preserve">Cash|FACU81|FACE MASK 3PLY(ELASTIC-SVTC)</t>
  </si>
  <si>
    <t xml:space="preserve">Cash|FACE MASK 3PLY(ELASTIC-SVTC)</t>
  </si>
  <si>
    <t xml:space="preserve">TR160|EME0017</t>
  </si>
  <si>
    <t xml:space="preserve">TR177|emergency|5</t>
  </si>
  <si>
    <t xml:space="preserve">Non-GIPSA Insurance|drug_administration_charges</t>
  </si>
  <si>
    <t xml:space="preserve">GIPSA Insurance|BIO0162</t>
  </si>
  <si>
    <t xml:space="preserve">Cash|CREU42|CREPE BANDAGE 15CM(VELSOFT-15-DATT])</t>
  </si>
  <si>
    <t xml:space="preserve">Cash|CREPE BANDAGE 15CM(VELSOFT-15-DATT])</t>
  </si>
  <si>
    <t xml:space="preserve">TR160|EME0019</t>
  </si>
  <si>
    <t xml:space="preserve">TR177|normal|5.5</t>
  </si>
  <si>
    <t xml:space="preserve">Non-GIPSA Insurance|services_total_excluding_food_and_beverage</t>
  </si>
  <si>
    <t xml:space="preserve">GIPSA Insurance|BIO0181</t>
  </si>
  <si>
    <t xml:space="preserve">Cash|DIAU127|DIAPER ADULT XL 120CMX142.5CM(MAGMACARE)</t>
  </si>
  <si>
    <t xml:space="preserve">Cash|DIAPER ADULT XL 120CMX142.5CM(MAGMACARE)</t>
  </si>
  <si>
    <t xml:space="preserve">TR160|EME0087</t>
  </si>
  <si>
    <t xml:space="preserve">TR177|emergency|5.5</t>
  </si>
  <si>
    <t xml:space="preserve">Non-GIPSA Insurance|food_and_beverage_excluded</t>
  </si>
  <si>
    <t xml:space="preserve">GIPSA Insurance|BLD0001</t>
  </si>
  <si>
    <t xml:space="preserve">Cash|THRU09|THREE WAY EXTENSION 10CM(BD)</t>
  </si>
  <si>
    <t xml:space="preserve">Cash|THREE WAY EXTENSION 10CM(BD)</t>
  </si>
  <si>
    <t xml:space="preserve">TR160|HSP0047</t>
  </si>
  <si>
    <t xml:space="preserve">TR177|normal|6</t>
  </si>
  <si>
    <t xml:space="preserve">Non-GIPSA Insurance|pharmacy_returns_excluded</t>
  </si>
  <si>
    <t xml:space="preserve">GIPSA Insurance|BLD0009</t>
  </si>
  <si>
    <t xml:space="preserve">Cash|KABF09|KABILYTE 500ML (FRESENIUS KABI) IV</t>
  </si>
  <si>
    <t xml:space="preserve">Cash|KABILYTE 500ML (FRESENIUS KABI) IV</t>
  </si>
  <si>
    <t xml:space="preserve">TR160|HSP5013</t>
  </si>
  <si>
    <t xml:space="preserve">TR177|emergency|6</t>
  </si>
  <si>
    <t xml:space="preserve">Non-GIPSA Insurance|total_amount_excluding_food_and_beverage_and_returns_plus_drug_admin</t>
  </si>
  <si>
    <t xml:space="preserve">GIPSA Insurance|BLD0024</t>
  </si>
  <si>
    <t xml:space="preserve">Cash|LOCG39|LOCAM 2% 30GM GEL</t>
  </si>
  <si>
    <t xml:space="preserve">Cash|LOCAM 2% 30GM GEL</t>
  </si>
  <si>
    <t xml:space="preserve">TR160|ICC0001</t>
  </si>
  <si>
    <t xml:space="preserve">TR177|normal|6.5</t>
  </si>
  <si>
    <t xml:space="preserve">Corporate|los_days</t>
  </si>
  <si>
    <t xml:space="preserve">GIPSA Insurance|PAT0007</t>
  </si>
  <si>
    <t xml:space="preserve">Cash|NITU59|NITRILE POWDER FREE EXAMINATION GLOVES LARGE(DURAMITT-TEGAMEN)</t>
  </si>
  <si>
    <t xml:space="preserve">Cash|NITRILE POWDER FREE EXAMINATION GLOVES LARGE(DURAMITT-TEGAMEN)</t>
  </si>
  <si>
    <t xml:space="preserve">TR160|ICC0002</t>
  </si>
  <si>
    <t xml:space="preserve">CRITICAL CARE CONSULTATION</t>
  </si>
  <si>
    <t xml:space="preserve">TR177|emergency|6.5</t>
  </si>
  <si>
    <t xml:space="preserve">Corporate|icu_days</t>
  </si>
  <si>
    <t xml:space="preserve">GIPSA Insurance|PAT0041</t>
  </si>
  <si>
    <t xml:space="preserve">Cash|PARI04|PARACIP 100ML INJECTION(HS)</t>
  </si>
  <si>
    <t xml:space="preserve">Cash|PARACIP 100ML INJECTION(HS)</t>
  </si>
  <si>
    <t xml:space="preserve">TR160|OTC0010</t>
  </si>
  <si>
    <t xml:space="preserve">TR177|normal|7</t>
  </si>
  <si>
    <t xml:space="preserve">Corporate|ward_days</t>
  </si>
  <si>
    <t xml:space="preserve">GIPSA Insurance|PAT0042</t>
  </si>
  <si>
    <t xml:space="preserve">Cash|PHYF01|PHYSIOMAX 500ML IV(OTSUKA)</t>
  </si>
  <si>
    <t xml:space="preserve">Cash|PHYSIOMAX 500ML IV(OTSUKA)</t>
  </si>
  <si>
    <t xml:space="preserve">TR160|OTC5005</t>
  </si>
  <si>
    <t xml:space="preserve">TR177|emergency|7</t>
  </si>
  <si>
    <t xml:space="preserve">Corporate|ot_hours</t>
  </si>
  <si>
    <t xml:space="preserve">GIPSA Insurance|PAT0045</t>
  </si>
  <si>
    <t xml:space="preserve">Cash|DIAU125|DIAPER ADULT LARGE 100CMX150CM(MAGMACARE)</t>
  </si>
  <si>
    <t xml:space="preserve">Cash|DIAPER ADULT LARGE 100CMX150CM(MAGMACARE)</t>
  </si>
  <si>
    <t xml:space="preserve">TR160|OTI0015</t>
  </si>
  <si>
    <t xml:space="preserve">TR177|normal|7.5</t>
  </si>
  <si>
    <t xml:space="preserve">Corporate|service_line_count</t>
  </si>
  <si>
    <t xml:space="preserve">GIPSA Insurance|PAT0078</t>
  </si>
  <si>
    <t xml:space="preserve">Cash|ENCU10|MICROOPTIC STERILE GLOVE 6.5(ENCORE-JK ANSELL)</t>
  </si>
  <si>
    <t xml:space="preserve">Cash|MICROOPTIC STERILE GLOVE 6.5(ENCORE-JK ANSELL)</t>
  </si>
  <si>
    <t xml:space="preserve">TR160|OTI0018</t>
  </si>
  <si>
    <t xml:space="preserve">TR177|emergency|7.5</t>
  </si>
  <si>
    <t xml:space="preserve">Corporate|room_charges</t>
  </si>
  <si>
    <t xml:space="preserve">GIPSA Insurance|PHY5082</t>
  </si>
  <si>
    <t xml:space="preserve">Cash|OXYU83|OXYGEN MASK ADULT(BUYWEL)</t>
  </si>
  <si>
    <t xml:space="preserve">Cash|OXYGEN MASK ADULT(BUYWEL)</t>
  </si>
  <si>
    <t xml:space="preserve">TR160|OTI0098</t>
  </si>
  <si>
    <t xml:space="preserve">TR177|normal|8</t>
  </si>
  <si>
    <t xml:space="preserve">Corporate|room_charges_per_day</t>
  </si>
  <si>
    <t xml:space="preserve">GIPSA Insurance|ANS0003</t>
  </si>
  <si>
    <t xml:space="preserve">Cash|PLAU74|PLASTIC PLAIN SHEET 210CMX120CM(BIOANTHEM)</t>
  </si>
  <si>
    <t xml:space="preserve">Cash|PLASTIC PLAIN SHEET 210CMX120CM(BIOANTHEM)</t>
  </si>
  <si>
    <t xml:space="preserve">TR160|PAT0042</t>
  </si>
  <si>
    <t xml:space="preserve">TR177|emergency|8</t>
  </si>
  <si>
    <t xml:space="preserve">Corporate|investigations</t>
  </si>
  <si>
    <t xml:space="preserve">GIPSA Insurance|DIE0001</t>
  </si>
  <si>
    <t xml:space="preserve">Cash|PREU127|PREFILLED FLUSH SYRINGE BLISTER PACK 10ML(RIBBEL)</t>
  </si>
  <si>
    <t xml:space="preserve">Cash|PREFILLED FLUSH SYRINGE BLISTER PACK 10ML(RIBBEL)</t>
  </si>
  <si>
    <t xml:space="preserve">TR160|PAT0045</t>
  </si>
  <si>
    <t xml:space="preserve">TR201|normal|0.5</t>
  </si>
  <si>
    <t xml:space="preserve">Corporate|procedure_ot_charges</t>
  </si>
  <si>
    <t xml:space="preserve">GIPSA Insurance|PHY5076</t>
  </si>
  <si>
    <t xml:space="preserve">Cash|XAMI03|XAMDEX 100MCG 1ML INJ</t>
  </si>
  <si>
    <t xml:space="preserve">Cash|XAMDEX 100MCG 1ML INJ</t>
  </si>
  <si>
    <t xml:space="preserve">TR160|PHY5082</t>
  </si>
  <si>
    <t xml:space="preserve">TR201|normal|1</t>
  </si>
  <si>
    <t xml:space="preserve">Corporate|bedside_services</t>
  </si>
  <si>
    <t xml:space="preserve">GIPSA Insurance|CAR5341</t>
  </si>
  <si>
    <t xml:space="preserve">Cash|PMLU44|PM LINE M/F 200CM(BUYWEL)</t>
  </si>
  <si>
    <t xml:space="preserve">Cash|PM LINE M/F 200CM(BUYWEL)</t>
  </si>
  <si>
    <t xml:space="preserve">TR160|RNS0120</t>
  </si>
  <si>
    <t xml:space="preserve">TR201|normal|1.5</t>
  </si>
  <si>
    <t xml:space="preserve">Corporate|professional_fees</t>
  </si>
  <si>
    <t xml:space="preserve">GIPSA Insurance|CAS0007</t>
  </si>
  <si>
    <t xml:space="preserve">Cash|SURU158|SURGICAL GLOVE 6.5(BLISTER PACK-SURGICARE-KANAM)</t>
  </si>
  <si>
    <t xml:space="preserve">Cash|SURGICAL GLOVE 6.5(BLISTER PACK-SURGICARE-KANAM)</t>
  </si>
  <si>
    <t xml:space="preserve">TR160|RNS5005</t>
  </si>
  <si>
    <t xml:space="preserve">TR201|normal|2</t>
  </si>
  <si>
    <t xml:space="preserve">Corporate|ip_drugs</t>
  </si>
  <si>
    <t xml:space="preserve">GIPSA Insurance|EME0016</t>
  </si>
  <si>
    <t xml:space="preserve">Cash|ANZT01|ANZILUM 0.5MG TAB</t>
  </si>
  <si>
    <t xml:space="preserve">Cash|ANZILUM 0.5MG TAB</t>
  </si>
  <si>
    <t xml:space="preserve">TR160|ROM0001</t>
  </si>
  <si>
    <t xml:space="preserve">BED CHARGES- GENERAL WARD</t>
  </si>
  <si>
    <t xml:space="preserve">TR201|normal|2.5</t>
  </si>
  <si>
    <t xml:space="preserve">Corporate|ip_drugs_per_day</t>
  </si>
  <si>
    <t xml:space="preserve">TR1 Tariff Rates</t>
  </si>
  <si>
    <t xml:space="preserve">GIPSA Insurance|EME0017</t>
  </si>
  <si>
    <t xml:space="preserve">Cash|ENEU07|ENEMA 100ML</t>
  </si>
  <si>
    <t xml:space="preserve">Cash|ENEMA 100ML</t>
  </si>
  <si>
    <t xml:space="preserve">TR160|ROM0024</t>
  </si>
  <si>
    <t xml:space="preserve">BED CHARGES-TWINSHARING</t>
  </si>
  <si>
    <t xml:space="preserve">TR201|normal|3</t>
  </si>
  <si>
    <t xml:space="preserve">Corporate|ip_consumables</t>
  </si>
  <si>
    <t xml:space="preserve">GIPSA Insurance|EME0018</t>
  </si>
  <si>
    <t xml:space="preserve">Cash||SYRINGE 10ML(LIFELONG)</t>
  </si>
  <si>
    <t xml:space="preserve">TR160|ROM0036</t>
  </si>
  <si>
    <t xml:space="preserve">BED CHARGES- SINGLE</t>
  </si>
  <si>
    <t xml:space="preserve">TR201|normal|3.5</t>
  </si>
  <si>
    <t xml:space="preserve">Corporate|ip_consumables_per_day</t>
  </si>
  <si>
    <t xml:space="preserve">GIPSA Insurance|EME0019</t>
  </si>
  <si>
    <t xml:space="preserve">Cash||SYRINGE 5ML(LIFELONG)</t>
  </si>
  <si>
    <t xml:space="preserve">TR160|ROM0093</t>
  </si>
  <si>
    <t xml:space="preserve">TR201|normal|4</t>
  </si>
  <si>
    <t xml:space="preserve">Corporate|ot_drugs</t>
  </si>
  <si>
    <t xml:space="preserve">GIPSA Insurance|EME0020</t>
  </si>
  <si>
    <t xml:space="preserve">Cash|BEDU21|BED PAN PLASTIC(BENCO)</t>
  </si>
  <si>
    <t xml:space="preserve">Cash|BED PAN PLASTIC(BENCO)</t>
  </si>
  <si>
    <t xml:space="preserve">TR160|ROM5009</t>
  </si>
  <si>
    <t xml:space="preserve">TR201|normal|4.5</t>
  </si>
  <si>
    <t xml:space="preserve">Corporate|ot_consumables</t>
  </si>
  <si>
    <t xml:space="preserve">GIPSA Insurance|EME0052</t>
  </si>
  <si>
    <t xml:space="preserve">Cash|CREU11|LEUKOCREPE BANDAGE 15CM(72992-03-BSN)</t>
  </si>
  <si>
    <t xml:space="preserve">Cash|LEUKOCREPE BANDAGE 15CM(72992-03-BSN)</t>
  </si>
  <si>
    <t xml:space="preserve">TR160|ROM5189</t>
  </si>
  <si>
    <t xml:space="preserve">TR201|normal|5</t>
  </si>
  <si>
    <t xml:space="preserve">Corporate|implants</t>
  </si>
  <si>
    <t xml:space="preserve">GIPSA Insurance|EME0080</t>
  </si>
  <si>
    <t xml:space="preserve">Cash|IVCU10|IV CANNULIZATION SET ADVANCED WITH 1683 TEGADERM(3M)</t>
  </si>
  <si>
    <t xml:space="preserve">Cash|IV CANNULIZATION SET ADVANCED WITH 1683 TEGADERM(3M)</t>
  </si>
  <si>
    <t xml:space="preserve">TR160|XRY5090</t>
  </si>
  <si>
    <t xml:space="preserve">TR201|normal|5.5</t>
  </si>
  <si>
    <t xml:space="preserve">Corporate|pharmacy_total</t>
  </si>
  <si>
    <t xml:space="preserve">GIPSA Insurance|EME0087</t>
  </si>
  <si>
    <t xml:space="preserve">Cash||THEMIDOL 2ML INJECTION</t>
  </si>
  <si>
    <t xml:space="preserve">TR160|CAR0080</t>
  </si>
  <si>
    <t xml:space="preserve">TR201|normal|6</t>
  </si>
  <si>
    <t xml:space="preserve">Corporate|drug_administration_charges</t>
  </si>
  <si>
    <t xml:space="preserve">GIPSA Insurance|EME5045</t>
  </si>
  <si>
    <t xml:space="preserve">Cash|ATRI01|ATROPINE 1ML INJ</t>
  </si>
  <si>
    <t xml:space="preserve">Cash|ATROPINE 1ML INJ</t>
  </si>
  <si>
    <t xml:space="preserve">TR160|XRY044</t>
  </si>
  <si>
    <t xml:space="preserve">TR201|normal|6.5</t>
  </si>
  <si>
    <t xml:space="preserve">Corporate|services_total_excluding_food_and_beverage</t>
  </si>
  <si>
    <t xml:space="preserve">GIPSA Insurance|ICC0001</t>
  </si>
  <si>
    <t xml:space="preserve">Cash|CEVI02|CEVISTAT 1.5GM INJECTION</t>
  </si>
  <si>
    <t xml:space="preserve">Cash|CEVISTAT 1.5GM INJECTION</t>
  </si>
  <si>
    <t xml:space="preserve">TR160|XRY5133</t>
  </si>
  <si>
    <t xml:space="preserve">TR201|normal|7</t>
  </si>
  <si>
    <t xml:space="preserve">Corporate|food_and_beverage_excluded</t>
  </si>
  <si>
    <t xml:space="preserve">GIPSA Insurance|ICC0002</t>
  </si>
  <si>
    <t xml:space="preserve">Cash|IVFU03|IV FLOW REGULATOR(POLYFLO-POLYMED)</t>
  </si>
  <si>
    <t xml:space="preserve">Cash|IV FLOW REGULATOR(POLYFLO-POLYMED)</t>
  </si>
  <si>
    <t xml:space="preserve">TR160|BIO0005</t>
  </si>
  <si>
    <t xml:space="preserve">TR201|normal|7.5</t>
  </si>
  <si>
    <t xml:space="preserve">Corporate|pharmacy_returns_excluded</t>
  </si>
  <si>
    <t xml:space="preserve">GIPSA Insurance|EME0088</t>
  </si>
  <si>
    <t xml:space="preserve">Cash|NOVI17|NOVOTAM 2MG/2ML INJ</t>
  </si>
  <si>
    <t xml:space="preserve">Cash|NOVOTAM 2MG/2ML INJ</t>
  </si>
  <si>
    <t xml:space="preserve">TR160|BIO0064</t>
  </si>
  <si>
    <t xml:space="preserve">TR201|normal|8</t>
  </si>
  <si>
    <t xml:space="preserve">Corporate|total_amount_excluding_food_and_beverage_and_returns_plus_drug_admin</t>
  </si>
  <si>
    <t xml:space="preserve">GIPSA Insurance|OTI0098</t>
  </si>
  <si>
    <t xml:space="preserve">Cash|NS0F10|NS 0.9% 3000ML NH(PROLINE NS-PROMEA)</t>
  </si>
  <si>
    <t xml:space="preserve">Cash|NS 0.9% 3000ML NH(PROLINE NS-PROMEA)</t>
  </si>
  <si>
    <t xml:space="preserve">TR160|BIO0075</t>
  </si>
  <si>
    <t xml:space="preserve">TR202|normal|0.5</t>
  </si>
  <si>
    <t xml:space="preserve">Insurance All|los_days</t>
  </si>
  <si>
    <t xml:space="preserve">GIPSA Insurance|RNS5005</t>
  </si>
  <si>
    <t xml:space="preserve">Cash|XSUI03|XSULIN R 40 IU/10ML INJECTION</t>
  </si>
  <si>
    <t xml:space="preserve">Cash|XSULIN R 40 IU/10ML INJECTION</t>
  </si>
  <si>
    <t xml:space="preserve">TR160|BIO0097</t>
  </si>
  <si>
    <t xml:space="preserve">TR202|normal|1</t>
  </si>
  <si>
    <t xml:space="preserve">Insurance All|icu_days</t>
  </si>
  <si>
    <t xml:space="preserve">GIPSA Insurance|ROM5189</t>
  </si>
  <si>
    <t xml:space="preserve">Cash||UNDERPAD 90CM X 60CM(MAGMACARE)</t>
  </si>
  <si>
    <t xml:space="preserve">TR160|BIO0098</t>
  </si>
  <si>
    <t xml:space="preserve">TR202|normal|1.5</t>
  </si>
  <si>
    <t xml:space="preserve">Insurance All|ward_days</t>
  </si>
  <si>
    <t xml:space="preserve">GIPSA Insurance|HSP5013</t>
  </si>
  <si>
    <t xml:space="preserve">Cash|CAPU37|CAPS(MEDIBLUE)</t>
  </si>
  <si>
    <t xml:space="preserve">Cash|CAPS(MEDIBLUE)</t>
  </si>
  <si>
    <t xml:space="preserve">TR160|BIO0106</t>
  </si>
  <si>
    <t xml:space="preserve">TR202|normal|2</t>
  </si>
  <si>
    <t xml:space="preserve">Insurance All|ot_hours</t>
  </si>
  <si>
    <t xml:space="preserve">GIPSA Insurance|ROM0093</t>
  </si>
  <si>
    <t xml:space="preserve">Cash|DIAU124|DIAPER ADULT XXL 110CMX154CMS(MAGMACARE)</t>
  </si>
  <si>
    <t xml:space="preserve">Cash|DIAPER ADULT XXL 110CMX154CMS(MAGMACARE)</t>
  </si>
  <si>
    <t xml:space="preserve">TR160|BIO0121</t>
  </si>
  <si>
    <t xml:space="preserve">TR202|normal|2.5</t>
  </si>
  <si>
    <t xml:space="preserve">Insurance All|service_line_count</t>
  </si>
  <si>
    <t xml:space="preserve">GIPSA Insurance|OTC5005</t>
  </si>
  <si>
    <t xml:space="preserve">Cash|ENCU26|ENCORE LATEX UNDERGLOVE 7.5 NO(ANSELL)</t>
  </si>
  <si>
    <t xml:space="preserve">Cash|ENCORE LATEX UNDERGLOVE 7.5 NO(ANSELL)</t>
  </si>
  <si>
    <t xml:space="preserve">TR160|BIO0181</t>
  </si>
  <si>
    <t xml:space="preserve">TR202|normal|3</t>
  </si>
  <si>
    <t xml:space="preserve">Insurance All|room_charges</t>
  </si>
  <si>
    <t xml:space="preserve">GIPSA Insurance|OTI0015</t>
  </si>
  <si>
    <t xml:space="preserve">Cash|FACU131|FACE MASK 3 PLY EARLOOP(PROVIN HEALTHCARE-SVTC)</t>
  </si>
  <si>
    <t xml:space="preserve">Cash|FACE MASK 3 PLY EARLOOP(PROVIN HEALTHCARE-SVTC)</t>
  </si>
  <si>
    <t xml:space="preserve">TR160|BLD0001</t>
  </si>
  <si>
    <t xml:space="preserve">TR202|normal|3.5</t>
  </si>
  <si>
    <t xml:space="preserve">Insurance All|room_charges_per_day</t>
  </si>
  <si>
    <t xml:space="preserve">GIPSA Insurance|OTI0018</t>
  </si>
  <si>
    <t xml:space="preserve">Cash|NEEU67|NEEDLE DISPOSABLE 18G X 1.5IN(NIPRO)</t>
  </si>
  <si>
    <t xml:space="preserve">Cash|NEEDLE DISPOSABLE 18G X 1.5IN(NIPRO)</t>
  </si>
  <si>
    <t xml:space="preserve">TR160|BLD0009</t>
  </si>
  <si>
    <t xml:space="preserve">Cross Matching Charges</t>
  </si>
  <si>
    <t xml:space="preserve">TR202|normal|4</t>
  </si>
  <si>
    <t xml:space="preserve">Insurance All|investigations</t>
  </si>
  <si>
    <t xml:space="preserve">GIPSA Insurance|PSY0036</t>
  </si>
  <si>
    <t xml:space="preserve">Cash|POSI03|POSIFLUSH SP 10ML(306575-BD)</t>
  </si>
  <si>
    <t xml:space="preserve">Cash|POSIFLUSH SP 10ML(306575-BD)</t>
  </si>
  <si>
    <t xml:space="preserve">TR160|BLD0024</t>
  </si>
  <si>
    <t xml:space="preserve">PACKED CELLS (WITH REPLACEMENT)</t>
  </si>
  <si>
    <t xml:space="preserve">TR202|normal|4.5</t>
  </si>
  <si>
    <t xml:space="preserve">Insurance All|procedure_ot_charges</t>
  </si>
  <si>
    <t xml:space="preserve">Cash|PURU02|PURESIGHT ARRAY SET KNEE(4515-70-011-DEPUY)</t>
  </si>
  <si>
    <t xml:space="preserve">Cash|PURESIGHT ARRAY SET KNEE(4515-70-011-DEPUY)</t>
  </si>
  <si>
    <t xml:space="preserve">TR160|PAT0007</t>
  </si>
  <si>
    <t xml:space="preserve">TR202|normal|5</t>
  </si>
  <si>
    <t xml:space="preserve">Insurance All|bedside_services</t>
  </si>
  <si>
    <t xml:space="preserve">Non-GIPSA Insurance|CAR0080</t>
  </si>
  <si>
    <t xml:space="preserve">Cash|SPIU59|SPIKIER VENTE(ROMSONS)</t>
  </si>
  <si>
    <t xml:space="preserve">Cash|SPIKIER VENTE(ROMSONS)</t>
  </si>
  <si>
    <t xml:space="preserve">TR160|PAT0041</t>
  </si>
  <si>
    <t xml:space="preserve">TR202|normal|5.5</t>
  </si>
  <si>
    <t xml:space="preserve">Insurance All|professional_fees</t>
  </si>
  <si>
    <t xml:space="preserve">Non-GIPSA Insurance|XRY044</t>
  </si>
  <si>
    <t xml:space="preserve">Cash|SYRU140|SYRINGE 3ML LL(KAREJET-ROMSONS)</t>
  </si>
  <si>
    <t xml:space="preserve">Cash|SYRINGE 3ML LL(KAREJET-ROMSONS)</t>
  </si>
  <si>
    <t xml:space="preserve">TR160|PAT0078</t>
  </si>
  <si>
    <t xml:space="preserve">TR202|normal|6</t>
  </si>
  <si>
    <t xml:space="preserve">Insurance All|ip_drugs</t>
  </si>
  <si>
    <t xml:space="preserve">Non-GIPSA Insurance|XRY5090</t>
  </si>
  <si>
    <t xml:space="preserve">Cash||NS 0.9% 500ML EH(PROPORT NS-PROMEA)</t>
  </si>
  <si>
    <t xml:space="preserve">TR160|ANS0003</t>
  </si>
  <si>
    <t xml:space="preserve">TR202|normal|6.5</t>
  </si>
  <si>
    <t xml:space="preserve">Insurance All|ip_drugs_per_day</t>
  </si>
  <si>
    <t xml:space="preserve">Non-GIPSA Insurance|XRY5133</t>
  </si>
  <si>
    <t xml:space="preserve">Cash|ALPT01|ALPRAX 0.25MG TAB</t>
  </si>
  <si>
    <t xml:space="preserve">Cash|ALPRAX 0.25MG TAB</t>
  </si>
  <si>
    <t xml:space="preserve">TR160|PHY5076</t>
  </si>
  <si>
    <t xml:space="preserve">TR202|normal|7</t>
  </si>
  <si>
    <t xml:space="preserve">Insurance All|ip_consumables</t>
  </si>
  <si>
    <t xml:space="preserve">Non-GIPSA Insurance|BIO0001</t>
  </si>
  <si>
    <t xml:space="preserve">Cash|NITU57|NITRILE POWDER FREE EXAMINATION GLOVES MEDIUM(DURAMITT-TEGAMEN)</t>
  </si>
  <si>
    <t xml:space="preserve">Cash|NITRILE POWDER FREE EXAMINATION GLOVES MEDIUM(DURAMITT-TEGAMEN)</t>
  </si>
  <si>
    <t xml:space="preserve">TR160|EME0016</t>
  </si>
  <si>
    <t xml:space="preserve">TR202|normal|7.5</t>
  </si>
  <si>
    <t xml:space="preserve">Insurance All|ip_consumables_per_day</t>
  </si>
  <si>
    <t xml:space="preserve">Non-GIPSA Insurance|BIO0002</t>
  </si>
  <si>
    <t xml:space="preserve">Cash|SMAM40|SMARTSET GHV BONE CEMENT GENTAMICIN 40GM(3095-040-DEPUY SYNTHES)</t>
  </si>
  <si>
    <t xml:space="preserve">Cash|SMARTSET GHV BONE CEMENT GENTAMICIN 40GM(3095-040-DEPUY SYNTHES)</t>
  </si>
  <si>
    <t xml:space="preserve">TR160|EME0018</t>
  </si>
  <si>
    <t xml:space="preserve">TR202|normal|8</t>
  </si>
  <si>
    <t xml:space="preserve">Insurance All|ot_drugs</t>
  </si>
  <si>
    <t xml:space="preserve">Non-GIPSA Insurance|BIO0003</t>
  </si>
  <si>
    <t xml:space="preserve">Cash|COTC05|COTTON BALLS(STERILE)</t>
  </si>
  <si>
    <t xml:space="preserve">Cash|COTTON BALLS(STERILE)</t>
  </si>
  <si>
    <t xml:space="preserve">TR160|EME0020</t>
  </si>
  <si>
    <t xml:space="preserve">TR206|normal|0.5</t>
  </si>
  <si>
    <t xml:space="preserve">Insurance All|ot_consumables</t>
  </si>
  <si>
    <t xml:space="preserve">Non-GIPSA Insurance|BIO0004</t>
  </si>
  <si>
    <t xml:space="preserve">Cash|DIGU22|DIGITAL THERMOMETER(MICROGENE)</t>
  </si>
  <si>
    <t xml:space="preserve">Cash|DIGITAL THERMOMETER(MICROGENE)</t>
  </si>
  <si>
    <t xml:space="preserve">TR160|EME0052</t>
  </si>
  <si>
    <t xml:space="preserve">TR206|normal|1</t>
  </si>
  <si>
    <t xml:space="preserve">Insurance All|implants</t>
  </si>
  <si>
    <t xml:space="preserve">Non-GIPSA Insurance|BIO0005</t>
  </si>
  <si>
    <t xml:space="preserve">Cash|DISU100|PLAIN SHEET 210CM*120CM(RAJ MEDITECH)</t>
  </si>
  <si>
    <t xml:space="preserve">Cash|PLAIN SHEET 210CM*120CM(RAJ MEDITECH)</t>
  </si>
  <si>
    <t xml:space="preserve">TR160|EME0080</t>
  </si>
  <si>
    <t xml:space="preserve">TR206|normal|1.5</t>
  </si>
  <si>
    <t xml:space="preserve">Insurance All|pharmacy_total</t>
  </si>
  <si>
    <t xml:space="preserve">Non-GIPSA Insurance|BIO0064</t>
  </si>
  <si>
    <t xml:space="preserve">Cash|HIPU08|HIP U DRAPE(E511- SURGIWEAR)</t>
  </si>
  <si>
    <t xml:space="preserve">Cash|HIP U DRAPE(E511- SURGIWEAR)</t>
  </si>
  <si>
    <t xml:space="preserve">TR160|EME5045</t>
  </si>
  <si>
    <t xml:space="preserve">TR206|normal|2</t>
  </si>
  <si>
    <t xml:space="preserve">Insurance All|drug_administration_charges</t>
  </si>
  <si>
    <t xml:space="preserve">Non-GIPSA Insurance|BIO0075</t>
  </si>
  <si>
    <t xml:space="preserve">Cash|OXYU01|OXYGEN MASK ADULT(VINJOH)</t>
  </si>
  <si>
    <t xml:space="preserve">Cash|OXYGEN MASK ADULT(VINJOH)</t>
  </si>
  <si>
    <t xml:space="preserve">TR160|EME0088</t>
  </si>
  <si>
    <t xml:space="preserve">TR206|normal|2.5</t>
  </si>
  <si>
    <t xml:space="preserve">Insurance All|services_total_excluding_food_and_beverage</t>
  </si>
  <si>
    <t xml:space="preserve">Non-GIPSA Insurance|BIO0097</t>
  </si>
  <si>
    <t xml:space="preserve">Cash|SPIU19|SPINAL NEEDLE 27G(BD)</t>
  </si>
  <si>
    <t xml:space="preserve">Cash|SPINAL NEEDLE 27G(BD)</t>
  </si>
  <si>
    <t xml:space="preserve">TR160|PSY0036</t>
  </si>
  <si>
    <t xml:space="preserve">TR206|normal|3</t>
  </si>
  <si>
    <t xml:space="preserve">Insurance All|food_and_beverage_excluded</t>
  </si>
  <si>
    <t xml:space="preserve">Non-GIPSA Insurance|BIO0098</t>
  </si>
  <si>
    <t xml:space="preserve">Cash|SURU11|SURGICAL GLOVE 6.5(SURGICARE-KANAM)</t>
  </si>
  <si>
    <t xml:space="preserve">Cash|SURGICAL GLOVE 6.5(SURGICARE-KANAM)</t>
  </si>
  <si>
    <t xml:space="preserve">TR177|BIO0001</t>
  </si>
  <si>
    <t xml:space="preserve">TR206|normal|3.5</t>
  </si>
  <si>
    <t xml:space="preserve">Insurance All|pharmacy_returns_excluded</t>
  </si>
  <si>
    <t xml:space="preserve">Non-GIPSA Insurance|BIO0106</t>
  </si>
  <si>
    <t xml:space="preserve">Cash|SURU12|SURGICAL GLOVE 7.0(SURGICARE-KANAM)</t>
  </si>
  <si>
    <t xml:space="preserve">Cash|SURGICAL GLOVE 7.0(SURGICARE-KANAM)</t>
  </si>
  <si>
    <t xml:space="preserve">TR177|BIO0002</t>
  </si>
  <si>
    <t xml:space="preserve">TR206|normal|4</t>
  </si>
  <si>
    <t xml:space="preserve">Insurance All|total_amount_excluding_food_and_beverage_and_returns_plus_drug_admin</t>
  </si>
  <si>
    <t xml:space="preserve">Non-GIPSA Insurance|BIO0121</t>
  </si>
  <si>
    <t xml:space="preserve">Cash|VACU27|VACUUM SUCTION SET 250CM(MORRISONS)</t>
  </si>
  <si>
    <t xml:space="preserve">Cash|VACUUM SUCTION SET 250CM(MORRISONS)</t>
  </si>
  <si>
    <t xml:space="preserve">TR177|BIO0003</t>
  </si>
  <si>
    <t xml:space="preserve">TR206|normal|4.5</t>
  </si>
  <si>
    <t xml:space="preserve">All Payers|los_days</t>
  </si>
  <si>
    <t xml:space="preserve">Non-GIPSA Insurance|BIO0162</t>
  </si>
  <si>
    <t xml:space="preserve">Cash||G2K 40MG INJ</t>
  </si>
  <si>
    <t xml:space="preserve">TR177|BIO0004</t>
  </si>
  <si>
    <t xml:space="preserve">TR206|normal|5</t>
  </si>
  <si>
    <t xml:space="preserve">All Payers|icu_days</t>
  </si>
  <si>
    <t xml:space="preserve">Non-GIPSA Insurance|BIO0181</t>
  </si>
  <si>
    <t xml:space="preserve">Cash||PARACIP 100ML INJECTION(HS)</t>
  </si>
  <si>
    <t xml:space="preserve">TR177|BIO0162</t>
  </si>
  <si>
    <t xml:space="preserve">TR206|normal|5.5</t>
  </si>
  <si>
    <t xml:space="preserve">All Payers|ward_days</t>
  </si>
  <si>
    <t xml:space="preserve">Non-GIPSA Insurance|BLD0001</t>
  </si>
  <si>
    <t xml:space="preserve">Cash|IDII01|IDIAQUA 1ML INJ</t>
  </si>
  <si>
    <t xml:space="preserve">Cash|IDIAQUA 1ML INJ</t>
  </si>
  <si>
    <t xml:space="preserve">TR177|CAR5341</t>
  </si>
  <si>
    <t xml:space="preserve">TR206|normal|6</t>
  </si>
  <si>
    <t xml:space="preserve">All Payers|ot_hours</t>
  </si>
  <si>
    <t xml:space="preserve">Non-GIPSA Insurance|BLD0009</t>
  </si>
  <si>
    <t xml:space="preserve">Cash|IFIF01|IFIMOL 1000MG 100ML IV</t>
  </si>
  <si>
    <t xml:space="preserve">Cash|IFIMOL 1000MG 100ML IV</t>
  </si>
  <si>
    <t xml:space="preserve">TR177|CAS0007</t>
  </si>
  <si>
    <t xml:space="preserve">TR206|normal|6.5</t>
  </si>
  <si>
    <t xml:space="preserve">All Payers|service_line_count</t>
  </si>
  <si>
    <t xml:space="preserve">Non-GIPSA Insurance|BLD0024</t>
  </si>
  <si>
    <t xml:space="preserve">Cash|MEZI01|MEZOLAM 5ML INJ</t>
  </si>
  <si>
    <t xml:space="preserve">Cash|MEZOLAM 5ML INJ</t>
  </si>
  <si>
    <t xml:space="preserve">TR177|DIE0001</t>
  </si>
  <si>
    <t xml:space="preserve">TR206|normal|7</t>
  </si>
  <si>
    <t xml:space="preserve">All Payers|room_charges</t>
  </si>
  <si>
    <t xml:space="preserve">Non-GIPSA Insurance|PAT0007</t>
  </si>
  <si>
    <t xml:space="preserve">Cash|NORF136|NORMAL SALINE 0.9% 100ML PLASTIC EH(ACULIFE)</t>
  </si>
  <si>
    <t xml:space="preserve">Cash|NORMAL SALINE 0.9% 100ML PLASTIC EH(ACULIFE)</t>
  </si>
  <si>
    <t xml:space="preserve">TR177|EME0017</t>
  </si>
  <si>
    <t xml:space="preserve">TR206|normal|7.5</t>
  </si>
  <si>
    <t xml:space="preserve">All Payers|room_charges_per_day</t>
  </si>
  <si>
    <t xml:space="preserve">Non-GIPSA Insurance|PAT0041</t>
  </si>
  <si>
    <t xml:space="preserve">Cash|NS0F05|NS 0.9% 1000ML NH(PROLINE NS-PROMEA)</t>
  </si>
  <si>
    <t xml:space="preserve">Cash|NS 0.9% 1000ML NH(PROLINE NS-PROMEA)</t>
  </si>
  <si>
    <t xml:space="preserve">TR177|EME0019</t>
  </si>
  <si>
    <t xml:space="preserve">TR206|normal|8</t>
  </si>
  <si>
    <t xml:space="preserve">All Payers|investigations</t>
  </si>
  <si>
    <t xml:space="preserve">Non-GIPSA Insurance|PAT0042</t>
  </si>
  <si>
    <t xml:space="preserve">Cash|NS0F06|NS 0.9% 100ML NH(PRODISC NS-PROMEA)</t>
  </si>
  <si>
    <t xml:space="preserve">Cash|NS 0.9% 100ML NH(PRODISC NS-PROMEA)</t>
  </si>
  <si>
    <t xml:space="preserve">TR177|EME0087</t>
  </si>
  <si>
    <t xml:space="preserve">TR240|normal|0.5</t>
  </si>
  <si>
    <t xml:space="preserve">All Payers|procedure_ot_charges</t>
  </si>
  <si>
    <t xml:space="preserve">Non-GIPSA Insurance|PAT0045</t>
  </si>
  <si>
    <t xml:space="preserve">Cash|PREC103|PRENURA 75MG CAP</t>
  </si>
  <si>
    <t xml:space="preserve">Cash|PRENURA 75MG CAP</t>
  </si>
  <si>
    <t xml:space="preserve">TR177|HSP0047</t>
  </si>
  <si>
    <t xml:space="preserve">TR240|emergency|0.5</t>
  </si>
  <si>
    <t xml:space="preserve">All Payers|bedside_services</t>
  </si>
  <si>
    <t xml:space="preserve">Non-GIPSA Insurance|PAT0078</t>
  </si>
  <si>
    <t xml:space="preserve">Cash|SUPI10|SUPRIDOL 2ML INJ</t>
  </si>
  <si>
    <t xml:space="preserve">Cash|SUPRIDOL 2ML INJ</t>
  </si>
  <si>
    <t xml:space="preserve">TR177|HSP5013</t>
  </si>
  <si>
    <t xml:space="preserve">TR240|normal|1</t>
  </si>
  <si>
    <t xml:space="preserve">All Payers|professional_fees</t>
  </si>
  <si>
    <t xml:space="preserve">Non-GIPSA Insurance|PHY5082</t>
  </si>
  <si>
    <t xml:space="preserve">Cash|SIMM30|SIMPLEX PALCOS BONE CEMENT(61910001-STRYKER)</t>
  </si>
  <si>
    <t xml:space="preserve">Cash|SIMPLEX PALCOS BONE CEMENT(61910001-STRYKER)</t>
  </si>
  <si>
    <t xml:space="preserve">TR177|ICC0001</t>
  </si>
  <si>
    <t xml:space="preserve">TR240|emergency|1</t>
  </si>
  <si>
    <t xml:space="preserve">All Payers|ip_drugs</t>
  </si>
  <si>
    <t xml:space="preserve">Non-GIPSA Insurance|ANS0003</t>
  </si>
  <si>
    <t xml:space="preserve">Cash||SYRINGE 2ML(LIFELONG)</t>
  </si>
  <si>
    <t xml:space="preserve">TR177|ICC0002</t>
  </si>
  <si>
    <t xml:space="preserve">TR240|normal|1.5</t>
  </si>
  <si>
    <t xml:space="preserve">All Payers|ip_drugs_per_day</t>
  </si>
  <si>
    <t xml:space="preserve">Non-GIPSA Insurance|DIE0001</t>
  </si>
  <si>
    <t xml:space="preserve">Cash|LATU73|LATEX EXAMINATION GLOVES-MEDIUM(NITRILE-SUCHIKA)</t>
  </si>
  <si>
    <t xml:space="preserve">Cash|LATEX EXAMINATION GLOVES-MEDIUM(NITRILE-SUCHIKA)</t>
  </si>
  <si>
    <t xml:space="preserve">TR177|OTC0010</t>
  </si>
  <si>
    <t xml:space="preserve">TR240|emergency|1.5</t>
  </si>
  <si>
    <t xml:space="preserve">All Payers|ip_consumables</t>
  </si>
  <si>
    <t xml:space="preserve">Non-GIPSA Insurance|PHY5076</t>
  </si>
  <si>
    <t xml:space="preserve">Cash|NEEU08|NEEDLES 16G*1.5 IN(HMD)</t>
  </si>
  <si>
    <t xml:space="preserve">Cash|NEEDLES 16G*1.5 IN(HMD)</t>
  </si>
  <si>
    <t xml:space="preserve">TR177|OTC5005</t>
  </si>
  <si>
    <t xml:space="preserve">TR240|normal|2</t>
  </si>
  <si>
    <t xml:space="preserve">All Payers|ip_consumables_per_day</t>
  </si>
  <si>
    <t xml:space="preserve">Non-GIPSA Insurance|CAR5341</t>
  </si>
  <si>
    <t xml:space="preserve">Cash|NEEU66|NEEDLE DISPOSABLE 16G X 1.5IN(NIPRO)</t>
  </si>
  <si>
    <t xml:space="preserve">Cash|NEEDLE DISPOSABLE 16G X 1.5IN(NIPRO)</t>
  </si>
  <si>
    <t xml:space="preserve">TR177|OTI0015</t>
  </si>
  <si>
    <t xml:space="preserve">TR240|emergency|2</t>
  </si>
  <si>
    <t xml:space="preserve">All Payers|ot_drugs</t>
  </si>
  <si>
    <t xml:space="preserve">Non-GIPSA Insurance|CAS0007</t>
  </si>
  <si>
    <t xml:space="preserve">Cash||VOMIKIND 2ML INJ</t>
  </si>
  <si>
    <t xml:space="preserve">TR177|OTI0018</t>
  </si>
  <si>
    <t xml:space="preserve">TR240|normal|2.5</t>
  </si>
  <si>
    <t xml:space="preserve">All Payers|ot_consumables</t>
  </si>
  <si>
    <t xml:space="preserve">Non-GIPSA Insurance|EME0016</t>
  </si>
  <si>
    <t xml:space="preserve">Cash|GB2C01|GB 29-75MG CAPSULE</t>
  </si>
  <si>
    <t xml:space="preserve">Cash|GB 29-75MG CAPSULE</t>
  </si>
  <si>
    <t xml:space="preserve">TR177|OTI0098</t>
  </si>
  <si>
    <t xml:space="preserve">TR240|emergency|2.5</t>
  </si>
  <si>
    <t xml:space="preserve">All Payers|implants</t>
  </si>
  <si>
    <t xml:space="preserve">Non-GIPSA Insurance|EME0017</t>
  </si>
  <si>
    <t xml:space="preserve">Cash|BEDU36|BED BATH TOWEL 300MM*240MM 10S PACK(WIPEX-ROMSONS)</t>
  </si>
  <si>
    <t xml:space="preserve">Cash|BED BATH TOWEL 300MM*240MM 10S PACK(WIPEX-ROMSONS)</t>
  </si>
  <si>
    <t xml:space="preserve">TR177|PAT0042</t>
  </si>
  <si>
    <t xml:space="preserve">TR240|normal|3</t>
  </si>
  <si>
    <t xml:space="preserve">All Payers|pharmacy_total</t>
  </si>
  <si>
    <t xml:space="preserve">Non-GIPSA Insurance|EME0018</t>
  </si>
  <si>
    <t xml:space="preserve">Cash|CARU60|C ARM COVER POLY 2PIECE(P0325-PRIMEWEAR)</t>
  </si>
  <si>
    <t xml:space="preserve">Cash|C ARM COVER POLY 2PIECE(P0325-PRIMEWEAR)</t>
  </si>
  <si>
    <t xml:space="preserve">TR177|PAT0045</t>
  </si>
  <si>
    <t xml:space="preserve">TR240|emergency|3</t>
  </si>
  <si>
    <t xml:space="preserve">All Payers|drug_administration_charges</t>
  </si>
  <si>
    <t xml:space="preserve">Non-GIPSA Insurance|EME0019</t>
  </si>
  <si>
    <t xml:space="preserve">Cash|LEGU6|LEG U DRAPE(PRIMEWEAR)</t>
  </si>
  <si>
    <t xml:space="preserve">Cash|LEG U DRAPE(PRIMEWEAR)</t>
  </si>
  <si>
    <t xml:space="preserve">TR177|PHY5082</t>
  </si>
  <si>
    <t xml:space="preserve">TR240|normal|3.5</t>
  </si>
  <si>
    <t xml:space="preserve">All Payers|services_total_excluding_food_and_beverage</t>
  </si>
  <si>
    <t xml:space="preserve">Non-GIPSA Insurance|EME0020</t>
  </si>
  <si>
    <t xml:space="preserve">Cash|MAKM01|107120 MAKO VIZADISCS</t>
  </si>
  <si>
    <t xml:space="preserve">Cash|107120 MAKO VIZADISCS</t>
  </si>
  <si>
    <t xml:space="preserve">TR177|RNS0120</t>
  </si>
  <si>
    <t xml:space="preserve">TR240|emergency|3.5</t>
  </si>
  <si>
    <t xml:space="preserve">All Payers|food_and_beverage_excluded</t>
  </si>
  <si>
    <t xml:space="preserve">Non-GIPSA Insurance|EME0052</t>
  </si>
  <si>
    <t xml:space="preserve">Cash|MICU137|MICS SAGITTAL BLADE STANDARD(116170-STRYKER)</t>
  </si>
  <si>
    <t xml:space="preserve">Cash|MICS SAGITTAL BLADE STANDARD(116170-STRYKER)</t>
  </si>
  <si>
    <t xml:space="preserve">TR177|RNS5005</t>
  </si>
  <si>
    <t xml:space="preserve">TR240|normal|4</t>
  </si>
  <si>
    <t xml:space="preserve">All Payers|pharmacy_returns_excluded</t>
  </si>
  <si>
    <t xml:space="preserve">Non-GIPSA Insurance|EME0080</t>
  </si>
  <si>
    <t xml:space="preserve">Cash|SPIU05|SPINAL NEEDLE 25G(BD)</t>
  </si>
  <si>
    <t xml:space="preserve">Cash|SPINAL NEEDLE 25G(BD)</t>
  </si>
  <si>
    <t xml:space="preserve">TR177|ROM0001</t>
  </si>
  <si>
    <t xml:space="preserve">TR240|emergency|4</t>
  </si>
  <si>
    <t xml:space="preserve">All Payers|total_amount_excluding_food_and_beverage_and_returns_plus_drug_admin</t>
  </si>
  <si>
    <t xml:space="preserve">Non-GIPSA Insurance|EME0087</t>
  </si>
  <si>
    <t xml:space="preserve">Cash|SURU10|SURGICAL GLOVE 6.0(SURGICARE-KANAM)</t>
  </si>
  <si>
    <t xml:space="preserve">Cash|SURGICAL GLOVE 6.0(SURGICARE-KANAM)</t>
  </si>
  <si>
    <t xml:space="preserve">TR177|ROM0024</t>
  </si>
  <si>
    <t xml:space="preserve">TR240|normal|4.5</t>
  </si>
  <si>
    <t xml:space="preserve">Non-GIPSA Insurance|EME5045</t>
  </si>
  <si>
    <t xml:space="preserve">Cash|SYRU119|SYRINGE 5ML LL(LIFE LONG)</t>
  </si>
  <si>
    <t xml:space="preserve">Cash|SYRINGE 5ML LL(LIFE LONG)</t>
  </si>
  <si>
    <t xml:space="preserve">TR177|ROM0036</t>
  </si>
  <si>
    <t xml:space="preserve">TR240|emergency|4.5</t>
  </si>
  <si>
    <t xml:space="preserve">Non-GIPSA Insurance|ICC0001</t>
  </si>
  <si>
    <t xml:space="preserve">Cash|VOLU08|VOLDYNE SPIROMETER LUNG EXERCISER 4000ML(8884719016-MEDLINE)</t>
  </si>
  <si>
    <t xml:space="preserve">Cash|VOLDYNE SPIROMETER LUNG EXERCISER 4000ML(8884719016-MEDLINE)</t>
  </si>
  <si>
    <t xml:space="preserve">TR177|ROM0093</t>
  </si>
  <si>
    <t xml:space="preserve">TR240|normal|5</t>
  </si>
  <si>
    <t xml:space="preserve">Implant Reference</t>
  </si>
  <si>
    <t xml:space="preserve">Non-GIPSA Insurance|ICC0002</t>
  </si>
  <si>
    <t xml:space="preserve">Cash|DEPI16|DEPOCILONE 40MG INJ</t>
  </si>
  <si>
    <t xml:space="preserve">Cash|DEPOCILONE 40MG INJ</t>
  </si>
  <si>
    <t xml:space="preserve">TR177|ROM5009</t>
  </si>
  <si>
    <t xml:space="preserve">TR240|emergency|5</t>
  </si>
  <si>
    <t xml:space="preserve">implant_family</t>
  </si>
  <si>
    <t xml:space="preserve">brand_family</t>
  </si>
  <si>
    <t xml:space="preserve">item_presence_rate</t>
  </si>
  <si>
    <t xml:space="preserve">item_quantity_p50</t>
  </si>
  <si>
    <t xml:space="preserve">typical_rate_p50</t>
  </si>
  <si>
    <t xml:space="preserve">Non-GIPSA Insurance|EME0088</t>
  </si>
  <si>
    <t xml:space="preserve">Cash|JUSI02|JUSTIN AQ 1ML INJ</t>
  </si>
  <si>
    <t xml:space="preserve">Cash|JUSTIN AQ 1ML INJ</t>
  </si>
  <si>
    <t xml:space="preserve">TR177|ROM5189</t>
  </si>
  <si>
    <t xml:space="preserve">TR240|normal|5.5</t>
  </si>
  <si>
    <t xml:space="preserve">Non-GIPSA Insurance|OTI0098</t>
  </si>
  <si>
    <t xml:space="preserve">Cash|MIDI09|MIDFAST 5ML INJ</t>
  </si>
  <si>
    <t xml:space="preserve">Cash|MIDFAST 5ML INJ</t>
  </si>
  <si>
    <t xml:space="preserve">TR177|XRY5090</t>
  </si>
  <si>
    <t xml:space="preserve">TR240|emergency|5.5</t>
  </si>
  <si>
    <t xml:space="preserve">Non-GIPSA Insurance|RNS5005</t>
  </si>
  <si>
    <t xml:space="preserve">Cash|NORF140|NORMAL SALINE 0.9% 500ML FREEPORT/FLEXI(UNIBAG-ACULIFE)</t>
  </si>
  <si>
    <t xml:space="preserve">Cash|NORMAL SALINE 0.9% 500ML FREEPORT/FLEXI(UNIBAG-ACULIFE)</t>
  </si>
  <si>
    <t xml:space="preserve">TR177|CAR0080</t>
  </si>
  <si>
    <t xml:space="preserve">TR240|normal|6</t>
  </si>
  <si>
    <t xml:space="preserve">Non-GIPSA Insurance|ROM5189</t>
  </si>
  <si>
    <t xml:space="preserve">Cash|NORF177|NORMAL SALINE 0.9% 3000ML EH(ACULIFE)</t>
  </si>
  <si>
    <t xml:space="preserve">Cash|NORMAL SALINE 0.9% 3000ML EH(ACULIFE)</t>
  </si>
  <si>
    <t xml:space="preserve">TR177|XRY044</t>
  </si>
  <si>
    <t xml:space="preserve">TR240|emergency|6</t>
  </si>
  <si>
    <t xml:space="preserve">Non-GIPSA Insurance|HSP5013</t>
  </si>
  <si>
    <t xml:space="preserve">Cash|NORF90|NORMAL SALINE 0.9% 500ML PLASTIC EH(FRESENIUS)</t>
  </si>
  <si>
    <t xml:space="preserve">Cash|NORMAL SALINE 0.9% 500ML PLASTIC EH(FRESENIUS)</t>
  </si>
  <si>
    <t xml:space="preserve">TR177|XRY5133</t>
  </si>
  <si>
    <t xml:space="preserve">TR240|normal|6.5</t>
  </si>
  <si>
    <t xml:space="preserve">Non-GIPSA Insurance|ROM0093</t>
  </si>
  <si>
    <t xml:space="preserve">Cash|REST03|RESTYL 0.25MG TAB</t>
  </si>
  <si>
    <t xml:space="preserve">Cash|RESTYL 0.25MG TAB</t>
  </si>
  <si>
    <t xml:space="preserve">TR177|BIO0005</t>
  </si>
  <si>
    <t xml:space="preserve">TR240|emergency|6.5</t>
  </si>
  <si>
    <t xml:space="preserve">Non-GIPSA Insurance|OTC5005</t>
  </si>
  <si>
    <t xml:space="preserve">Cash|ARRU07|ARRAY DRILL PIN 4X175MM(4515-70-006-DEPUY SYNTHES)</t>
  </si>
  <si>
    <t xml:space="preserve">Cash|ARRAY DRILL PIN 4X175MM(4515-70-006-DEPUY SYNTHES)</t>
  </si>
  <si>
    <t xml:space="preserve">TR177|BIO0064</t>
  </si>
  <si>
    <t xml:space="preserve">TR240|normal|7</t>
  </si>
  <si>
    <t xml:space="preserve">Non-GIPSA Insurance|OTI0015</t>
  </si>
  <si>
    <t xml:space="preserve">Cash|BONM151|SIMPLEX P BONE CEMENT 40GM(6191-0-001-STRYKER CORP)</t>
  </si>
  <si>
    <t xml:space="preserve">Cash|SIMPLEX P BONE CEMENT 40GM(6191-0-001-STRYKER CORP)</t>
  </si>
  <si>
    <t xml:space="preserve">TR177|BIO0075</t>
  </si>
  <si>
    <t xml:space="preserve">TR240|emergency|7</t>
  </si>
  <si>
    <t xml:space="preserve">Non-GIPSA Insurance|OTI0018</t>
  </si>
  <si>
    <t xml:space="preserve">Cash||SYRINGE 3ML LL(KAREJET-ROMSONS)</t>
  </si>
  <si>
    <t xml:space="preserve">TR177|BIO0097</t>
  </si>
  <si>
    <t xml:space="preserve">TR240|normal|7.5</t>
  </si>
  <si>
    <t xml:space="preserve">OT 7 1/2 HOURS</t>
  </si>
  <si>
    <t xml:space="preserve">Non-GIPSA Insurance|PSY0036</t>
  </si>
  <si>
    <t xml:space="preserve">Cash|ENCU13|MICROOPTIC STERILE GLOVE 8.0(ENCORE-JK ANSELL)</t>
  </si>
  <si>
    <t xml:space="preserve">Cash|MICROOPTIC STERILE GLOVE 8.0(ENCORE-JK ANSELL)</t>
  </si>
  <si>
    <t xml:space="preserve">TR177|BIO0098</t>
  </si>
  <si>
    <t xml:space="preserve">TR240|emergency|7.5</t>
  </si>
  <si>
    <t xml:space="preserve">Cash|ENCU24|ENCORE LATEX UNDERGLOVE 7.0 NO(ANSELL)</t>
  </si>
  <si>
    <t xml:space="preserve">Cash|ENCORE LATEX UNDERGLOVE 7.0 NO(ANSELL)</t>
  </si>
  <si>
    <t xml:space="preserve">TR177|BIO0106</t>
  </si>
  <si>
    <t xml:space="preserve">TR240|normal|8</t>
  </si>
  <si>
    <t xml:space="preserve">OT 8 HOURS</t>
  </si>
  <si>
    <t xml:space="preserve">Corporate|CAR0080</t>
  </si>
  <si>
    <t xml:space="preserve">Cash|GDRU06|G DRESS-5 5CM*6CM(GD5-SURGIWEAR )</t>
  </si>
  <si>
    <t xml:space="preserve">Cash|G DRESS-5 5CM*6CM(GD5-SURGIWEAR )</t>
  </si>
  <si>
    <t xml:space="preserve">TR177|BIO0121</t>
  </si>
  <si>
    <t xml:space="preserve">TR240|emergency|8</t>
  </si>
  <si>
    <t xml:space="preserve">OT-E 8 HOURS</t>
  </si>
  <si>
    <t xml:space="preserve">Corporate|XRY044</t>
  </si>
  <si>
    <t xml:space="preserve">Cash|MOPC04|MOPS WITH X-RAY DETECTABLE FILAMENT 6PLY 25CM*25CM(READY GAUGE-BMT)</t>
  </si>
  <si>
    <t xml:space="preserve">Cash|MOPS WITH X-RAY DETECTABLE FILAMENT 6PLY 25CM*25CM(READY GAUGE-BMT)</t>
  </si>
  <si>
    <t xml:space="preserve">TR177|BIO0181</t>
  </si>
  <si>
    <t xml:space="preserve">TR284|normal|0.5</t>
  </si>
  <si>
    <t xml:space="preserve">Corporate|XRY5090</t>
  </si>
  <si>
    <t xml:space="preserve">Cash|PMLU33|PM LINE M/F 200CM(LIFE-O-LINE)</t>
  </si>
  <si>
    <t xml:space="preserve">Cash|PM LINE M/F 200CM(LIFE-O-LINE)</t>
  </si>
  <si>
    <t xml:space="preserve">TR177|BLD0001</t>
  </si>
  <si>
    <t xml:space="preserve">TR284|emergency|0.5</t>
  </si>
  <si>
    <t xml:space="preserve">Corporate|XRY5133</t>
  </si>
  <si>
    <t xml:space="preserve">Cash|STEU256|STERILE DRAPE KIT(4515-70-018-DEPUY)</t>
  </si>
  <si>
    <t xml:space="preserve">Cash|STERILE DRAPE KIT(4515-70-018-DEPUY)</t>
  </si>
  <si>
    <t xml:space="preserve">TR177|BLD0009</t>
  </si>
  <si>
    <t xml:space="preserve">TR284|normal|1</t>
  </si>
  <si>
    <t xml:space="preserve">Corporate|BIO0001</t>
  </si>
  <si>
    <t xml:space="preserve">Cash|STRR05|STRATAFIX SYMMETRIC PDS PLUS 1 SXPP1A201(ETHICON)</t>
  </si>
  <si>
    <t xml:space="preserve">Cash|STRATAFIX SYMMETRIC PDS PLUS 1 SXPP1A201(ETHICON)</t>
  </si>
  <si>
    <t xml:space="preserve">TR177|BLD0024</t>
  </si>
  <si>
    <t xml:space="preserve">TR284|emergency|1</t>
  </si>
  <si>
    <t xml:space="preserve">Corporate|BIO0002</t>
  </si>
  <si>
    <t xml:space="preserve">Cash|SURU69|SURGICAL BLADE 15(GLASSVAN)</t>
  </si>
  <si>
    <t xml:space="preserve">Cash|SURGICAL BLADE 15(GLASSVAN)</t>
  </si>
  <si>
    <t xml:space="preserve">TR177|PAT0007</t>
  </si>
  <si>
    <t xml:space="preserve">TR284|normal|1.5</t>
  </si>
  <si>
    <t xml:space="preserve">Corporate|BIO0003</t>
  </si>
  <si>
    <t xml:space="preserve">Cash|SYRU49|SYRINGE 3ML LUERLOCK(BD)</t>
  </si>
  <si>
    <t xml:space="preserve">Cash|SYRINGE 3ML LUERLOCK(BD)</t>
  </si>
  <si>
    <t xml:space="preserve">TR177|PAT0041</t>
  </si>
  <si>
    <t xml:space="preserve">TR284|emergency|1.5</t>
  </si>
  <si>
    <t xml:space="preserve">Corporate|BIO0004</t>
  </si>
  <si>
    <t xml:space="preserve">Cash|SYRU75|SYRINGE INSULIN 1ML 31G NEEDLE 40 UNITS(HMD)</t>
  </si>
  <si>
    <t xml:space="preserve">Cash|SYRINGE INSULIN 1ML 31G NEEDLE 40 UNITS(HMD)</t>
  </si>
  <si>
    <t xml:space="preserve">TR177|PAT0078</t>
  </si>
  <si>
    <t xml:space="preserve">TR284|normal|2</t>
  </si>
  <si>
    <t xml:space="preserve">Corporate|BIO0005</t>
  </si>
  <si>
    <t xml:space="preserve">Cash|THRU08|THREE WAY EXTENSION 10CM(POLYMED)</t>
  </si>
  <si>
    <t xml:space="preserve">Cash|THREE WAY EXTENSION 10CM(POLYMED)</t>
  </si>
  <si>
    <t xml:space="preserve">TR177|ANS0003</t>
  </si>
  <si>
    <t xml:space="preserve">TR284|emergency|2</t>
  </si>
  <si>
    <t xml:space="preserve">Corporate|BIO0064</t>
  </si>
  <si>
    <t xml:space="preserve">Cash|THRU61|THR/TKR KIT(SMART PACK-MEDLINE)</t>
  </si>
  <si>
    <t xml:space="preserve">Cash|THR/TKR KIT(SMART PACK-MEDLINE)</t>
  </si>
  <si>
    <t xml:space="preserve">TR177|PHY5076</t>
  </si>
  <si>
    <t xml:space="preserve">TR284|normal|2.5</t>
  </si>
  <si>
    <t xml:space="preserve">Corporate|BIO0075</t>
  </si>
  <si>
    <t xml:space="preserve">Cash|URIU35|URINAL POT MALE FEMALE(ALPHA MEDICARE AND DEVICES)</t>
  </si>
  <si>
    <t xml:space="preserve">Cash|URINAL POT MALE FEMALE(ALPHA MEDICARE AND DEVICES)</t>
  </si>
  <si>
    <t xml:space="preserve">TR177|EME0016</t>
  </si>
  <si>
    <t xml:space="preserve">TR284|emergency|2.5</t>
  </si>
  <si>
    <t xml:space="preserve">Corporate|BIO0097</t>
  </si>
  <si>
    <t xml:space="preserve">Cash|VENU57|VENFLON PRO SAFETY 20G(BD)</t>
  </si>
  <si>
    <t xml:space="preserve">Cash|VENFLON PRO SAFETY 20G(BD)</t>
  </si>
  <si>
    <t xml:space="preserve">TR177|EME0018</t>
  </si>
  <si>
    <t xml:space="preserve">TR284|normal|3</t>
  </si>
  <si>
    <t xml:space="preserve">Corporate|BIO0098</t>
  </si>
  <si>
    <t xml:space="preserve">Cash||ENOXATIL 40MG INJ</t>
  </si>
  <si>
    <t xml:space="preserve">TR177|EME0020</t>
  </si>
  <si>
    <t xml:space="preserve">TR284|emergency|3</t>
  </si>
  <si>
    <t xml:space="preserve">Corporate|BIO0106</t>
  </si>
  <si>
    <t xml:space="preserve">Cash|AVII01|AVIL 2ML INJ</t>
  </si>
  <si>
    <t xml:space="preserve">Cash|AVIL 2ML INJ</t>
  </si>
  <si>
    <t xml:space="preserve">TR177|EME0052</t>
  </si>
  <si>
    <t xml:space="preserve">TR284|normal|3.5</t>
  </si>
  <si>
    <t xml:space="preserve">Corporate|BIO0121</t>
  </si>
  <si>
    <t xml:space="preserve">Cash|NORF45|NORMAL SALINE 1000ML(PLASTIC)(ACULIFE)</t>
  </si>
  <si>
    <t xml:space="preserve">Cash|NORMAL SALINE 1000ML(PLASTIC)(ACULIFE)</t>
  </si>
  <si>
    <t xml:space="preserve">TR177|EME0080</t>
  </si>
  <si>
    <t xml:space="preserve">TR284|emergency|3.5</t>
  </si>
  <si>
    <t xml:space="preserve">Corporate|BIO0162</t>
  </si>
  <si>
    <t xml:space="preserve">Cash|NORF93|NORMAL SALINE 0.9% 500ML FREEFLEX(FRESENIUS)</t>
  </si>
  <si>
    <t xml:space="preserve">Cash|NORMAL SALINE 0.9% 500ML FREEFLEX(FRESENIUS)</t>
  </si>
  <si>
    <t xml:space="preserve">TR177|EME5045</t>
  </si>
  <si>
    <t xml:space="preserve">TR284|normal|4</t>
  </si>
  <si>
    <t xml:space="preserve">Corporate|BIO0181</t>
  </si>
  <si>
    <t xml:space="preserve">Cash|LEGU37|LEG U DRAPE(D501-SURGIWARE)</t>
  </si>
  <si>
    <t xml:space="preserve">Cash|LEG U DRAPE(D501-SURGIWARE)</t>
  </si>
  <si>
    <t xml:space="preserve">TR177|EME0088</t>
  </si>
  <si>
    <t xml:space="preserve">TR284|emergency|4</t>
  </si>
  <si>
    <t xml:space="preserve">Corporate|BLD0001</t>
  </si>
  <si>
    <t xml:space="preserve">Cash|SURU14|SURGICAL GLOVE 8.0(SURGICARE-KANAM)</t>
  </si>
  <si>
    <t xml:space="preserve">Cash|SURGICAL GLOVE 8.0(SURGICARE-KANAM)</t>
  </si>
  <si>
    <t xml:space="preserve">TR177|PSY0036</t>
  </si>
  <si>
    <t xml:space="preserve">TR284|normal|4.5</t>
  </si>
  <si>
    <t xml:space="preserve">Corporate|BLD0009</t>
  </si>
  <si>
    <t xml:space="preserve">Cash|SYRU137|SYRINGE INSULIN 1ML 31G NEEDLE (40 UNITS)(NIPRO)</t>
  </si>
  <si>
    <t xml:space="preserve">Cash|SYRINGE INSULIN 1ML 31G NEEDLE (40 UNITS)(NIPRO)</t>
  </si>
  <si>
    <t xml:space="preserve">TR201|BIO0001</t>
  </si>
  <si>
    <t xml:space="preserve">TR284|emergency|4.5</t>
  </si>
  <si>
    <t xml:space="preserve">Corporate|BLD0024</t>
  </si>
  <si>
    <t xml:space="preserve">Cash|HORP04|HORLICKS DIABETES PLUS VANILLA 400GM</t>
  </si>
  <si>
    <t xml:space="preserve">Cash|HORLICKS DIABETES PLUS VANILLA 400GM</t>
  </si>
  <si>
    <t xml:space="preserve">TR201|BIO0002</t>
  </si>
  <si>
    <t xml:space="preserve">TR284|normal|5</t>
  </si>
  <si>
    <t xml:space="preserve">Corporate|PAT0007</t>
  </si>
  <si>
    <t xml:space="preserve">Cash|LOXI6|LOXICARD 2% 50ML INJ</t>
  </si>
  <si>
    <t xml:space="preserve">Cash|LOXICARD 2% 50ML INJ</t>
  </si>
  <si>
    <t xml:space="preserve">TR201|BIO0003</t>
  </si>
  <si>
    <t xml:space="preserve">TR284|emergency|5</t>
  </si>
  <si>
    <t xml:space="preserve">Corporate|PAT0041</t>
  </si>
  <si>
    <t xml:space="preserve">Cash|MEPI18|MEPUP 10ML INJ</t>
  </si>
  <si>
    <t xml:space="preserve">Cash|MEPUP 10ML INJ</t>
  </si>
  <si>
    <t xml:space="preserve">TR201|BIO0004</t>
  </si>
  <si>
    <t xml:space="preserve">TR284|normal|5.5</t>
  </si>
  <si>
    <t xml:space="preserve">Corporate|PAT0042</t>
  </si>
  <si>
    <t xml:space="preserve">Cash|NORF140|NORMAL SALINE 0.9% 500ML FLEXIFLOW(UNIBAG-ACULIFE)</t>
  </si>
  <si>
    <t xml:space="preserve">Cash|NORMAL SALINE 0.9% 500ML FLEXIFLOW(UNIBAG-ACULIFE)</t>
  </si>
  <si>
    <t xml:space="preserve">TR201|BIO0162</t>
  </si>
  <si>
    <t xml:space="preserve">TR284|emergency|5.5</t>
  </si>
  <si>
    <t xml:space="preserve">Corporate|PAT0045</t>
  </si>
  <si>
    <t xml:space="preserve">Cash|NORF72|NORMAL SALINE 0.9% 3000ML PLASTIC(PENTAGON)</t>
  </si>
  <si>
    <t xml:space="preserve">Cash|NORMAL SALINE 0.9% 3000ML PLASTIC(PENTAGON)</t>
  </si>
  <si>
    <t xml:space="preserve">TR201|CAR5341</t>
  </si>
  <si>
    <t xml:space="preserve">TR284|normal|6</t>
  </si>
  <si>
    <t xml:space="preserve">Corporate|PAT0078</t>
  </si>
  <si>
    <t xml:space="preserve">Cash|SYRU122|SYRINGES INSULIN 1ML 40 IU(POLYMED)</t>
  </si>
  <si>
    <t xml:space="preserve">Cash|SYRINGES INSULIN 1ML 40 IU(POLYMED)</t>
  </si>
  <si>
    <t xml:space="preserve">TR201|CAS0007</t>
  </si>
  <si>
    <t xml:space="preserve">TR284|emergency|6</t>
  </si>
  <si>
    <t xml:space="preserve">Corporate|PHY5082</t>
  </si>
  <si>
    <t xml:space="preserve">Cash|ATTM168|ATTUNE TIBIAL BASEPLATE FIXED BEARING REVISION CEMENTED CONSTRAINED KNEE 3(1506-40-003-DEPUY SYNTHES)</t>
  </si>
  <si>
    <t xml:space="preserve">Cash|ATTUNE TIBIAL BASEPLATE FIXED BEARING REVISION CEMENTED CONSTRAINED KNEE 3(1506-40-003-DEPUY SYNTHES)</t>
  </si>
  <si>
    <t xml:space="preserve">TR201|DIE0001</t>
  </si>
  <si>
    <t xml:space="preserve">TR284|normal|6.5</t>
  </si>
  <si>
    <t xml:space="preserve">Corporate|ANS0003</t>
  </si>
  <si>
    <t xml:space="preserve">Cash||BED BATH TOWELS 300MMX240MM(PACK OF 10-MAGMACARE)</t>
  </si>
  <si>
    <t xml:space="preserve">TR201|EME0017</t>
  </si>
  <si>
    <t xml:space="preserve">TR284|emergency|6.5</t>
  </si>
  <si>
    <t xml:space="preserve">Corporate|DIE0001</t>
  </si>
  <si>
    <t xml:space="preserve">Cash||SYRINGE 5ML LL(LIFE LONG)</t>
  </si>
  <si>
    <t xml:space="preserve">TR201|EME0019</t>
  </si>
  <si>
    <t xml:space="preserve">TR284|normal|7</t>
  </si>
  <si>
    <t xml:space="preserve">Corporate|PHY5076</t>
  </si>
  <si>
    <t xml:space="preserve">Cash|NEBU29|NEBULIZER MASK ADULT(LIFE-O-LINE)</t>
  </si>
  <si>
    <t xml:space="preserve">Cash|NEBULIZER MASK ADULT(LIFE-O-LINE)</t>
  </si>
  <si>
    <t xml:space="preserve">TR201|EME0087</t>
  </si>
  <si>
    <t xml:space="preserve">TR284|emergency|7</t>
  </si>
  <si>
    <t xml:space="preserve">Corporate|CAR5341</t>
  </si>
  <si>
    <t xml:space="preserve">Cash|PREU128|PREFILLED FLUSH SYRINGE BLISTER PACK 5ML(RIBBEL)</t>
  </si>
  <si>
    <t xml:space="preserve">Cash|PREFILLED FLUSH SYRINGE BLISTER PACK 5ML(RIBBEL)</t>
  </si>
  <si>
    <t xml:space="preserve">TR201|HSP0047</t>
  </si>
  <si>
    <t xml:space="preserve">TR284|normal|7.5</t>
  </si>
  <si>
    <t xml:space="preserve">Corporate|CAS0007</t>
  </si>
  <si>
    <t xml:space="preserve">Cash|SAGM04|SAGITAL STRIKER BLADE MEDIUM/LONG(2108-109-000-STRYKER)</t>
  </si>
  <si>
    <t xml:space="preserve">Cash|SAGITAL STRIKER BLADE MEDIUM/LONG(2108-109-000-STRYKER)</t>
  </si>
  <si>
    <t xml:space="preserve">TR201|HSP5013</t>
  </si>
  <si>
    <t xml:space="preserve">TR284|emergency|7.5</t>
  </si>
  <si>
    <t xml:space="preserve">Corporate|EME0016</t>
  </si>
  <si>
    <t xml:space="preserve">Cash|SAGM13|116171 MICS SAGITTAL BLADE NARROW</t>
  </si>
  <si>
    <t xml:space="preserve">Cash|116171 MICS SAGITTAL BLADE NARROW</t>
  </si>
  <si>
    <t xml:space="preserve">TR201|ICC0001</t>
  </si>
  <si>
    <t xml:space="preserve">TR284|normal|8</t>
  </si>
  <si>
    <t xml:space="preserve">Corporate|EME0017</t>
  </si>
  <si>
    <t xml:space="preserve">Cash|STEU194|STERILE DRAPE KIT(4515-70-008-DEPUY)</t>
  </si>
  <si>
    <t xml:space="preserve">Cash|STERILE DRAPE KIT(4515-70-008-DEPUY)</t>
  </si>
  <si>
    <t xml:space="preserve">TR201|ICC0002</t>
  </si>
  <si>
    <t xml:space="preserve">TR284|emergency|8</t>
  </si>
  <si>
    <t xml:space="preserve">Corporate|EME0018</t>
  </si>
  <si>
    <t xml:space="preserve">Cash|SURU182|SURGEON GOWN REINFORCED 5515</t>
  </si>
  <si>
    <t xml:space="preserve">Cash|SURGEON GOWN REINFORCED 5515</t>
  </si>
  <si>
    <t xml:space="preserve">TR201|OTC0010</t>
  </si>
  <si>
    <t xml:space="preserve">TR285|normal|0.5</t>
  </si>
  <si>
    <t xml:space="preserve">Corporate|EME0019</t>
  </si>
  <si>
    <t xml:space="preserve">Cash|SYRU120|SYRINGE 10ML LL(LIFE LONG)</t>
  </si>
  <si>
    <t xml:space="preserve">Cash|SYRINGE 10ML LL(LIFE LONG)</t>
  </si>
  <si>
    <t xml:space="preserve">TR201|OTC5005</t>
  </si>
  <si>
    <t xml:space="preserve">TR285|emergency|0.5</t>
  </si>
  <si>
    <t xml:space="preserve">Corporate|EME0020</t>
  </si>
  <si>
    <t xml:space="preserve">Cash|SYRU136|SYRINGE 5ML(DISPOJEKT-HMD)</t>
  </si>
  <si>
    <t xml:space="preserve">Cash|SYRINGE 5ML(DISPOJEKT-HMD)</t>
  </si>
  <si>
    <t xml:space="preserve">TR201|OTI0015</t>
  </si>
  <si>
    <t xml:space="preserve">TR285|normal|1</t>
  </si>
  <si>
    <t xml:space="preserve">Corporate|EME0052</t>
  </si>
  <si>
    <t xml:space="preserve">Cash||IV FLOW REGULATOR(POLYFLO-POLYMED)</t>
  </si>
  <si>
    <t xml:space="preserve">TR201|OTI0018</t>
  </si>
  <si>
    <t xml:space="preserve">TR285|emergency|1</t>
  </si>
  <si>
    <t xml:space="preserve">Corporate|EME0080</t>
  </si>
  <si>
    <t xml:space="preserve">Cash||NOVOTAM 2MG/2ML INJ</t>
  </si>
  <si>
    <t xml:space="preserve">TR201|OTI0098</t>
  </si>
  <si>
    <t xml:space="preserve">TR285|normal|1.5</t>
  </si>
  <si>
    <t xml:space="preserve">Corporate|EME0087</t>
  </si>
  <si>
    <t xml:space="preserve">Cash|ADRI15|ADRENALINE 1MG INJECTION</t>
  </si>
  <si>
    <t xml:space="preserve">Cash|ADRENALINE 1MG INJECTION</t>
  </si>
  <si>
    <t xml:space="preserve">TR201|PAT0042</t>
  </si>
  <si>
    <t xml:space="preserve">TR285|emergency|1.5</t>
  </si>
  <si>
    <t xml:space="preserve">Corporate|EME5045</t>
  </si>
  <si>
    <t xml:space="preserve">Cash|DERI03|DERINIDE RESPULES 0.5MG</t>
  </si>
  <si>
    <t xml:space="preserve">Cash|DERINIDE RESPULES 0.5MG</t>
  </si>
  <si>
    <t xml:space="preserve">TR201|PAT0045</t>
  </si>
  <si>
    <t xml:space="preserve">TR285|normal|2</t>
  </si>
  <si>
    <t xml:space="preserve">Corporate|ICC0001</t>
  </si>
  <si>
    <t xml:space="preserve">Cash|DEXI13|DEXTOMID 100MCG 1ML INJ</t>
  </si>
  <si>
    <t xml:space="preserve">Cash|DEXTOMID 100MCG 1ML INJ</t>
  </si>
  <si>
    <t xml:space="preserve">TR201|PHY5082</t>
  </si>
  <si>
    <t xml:space="preserve">TR285|emergency|2</t>
  </si>
  <si>
    <t xml:space="preserve">Corporate|ICC0002</t>
  </si>
  <si>
    <t xml:space="preserve">Cash|GLYI06|GLYCOGEM 0.2MG INJECTION</t>
  </si>
  <si>
    <t xml:space="preserve">Cash|GLYCOGEM 0.2MG INJECTION</t>
  </si>
  <si>
    <t xml:space="preserve">TR201|RNS0120</t>
  </si>
  <si>
    <t xml:space="preserve">TR285|normal|2.5</t>
  </si>
  <si>
    <t xml:space="preserve">Corporate|EME0088</t>
  </si>
  <si>
    <t xml:space="preserve">Cash|HORP04|HORLICKS DIABETES + VANILLA 400GM POWDER</t>
  </si>
  <si>
    <t xml:space="preserve">Cash|HORLICKS DIABETES + VANILLA 400GM POWDER</t>
  </si>
  <si>
    <t xml:space="preserve">TR201|RNS5005</t>
  </si>
  <si>
    <t xml:space="preserve">TR285|emergency|2.5</t>
  </si>
  <si>
    <t xml:space="preserve">Corporate|OTI0098</t>
  </si>
  <si>
    <t xml:space="preserve">Cash|NORF39|NORMAL SALINE 0.9% 500ML(PLASTIC)(ACULIFE)</t>
  </si>
  <si>
    <t xml:space="preserve">Cash|NORMAL SALINE 0.9% 500ML(PLASTIC)(ACULIFE)</t>
  </si>
  <si>
    <t xml:space="preserve">TR201|ROM0001</t>
  </si>
  <si>
    <t xml:space="preserve">TR285|normal|3</t>
  </si>
  <si>
    <t xml:space="preserve">Corporate|RNS5005</t>
  </si>
  <si>
    <t xml:space="preserve">Cash|NS0F11|NS 0.9% 500ML NH(PRODISC NS-PROMEA)</t>
  </si>
  <si>
    <t xml:space="preserve">Cash|NS 0.9% 500ML NH(PRODISC NS-PROMEA)</t>
  </si>
  <si>
    <t xml:space="preserve">TR201|ROM0024</t>
  </si>
  <si>
    <t xml:space="preserve">TR285|emergency|3</t>
  </si>
  <si>
    <t xml:space="preserve">Corporate|ROM5189</t>
  </si>
  <si>
    <t xml:space="preserve">Cash|RL5F18|RL 500ML IV NH(PRORING RL-PROMEA)</t>
  </si>
  <si>
    <t xml:space="preserve">Cash|RL 500ML IV NH(PRORING RL-PROMEA)</t>
  </si>
  <si>
    <t xml:space="preserve">TR201|ROM0036</t>
  </si>
  <si>
    <t xml:space="preserve">TR285|normal|3.5</t>
  </si>
  <si>
    <t xml:space="preserve">Corporate|HSP5013</t>
  </si>
  <si>
    <t xml:space="preserve">Cash|SALR03|SALBAIR I NEB 1.25MG TRANSPULES</t>
  </si>
  <si>
    <t xml:space="preserve">Cash|SALBAIR I NEB 1.25MG TRANSPULES</t>
  </si>
  <si>
    <t xml:space="preserve">TR201|ROM0093</t>
  </si>
  <si>
    <t xml:space="preserve">TR285|emergency|3.5</t>
  </si>
  <si>
    <t xml:space="preserve">Corporate|ROM0093</t>
  </si>
  <si>
    <t xml:space="preserve">Cash|THYT60|THYRORITE 25MCG TAB</t>
  </si>
  <si>
    <t xml:space="preserve">Cash|THYRORITE 25MCG TAB</t>
  </si>
  <si>
    <t xml:space="preserve">TR201|ROM5009</t>
  </si>
  <si>
    <t xml:space="preserve">TR285|normal|4</t>
  </si>
  <si>
    <t xml:space="preserve">Corporate|OTC5005</t>
  </si>
  <si>
    <t xml:space="preserve">Cash|WOSI02|WOSULIN-R 40 IU/ML 10ML INJ</t>
  </si>
  <si>
    <t xml:space="preserve">Cash|WOSULIN-R 40 IU/ML 10ML INJ</t>
  </si>
  <si>
    <t xml:space="preserve">TR201|ROM5189</t>
  </si>
  <si>
    <t xml:space="preserve">TR285|emergency|4</t>
  </si>
  <si>
    <t xml:space="preserve">Corporate|OTI0015</t>
  </si>
  <si>
    <t xml:space="preserve">Cash|TRIM110|TRIATHLON X3 TIBIAL BEARING INSERT CS SIZE-3*9MM(5531G309E-STRYKER)</t>
  </si>
  <si>
    <t xml:space="preserve">Cash|TRIATHLON X3 TIBIAL BEARING INSERT CS SIZE-3*9MM(5531G309E-STRYKER)</t>
  </si>
  <si>
    <t xml:space="preserve">TR201|XRY5090</t>
  </si>
  <si>
    <t xml:space="preserve">TR285|normal|4.5</t>
  </si>
  <si>
    <t xml:space="preserve">Corporate|OTI0018</t>
  </si>
  <si>
    <t xml:space="preserve">Cash|TRIM132|5510F402 TRIATHLON CR FEMORAL CEMENT RIGHT 4</t>
  </si>
  <si>
    <t xml:space="preserve">Cash|5510F402 TRIATHLON CR FEMORAL CEMENT RIGHT 4</t>
  </si>
  <si>
    <t xml:space="preserve">TR201|CAR0080</t>
  </si>
  <si>
    <t xml:space="preserve">TR285|emergency|4.5</t>
  </si>
  <si>
    <t xml:space="preserve">Corporate|PSY0036</t>
  </si>
  <si>
    <t xml:space="preserve">Cash|TRIM187|TRIATHLON TIBIAL BASEPLATE CEMENTED 2 UNIVERSAL(5521-B-200-STRYKER CORP)</t>
  </si>
  <si>
    <t xml:space="preserve">Cash|TRIATHLON TIBIAL BASEPLATE CEMENTED 2 UNIVERSAL(5521-B-200-STRYKER CORP)</t>
  </si>
  <si>
    <t xml:space="preserve">TR201|XRY044</t>
  </si>
  <si>
    <t xml:space="preserve">TR285|normal|5</t>
  </si>
  <si>
    <t xml:space="preserve">Cash|TRIM188|5521B300 TRIATHLON UNIVERSAL BP 3(STRYKER)</t>
  </si>
  <si>
    <t xml:space="preserve">Cash|5521B300 TRIATHLON UNIVERSAL BP 3(STRYKER)</t>
  </si>
  <si>
    <t xml:space="preserve">TR201|XRY5133</t>
  </si>
  <si>
    <t xml:space="preserve">TR285|emergency|5</t>
  </si>
  <si>
    <t xml:space="preserve">Insurance All|CAR0080</t>
  </si>
  <si>
    <t xml:space="preserve">Cash||DIAPER ADULT XXL 110CMX154CMS(MAGMACARE)</t>
  </si>
  <si>
    <t xml:space="preserve">TR201|BIO0005</t>
  </si>
  <si>
    <t xml:space="preserve">TR285|normal|5.5</t>
  </si>
  <si>
    <t xml:space="preserve">Insurance All|XRY044</t>
  </si>
  <si>
    <t xml:space="preserve">Cash||PREFILLED FLUSH SYRINGE BLISTER PACK 10ML(RIBBEL)</t>
  </si>
  <si>
    <t xml:space="preserve">TR201|BIO0064</t>
  </si>
  <si>
    <t xml:space="preserve">TR285|emergency|5.5</t>
  </si>
  <si>
    <t xml:space="preserve">Insurance All|XRY5090</t>
  </si>
  <si>
    <t xml:space="preserve">Cash|EEXU02|EEXTRA LINE TRIO 15CM(GS-3178T-ROMSONS)</t>
  </si>
  <si>
    <t xml:space="preserve">Cash|EEXTRA LINE TRIO 15CM(GS-3178T-ROMSONS)</t>
  </si>
  <si>
    <t xml:space="preserve">TR201|BIO0075</t>
  </si>
  <si>
    <t xml:space="preserve">TR285|normal|6</t>
  </si>
  <si>
    <t xml:space="preserve">Insurance All|XRY5133</t>
  </si>
  <si>
    <t xml:space="preserve">Cash|EPIU02|EPIDURAL MINIPACK SYSTEM-1 18G(PORTEX)</t>
  </si>
  <si>
    <t xml:space="preserve">Cash|EPIDURAL MINIPACK SYSTEM-1 18G(PORTEX)</t>
  </si>
  <si>
    <t xml:space="preserve">TR201|BIO0097</t>
  </si>
  <si>
    <t xml:space="preserve">TR285|emergency|6</t>
  </si>
  <si>
    <t xml:space="preserve">Insurance All|BIO0001</t>
  </si>
  <si>
    <t xml:space="preserve">Cash|IVSU38|IV SET(INTRACARE BCV-ROMSONS)</t>
  </si>
  <si>
    <t xml:space="preserve">Cash|IV SET(INTRACARE BCV-ROMSONS)</t>
  </si>
  <si>
    <t xml:space="preserve">TR201|BIO0098</t>
  </si>
  <si>
    <t xml:space="preserve">TR285|normal|6.5</t>
  </si>
  <si>
    <t xml:space="preserve">Insurance All|BIO0002</t>
  </si>
  <si>
    <t xml:space="preserve">Cash|KWIM176|KIRSCHNER SURGICAL WIRE STERILE 2.5X150MM(1450.S.2.5.150-OROMED)</t>
  </si>
  <si>
    <t xml:space="preserve">Cash|KIRSCHNER SURGICAL WIRE STERILE 2.5X150MM(1450.S.2.5.150-OROMED)</t>
  </si>
  <si>
    <t xml:space="preserve">TR201|BIO0106</t>
  </si>
  <si>
    <t xml:space="preserve">TR285|emergency|6.5</t>
  </si>
  <si>
    <t xml:space="preserve">Insurance All|BIO0003</t>
  </si>
  <si>
    <t xml:space="preserve">Cash|MICU115|MICRO POLYSITE PLUS (DUO) EXTENSION(POLYMED)</t>
  </si>
  <si>
    <t xml:space="preserve">Cash|MICRO POLYSITE PLUS (DUO) EXTENSION(POLYMED)</t>
  </si>
  <si>
    <t xml:space="preserve">TR201|BIO0121</t>
  </si>
  <si>
    <t xml:space="preserve">TR285|normal|7</t>
  </si>
  <si>
    <t xml:space="preserve">Insurance All|BIO0004</t>
  </si>
  <si>
    <t xml:space="preserve">Cash|OSCU03|OSCILLATING SAW BLADE 85MMX19X2MM(4515-70-000-DEPUY)</t>
  </si>
  <si>
    <t xml:space="preserve">Cash|OSCILLATING SAW BLADE 85MMX19X2MM(4515-70-000-DEPUY)</t>
  </si>
  <si>
    <t xml:space="preserve">TR201|BIO0181</t>
  </si>
  <si>
    <t xml:space="preserve">TR285|emergency|7</t>
  </si>
  <si>
    <t xml:space="preserve">Insurance All|BIO0005</t>
  </si>
  <si>
    <t xml:space="preserve">Cash|OXYU72|OXYGEN MASK ADULT(FLEXI COMFORT-ROMSON)</t>
  </si>
  <si>
    <t xml:space="preserve">Cash|OXYGEN MASK ADULT(FLEXI COMFORT-ROMSON)</t>
  </si>
  <si>
    <t xml:space="preserve">TR201|BLD0001</t>
  </si>
  <si>
    <t xml:space="preserve">TR285|normal|7.5</t>
  </si>
  <si>
    <t xml:space="preserve">Insurance All|BIO0064</t>
  </si>
  <si>
    <t xml:space="preserve">Cash|PMLU46|PM LINE M/M 200CM(BUYWEL)</t>
  </si>
  <si>
    <t xml:space="preserve">Cash|PM LINE M/M 200CM(BUYWEL)</t>
  </si>
  <si>
    <t xml:space="preserve">TR201|BLD0009</t>
  </si>
  <si>
    <t xml:space="preserve">TR285|emergency|7.5</t>
  </si>
  <si>
    <t xml:space="preserve">Insurance All|BIO0075</t>
  </si>
  <si>
    <t xml:space="preserve">Cash|SAGM05|SAGITTAL BLADE LONG NARROW THIN(2108-103-000-STRYKER)</t>
  </si>
  <si>
    <t xml:space="preserve">Cash|SAGITTAL BLADE LONG NARROW THIN(2108-103-000-STRYKER)</t>
  </si>
  <si>
    <t xml:space="preserve">TR201|BLD0024</t>
  </si>
  <si>
    <t xml:space="preserve">TR285|normal|8</t>
  </si>
  <si>
    <t xml:space="preserve">Insurance All|BIO0097</t>
  </si>
  <si>
    <t xml:space="preserve">Cash|STEI10|STERILE WATER 10ML(ACULIFE)</t>
  </si>
  <si>
    <t xml:space="preserve">Cash|STERILE WATER 10ML(ACULIFE)</t>
  </si>
  <si>
    <t xml:space="preserve">TR201|PAT0007</t>
  </si>
  <si>
    <t xml:space="preserve">TR285|emergency|8</t>
  </si>
  <si>
    <t xml:space="preserve">Insurance All|BIO0098</t>
  </si>
  <si>
    <t xml:space="preserve">Cash|SURU157|SURGICAL GLOVE 6.0(BLISTER PACK-SURGICARE-KANAM)</t>
  </si>
  <si>
    <t xml:space="preserve">Cash|SURGICAL GLOVE 6.0(BLISTER PACK-SURGICARE-KANAM)</t>
  </si>
  <si>
    <t xml:space="preserve">TR201|PAT0041</t>
  </si>
  <si>
    <t xml:space="preserve">TR288|normal|0.5</t>
  </si>
  <si>
    <t xml:space="preserve">Insurance All|BIO0106</t>
  </si>
  <si>
    <t xml:space="preserve">Cash|SURU337|SURGICAL GOWN STERILE PRIMARY PLUS HP XL LEVEL-3(MOLNLYCKE)</t>
  </si>
  <si>
    <t xml:space="preserve">Cash|SURGICAL GOWN STERILE PRIMARY PLUS HP XL LEVEL-3(MOLNLYCKE)</t>
  </si>
  <si>
    <t xml:space="preserve">TR201|PAT0078</t>
  </si>
  <si>
    <t xml:space="preserve">TR288|emergency|0.5</t>
  </si>
  <si>
    <t xml:space="preserve">Insurance All|BIO0121</t>
  </si>
  <si>
    <t xml:space="preserve">Cash|SYRU88|SYRINGE 10ML LL(BD)</t>
  </si>
  <si>
    <t xml:space="preserve">Cash|SYRINGE 10ML LL(BD)</t>
  </si>
  <si>
    <t xml:space="preserve">TR201|ANS0003</t>
  </si>
  <si>
    <t xml:space="preserve">TR288|normal|1</t>
  </si>
  <si>
    <t xml:space="preserve">Insurance All|BIO0162</t>
  </si>
  <si>
    <t xml:space="preserve">Cash|THRU79|THREE WAY EXTENSION 10CM(DISPOWAY+-HMD)</t>
  </si>
  <si>
    <t xml:space="preserve">Cash|THREE WAY EXTENSION 10CM(DISPOWAY+-HMD)</t>
  </si>
  <si>
    <t xml:space="preserve">TR201|PHY5076</t>
  </si>
  <si>
    <t xml:space="preserve">TR288|emergency|1</t>
  </si>
  <si>
    <t xml:space="preserve">Insurance All|BIO0181</t>
  </si>
  <si>
    <t xml:space="preserve">Cash|VENU8160|VENFLON-I 22G(BD)</t>
  </si>
  <si>
    <t xml:space="preserve">Cash|VENFLON-I 22G(BD)</t>
  </si>
  <si>
    <t xml:space="preserve">TR201|EME0016</t>
  </si>
  <si>
    <t xml:space="preserve">TR288|normal|1.5</t>
  </si>
  <si>
    <t xml:space="preserve">Insurance All|BLD0001</t>
  </si>
  <si>
    <t xml:space="preserve">Cash||IDIAQUA 1ML INJ</t>
  </si>
  <si>
    <t xml:space="preserve">TR201|EME0018</t>
  </si>
  <si>
    <t xml:space="preserve">TR288|emergency|1.5</t>
  </si>
  <si>
    <t xml:space="preserve">Insurance All|BLD0009</t>
  </si>
  <si>
    <t xml:space="preserve">Cash||NITRILE POWDER FREE EXAMINATION GLOVES MEDIUM(DURAMITT-TEGAMEN)</t>
  </si>
  <si>
    <t xml:space="preserve">TR201|EME0020</t>
  </si>
  <si>
    <t xml:space="preserve">TR288|normal|2</t>
  </si>
  <si>
    <t xml:space="preserve">Insurance All|BLD0024</t>
  </si>
  <si>
    <t xml:space="preserve">Cash||RL 500ML IV NH(PRORING RL-PROMEA)</t>
  </si>
  <si>
    <t xml:space="preserve">TR201|EME0052</t>
  </si>
  <si>
    <t xml:space="preserve">TR288|emergency|2</t>
  </si>
  <si>
    <t xml:space="preserve">Insurance All|PAT0007</t>
  </si>
  <si>
    <t xml:space="preserve">Cash||SUPRIDOL 2ML INJ</t>
  </si>
  <si>
    <t xml:space="preserve">TR201|EME0080</t>
  </si>
  <si>
    <t xml:space="preserve">TR288|normal|2.5</t>
  </si>
  <si>
    <t xml:space="preserve">Insurance All|PAT0041</t>
  </si>
  <si>
    <t xml:space="preserve">Cash|ANAI01|ANAWIN 0.25% 20ML INJ</t>
  </si>
  <si>
    <t xml:space="preserve">Cash|ANAWIN 0.25% 20ML INJ</t>
  </si>
  <si>
    <t xml:space="preserve">TR201|EME5045</t>
  </si>
  <si>
    <t xml:space="preserve">TR288|emergency|2.5</t>
  </si>
  <si>
    <t xml:space="preserve">Insurance All|PAT0042</t>
  </si>
  <si>
    <t xml:space="preserve">Cash|ANZT02|ANZILIUM 0.25 MG TAB</t>
  </si>
  <si>
    <t xml:space="preserve">Cash|ANZILIUM 0.25 MG TAB</t>
  </si>
  <si>
    <t xml:space="preserve">TR201|EME0088</t>
  </si>
  <si>
    <t xml:space="preserve">TR288|normal|3</t>
  </si>
  <si>
    <t xml:space="preserve">Insurance All|PAT0045</t>
  </si>
  <si>
    <t xml:space="preserve">Cash|ASTI01|ASTHALIN RESPULES 2.5ML</t>
  </si>
  <si>
    <t xml:space="preserve">Cash|ASTHALIN RESPULES 2.5ML</t>
  </si>
  <si>
    <t xml:space="preserve">TR201|PSY0036</t>
  </si>
  <si>
    <t xml:space="preserve">TR288|emergency|3</t>
  </si>
  <si>
    <t xml:space="preserve">Insurance All|PAT0078</t>
  </si>
  <si>
    <t xml:space="preserve">Cash|AZTT03|AZTOR 10MG TAB</t>
  </si>
  <si>
    <t xml:space="preserve">Cash|AZTOR 10MG TAB</t>
  </si>
  <si>
    <t xml:space="preserve">TR202|BIO0001</t>
  </si>
  <si>
    <t xml:space="preserve">TR288|normal|3.5</t>
  </si>
  <si>
    <t xml:space="preserve">Insurance All|PHY5082</t>
  </si>
  <si>
    <t xml:space="preserve">Cash|BUPI09|BUPITROY HEAVY 4ML INJ</t>
  </si>
  <si>
    <t xml:space="preserve">Cash|BUPITROY HEAVY 4ML INJ</t>
  </si>
  <si>
    <t xml:space="preserve">TR202|BIO0002</t>
  </si>
  <si>
    <t xml:space="preserve">TR288|emergency|3.5</t>
  </si>
  <si>
    <t xml:space="preserve">Insurance All|ANS0003</t>
  </si>
  <si>
    <t xml:space="preserve">Cash|BUPP01|BUPRIGESIC 10MCG PATCH</t>
  </si>
  <si>
    <t xml:space="preserve">Cash|BUPRIGESIC 10MCG PATCH</t>
  </si>
  <si>
    <t xml:space="preserve">TR202|BIO0003</t>
  </si>
  <si>
    <t xml:space="preserve">TR288|normal|4</t>
  </si>
  <si>
    <t xml:space="preserve">Insurance All|DIE0001</t>
  </si>
  <si>
    <t xml:space="preserve">Cash|CALI01|CALCIUM GLUCONATE 10ML INJ</t>
  </si>
  <si>
    <t xml:space="preserve">Cash|CALCIUM GLUCONATE 10ML INJ</t>
  </si>
  <si>
    <t xml:space="preserve">TR202|BIO0004</t>
  </si>
  <si>
    <t xml:space="preserve">TR288|emergency|4</t>
  </si>
  <si>
    <t xml:space="preserve">Insurance All|PHY5076</t>
  </si>
  <si>
    <t xml:space="preserve">Cash|CORI02|CORT S 100MG INJ</t>
  </si>
  <si>
    <t xml:space="preserve">Cash|CORT S 100MG INJ</t>
  </si>
  <si>
    <t xml:space="preserve">TR202|BIO0162</t>
  </si>
  <si>
    <t xml:space="preserve">TR288|normal|4.5</t>
  </si>
  <si>
    <t xml:space="preserve">Insurance All|CAR5341</t>
  </si>
  <si>
    <t xml:space="preserve">Cash|CURU43|CUROS DISINFECTING CAP STRIP FOR MALE LUERS(3M)</t>
  </si>
  <si>
    <t xml:space="preserve">Cash|CUROS DISINFECTING CAP STRIP FOR MALE LUERS(3M)</t>
  </si>
  <si>
    <t xml:space="preserve">TR202|CAR5341</t>
  </si>
  <si>
    <t xml:space="preserve">TR288|emergency|4.5</t>
  </si>
  <si>
    <t xml:space="preserve">Insurance All|CAS0007</t>
  </si>
  <si>
    <t xml:space="preserve">Cash|DICI13|DICLORAN AQ 75MG/1ML INJECTION</t>
  </si>
  <si>
    <t xml:space="preserve">Cash|DICLORAN AQ 75MG/1ML INJECTION</t>
  </si>
  <si>
    <t xml:space="preserve">TR202|CAS0007</t>
  </si>
  <si>
    <t xml:space="preserve">TR288|normal|5</t>
  </si>
  <si>
    <t xml:space="preserve">Insurance All|EME0016</t>
  </si>
  <si>
    <t xml:space="preserve">Cash|FORR01|FORMONIDE REPSULES 0.5MG</t>
  </si>
  <si>
    <t xml:space="preserve">Cash|FORMONIDE REPSULES 0.5MG</t>
  </si>
  <si>
    <t xml:space="preserve">TR202|DIE0001</t>
  </si>
  <si>
    <t xml:space="preserve">TR288|emergency|5</t>
  </si>
  <si>
    <t xml:space="preserve">Insurance All|EME0017</t>
  </si>
  <si>
    <t xml:space="preserve">Cash|GEMT3|GEMER 1MG TAB</t>
  </si>
  <si>
    <t xml:space="preserve">Cash|GEMER 1MG TAB</t>
  </si>
  <si>
    <t xml:space="preserve">TR202|EME0017</t>
  </si>
  <si>
    <t xml:space="preserve">TR288|normal|5.5</t>
  </si>
  <si>
    <t xml:space="preserve">Insurance All|EME0018</t>
  </si>
  <si>
    <t xml:space="preserve">Cash|HISI03|HISONE-100MG INJ</t>
  </si>
  <si>
    <t xml:space="preserve">Cash|HISONE-100MG INJ</t>
  </si>
  <si>
    <t xml:space="preserve">TR202|EME0019</t>
  </si>
  <si>
    <t xml:space="preserve">TR288|emergency|5.5</t>
  </si>
  <si>
    <t xml:space="preserve">Insurance All|EME0019</t>
  </si>
  <si>
    <t xml:space="preserve">Cash|LOCI04|LOCAM A 2% 30ML INJECTION</t>
  </si>
  <si>
    <t xml:space="preserve">Cash|LOCAM A 2% 30ML INJECTION</t>
  </si>
  <si>
    <t xml:space="preserve">TR202|EME0087</t>
  </si>
  <si>
    <t xml:space="preserve">TR288|normal|6</t>
  </si>
  <si>
    <t xml:space="preserve">Insurance All|EME0020</t>
  </si>
  <si>
    <t xml:space="preserve">Cash|LOXI8|LOX 2% ADRENALINE 30ML INJ</t>
  </si>
  <si>
    <t xml:space="preserve">Cash|LOX 2% ADRENALINE 30ML INJ</t>
  </si>
  <si>
    <t xml:space="preserve">TR202|HSP0047</t>
  </si>
  <si>
    <t xml:space="preserve">TR288|emergency|6</t>
  </si>
  <si>
    <t xml:space="preserve">Insurance All|EME0052</t>
  </si>
  <si>
    <t xml:space="preserve">Cash|LYCI02|LYCORTIN-S 100MG INJ</t>
  </si>
  <si>
    <t xml:space="preserve">Cash|LYCORTIN-S 100MG INJ</t>
  </si>
  <si>
    <t xml:space="preserve">TR202|HSP5013</t>
  </si>
  <si>
    <t xml:space="preserve">TR288|normal|6.5</t>
  </si>
  <si>
    <t xml:space="preserve">Insurance All|EME0080</t>
  </si>
  <si>
    <t xml:space="preserve">Cash|MAGI04|MAGNESIUM SULPHATE 2ML INJ</t>
  </si>
  <si>
    <t xml:space="preserve">Cash|MAGNESIUM SULPHATE 2ML INJ</t>
  </si>
  <si>
    <t xml:space="preserve">TR202|ICC0001</t>
  </si>
  <si>
    <t xml:space="preserve">TR288|emergency|6.5</t>
  </si>
  <si>
    <t xml:space="preserve">Insurance All|EME0087</t>
  </si>
  <si>
    <t xml:space="preserve">Cash|MAXC5|MAXGALIN 75MG CAP</t>
  </si>
  <si>
    <t xml:space="preserve">Cash|MAXGALIN 75MG CAP</t>
  </si>
  <si>
    <t xml:space="preserve">TR202|ICC0002</t>
  </si>
  <si>
    <t xml:space="preserve">TR288|normal|7</t>
  </si>
  <si>
    <t xml:space="preserve">Insurance All|EME5045</t>
  </si>
  <si>
    <t xml:space="preserve">Cash|REST04|RESTYL 0.5MG TAB</t>
  </si>
  <si>
    <t xml:space="preserve">Cash|RESTYL 0.5MG TAB</t>
  </si>
  <si>
    <t xml:space="preserve">TR202|OTC0010</t>
  </si>
  <si>
    <t xml:space="preserve">TR288|emergency|7</t>
  </si>
  <si>
    <t xml:space="preserve">Insurance All|ICC0001</t>
  </si>
  <si>
    <t xml:space="preserve">Cash|RINF21|RL 500ML PLASTIC IV(ACULIFE)</t>
  </si>
  <si>
    <t xml:space="preserve">Cash|RL 500ML PLASTIC IV(ACULIFE)</t>
  </si>
  <si>
    <t xml:space="preserve">TR202|OTC5005</t>
  </si>
  <si>
    <t xml:space="preserve">TR288|normal|7.5</t>
  </si>
  <si>
    <t xml:space="preserve">Insurance All|ICC0002</t>
  </si>
  <si>
    <t xml:space="preserve">Cash|RINF22|RL 1000ML PLASTIC IV(ACULIFE)</t>
  </si>
  <si>
    <t xml:space="preserve">Cash|RL 1000ML PLASTIC IV(ACULIFE)</t>
  </si>
  <si>
    <t xml:space="preserve">TR202|OTI0015</t>
  </si>
  <si>
    <t xml:space="preserve">TR288|emergency|7.5</t>
  </si>
  <si>
    <t xml:space="preserve">Insurance All|EME0088</t>
  </si>
  <si>
    <t xml:space="preserve">Cash|ROPI21|ROPIZUVA 7.5MG/20ML INJECTION</t>
  </si>
  <si>
    <t xml:space="preserve">Cash|ROPIZUVA 7.5MG/20ML INJECTION</t>
  </si>
  <si>
    <t xml:space="preserve">TR202|OTI0018</t>
  </si>
  <si>
    <t xml:space="preserve">TR288|normal|8</t>
  </si>
  <si>
    <t xml:space="preserve">Insurance All|OTI0098</t>
  </si>
  <si>
    <t xml:space="preserve">Cash|ROST30|ROSUBEST 10MG TAB</t>
  </si>
  <si>
    <t xml:space="preserve">Cash|ROSUBEST 10MG TAB</t>
  </si>
  <si>
    <t xml:space="preserve">TR202|OTI0098</t>
  </si>
  <si>
    <t xml:space="preserve">TR288|emergency|8</t>
  </si>
  <si>
    <t xml:space="preserve">Insurance All|RNS5005</t>
  </si>
  <si>
    <t xml:space="preserve">Cash|STAT01|STAMLO 5MG TAB</t>
  </si>
  <si>
    <t xml:space="preserve">Cash|STAMLO 5MG TAB</t>
  </si>
  <si>
    <t xml:space="preserve">TR202|PAT0042</t>
  </si>
  <si>
    <t xml:space="preserve">TR290|normal|1</t>
  </si>
  <si>
    <t xml:space="preserve">Insurance All|ROM5189</t>
  </si>
  <si>
    <t xml:space="preserve">Cash|SURU220|SURGICARE NUERO POWDER FREE GLOVE 7.0(KANAM)</t>
  </si>
  <si>
    <t xml:space="preserve">Cash|SURGICARE NUERO POWDER FREE GLOVE 7.0(KANAM)</t>
  </si>
  <si>
    <t xml:space="preserve">TR202|PAT0045</t>
  </si>
  <si>
    <t xml:space="preserve">Insurance All|HSP5013</t>
  </si>
  <si>
    <t xml:space="preserve">Cash|TEMT10|TEMFIX 650MG TAB</t>
  </si>
  <si>
    <t xml:space="preserve">Cash|TEMFIX 650MG TAB</t>
  </si>
  <si>
    <t xml:space="preserve">TR202|PHY5082</t>
  </si>
  <si>
    <t xml:space="preserve">TR290|emergency|1</t>
  </si>
  <si>
    <t xml:space="preserve">Insurance All|ROM0093</t>
  </si>
  <si>
    <t xml:space="preserve">Cash|THYT01|THYRONORM 50MCG TAB</t>
  </si>
  <si>
    <t xml:space="preserve">Cash|THYRONORM 50MCG TAB</t>
  </si>
  <si>
    <t xml:space="preserve">TR202|RNS0120</t>
  </si>
  <si>
    <t xml:space="preserve">Insurance All|OTC5005</t>
  </si>
  <si>
    <t xml:space="preserve">Cash|THYT17|THYRONORM 88MCG TAB</t>
  </si>
  <si>
    <t xml:space="preserve">Cash|THYRONORM 88MCG TAB</t>
  </si>
  <si>
    <t xml:space="preserve">TR202|RNS5005</t>
  </si>
  <si>
    <t xml:space="preserve">TR290|normal|2</t>
  </si>
  <si>
    <t xml:space="preserve">Insurance All|OTI0015</t>
  </si>
  <si>
    <t xml:space="preserve">Cash|ZUPP01|ZUPRINOR 10MCG PATCH</t>
  </si>
  <si>
    <t xml:space="preserve">Cash|ZUPRINOR 10MCG PATCH</t>
  </si>
  <si>
    <t xml:space="preserve">TR202|ROM0001</t>
  </si>
  <si>
    <t xml:space="preserve">Insurance All|OTI0018</t>
  </si>
  <si>
    <t xml:space="preserve">Cash|ATTM83|ATTUNE FEMORAL COMPONENT CEMENTED CRUCIATE RETAINING RIGHT 3(1504-00-203-DEPUY SYNTHES)</t>
  </si>
  <si>
    <t xml:space="preserve">Cash|ATTUNE FEMORAL COMPONENT CEMENTED CRUCIATE RETAINING RIGHT 3(1504-00-203-DEPUY SYNTHES)</t>
  </si>
  <si>
    <t xml:space="preserve">TR202|ROM0024</t>
  </si>
  <si>
    <t xml:space="preserve">TR290|emergency|2</t>
  </si>
  <si>
    <t xml:space="preserve">Insurance All|PSY0036</t>
  </si>
  <si>
    <t xml:space="preserve">Cash|ATTM84|ATTUNE FEMORAL COMPONENT CEMENTED CRUCIATE RETAINING RIGHT 4(1504-00-204-DEPUY SYNTHES)</t>
  </si>
  <si>
    <t xml:space="preserve">Cash|ATTUNE FEMORAL COMPONENT CEMENTED CRUCIATE RETAINING RIGHT 4(1504-00-204-DEPUY SYNTHES)</t>
  </si>
  <si>
    <t xml:space="preserve">TR202|ROM0036</t>
  </si>
  <si>
    <t xml:space="preserve">Cash|ATTM85|ATTUNE FEMORAL COMPONENT CEMENTED CRUCIATE RETAINING RIGHT 5(1504-00-205-DEPUY SYNTHES)</t>
  </si>
  <si>
    <t xml:space="preserve">Cash|ATTUNE FEMORAL COMPONENT CEMENTED CRUCIATE RETAINING RIGHT 5(1504-00-205-DEPUY SYNTHES)</t>
  </si>
  <si>
    <t xml:space="preserve">TR202|ROM0093</t>
  </si>
  <si>
    <t xml:space="preserve">TR290|normal|3</t>
  </si>
  <si>
    <t xml:space="preserve">All Payers|CAR0080</t>
  </si>
  <si>
    <t xml:space="preserve">Cash|TRIM108|TRIATHLON FEMORAL COMPONENT CRUCIATE RETAINING CEMENTED PRIMARY REFERENCING RIGHT KNEE TRITANIUM 3(5510F302-STRYKER CORP)</t>
  </si>
  <si>
    <t xml:space="preserve">Cash|TRIATHLON FEMORAL COMPONENT CRUCIATE RETAINING CEMENTED PRIMARY REFERENCING RIGHT KNEE TRITANIUM 3(5510F302-STRYKER CORP)</t>
  </si>
  <si>
    <t xml:space="preserve">TR202|ROM5009</t>
  </si>
  <si>
    <t xml:space="preserve">All Payers|XRY044</t>
  </si>
  <si>
    <t xml:space="preserve">Cash|TRIM131|5510F202 TRIATHLON -CR FEM CEMENT RIGHT 2</t>
  </si>
  <si>
    <t xml:space="preserve">Cash|5510F202 TRIATHLON -CR FEM CEMENT RIGHT 2</t>
  </si>
  <si>
    <t xml:space="preserve">TR202|ROM5189</t>
  </si>
  <si>
    <t xml:space="preserve">TR290|emergency|3</t>
  </si>
  <si>
    <t xml:space="preserve">All Payers|XRY5090</t>
  </si>
  <si>
    <t xml:space="preserve">Cash|TRIM131|TRIATHLON FEMORAL COMPONENT CEMENTED CRUCIATE RETAINING RIGHT TRITANIUM 2(5510-F-202-STRYKER CORP)</t>
  </si>
  <si>
    <t xml:space="preserve">Cash|TRIATHLON FEMORAL COMPONENT CEMENTED CRUCIATE RETAINING RIGHT TRITANIUM 2(5510-F-202-STRYKER CORP)</t>
  </si>
  <si>
    <t xml:space="preserve">TR202|XRY5090</t>
  </si>
  <si>
    <t xml:space="preserve">All Payers|XRY5133</t>
  </si>
  <si>
    <t xml:space="preserve">Cash|TRIM153|TRIATHLON TIBIAL INSERT CRUCIATE SUBSTITUTING BEARING KNEE X3 2 11MM(5531-G-211-STRYKER CORP)</t>
  </si>
  <si>
    <t xml:space="preserve">Cash|TRIATHLON TIBIAL INSERT CRUCIATE SUBSTITUTING BEARING KNEE X3 2 11MM(5531-G-211-STRYKER CORP)</t>
  </si>
  <si>
    <t xml:space="preserve">TR202|CAR0080</t>
  </si>
  <si>
    <t xml:space="preserve">TR290|normal|4</t>
  </si>
  <si>
    <t xml:space="preserve">All Payers|BIO0001</t>
  </si>
  <si>
    <t xml:space="preserve">Cash|TRIM197|5560S112 TRIATHLON TOTAL KNEE CEMENTED STEM 12MM X 50 MM</t>
  </si>
  <si>
    <t xml:space="preserve">Cash|5560S112 TRIATHLON TOTAL KNEE CEMENTED STEM 12MM X 50 MM</t>
  </si>
  <si>
    <t xml:space="preserve">TR202|XRY044</t>
  </si>
  <si>
    <t xml:space="preserve">All Payers|BIO0002</t>
  </si>
  <si>
    <t xml:space="preserve">Cash||DIAPER ADULT LARGE 100CMX150CM(MAGMACARE)</t>
  </si>
  <si>
    <t xml:space="preserve">TR202|XRY5133</t>
  </si>
  <si>
    <t xml:space="preserve">TR290|emergency|4</t>
  </si>
  <si>
    <t xml:space="preserve">All Payers|BIO0003</t>
  </si>
  <si>
    <t xml:space="preserve">Cash||SPIKIER VENTE(ROMSONS)</t>
  </si>
  <si>
    <t xml:space="preserve">TR202|BIO0005</t>
  </si>
  <si>
    <t xml:space="preserve">All Payers|BIO0004</t>
  </si>
  <si>
    <t xml:space="preserve">Cash||SYRINGE 10ML LL WITH NEEDLE(KAREJET-ROMSONS)</t>
  </si>
  <si>
    <t xml:space="preserve">Cash|SYRINGE 10ML LL WITH NEEDLE(KAREJET-ROMSONS)</t>
  </si>
  <si>
    <t xml:space="preserve">TR202|BIO0064</t>
  </si>
  <si>
    <t xml:space="preserve">TR290|normal|5</t>
  </si>
  <si>
    <t xml:space="preserve">All Payers|BIO0005</t>
  </si>
  <si>
    <t xml:space="preserve">Cash||SYRINGE 10ML LL(BD)</t>
  </si>
  <si>
    <t xml:space="preserve">TR202|BIO0075</t>
  </si>
  <si>
    <t xml:space="preserve">All Payers|BIO0064</t>
  </si>
  <si>
    <t xml:space="preserve">Cash||SYRINGE 3ML LUERLOCK(BD)</t>
  </si>
  <si>
    <t xml:space="preserve">TR202|BIO0097</t>
  </si>
  <si>
    <t xml:space="preserve">TR290|emergency|5</t>
  </si>
  <si>
    <t xml:space="preserve">All Payers|BIO0075</t>
  </si>
  <si>
    <t xml:space="preserve">Cash||SYRINGE 5ML LL(KARE JET-ROMSONS)</t>
  </si>
  <si>
    <t xml:space="preserve">Cash|SYRINGE 5ML LL(KARE JET-ROMSONS)</t>
  </si>
  <si>
    <t xml:space="preserve">TR202|BIO0098</t>
  </si>
  <si>
    <t xml:space="preserve">All Payers|BIO0097</t>
  </si>
  <si>
    <t xml:space="preserve">Cash||SYRINGE 5ML(DISPOJEKT-HMD)</t>
  </si>
  <si>
    <t xml:space="preserve">TR202|BIO0106</t>
  </si>
  <si>
    <t xml:space="preserve">TR290|normal|6</t>
  </si>
  <si>
    <t xml:space="preserve">All Payers|BIO0098</t>
  </si>
  <si>
    <t xml:space="preserve">Cash||SYRINGE INSULIN 1ML 31G NEEDLE (40 UNITS)(NIPRO)</t>
  </si>
  <si>
    <t xml:space="preserve">TR202|BIO0121</t>
  </si>
  <si>
    <t xml:space="preserve">All Payers|BIO0106</t>
  </si>
  <si>
    <t xml:space="preserve">Cash|BALM23|BALL BUR MICS 6MM(110135-ZIMMER)</t>
  </si>
  <si>
    <t xml:space="preserve">Cash|BALL BUR MICS 6MM(110135-ZIMMER)</t>
  </si>
  <si>
    <t xml:space="preserve">TR202|BIO0181</t>
  </si>
  <si>
    <t xml:space="preserve">TR290|emergency|6</t>
  </si>
  <si>
    <t xml:space="preserve">All Payers|BIO0121</t>
  </si>
  <si>
    <t xml:space="preserve">Cash|BANU51|BANDAGE 10CMX3M(BAPUJI)</t>
  </si>
  <si>
    <t xml:space="preserve">Cash|BANDAGE 10CMX3M(BAPUJI)</t>
  </si>
  <si>
    <t xml:space="preserve">TR202|BLD0001</t>
  </si>
  <si>
    <t xml:space="preserve">All Payers|BIO0162</t>
  </si>
  <si>
    <t xml:space="preserve">Cash|BLOU55|BLOOD SET(MORRISONS)</t>
  </si>
  <si>
    <t xml:space="preserve">Cash|BLOOD SET(MORRISONS)</t>
  </si>
  <si>
    <t xml:space="preserve">TR202|BLD0009</t>
  </si>
  <si>
    <t xml:space="preserve">TR290|normal|7</t>
  </si>
  <si>
    <t xml:space="preserve">All Payers|BIO0181</t>
  </si>
  <si>
    <t xml:space="preserve">Cash|CHEM05|111645 CHECK POINT KIT STERILE</t>
  </si>
  <si>
    <t xml:space="preserve">Cash|111645 CHECK POINT KIT STERILE</t>
  </si>
  <si>
    <t xml:space="preserve">TR202|BLD0024</t>
  </si>
  <si>
    <t xml:space="preserve">All Payers|BLD0001</t>
  </si>
  <si>
    <t xml:space="preserve">Cash|CREU07|CREPE BANDAGE 10CM(3M)</t>
  </si>
  <si>
    <t xml:space="preserve">Cash|CREPE BANDAGE 10CM(3M)</t>
  </si>
  <si>
    <t xml:space="preserve">TR202|PAT0007</t>
  </si>
  <si>
    <t xml:space="preserve">TR290|emergency|7</t>
  </si>
  <si>
    <t xml:space="preserve">All Payers|BLD0009</t>
  </si>
  <si>
    <t xml:space="preserve">Cash|CURU44|CUROS TIPS DISINFECTING CAP FOR NEEDLELESS CONNECTORS(3M)</t>
  </si>
  <si>
    <t xml:space="preserve">Cash|CUROS TIPS DISINFECTING CAP FOR NEEDLELESS CONNECTORS(3M)</t>
  </si>
  <si>
    <t xml:space="preserve">TR202|PAT0041</t>
  </si>
  <si>
    <t xml:space="preserve">All Payers|BLD0024</t>
  </si>
  <si>
    <t xml:space="preserve">Cash|DISU367|DISPOSABLE PLASTIC APRON(RESPICARE)</t>
  </si>
  <si>
    <t xml:space="preserve">Cash|DISPOSABLE PLASTIC APRON(RESPICARE)</t>
  </si>
  <si>
    <t xml:space="preserve">TR202|PAT0078</t>
  </si>
  <si>
    <t xml:space="preserve">TR290|normal|8</t>
  </si>
  <si>
    <t xml:space="preserve">All Payers|PAT0007</t>
  </si>
  <si>
    <t xml:space="preserve">Cash|FEEU06|FEEDY NO-10(ROMSONS)</t>
  </si>
  <si>
    <t xml:space="preserve">Cash|FEEDY NO-10(ROMSONS)</t>
  </si>
  <si>
    <t xml:space="preserve">TR202|ANS0003</t>
  </si>
  <si>
    <t xml:space="preserve">All Payers|PAT0041</t>
  </si>
  <si>
    <t xml:space="preserve">Cash|FOLU02|FOLEYS CATHETER 2WAY 14F(RUSCH)</t>
  </si>
  <si>
    <t xml:space="preserve">Cash|FOLEYS CATHETER 2WAY 14F(RUSCH)</t>
  </si>
  <si>
    <t xml:space="preserve">TR202|PHY5076</t>
  </si>
  <si>
    <t xml:space="preserve">TR290|emergency|8</t>
  </si>
  <si>
    <t xml:space="preserve">All Payers|PAT0042</t>
  </si>
  <si>
    <t xml:space="preserve">Cash|KWIM175|KIRSCHNER SURGICAL WIRE STERILE 2X150MM(1450.S.2.0.150-OROMED)</t>
  </si>
  <si>
    <t xml:space="preserve">Cash|KIRSCHNER SURGICAL WIRE STERILE 2X150MM(1450.S.2.0.150-OROMED)</t>
  </si>
  <si>
    <t xml:space="preserve">TR202|EME0016</t>
  </si>
  <si>
    <t xml:space="preserve">All Payers|PAT0045</t>
  </si>
  <si>
    <t xml:space="preserve">Cash|POLU32|POLYURO URINE COLLECTION BAG 2000ML(POLYMED)</t>
  </si>
  <si>
    <t xml:space="preserve">Cash|POLYURO URINE COLLECTION BAG 2000ML(POLYMED)</t>
  </si>
  <si>
    <t xml:space="preserve">TR202|EME0018</t>
  </si>
  <si>
    <t xml:space="preserve">TR290|normal|9</t>
  </si>
  <si>
    <t xml:space="preserve">OTC5003</t>
  </si>
  <si>
    <t xml:space="preserve">OT - 9 HOURS</t>
  </si>
  <si>
    <t xml:space="preserve">All Payers|PAT0078</t>
  </si>
  <si>
    <t xml:space="preserve">Cash|POSI02|POSIFLUSH SP 5ML(306574-BD)</t>
  </si>
  <si>
    <t xml:space="preserve">Cash|POSIFLUSH SP 5ML(306574-BD)</t>
  </si>
  <si>
    <t xml:space="preserve">TR202|EME0020</t>
  </si>
  <si>
    <t xml:space="preserve">TR291|normal|1</t>
  </si>
  <si>
    <t xml:space="preserve">All Payers|PHY5082</t>
  </si>
  <si>
    <t xml:space="preserve">Cash|PULM04|PULSAVAC (BELL)</t>
  </si>
  <si>
    <t xml:space="preserve">Cash|PULSAVAC (BELL)</t>
  </si>
  <si>
    <t xml:space="preserve">TR202|EME0052</t>
  </si>
  <si>
    <t xml:space="preserve">All Payers|ANS0003</t>
  </si>
  <si>
    <t xml:space="preserve">Cash|SMAU13|SMARTSITE TRI EXTENSION(BD)</t>
  </si>
  <si>
    <t xml:space="preserve">Cash|SMARTSITE TRI EXTENSION(BD)</t>
  </si>
  <si>
    <t xml:space="preserve">TR202|EME0080</t>
  </si>
  <si>
    <t xml:space="preserve">TR291|emergency|1</t>
  </si>
  <si>
    <t xml:space="preserve">All Payers|DIE0001</t>
  </si>
  <si>
    <t xml:space="preserve">Cash|SURU168|SURGICAL GLOVE 8.0(BLISTER PACK-SURGICARE-KANAM)</t>
  </si>
  <si>
    <t xml:space="preserve">Cash|SURGICAL GLOVE 8.0(BLISTER PACK-SURGICARE-KANAM)</t>
  </si>
  <si>
    <t xml:space="preserve">TR202|EME5045</t>
  </si>
  <si>
    <t xml:space="preserve">All Payers|PHY5076</t>
  </si>
  <si>
    <t xml:space="preserve">Cash|SYRU145|SYRINGE 5ML LL(KARE JET-ROMSONS)</t>
  </si>
  <si>
    <t xml:space="preserve">TR202|EME0088</t>
  </si>
  <si>
    <t xml:space="preserve">TR291|normal|2</t>
  </si>
  <si>
    <t xml:space="preserve">All Payers|CAR5341</t>
  </si>
  <si>
    <t xml:space="preserve">Cash|SYRU146|SYRINGE 10ML LL WITH NEEDLE(KAREJET-ROMSONS)</t>
  </si>
  <si>
    <t xml:space="preserve">TR202|PSY0036</t>
  </si>
  <si>
    <t xml:space="preserve">All Payers|CAS0007</t>
  </si>
  <si>
    <t xml:space="preserve">Cash|TRUR117|TRUGLYDE 2 SN2478(HEALTHIUM)</t>
  </si>
  <si>
    <t xml:space="preserve">Cash|TRUGLYDE 2 SN2478(HEALTHIUM)</t>
  </si>
  <si>
    <t xml:space="preserve">TR206|BIO0001</t>
  </si>
  <si>
    <t xml:space="preserve">TR291|emergency|2</t>
  </si>
  <si>
    <t xml:space="preserve">OT Tariff Slot Reference</t>
  </si>
  <si>
    <t xml:space="preserve">All Payers|EME0016</t>
  </si>
  <si>
    <t xml:space="preserve">Cash|URIU35|URINAL POT MALE/FEMALE(ALPHA MEDICARE)</t>
  </si>
  <si>
    <t xml:space="preserve">Cash|URINAL POT MALE/FEMALE(ALPHA MEDICARE)</t>
  </si>
  <si>
    <t xml:space="preserve">TR206|BIO0002</t>
  </si>
  <si>
    <t xml:space="preserve">All Payers|EME0017</t>
  </si>
  <si>
    <t xml:space="preserve">Cash||CEVISTAT 1.5GM INJECTION</t>
  </si>
  <si>
    <t xml:space="preserve">TR206|BIO0003</t>
  </si>
  <si>
    <t xml:space="preserve">TR291|normal|3</t>
  </si>
  <si>
    <t xml:space="preserve">All Payers|EME0018</t>
  </si>
  <si>
    <t xml:space="preserve">Cash||GB 29-75MG CAPSULE</t>
  </si>
  <si>
    <t xml:space="preserve">TR206|BIO0004</t>
  </si>
  <si>
    <t xml:space="preserve">All Payers|EME0019</t>
  </si>
  <si>
    <t xml:space="preserve">Cash||GLANTRAX 500MG 5ML INJ</t>
  </si>
  <si>
    <t xml:space="preserve">TR206|BIO0162</t>
  </si>
  <si>
    <t xml:space="preserve">TR291|emergency|3</t>
  </si>
  <si>
    <t xml:space="preserve">All Payers|EME0020</t>
  </si>
  <si>
    <t xml:space="preserve">Cash||HORLICKS DIABETES PLUS VANILLA 400GM</t>
  </si>
  <si>
    <t xml:space="preserve">TR206|CAR5341</t>
  </si>
  <si>
    <t xml:space="preserve">All Payers|EME0052</t>
  </si>
  <si>
    <t xml:space="preserve">Cash||IFIMOL 1000MG 100ML IV</t>
  </si>
  <si>
    <t xml:space="preserve">TR206|CAS0007</t>
  </si>
  <si>
    <t xml:space="preserve">TR291|normal|4</t>
  </si>
  <si>
    <t xml:space="preserve">All Payers|EME0080</t>
  </si>
  <si>
    <t xml:space="preserve">Cash||JUSTIN AQ 1ML INJ</t>
  </si>
  <si>
    <t xml:space="preserve">TR206|DIE0001</t>
  </si>
  <si>
    <t xml:space="preserve">All Payers|EME0087</t>
  </si>
  <si>
    <t xml:space="preserve">Cash||NEOMIT 8MG/4ML INJ</t>
  </si>
  <si>
    <t xml:space="preserve">Cash|NEOMIT 8MG/4ML INJ</t>
  </si>
  <si>
    <t xml:space="preserve">TR206|EME0017</t>
  </si>
  <si>
    <t xml:space="preserve">TR291|emergency|4</t>
  </si>
  <si>
    <t xml:space="preserve">All Payers|EME5045</t>
  </si>
  <si>
    <t xml:space="preserve">Cash||NORMAL SALINE 0.9% 100ML PLASTIC EH(ACULIFE)</t>
  </si>
  <si>
    <t xml:space="preserve">TR206|EME0019</t>
  </si>
  <si>
    <t xml:space="preserve">All Payers|ICC0001</t>
  </si>
  <si>
    <t xml:space="preserve">Cash||PARAGLASS 100ML IV</t>
  </si>
  <si>
    <t xml:space="preserve">TR206|EME0087</t>
  </si>
  <si>
    <t xml:space="preserve">TR291|normal|5</t>
  </si>
  <si>
    <t xml:space="preserve">All Payers|ICC0002</t>
  </si>
  <si>
    <t xml:space="preserve">Cash||ROPIZUVA 0.2% 20ML INJ</t>
  </si>
  <si>
    <t xml:space="preserve">TR206|HSP0047</t>
  </si>
  <si>
    <t xml:space="preserve">All Payers|EME0088</t>
  </si>
  <si>
    <t xml:space="preserve">Cash||SWIFTOLAC SYR 150ML</t>
  </si>
  <si>
    <t xml:space="preserve">TR206|HSP5013</t>
  </si>
  <si>
    <t xml:space="preserve">TR291|emergency|5</t>
  </si>
  <si>
    <t xml:space="preserve">All Payers|OTI0098</t>
  </si>
  <si>
    <t xml:space="preserve">Cash||SYRINGES INSULIN 1ML 40 IU(POLYMED)</t>
  </si>
  <si>
    <t xml:space="preserve">TR206|ICC0001</t>
  </si>
  <si>
    <t xml:space="preserve">All Payers|RNS5005</t>
  </si>
  <si>
    <t xml:space="preserve">Cash||TRANEMIC 500MG 5ML INJ</t>
  </si>
  <si>
    <t xml:space="preserve">Cash|TRANEMIC 500MG 5ML INJ</t>
  </si>
  <si>
    <t xml:space="preserve">TR206|ICC0002</t>
  </si>
  <si>
    <t xml:space="preserve">TR291|normal|6</t>
  </si>
  <si>
    <t xml:space="preserve">All Payers|ROM5189</t>
  </si>
  <si>
    <t xml:space="preserve">Cash||XSULIN R 40 IU/10ML INJECTION</t>
  </si>
  <si>
    <t xml:space="preserve">TR206|OTC0010</t>
  </si>
  <si>
    <t xml:space="preserve">All Payers|HSP5013</t>
  </si>
  <si>
    <t xml:space="preserve">Cash|AMLT22|AMLOVAS 5MG TAB</t>
  </si>
  <si>
    <t xml:space="preserve">Cash|AMLOVAS 5MG TAB</t>
  </si>
  <si>
    <t xml:space="preserve">TR206|OTC5005</t>
  </si>
  <si>
    <t xml:space="preserve">TR291|emergency|6</t>
  </si>
  <si>
    <t xml:space="preserve">All Payers|ROM0093</t>
  </si>
  <si>
    <t xml:space="preserve">Cash|AMLT36|AMLOKIND 5MG TAB</t>
  </si>
  <si>
    <t xml:space="preserve">Cash|AMLOKIND 5MG TAB</t>
  </si>
  <si>
    <t xml:space="preserve">TR206|OTI0015</t>
  </si>
  <si>
    <t xml:space="preserve">All Payers|OTC5005</t>
  </si>
  <si>
    <t xml:space="preserve">Cash|ASEC05|ASEPTOSHIELD PLUS 500ML(DR SCHUMACHER)</t>
  </si>
  <si>
    <t xml:space="preserve">Cash|ASEPTOSHIELD PLUS 500ML(DR SCHUMACHER)</t>
  </si>
  <si>
    <t xml:space="preserve">TR206|OTI0018</t>
  </si>
  <si>
    <t xml:space="preserve">TR291|normal|7</t>
  </si>
  <si>
    <t xml:space="preserve">All Payers|OTI0015</t>
  </si>
  <si>
    <t xml:space="preserve">Cash|ATOT59|ATOCOR 40MG TAB</t>
  </si>
  <si>
    <t xml:space="preserve">Cash|ATOCOR 40MG TAB</t>
  </si>
  <si>
    <t xml:space="preserve">TR206|OTI0098</t>
  </si>
  <si>
    <t xml:space="preserve">All Payers|OTI0018</t>
  </si>
  <si>
    <t xml:space="preserve">Cash|BEPI03|BEPARINE 5000 IU INJ 5ML</t>
  </si>
  <si>
    <t xml:space="preserve">Cash|BEPARINE 5000 IU INJ 5ML</t>
  </si>
  <si>
    <t xml:space="preserve">TR206|PAT0042</t>
  </si>
  <si>
    <t xml:space="preserve">TR291|emergency|7</t>
  </si>
  <si>
    <t xml:space="preserve">All Payers|PSY0036</t>
  </si>
  <si>
    <t xml:space="preserve">Cash|BETS08|BETADINE 10% 100ML SOLUTION</t>
  </si>
  <si>
    <t xml:space="preserve">Cash|BETADINE 10% 100ML SOLUTION</t>
  </si>
  <si>
    <t xml:space="preserve">TR206|PAT0045</t>
  </si>
  <si>
    <t xml:space="preserve">Cash|BIOC56|BIODOXI-LB CAP</t>
  </si>
  <si>
    <t xml:space="preserve">Cash|BIODOXI-LB CAP</t>
  </si>
  <si>
    <t xml:space="preserve">TR206|PHY5082</t>
  </si>
  <si>
    <t xml:space="preserve">TR291|normal|8</t>
  </si>
  <si>
    <t xml:space="preserve">Cash|BIST08|BISOTAB 5MG TAB</t>
  </si>
  <si>
    <t xml:space="preserve">Cash|BISOTAB 5MG TAB</t>
  </si>
  <si>
    <t xml:space="preserve">TR206|RNS0120</t>
  </si>
  <si>
    <t xml:space="preserve">Cash|BIST12|BISOHEART 2.5MG TAB</t>
  </si>
  <si>
    <t xml:space="preserve">Cash|BISOHEART 2.5MG TAB</t>
  </si>
  <si>
    <t xml:space="preserve">TR206|RNS5005</t>
  </si>
  <si>
    <t xml:space="preserve">TR291|emergency|8</t>
  </si>
  <si>
    <t xml:space="preserve">Cash|BRIT13|BRIV 100MG TAB</t>
  </si>
  <si>
    <t xml:space="preserve">Cash|BRIV 100MG TAB</t>
  </si>
  <si>
    <t xml:space="preserve">TR206|ROM0001</t>
  </si>
  <si>
    <t xml:space="preserve">Cash|BUPP02|BUPRIGESIC PATCH 5MCG</t>
  </si>
  <si>
    <t xml:space="preserve">Cash|BUPRIGESIC PATCH 5MCG</t>
  </si>
  <si>
    <t xml:space="preserve">TR206|ROM0024</t>
  </si>
  <si>
    <t xml:space="preserve">TR291|normal|9</t>
  </si>
  <si>
    <t xml:space="preserve">Cash|BUSI03|BUSCOGAST 1ML INJ</t>
  </si>
  <si>
    <t xml:space="preserve">Cash|BUSCOGAST 1ML INJ</t>
  </si>
  <si>
    <t xml:space="preserve">TR206|ROM0036</t>
  </si>
  <si>
    <t xml:space="preserve">TR303|normal|0.5</t>
  </si>
  <si>
    <t xml:space="preserve">Cash|CEGI03|CEGAVA 1.5GM INJ</t>
  </si>
  <si>
    <t xml:space="preserve">Cash|CEGAVA 1.5GM INJ</t>
  </si>
  <si>
    <t xml:space="preserve">TR206|ROM0093</t>
  </si>
  <si>
    <t xml:space="preserve">TR303|emergency|0.5</t>
  </si>
  <si>
    <t xml:space="preserve">Cash|CELP05|CELEVIDA DLS STRAWBERRY 400GM POWDER</t>
  </si>
  <si>
    <t xml:space="preserve">Cash|CELEVIDA DLS STRAWBERRY 400GM POWDER</t>
  </si>
  <si>
    <t xml:space="preserve">TR206|ROM5009</t>
  </si>
  <si>
    <t xml:space="preserve">TR303|normal|1</t>
  </si>
  <si>
    <t xml:space="preserve">Cash|CELS39|CELEVIDA DIAFIBER SACHET 12GM(PACK OF 30S)</t>
  </si>
  <si>
    <t xml:space="preserve">Cash|CELEVIDA DIAFIBER SACHET 12GM(PACK OF 30S)</t>
  </si>
  <si>
    <t xml:space="preserve">TR206|ROM5189</t>
  </si>
  <si>
    <t xml:space="preserve">TR303|emergency|1</t>
  </si>
  <si>
    <t xml:space="preserve">Cash|CHYT05|CHYMOTHAL FORTE TAB</t>
  </si>
  <si>
    <t xml:space="preserve">Cash|CHYMOTHAL FORTE TAB</t>
  </si>
  <si>
    <t xml:space="preserve">TR206|XRY5090</t>
  </si>
  <si>
    <t xml:space="preserve">TR303|normal|1.5</t>
  </si>
  <si>
    <t xml:space="preserve">Cash|CILT06|CILAMET XL 25MG TAB</t>
  </si>
  <si>
    <t xml:space="preserve">Cash|CILAMET XL 25MG TAB</t>
  </si>
  <si>
    <t xml:space="preserve">TR206|CAR0080</t>
  </si>
  <si>
    <t xml:space="preserve">TR303|emergency|1.5</t>
  </si>
  <si>
    <t xml:space="preserve">Cash|CILT12|CILACAR 5MG TAB</t>
  </si>
  <si>
    <t xml:space="preserve">Cash|CILACAR 5MG TAB</t>
  </si>
  <si>
    <t xml:space="preserve">TR206|XRY044</t>
  </si>
  <si>
    <t xml:space="preserve">TR303|normal|2</t>
  </si>
  <si>
    <t xml:space="preserve">Cash|CINT04|CINOD 10MG TAB</t>
  </si>
  <si>
    <t xml:space="preserve">Cash|CINOD 10MG TAB</t>
  </si>
  <si>
    <t xml:space="preserve">TR206|XRY5133</t>
  </si>
  <si>
    <t xml:space="preserve">TR303|emergency|2</t>
  </si>
  <si>
    <t xml:space="preserve">Cash|CINT06|CINOD 20MG TAB</t>
  </si>
  <si>
    <t xml:space="preserve">Cash|CINOD 20MG TAB</t>
  </si>
  <si>
    <t xml:space="preserve">TR206|BIO0005</t>
  </si>
  <si>
    <t xml:space="preserve">TR303|normal|2.5</t>
  </si>
  <si>
    <t xml:space="preserve">Cash|CIPT11|CIPLAR LA 40MG TAB</t>
  </si>
  <si>
    <t xml:space="preserve">Cash|CIPLAR LA 40MG TAB</t>
  </si>
  <si>
    <t xml:space="preserve">TR206|BIO0064</t>
  </si>
  <si>
    <t xml:space="preserve">TR303|emergency|2.5</t>
  </si>
  <si>
    <t xml:space="preserve">Cash|CONT02|CONCOR 5MG TAB</t>
  </si>
  <si>
    <t xml:space="preserve">Cash|CONCOR 5MG TAB</t>
  </si>
  <si>
    <t xml:space="preserve">TR206|BIO0075</t>
  </si>
  <si>
    <t xml:space="preserve">TR303|normal|3</t>
  </si>
  <si>
    <t xml:space="preserve">Cash|DEXI38|DEXLOG 100MCG/1ML INJECTION</t>
  </si>
  <si>
    <t xml:space="preserve">Cash|DEXLOG 100MCG/1ML INJECTION</t>
  </si>
  <si>
    <t xml:space="preserve">TR206|BIO0097</t>
  </si>
  <si>
    <t xml:space="preserve">TR303|emergency|3</t>
  </si>
  <si>
    <t xml:space="preserve">Cash|DULT15|DULCOFLEX TAB</t>
  </si>
  <si>
    <t xml:space="preserve">Cash|DULCOFLEX TAB</t>
  </si>
  <si>
    <t xml:space="preserve">TR206|BIO0098</t>
  </si>
  <si>
    <t xml:space="preserve">TR303|normal|3.5</t>
  </si>
  <si>
    <t xml:space="preserve">Cash|ECOC08|ECOSPRIN-AV 150/20MG CAP</t>
  </si>
  <si>
    <t xml:space="preserve">Cash|ECOSPRIN-AV 150/20MG CAP</t>
  </si>
  <si>
    <t xml:space="preserve">TR206|BIO0106</t>
  </si>
  <si>
    <t xml:space="preserve">TR303|emergency|3.5</t>
  </si>
  <si>
    <t xml:space="preserve">Cash|ECOT01|ECOSPRIN 75MG TAB</t>
  </si>
  <si>
    <t xml:space="preserve">Cash|ECOSPRIN 75MG TAB</t>
  </si>
  <si>
    <t xml:space="preserve">TR206|BIO0121</t>
  </si>
  <si>
    <t xml:space="preserve">TR303|normal|4</t>
  </si>
  <si>
    <t xml:space="preserve">Cash|GABT5|GABAPIN 300MG CAP</t>
  </si>
  <si>
    <t xml:space="preserve">Cash|GABAPIN 300MG CAP</t>
  </si>
  <si>
    <t xml:space="preserve">TR206|BIO0181</t>
  </si>
  <si>
    <t xml:space="preserve">TR303|emergency|4</t>
  </si>
  <si>
    <t xml:space="preserve">Cash|HETI13|HETROFOL 1% 20ML INJECTION</t>
  </si>
  <si>
    <t xml:space="preserve">Cash|HETROFOL 1% 20ML INJECTION</t>
  </si>
  <si>
    <t xml:space="preserve">TR206|BLD0001</t>
  </si>
  <si>
    <t xml:space="preserve">TR303|normal|4.5</t>
  </si>
  <si>
    <t xml:space="preserve">Cash|IPRI03|IPRAVENT 2ML RESPULES</t>
  </si>
  <si>
    <t xml:space="preserve">Cash|IPRAVENT 2ML RESPULES</t>
  </si>
  <si>
    <t xml:space="preserve">TR206|BLD0009</t>
  </si>
  <si>
    <t xml:space="preserve">TR303|emergency|4.5</t>
  </si>
  <si>
    <t xml:space="preserve">Cash|IVFU02|IV FLOW REGULATOR(BUYWEL)</t>
  </si>
  <si>
    <t xml:space="preserve">Cash|IV FLOW REGULATOR(BUYWEL)</t>
  </si>
  <si>
    <t xml:space="preserve">TR206|BLD0024</t>
  </si>
  <si>
    <t xml:space="preserve">TR303|normal|5</t>
  </si>
  <si>
    <t xml:space="preserve">Cash|LETT03|LETHYROX 12.5MCG TAB</t>
  </si>
  <si>
    <t xml:space="preserve">Cash|LETHYROX 12.5MCG TAB</t>
  </si>
  <si>
    <t xml:space="preserve">TR206|PAT0007</t>
  </si>
  <si>
    <t xml:space="preserve">TR303|emergency|5</t>
  </si>
  <si>
    <t xml:space="preserve">Cash|LIMT01|LIMCEE 500MG TAB</t>
  </si>
  <si>
    <t xml:space="preserve">Cash|LIMCEE 500MG TAB</t>
  </si>
  <si>
    <t xml:space="preserve">TR206|PAT0041</t>
  </si>
  <si>
    <t xml:space="preserve">TR303|normal|5.5</t>
  </si>
  <si>
    <t xml:space="preserve">Cash|LIZT01|LIZOLID 600MG TAB</t>
  </si>
  <si>
    <t xml:space="preserve">Cash|LIZOLID 600MG TAB</t>
  </si>
  <si>
    <t xml:space="preserve">TR206|PAT0078</t>
  </si>
  <si>
    <t xml:space="preserve">TR303|emergency|5.5</t>
  </si>
  <si>
    <t xml:space="preserve">Cash|LOCI03|LOCAM 2% 30ML INJECTION</t>
  </si>
  <si>
    <t xml:space="preserve">Cash|LOCAM 2% 30ML INJECTION</t>
  </si>
  <si>
    <t xml:space="preserve">TR206|ANS0003</t>
  </si>
  <si>
    <t xml:space="preserve">TR303|normal|6</t>
  </si>
  <si>
    <t xml:space="preserve">Cash|MEPI16|MEPHNOR 30MG INJ</t>
  </si>
  <si>
    <t xml:space="preserve">Cash|MEPHNOR 30MG INJ</t>
  </si>
  <si>
    <t xml:space="preserve">TR206|PHY5076</t>
  </si>
  <si>
    <t xml:space="preserve">TR303|emergency|6</t>
  </si>
  <si>
    <t xml:space="preserve">Cash|METI7|METOLAR 5ML INJ</t>
  </si>
  <si>
    <t xml:space="preserve">Cash|METOLAR 5ML INJ</t>
  </si>
  <si>
    <t xml:space="preserve">TR206|EME0016</t>
  </si>
  <si>
    <t xml:space="preserve">TR303|normal|6.5</t>
  </si>
  <si>
    <t xml:space="preserve">Cash|METT03|MET XL 50MG TAB</t>
  </si>
  <si>
    <t xml:space="preserve">Cash|MET XL 50MG TAB</t>
  </si>
  <si>
    <t xml:space="preserve">TR206|EME0018</t>
  </si>
  <si>
    <t xml:space="preserve">TR303|emergency|6.5</t>
  </si>
  <si>
    <t xml:space="preserve">Cash|METT04|MET XL 25MG TAB</t>
  </si>
  <si>
    <t xml:space="preserve">Cash|MET XL 25MG TAB</t>
  </si>
  <si>
    <t xml:space="preserve">TR206|EME0020</t>
  </si>
  <si>
    <t xml:space="preserve">TR303|normal|7</t>
  </si>
  <si>
    <t xml:space="preserve">Cash|METT32|MET XL-AM 50/5MG TAB</t>
  </si>
  <si>
    <t xml:space="preserve">Cash|MET XL-AM 50/5MG TAB</t>
  </si>
  <si>
    <t xml:space="preserve">TR206|EME0052</t>
  </si>
  <si>
    <t xml:space="preserve">TR303|emergency|7</t>
  </si>
  <si>
    <t xml:space="preserve">Cash|MIDI04|MIDFAST 10ML INJ</t>
  </si>
  <si>
    <t xml:space="preserve">Cash|MIDFAST 10ML INJ</t>
  </si>
  <si>
    <t xml:space="preserve">TR206|EME0080</t>
  </si>
  <si>
    <t xml:space="preserve">TR303|normal|7.5</t>
  </si>
  <si>
    <t xml:space="preserve">Cash|MONT28|MONTEK-LC TAB</t>
  </si>
  <si>
    <t xml:space="preserve">Cash|MONTEK-LC TAB</t>
  </si>
  <si>
    <t xml:space="preserve">TR206|EME5045</t>
  </si>
  <si>
    <t xml:space="preserve">TR303|emergency|7.5</t>
  </si>
  <si>
    <t xml:space="preserve">Cash|MUCT13|MUCINAC-AB TAB</t>
  </si>
  <si>
    <t xml:space="preserve">Cash|MUCINAC-AB TAB</t>
  </si>
  <si>
    <t xml:space="preserve">TR206|EME0088</t>
  </si>
  <si>
    <t xml:space="preserve">TR303|normal|8</t>
  </si>
  <si>
    <t xml:space="preserve">Cash|NEOI57|NEOMIT 8MG/4ML INJ</t>
  </si>
  <si>
    <t xml:space="preserve">TR206|PSY0036</t>
  </si>
  <si>
    <t xml:space="preserve">TR303|emergency|8</t>
  </si>
  <si>
    <t xml:space="preserve">Cash|NEUT40|NEURIT-CD3 TAB</t>
  </si>
  <si>
    <t xml:space="preserve">Cash|NEURIT-CD3 TAB</t>
  </si>
  <si>
    <t xml:space="preserve">TR240|BIO0001</t>
  </si>
  <si>
    <t xml:space="preserve">Cash|NEXT16|NEXITO LS TAB</t>
  </si>
  <si>
    <t xml:space="preserve">Cash|NEXITO LS TAB</t>
  </si>
  <si>
    <t xml:space="preserve">TR240|BIO0002</t>
  </si>
  <si>
    <t xml:space="preserve">Cash|NEXT8|NEXITO FORTE TAB</t>
  </si>
  <si>
    <t xml:space="preserve">Cash|NEXITO FORTE TAB</t>
  </si>
  <si>
    <t xml:space="preserve">TR240|BIO0003</t>
  </si>
  <si>
    <t xml:space="preserve">Cash|NICT02|NICARDIA RETARD 20MG TAB</t>
  </si>
  <si>
    <t xml:space="preserve">Cash|NICARDIA RETARD 20MG TAB</t>
  </si>
  <si>
    <t xml:space="preserve">TR240|BIO0004</t>
  </si>
  <si>
    <t xml:space="preserve">Cash|NURU02|NURSE CRIMP CAP(SRI VIJAYA SAI)</t>
  </si>
  <si>
    <t xml:space="preserve">Cash|NURSE CRIMP CAP(SRI VIJAYA SAI)</t>
  </si>
  <si>
    <t xml:space="preserve">TR240|BIO0162</t>
  </si>
  <si>
    <t xml:space="preserve">Cash|PHEI08|PHENPRES INJ</t>
  </si>
  <si>
    <t xml:space="preserve">Cash|PHENPRES INJ</t>
  </si>
  <si>
    <t xml:space="preserve">TR240|CAR5341</t>
  </si>
  <si>
    <t xml:space="preserve">Cash|POTI08|POTLYTE 10ML INJ</t>
  </si>
  <si>
    <t xml:space="preserve">Cash|POTLYTE 10ML INJ</t>
  </si>
  <si>
    <t xml:space="preserve">TR240|CAS0007</t>
  </si>
  <si>
    <t xml:space="preserve">Cash|POTI10|POTSAV 10ML INJECTION</t>
  </si>
  <si>
    <t xml:space="preserve">Cash|POTSAV 10ML INJECTION</t>
  </si>
  <si>
    <t xml:space="preserve">TR240|DIE0001</t>
  </si>
  <si>
    <t xml:space="preserve">Cash|POVC03|POVINANZ SCRUB 7.5% 500ML(NANZ MEDSCIENCE)</t>
  </si>
  <si>
    <t xml:space="preserve">Cash|POVINANZ SCRUB 7.5% 500ML(NANZ MEDSCIENCE)</t>
  </si>
  <si>
    <t xml:space="preserve">TR240|EME0017</t>
  </si>
  <si>
    <t xml:space="preserve">Cash|PRAT83|PRASOPHEG 40MG TABLET</t>
  </si>
  <si>
    <t xml:space="preserve">Cash|PRASOPHEG 40MG TABLET</t>
  </si>
  <si>
    <t xml:space="preserve">TR240|EME0019</t>
  </si>
  <si>
    <t xml:space="preserve">Cash|ROPI04|ROPIN 0.2% 20ML INJ</t>
  </si>
  <si>
    <t xml:space="preserve">Cash|ROPIN 0.2% 20ML INJ</t>
  </si>
  <si>
    <t xml:space="preserve">TR240|EME0087</t>
  </si>
  <si>
    <t xml:space="preserve">Cash|ROST02|ROSUVAS 10MG TAB</t>
  </si>
  <si>
    <t xml:space="preserve">Cash|ROSUVAS 10MG TAB</t>
  </si>
  <si>
    <t xml:space="preserve">TR240|HSP0047</t>
  </si>
  <si>
    <t xml:space="preserve">Cash|ROST124|ROSUR 10MG TAB</t>
  </si>
  <si>
    <t xml:space="preserve">Cash|ROSUR 10MG TAB</t>
  </si>
  <si>
    <t xml:space="preserve">TR240|HSP5013</t>
  </si>
  <si>
    <t xml:space="preserve">Cash|SERG02|SEROFLO 250MCG INHALER</t>
  </si>
  <si>
    <t xml:space="preserve">Cash|SEROFLO 250MCG INHALER</t>
  </si>
  <si>
    <t xml:space="preserve">TR240|ICC0001</t>
  </si>
  <si>
    <t xml:space="preserve">Cash|SERO01|SERVINADINE 20GM OINTMENT</t>
  </si>
  <si>
    <t xml:space="preserve">Cash|SERVINADINE 20GM OINTMENT</t>
  </si>
  <si>
    <t xml:space="preserve">TR240|ICC0002</t>
  </si>
  <si>
    <t xml:space="preserve">Cash|SHET09|SHELCAL-XT TAB</t>
  </si>
  <si>
    <t xml:space="preserve">Cash|SHELCAL-XT TAB</t>
  </si>
  <si>
    <t xml:space="preserve">TR240|OTC0010</t>
  </si>
  <si>
    <t xml:space="preserve">Cash|SYNT01|SYNDOPA PLUS TAB</t>
  </si>
  <si>
    <t xml:space="preserve">Cash|SYNDOPA PLUS TAB</t>
  </si>
  <si>
    <t xml:space="preserve">TR240|OTC5005</t>
  </si>
  <si>
    <t xml:space="preserve">Cash|TELT308|TELDIL 40MG TAB</t>
  </si>
  <si>
    <t xml:space="preserve">Cash|TELDIL 40MG TAB</t>
  </si>
  <si>
    <t xml:space="preserve">TR240|OTI0015</t>
  </si>
  <si>
    <t xml:space="preserve">Cash|TELT423|TELMISPOT 40MG TABLET</t>
  </si>
  <si>
    <t xml:space="preserve">Cash|TELMISPOT 40MG TABLET</t>
  </si>
  <si>
    <t xml:space="preserve">TR240|OTI0018</t>
  </si>
  <si>
    <t xml:space="preserve">Cash|TELT63|TELMINORM BXL 40/25 MG TAB</t>
  </si>
  <si>
    <t xml:space="preserve">Cash|TELMINORM BXL 40/25 MG TAB</t>
  </si>
  <si>
    <t xml:space="preserve">TR240|OTI0098</t>
  </si>
  <si>
    <t xml:space="preserve">Cash|TEMT14|TEMFIX TR TABLET</t>
  </si>
  <si>
    <t xml:space="preserve">Cash|TEMFIX TR TABLET</t>
  </si>
  <si>
    <t xml:space="preserve">TR240|PAT0042</t>
  </si>
  <si>
    <t xml:space="preserve">Cash|TEXT02|TEXAKIND 500MG TAB</t>
  </si>
  <si>
    <t xml:space="preserve">Cash|TEXAKIND 500MG TAB</t>
  </si>
  <si>
    <t xml:space="preserve">TR240|PAT0045</t>
  </si>
  <si>
    <t xml:space="preserve">Cash|THEP06|THEMIBUPRINE-P 5MCG PATCH</t>
  </si>
  <si>
    <t xml:space="preserve">Cash|THEMIBUPRINE-P 5MCG PATCH</t>
  </si>
  <si>
    <t xml:space="preserve">TR240|PHY5082</t>
  </si>
  <si>
    <t xml:space="preserve">Cash|THYT06|THYROX 100MCG TAB</t>
  </si>
  <si>
    <t xml:space="preserve">Cash|THYROX 100MCG TAB</t>
  </si>
  <si>
    <t xml:space="preserve">TR240|RNS0120</t>
  </si>
  <si>
    <t xml:space="preserve">Cash|THYT15|THYRONORM 75MCG TAB</t>
  </si>
  <si>
    <t xml:space="preserve">Cash|THYRONORM 75MCG TAB</t>
  </si>
  <si>
    <t xml:space="preserve">TR240|RNS5005</t>
  </si>
  <si>
    <t xml:space="preserve">Cash|TRAI09|TRANEMIC 500MG 5ML INJ</t>
  </si>
  <si>
    <t xml:space="preserve">TR240|ROM0001</t>
  </si>
  <si>
    <t xml:space="preserve">BED CHARGES-GENERAL WARD</t>
  </si>
  <si>
    <t xml:space="preserve">Cash|TRET02|TRENAXA 500MG TAB</t>
  </si>
  <si>
    <t xml:space="preserve">Cash|TRENAXA 500MG TAB</t>
  </si>
  <si>
    <t xml:space="preserve">TR240|ROM0024</t>
  </si>
  <si>
    <t xml:space="preserve">Cash|TRIT44|TRIOLMEZEST 40MG TAB</t>
  </si>
  <si>
    <t xml:space="preserve">Cash|TRIOLMEZEST 40MG TAB</t>
  </si>
  <si>
    <t xml:space="preserve">TR240|ROM0036</t>
  </si>
  <si>
    <t xml:space="preserve">BED CHARGES-SINGLE</t>
  </si>
  <si>
    <t xml:space="preserve">Cash|VERI06|VERFEN 10ML INJ</t>
  </si>
  <si>
    <t xml:space="preserve">Cash|VERFEN 10ML INJ</t>
  </si>
  <si>
    <t xml:space="preserve">TR240|ROM0093</t>
  </si>
  <si>
    <t xml:space="preserve">Cash|VETI01|VETIRA 5ML INJ</t>
  </si>
  <si>
    <t xml:space="preserve">Cash|VETIRA 5ML INJ</t>
  </si>
  <si>
    <t xml:space="preserve">TR240|ROM5009</t>
  </si>
  <si>
    <t xml:space="preserve">BED CHARGES - SICU</t>
  </si>
  <si>
    <t xml:space="preserve">Cash|VILT31|VILDAPRIDE-M 50/500MG TAB</t>
  </si>
  <si>
    <t xml:space="preserve">Cash|VILDAPRIDE-M 50/500MG TAB</t>
  </si>
  <si>
    <t xml:space="preserve">TR240|ROM5189</t>
  </si>
  <si>
    <t xml:space="preserve">Cash|WOKS02|WOKADINE 100ML SOL</t>
  </si>
  <si>
    <t xml:space="preserve">Cash|WOKADINE 100ML SOL</t>
  </si>
  <si>
    <t xml:space="preserve">TR240|XRY5090</t>
  </si>
  <si>
    <t xml:space="preserve">BED SIDE X-RAY KNEE JOINT AP AND LAT VIEW</t>
  </si>
  <si>
    <t xml:space="preserve">Cash|ZOVC01|ZOVANTA 40MG TAB</t>
  </si>
  <si>
    <t xml:space="preserve">Cash|ZOVANTA 40MG TAB</t>
  </si>
  <si>
    <t xml:space="preserve">TR240|CAR0080</t>
  </si>
  <si>
    <t xml:space="preserve">Cash|ZU-T01|ZU-C 500MG TAB</t>
  </si>
  <si>
    <t xml:space="preserve">Cash|ZU-C 500MG TAB</t>
  </si>
  <si>
    <t xml:space="preserve">TR240|XRY044</t>
  </si>
  <si>
    <t xml:space="preserve">Cash|ZUVT03|ZUVASTAT 20MG TAB</t>
  </si>
  <si>
    <t xml:space="preserve">Cash|ZUVASTAT 20MG TAB</t>
  </si>
  <si>
    <t xml:space="preserve">TR240|XRY5133</t>
  </si>
  <si>
    <t xml:space="preserve">Cash|ZYRT09|ZYROVA 20MG TAB</t>
  </si>
  <si>
    <t xml:space="preserve">Cash|ZYROVA 20MG TAB</t>
  </si>
  <si>
    <t xml:space="preserve">TR240|BIO0005</t>
  </si>
  <si>
    <t xml:space="preserve">Cash|ZYTO02|ZYTEE RB GEL 10ML</t>
  </si>
  <si>
    <t xml:space="preserve">Cash|ZYTEE RB GEL 10ML</t>
  </si>
  <si>
    <t xml:space="preserve">TR240|BIO0064</t>
  </si>
  <si>
    <t xml:space="preserve">Cash|ARRU07|ARRAY DRILL PIN 175MM*4MM(4515-70-006-DEPUY)</t>
  </si>
  <si>
    <t xml:space="preserve">Cash|ARRAY DRILL PIN 175MM*4MM(4515-70-006-DEPUY)</t>
  </si>
  <si>
    <t xml:space="preserve">TR240|BIO0075</t>
  </si>
  <si>
    <t xml:space="preserve">Cash|ATTM101|ATTUNE TIBIAL INSERT FIXED BEARING CRUCIATE RETAINING AOX 2 6MM(1516-20-206-DEPUY SYNTHES)</t>
  </si>
  <si>
    <t xml:space="preserve">Cash|ATTUNE TIBIAL INSERT FIXED BEARING CRUCIATE RETAINING AOX 2 6MM(1516-20-206-DEPUY SYNTHES)</t>
  </si>
  <si>
    <t xml:space="preserve">TR240|BIO0097</t>
  </si>
  <si>
    <t xml:space="preserve">Cash|ATTM106|ATTUNE TIBIAL INSERT F/B CRUCIATE RETAINING 3MM*6MM(1516-20-306-DEPUY)</t>
  </si>
  <si>
    <t xml:space="preserve">Cash|ATTUNE TIBIAL INSERT F/B CRUCIATE RETAINING 3MM*6MM(1516-20-306-DEPUY)</t>
  </si>
  <si>
    <t xml:space="preserve">TR240|BIO0098</t>
  </si>
  <si>
    <t xml:space="preserve">Cash|ATTM108|ATTUNE TIBIAL INSERT FIXED BEARING CRUCIATE RETAINING AOX 3 8MM(1516-20-308-DEPUY SYNTHES)</t>
  </si>
  <si>
    <t xml:space="preserve">Cash|ATTUNE TIBIAL INSERT FIXED BEARING CRUCIATE RETAINING AOX 3 8MM(1516-20-308-DEPUY SYNTHES)</t>
  </si>
  <si>
    <t xml:space="preserve">TR240|BIO0106</t>
  </si>
  <si>
    <t xml:space="preserve">Cash|ATTM110|ATTUNE TIBIAL INSERT FIXED BEARING CRUCIATE RETAINING AOX 4 5MM(1516-20-405-DEPUY SYNTHES)</t>
  </si>
  <si>
    <t xml:space="preserve">Cash|ATTUNE TIBIAL INSERT FIXED BEARING CRUCIATE RETAINING AOX 4 5MM(1516-20-405-DEPUY SYNTHES)</t>
  </si>
  <si>
    <t xml:space="preserve">TR240|BIO0121</t>
  </si>
  <si>
    <t xml:space="preserve">Cash|ATTM111|ATTUNE TIBIAL INSERT FIXED BEARING CRUCIATE RETAINING AOX 4 6MM(1516-20-406-DEPUY SYNTHES)</t>
  </si>
  <si>
    <t xml:space="preserve">Cash|ATTUNE TIBIAL INSERT FIXED BEARING CRUCIATE RETAINING AOX 4 6MM(1516-20-406-DEPUY SYNTHES)</t>
  </si>
  <si>
    <t xml:space="preserve">TR240|BIO0181</t>
  </si>
  <si>
    <t xml:space="preserve">Cash|ATTM115|ATTUNE TIBIAL INSERT FIXED BEARING CRUCIATE RETAINING AOX 5 5MM(1516-20-505-DEPUY SYNTHES)</t>
  </si>
  <si>
    <t xml:space="preserve">Cash|ATTUNE TIBIAL INSERT FIXED BEARING CRUCIATE RETAINING AOX 5 5MM(1516-20-505-DEPUY SYNTHES)</t>
  </si>
  <si>
    <t xml:space="preserve">TR240|BLD0001</t>
  </si>
  <si>
    <t xml:space="preserve">Cash|ATTM138|ATTUNE TIBIAL BASEPLATE FIXED BEARING CEMENTED 4MM(1506-70-004-JOHNSON &amp; JOHNSON)</t>
  </si>
  <si>
    <t xml:space="preserve">Cash|ATTUNE TIBIAL BASEPLATE FIXED BEARING CEMENTED 4MM(1506-70-004-JOHNSON &amp; JOHNSON)</t>
  </si>
  <si>
    <t xml:space="preserve">TR240|BLD0009</t>
  </si>
  <si>
    <t xml:space="preserve">Cash|ATTM161|ATTUNE FEMORAL COMPONENT CEMENTED CRUCIATE RETAINING RIGHT 2(1504-00-202-DEPUY SYNTHES)</t>
  </si>
  <si>
    <t xml:space="preserve">Cash|ATTUNE FEMORAL COMPONENT CEMENTED CRUCIATE RETAINING RIGHT 2(1504-00-202-DEPUY SYNTHES)</t>
  </si>
  <si>
    <t xml:space="preserve">TR240|BLD0024</t>
  </si>
  <si>
    <t xml:space="preserve">PACKED CELLS</t>
  </si>
  <si>
    <t xml:space="preserve">Cash|ATTM164|ATTUNE TIBIAL BASEPLATE STEMMABLE CEMENTED KNEE 4MM(1506-40-004-DEPUY SYNTHES)</t>
  </si>
  <si>
    <t xml:space="preserve">Cash|ATTUNE TIBIAL BASEPLATE STEMMABLE CEMENTED KNEE 4MM(1506-40-004-DEPUY SYNTHES)</t>
  </si>
  <si>
    <t xml:space="preserve">TR240|PAT0007</t>
  </si>
  <si>
    <t xml:space="preserve">Cash|ATTM169|ATTUNE KNEE SYSTEM REVISION TIBIAL BASE FIXED BEARING CEMENTED SIZE 2MM(1506-40-002-DEPUY)</t>
  </si>
  <si>
    <t xml:space="preserve">Cash|ATTUNE KNEE SYSTEM REVISION TIBIAL BASE FIXED BEARING CEMENTED SIZE 2MM(1506-40-002-DEPUY)</t>
  </si>
  <si>
    <t xml:space="preserve">TR240|PAT0041</t>
  </si>
  <si>
    <t xml:space="preserve">Cash|ATTM169|ATTUNE TIBIAL BASEPLATE FIXED BEARING REVISION CEMENTED CONSTRAINED KNEE 2(1506-40-002-DEPUY SYNTHES)</t>
  </si>
  <si>
    <t xml:space="preserve">Cash|ATTUNE TIBIAL BASEPLATE FIXED BEARING REVISION CEMENTED CONSTRAINED KNEE 2(1506-40-002-DEPUY SYNTHES)</t>
  </si>
  <si>
    <t xml:space="preserve">TR240|PAT0078</t>
  </si>
  <si>
    <t xml:space="preserve">Cash|ATTM176|ORTHOPAEDIC BEARING TIBIAL BASE FIXED CEMENTED KNEE SYSTEM REVISION 6MM(1506-40-006-DEPUY SYNTHES)</t>
  </si>
  <si>
    <t xml:space="preserve">Cash|ORTHOPAEDIC BEARING TIBIAL BASE FIXED CEMENTED KNEE SYSTEM REVISION 6MM(1506-40-006-DEPUY SYNTHES)</t>
  </si>
  <si>
    <t xml:space="preserve">TR240|ANS0003</t>
  </si>
  <si>
    <t xml:space="preserve">Cash|ATTM208|ATTUNE KNEE SYSTEM TIBIAL INSERT FIXED BEARING MEDIAL STABILIZED RIGHT SIZE AOX 6MM*6MM(1520-20-606-DEPUY)</t>
  </si>
  <si>
    <t xml:space="preserve">Cash|ATTUNE KNEE SYSTEM TIBIAL INSERT FIXED BEARING MEDIAL STABILIZED RIGHT SIZE AOX 6MM*6MM(1520-20-606-DEPUY)</t>
  </si>
  <si>
    <t xml:space="preserve">TR240|PHY5076</t>
  </si>
  <si>
    <t xml:space="preserve">Cash|ATTM221|ATTUNE KNEE SYSTEM TIBIAL INSERT FIXED BEARING MEDIAL STABILIZED RIGHTSIZE 5MM X 10MM(1520-20-510-DEPUY)</t>
  </si>
  <si>
    <t xml:space="preserve">Cash|ATTUNE KNEE SYSTEM TIBIAL INSERT FIXED BEARING MEDIAL STABILIZED RIGHTSIZE 5MM X 10MM(1520-20-510-DEPUY)</t>
  </si>
  <si>
    <t xml:space="preserve">TR240|EME0016</t>
  </si>
  <si>
    <t xml:space="preserve">Cash|ATTM223|ATTUNE KNEE SYSTEM TIBIAL INSERT FIXED BEARING MEDIAL STABILIZED RIGHT SIZE 4MM*6MM(1520-20-406-DEPUY)</t>
  </si>
  <si>
    <t xml:space="preserve">Cash|ATTUNE KNEE SYSTEM TIBIAL INSERT FIXED BEARING MEDIAL STABILIZED RIGHT SIZE 4MM*6MM(1520-20-406-DEPUY)</t>
  </si>
  <si>
    <t xml:space="preserve">TR240|EME0018</t>
  </si>
  <si>
    <t xml:space="preserve">Cash|ATTM232|ATTUNE KNEE SYSTEM TIBIAL INSERT FIXED BEARING MEDIAL STABILIZED RIGHTSIZE 3MM X 7MM(1520-20-307-DEPUY)</t>
  </si>
  <si>
    <t xml:space="preserve">Cash|ATTUNE KNEE SYSTEM TIBIAL INSERT FIXED BEARING MEDIAL STABILIZED RIGHTSIZE 3MM X 7MM(1520-20-307-DEPUY)</t>
  </si>
  <si>
    <t xml:space="preserve">TR240|EME0020</t>
  </si>
  <si>
    <t xml:space="preserve">Cash|ATTM27|ATTUNE TIBIAL BASEPLATE FIXED BEARING CEMENTED 5MM(1506-70-005-DEPUY SYNTHES)</t>
  </si>
  <si>
    <t xml:space="preserve">Cash|ATTUNE TIBIAL BASEPLATE FIXED BEARING CEMENTED 5MM(1506-70-005-DEPUY SYNTHES)</t>
  </si>
  <si>
    <t xml:space="preserve">TR240|EME0052</t>
  </si>
  <si>
    <t xml:space="preserve">Cash|ATTM83|ATTUNE FEMORAL C/R CEMENTED RIGHT SEZE 3(1504-00-203-DEPUY)</t>
  </si>
  <si>
    <t xml:space="preserve">Cash|ATTUNE FEMORAL C/R CEMENTED RIGHT SEZE 3(1504-00-203-DEPUY)</t>
  </si>
  <si>
    <t xml:space="preserve">TR240|EME0080</t>
  </si>
  <si>
    <t xml:space="preserve">Cash|ATTM86|ATTUNE FEMORAL COMPONENT CEMENTED CRUCIATE RETAINING RIGHT 6(1504-00-206-DEPUY SYNTHES)</t>
  </si>
  <si>
    <t xml:space="preserve">Cash|ATTUNE FEMORAL COMPONENT CEMENTED CRUCIATE RETAINING RIGHT 6(1504-00-206-DEPUY SYNTHES)</t>
  </si>
  <si>
    <t xml:space="preserve">TR240|EME5045</t>
  </si>
  <si>
    <t xml:space="preserve">Cash|ATTM97|ATTUNE FEMORAL COMPONENT CEMENTED CRUCIATE RETAINING RIGHT 4 NARROW(1504-00-224-DEPUY SYNTHES)</t>
  </si>
  <si>
    <t xml:space="preserve">Cash|ATTUNE FEMORAL COMPONENT CEMENTED CRUCIATE RETAINING RIGHT 4 NARROW(1504-00-224-DEPUY SYNTHES)</t>
  </si>
  <si>
    <t xml:space="preserve">TR240|EME0088</t>
  </si>
  <si>
    <t xml:space="preserve">Cash|BONM229|BONE PIN 3.2MM*140MM(143140/213527-STRYKER)</t>
  </si>
  <si>
    <t xml:space="preserve">Cash|BONE PIN 3.2MM*140MM(143140/213527-STRYKER)</t>
  </si>
  <si>
    <t xml:space="preserve">TR240|PSY0036</t>
  </si>
  <si>
    <t xml:space="preserve">Cash|CORM9076|CORTICAL SCREW SLF TAPP 3.5MM*20MM 20TPI(A458000020-PITKAR)</t>
  </si>
  <si>
    <t xml:space="preserve">Cash|CORTICAL SCREW SLF TAPP 3.5MM*20MM 20TPI(A458000020-PITKAR)</t>
  </si>
  <si>
    <t xml:space="preserve">TR284|BIO0001</t>
  </si>
  <si>
    <t xml:space="preserve">Cash|LOCM2609|LOCKING SCREW SELF-TAPPING 3.5X26MM(AI07100026-PITKAR ORTHOTOOLS PVT LTD)</t>
  </si>
  <si>
    <t xml:space="preserve">Cash|LOCKING SCREW SELF-TAPPING 3.5X26MM(AI07100026-PITKAR ORTHOTOOLS PVT LTD)</t>
  </si>
  <si>
    <t xml:space="preserve">TR284|BIO0002</t>
  </si>
  <si>
    <t xml:space="preserve">Cash|MCKM01|MCK ONLAY TIBIAL INSERT SIZE 1MM*9MM(180701-2-STRYKER)</t>
  </si>
  <si>
    <t xml:space="preserve">Cash|MCK ONLAY TIBIAL INSERT SIZE 1MM*9MM(180701-2-STRYKER)</t>
  </si>
  <si>
    <t xml:space="preserve">TR284|BIO0003</t>
  </si>
  <si>
    <t xml:space="preserve">Cash|RESM100|RESTORIS MCK TIBIAL ONLAY INSERT SIZE-2MM*09MM(180702-2-STRYKER)</t>
  </si>
  <si>
    <t xml:space="preserve">Cash|RESTORIS MCK TIBIAL ONLAY INSERT SIZE-2MM*09MM(180702-2-STRYKER)</t>
  </si>
  <si>
    <t xml:space="preserve">TR284|BIO0004</t>
  </si>
  <si>
    <t xml:space="preserve">Cash|RESM68|RESTORIS MCK FEMORAL COMPONET RM/LL SIZE-1(180511-STRYKER)</t>
  </si>
  <si>
    <t xml:space="preserve">Cash|RESTORIS MCK FEMORAL COMPONET RM/LL SIZE-1(180511-STRYKER)</t>
  </si>
  <si>
    <t xml:space="preserve">TR284|BIO0162</t>
  </si>
  <si>
    <t xml:space="preserve">Cash|RESM69|RESTORIS MCK FEMORAL COMPONET RM/LL SIZE-2(180512-STRYKER)</t>
  </si>
  <si>
    <t xml:space="preserve">Cash|RESTORIS MCK FEMORAL COMPONET RM/LL SIZE-2(180512-STRYKER)</t>
  </si>
  <si>
    <t xml:space="preserve">TR284|CAR5341</t>
  </si>
  <si>
    <t xml:space="preserve">Cash|RESM70|RESTORIS MCK FEMORAL COMPONET RM/LL SIZE-3(180513-STRYKER)</t>
  </si>
  <si>
    <t xml:space="preserve">Cash|RESTORIS MCK FEMORAL COMPONET RM/LL SIZE-3(180513-STRYKER)</t>
  </si>
  <si>
    <t xml:space="preserve">TR284|CAS0007</t>
  </si>
  <si>
    <t xml:space="preserve">Cash|RESM71|RESTORIS MCK FEMORAL COMPONENT RIGHT MEDIAL LEFT LATERAL KNEE 4(180514-STRYKER CORP)</t>
  </si>
  <si>
    <t xml:space="preserve">Cash|RESTORIS MCK FEMORAL COMPONENT RIGHT MEDIAL LEFT LATERAL KNEE 4(180514-STRYKER CORP)</t>
  </si>
  <si>
    <t xml:space="preserve">TR284|DIE0001</t>
  </si>
  <si>
    <t xml:space="preserve">Cash|RESM79|RESTORIS MCK TIBIAL BASE PLATE RM/LL SIZE-1(180611-STRYKER)</t>
  </si>
  <si>
    <t xml:space="preserve">Cash|RESTORIS MCK TIBIAL BASE PLATE RM/LL SIZE-1(180611-STRYKER)</t>
  </si>
  <si>
    <t xml:space="preserve">TR284|EME0017</t>
  </si>
  <si>
    <t xml:space="preserve">Cash|RESM80|RESTORIS MCK TIBIAL BASE PLATE RM/LL SIZE-2(180612-STRYKER)</t>
  </si>
  <si>
    <t xml:space="preserve">Cash|RESTORIS MCK TIBIAL BASE PLATE RM/LL SIZE-2(180612-STRYKER)</t>
  </si>
  <si>
    <t xml:space="preserve">TR284|EME0019</t>
  </si>
  <si>
    <t xml:space="preserve">Cash|RESM81|RESTORIS MCK TIBIAL BASE PLATE RM/LL SIZE-3(180613-STRYKER)</t>
  </si>
  <si>
    <t xml:space="preserve">Cash|RESTORIS MCK TIBIAL BASE PLATE RM/LL SIZE-3(180613-STRYKER)</t>
  </si>
  <si>
    <t xml:space="preserve">TR284|EME0087</t>
  </si>
  <si>
    <t xml:space="preserve">Cash|RESM82|RESTORIS MCK TIBIAL BASEPLATE ONLAY RIGHT MEDIAL LEFT LATERAL 4(180614-STRYKER CORP)</t>
  </si>
  <si>
    <t xml:space="preserve">Cash|RESTORIS MCK TIBIAL BASEPLATE ONLAY RIGHT MEDIAL LEFT LATERAL 4(180614-STRYKER CORP)</t>
  </si>
  <si>
    <t xml:space="preserve">TR284|HSP0047</t>
  </si>
  <si>
    <t xml:space="preserve">Cash|RESM87|1807031 RESTORIS MCK TIBIAL INSERT 3 X 8MM</t>
  </si>
  <si>
    <t xml:space="preserve">Cash|1807031 RESTORIS MCK TIBIAL INSERT 3 X 8MM</t>
  </si>
  <si>
    <t xml:space="preserve">TR284|HSP5013</t>
  </si>
  <si>
    <t xml:space="preserve">Cash|RESM88|RESTORIS TIBIAL INSERT MULTI COMPARTMENTAL ONLAY KNEE 4 9MM(180704-2-STRYKER CORP)</t>
  </si>
  <si>
    <t xml:space="preserve">Cash|RESTORIS TIBIAL INSERT MULTI COMPARTMENTAL ONLAY KNEE 4 9MM(180704-2-STRYKER CORP)</t>
  </si>
  <si>
    <t xml:space="preserve">TR284|ICC0001</t>
  </si>
  <si>
    <t xml:space="preserve">Cash|SIMM01|SIMPLEX BONE CEMENT 40 GR [6191-0-001]</t>
  </si>
  <si>
    <t xml:space="preserve">Cash|SIMPLEX BONE CEMENT 40 GR [6191-0-001]</t>
  </si>
  <si>
    <t xml:space="preserve">TR284|ICC0002</t>
  </si>
  <si>
    <t xml:space="preserve">Cash|SIMM30|SIMPLEX P BONE CEMENT 40GM(6191-0-001-STRYKER CORP)</t>
  </si>
  <si>
    <t xml:space="preserve">TR284|OTC0010</t>
  </si>
  <si>
    <t xml:space="preserve">Cash|SMAM40|SMART SET GHV GENTAMICIAN 40GRM(3095-040-DEPUY)</t>
  </si>
  <si>
    <t xml:space="preserve">Cash|SMART SET GHV GENTAMICIAN 40GRM(3095-040-DEPUY)</t>
  </si>
  <si>
    <t xml:space="preserve">TR284|OTC5005</t>
  </si>
  <si>
    <t xml:space="preserve">Cash|TRIM114|TRIATHLON TIBIAL INSERT CRUCIATE SUBSTITUTING BEARING KNEE X3 2 9MM(5531-G-209-E-STRYKER CORP)</t>
  </si>
  <si>
    <t xml:space="preserve">Cash|TRIATHLON TIBIAL INSERT CRUCIATE SUBSTITUTING BEARING KNEE X3 2 9MM(5531-G-209-E-STRYKER CORP)</t>
  </si>
  <si>
    <t xml:space="preserve">TR284|OTI0015</t>
  </si>
  <si>
    <t xml:space="preserve">Cash|TRIM122|TRIATHLON CR FEMORAL CEMENT RIGHT-3(5510F302-STRYKER)</t>
  </si>
  <si>
    <t xml:space="preserve">Cash|TRIATHLON CR FEMORAL CEMENT RIGHT-3(5510F302-STRYKER)</t>
  </si>
  <si>
    <t xml:space="preserve">TR284|OTI0018</t>
  </si>
  <si>
    <t xml:space="preserve">Cash|TRIM132|TRIATHLON FEMORAL COMPONENT CRUCIATE RETAINING CEMENTED PRIMARY REFERENCING RIGHT KNEE TRITANIUM 4(5510F402-STRYKER CORP)</t>
  </si>
  <si>
    <t xml:space="preserve">Cash|TRIATHLON FEMORAL COMPONENT CRUCIATE RETAINING CEMENTED PRIMARY REFERENCING RIGHT KNEE TRITANIUM 4(5510F402-STRYKER CORP)</t>
  </si>
  <si>
    <t xml:space="preserve">TR284|OTI0098</t>
  </si>
  <si>
    <t xml:space="preserve">Cash|TRIM133|TRIATHLON FEMORAL COMPONENT CEMENTED CRUCIATE RETAINING RIGHT TRITANIUM 5(5510-F-502-STRYKER CORP)</t>
  </si>
  <si>
    <t xml:space="preserve">Cash|TRIATHLON FEMORAL COMPONENT CEMENTED CRUCIATE RETAINING RIGHT TRITANIUM 5(5510-F-502-STRYKER CORP)</t>
  </si>
  <si>
    <t xml:space="preserve">TR284|PAT0042</t>
  </si>
  <si>
    <t xml:space="preserve">Cash|TRIM151|TRIATHLON INSERT CS X31MM*11MM(5531G111-STRYKER)</t>
  </si>
  <si>
    <t xml:space="preserve">Cash|TRIATHLON INSERT CS X31MM*11MM(5531G111-STRYKER)</t>
  </si>
  <si>
    <t xml:space="preserve">TR284|PAT0045</t>
  </si>
  <si>
    <t xml:space="preserve">Cash|TRIM153|TRIATHLON INSERT CS X3 2*11MM(5531G211-STRYKER)</t>
  </si>
  <si>
    <t xml:space="preserve">Cash|TRIATHLON INSERT CS X3 2*11MM(5531G211-STRYKER)</t>
  </si>
  <si>
    <t xml:space="preserve">TR284|PHY5082</t>
  </si>
  <si>
    <t xml:space="preserve">Cash|TRIM157|5531G409E TRIATHLON X3 TIBIAL BEARING INSERT CS 4 X 9 MM</t>
  </si>
  <si>
    <t xml:space="preserve">Cash|5531G409E TRIATHLON X3 TIBIAL BEARING INSERT CS 4 X 9 MM</t>
  </si>
  <si>
    <t xml:space="preserve">TR284|RNS0120</t>
  </si>
  <si>
    <t xml:space="preserve">Cash|TRIM158|TRIATHLON TIBIAL INSERT CRUCIATE SUBSTITUTING BEARING KNEE X3 4 11MM(5531-G-411-E-STRYKER CORP)</t>
  </si>
  <si>
    <t xml:space="preserve">Cash|TRIATHLON TIBIAL INSERT CRUCIATE SUBSTITUTING BEARING KNEE X3 4 11MM(5531-G-411-E-STRYKER CORP)</t>
  </si>
  <si>
    <t xml:space="preserve">TR284|RNS5005</t>
  </si>
  <si>
    <t xml:space="preserve">Cash|TRIM184|5520B400 TRIATHLON TIBIA BP CEMENTED SIZE 4</t>
  </si>
  <si>
    <t xml:space="preserve">Cash|5520B400 TRIATHLON TIBIA BP CEMENTED SIZE 4</t>
  </si>
  <si>
    <t xml:space="preserve">TR284|ROM0001</t>
  </si>
  <si>
    <t xml:space="preserve">ROOM CHARGES- GENERAL WARD</t>
  </si>
  <si>
    <t xml:space="preserve">Cash|TRIM185|5521B100 TRIATHLON TOT KNEE UNIVERSAL TIB BASE PLATE (STRYKER)</t>
  </si>
  <si>
    <t xml:space="preserve">Cash|5521B100 TRIATHLON TOT KNEE UNIVERSAL TIB BASE PLATE (STRYKER)</t>
  </si>
  <si>
    <t xml:space="preserve">TR284|ROM0024</t>
  </si>
  <si>
    <t xml:space="preserve">ROOM CHARGES- TWIN SHARING</t>
  </si>
  <si>
    <t xml:space="preserve">Cash|TRIM187|5521B200 TRIATHLON UNIVERSAL BP 2(STRYKER)</t>
  </si>
  <si>
    <t xml:space="preserve">Cash|5521B200 TRIATHLON UNIVERSAL BP 2(STRYKER)</t>
  </si>
  <si>
    <t xml:space="preserve">TR284|ROM0036</t>
  </si>
  <si>
    <t xml:space="preserve">ROOM CHARGES- SINGLE</t>
  </si>
  <si>
    <t xml:space="preserve">Cash|TRIM188|TRIATHLON TIBIAL BASEPLATE CEMENTED 3 UNIVERSAL(5521-B-300-STRYKER CORP)</t>
  </si>
  <si>
    <t xml:space="preserve">Cash|TRIATHLON TIBIAL BASEPLATE CEMENTED 3 UNIVERSAL(5521-B-300-STRYKER CORP)</t>
  </si>
  <si>
    <t xml:space="preserve">TR284|ROM0093</t>
  </si>
  <si>
    <t xml:space="preserve">Cash|TRIM189|TRIATHLON TIBIAL BASEPLATE CEMENTED TOTAL KNEE UNIVERSAL 4(5521-B-400-STRYKER CORP)</t>
  </si>
  <si>
    <t xml:space="preserve">Cash|TRIATHLON TIBIAL BASEPLATE CEMENTED TOTAL KNEE UNIVERSAL 4(5521-B-400-STRYKER CORP)</t>
  </si>
  <si>
    <t xml:space="preserve">TR284|ROM5009</t>
  </si>
  <si>
    <t xml:space="preserve">Cash|TRIM191|TRIATHLON TIBIAL BASEPLATE PRIMARY CEMENTED STERILE 5(5520-B-500-STRYKER CORP)</t>
  </si>
  <si>
    <t xml:space="preserve">Cash|TRIATHLON TIBIAL BASEPLATE PRIMARY CEMENTED STERILE 5(5520-B-500-STRYKER CORP)</t>
  </si>
  <si>
    <t xml:space="preserve">TR284|ROM5189</t>
  </si>
  <si>
    <t xml:space="preserve">Cash|TRIM196|TRIATHLON TS FEMORAL STEM CEMENTED KNEE TITANIUM 12X100MM(5560-S-212-STRYKER CORP)</t>
  </si>
  <si>
    <t xml:space="preserve">Cash|TRIATHLON TS FEMORAL STEM CEMENTED KNEE TITANIUM 12X100MM(5560-S-212-STRYKER CORP)</t>
  </si>
  <si>
    <t xml:space="preserve">TR284|XRY5090</t>
  </si>
  <si>
    <t xml:space="preserve">Cash|TRIM197|TRIATHLON TS FEMORAL STEM CEMENTED KNEE TITANIUM 12X50MM(5560-S-112-STRYKER CORP)</t>
  </si>
  <si>
    <t xml:space="preserve">Cash|TRIATHLON TS FEMORAL STEM CEMENTED KNEE TITANIUM 12X50MM(5560-S-112-STRYKER CORP)</t>
  </si>
  <si>
    <t xml:space="preserve">TR284|CAR0080</t>
  </si>
  <si>
    <t xml:space="preserve">Cash|TRIM355|TRIATHLON TIBIAL INSERT CRUCIATE STABILIZED BEARING KNEE X3 3 10MM(5531-G-310-E-STRYKER CORP)</t>
  </si>
  <si>
    <t xml:space="preserve">Cash|TRIATHLON TIBIAL INSERT CRUCIATE STABILIZED BEARING KNEE X3 3 10MM(5531-G-310-E-STRYKER CORP)</t>
  </si>
  <si>
    <t xml:space="preserve">TR284|XRY044</t>
  </si>
  <si>
    <t xml:space="preserve">Cash|TRIM358|TRIATHLON TIBIAL INSERT CRUCIATE STABILIZED BEARING KNEE X3 5 10MM(5531-G-510-E-STRYKER CORP)</t>
  </si>
  <si>
    <t xml:space="preserve">Cash|TRIATHLON TIBIAL INSERT CRUCIATE STABILIZED BEARING KNEE X3 5 10MM(5531-G-510-E-STRYKER CORP)</t>
  </si>
  <si>
    <t xml:space="preserve">TR284|XRY5133</t>
  </si>
  <si>
    <t xml:space="preserve">Cash||BED BATH TOWEL 300MM*240MM 10S PACK(WIPEX-ROMSONS)</t>
  </si>
  <si>
    <t xml:space="preserve">TR284|BIO0005</t>
  </si>
  <si>
    <t xml:space="preserve">Cash||DIAPER ADULT MEDIUM 75CMX110CM(MAGMACARE)</t>
  </si>
  <si>
    <t xml:space="preserve">Cash|DIAPER ADULT MEDIUM 75CMX110CM(MAGMACARE)</t>
  </si>
  <si>
    <t xml:space="preserve">TR284|BIO0064</t>
  </si>
  <si>
    <t xml:space="preserve">Cash||DIAPER ADULT XL 120CMX142.5CM(MAGMACARE)</t>
  </si>
  <si>
    <t xml:space="preserve">TR284|BIO0075</t>
  </si>
  <si>
    <t xml:space="preserve">Cash||ECG ELECTRODES ADULT(SUCHIKA)</t>
  </si>
  <si>
    <t xml:space="preserve">TR284|BIO0097</t>
  </si>
  <si>
    <t xml:space="preserve">Cash||MICRO POLYSITE PLUS (DUO) EXTENSION(POLYMED)</t>
  </si>
  <si>
    <t xml:space="preserve">TR284|BIO0098</t>
  </si>
  <si>
    <t xml:space="preserve">Cash||POSIFLUSH SP 10ML(306575-BD)</t>
  </si>
  <si>
    <t xml:space="preserve">TR284|BIO0106</t>
  </si>
  <si>
    <t xml:space="preserve">Cash||POSIFLUSH SP 5ML(306574-BD)</t>
  </si>
  <si>
    <t xml:space="preserve">TR284|BIO0121</t>
  </si>
  <si>
    <t xml:space="preserve">Cash||STERIDRAPE ISOLATION BAG 50CM*50CM(1003-3M)</t>
  </si>
  <si>
    <t xml:space="preserve">Cash|STERIDRAPE ISOLATION BAG 50CM*50CM(1003-3M)</t>
  </si>
  <si>
    <t xml:space="preserve">TR284|BIO0181</t>
  </si>
  <si>
    <t xml:space="preserve">Cash||SURGICAL GLOVE 7.5(BLISTER PACK-SURGICARE-KANAM)</t>
  </si>
  <si>
    <t xml:space="preserve">TR284|BLD0001</t>
  </si>
  <si>
    <t xml:space="preserve">Cash||SURGICAL GLOVE 7.5(SURGICARE-KANAM)</t>
  </si>
  <si>
    <t xml:space="preserve">TR284|BLD0009</t>
  </si>
  <si>
    <t xml:space="preserve">Cash||SYRINGE 10ML LL(LIFE LONG)</t>
  </si>
  <si>
    <t xml:space="preserve">TR284|BLD0024</t>
  </si>
  <si>
    <t xml:space="preserve">Cash|ADVR02|ADVACRYL 1 ADVA2347(AMS)</t>
  </si>
  <si>
    <t xml:space="preserve">Cash|ADVACRYL 1 ADVA2347(AMS)</t>
  </si>
  <si>
    <t xml:space="preserve">TR284|PAT0007</t>
  </si>
  <si>
    <t xml:space="preserve">Cash|ADVR10|ADVACRYL 2-0 ADVA2404(AMS)</t>
  </si>
  <si>
    <t xml:space="preserve">Cash|ADVACRYL 2-0 ADVA2404(AMS)</t>
  </si>
  <si>
    <t xml:space="preserve">TR284|PAT0041</t>
  </si>
  <si>
    <t xml:space="preserve">Cash|ADVR105|ADVAGRIP 180 1-0 ADVAGL0337(AMS)</t>
  </si>
  <si>
    <t xml:space="preserve">Cash|ADVAGRIP 180 1-0 ADVAGL0337(AMS)</t>
  </si>
  <si>
    <t xml:space="preserve">TR284|PAT0078</t>
  </si>
  <si>
    <t xml:space="preserve">Cash|ADVR21|ADVACRYL 1 ADVA2826E(AMS)</t>
  </si>
  <si>
    <t xml:space="preserve">Cash|ADVACRYL 1 ADVA2826E(AMS)</t>
  </si>
  <si>
    <t xml:space="preserve">TR284|ANS0003</t>
  </si>
  <si>
    <t xml:space="preserve">Cash|ADVR34|ADVALENE 0 ADVA830(AMS)</t>
  </si>
  <si>
    <t xml:space="preserve">Cash|ADVALENE 0 ADVA830(AMS)</t>
  </si>
  <si>
    <t xml:space="preserve">TR284|PHY5076</t>
  </si>
  <si>
    <t xml:space="preserve">Cash|ALCC05|ALCOHOL SWABS(NANZ)</t>
  </si>
  <si>
    <t xml:space="preserve">Cash|ALCOHOL SWABS(NANZ)</t>
  </si>
  <si>
    <t xml:space="preserve">TR284|EME0016</t>
  </si>
  <si>
    <t xml:space="preserve">Cash|APRU13|APRON PLASTIC DISPOSABLE(MEDIBLUE)</t>
  </si>
  <si>
    <t xml:space="preserve">Cash|APRON PLASTIC DISPOSABLE(MEDIBLUE)</t>
  </si>
  <si>
    <t xml:space="preserve">TR284|EME0018</t>
  </si>
  <si>
    <t xml:space="preserve">Cash|ARTU02|ARTIFLEX 15CM*3M(72966-01/72966-03-BSN)</t>
  </si>
  <si>
    <t xml:space="preserve">Cash|ARTIFLEX 15CM*3M(72966-01/72966-03-BSN)</t>
  </si>
  <si>
    <t xml:space="preserve">TR284|EME0020</t>
  </si>
  <si>
    <t xml:space="preserve">Cash|BLOU54|BLOOD SET(BUYWEL)</t>
  </si>
  <si>
    <t xml:space="preserve">Cash|BLOOD SET(BUYWEL)</t>
  </si>
  <si>
    <t xml:space="preserve">TR284|EME0052</t>
  </si>
  <si>
    <t xml:space="preserve">Cash|CARU47|C ARM COVER 2PIECE(D306-2-SURGIWEAR)</t>
  </si>
  <si>
    <t xml:space="preserve">Cash|C ARM COVER 2PIECE(D306-2-SURGIWEAR)</t>
  </si>
  <si>
    <t xml:space="preserve">TR284|EME0080</t>
  </si>
  <si>
    <t xml:space="preserve">Cash|CAUU22|CAUTERY PENCIL LONG TIP(MEDTRONIC)</t>
  </si>
  <si>
    <t xml:space="preserve">Cash|CAUTERY PENCIL LONG TIP(MEDTRONIC)</t>
  </si>
  <si>
    <t xml:space="preserve">TR284|EME5045</t>
  </si>
  <si>
    <t xml:space="preserve">Cash|CORM10400|CORK SCREW FT-2 5.5MM WITH NEEDLE 16.3MM(AR-1928SNF-2-ARTHREX)</t>
  </si>
  <si>
    <t xml:space="preserve">Cash|CORK SCREW FT-2 5.5MM WITH NEEDLE 16.3MM(AR-1928SNF-2-ARTHREX)</t>
  </si>
  <si>
    <t xml:space="preserve">TR284|EME0088</t>
  </si>
  <si>
    <t xml:space="preserve">Cash|CREU27|CREPE BANDAGE 10CM(VELSOFT-10-DATT)</t>
  </si>
  <si>
    <t xml:space="preserve">Cash|CREPE BANDAGE 10CM(VELSOFT-10-DATT)</t>
  </si>
  <si>
    <t xml:space="preserve">TR284|PSY0036</t>
  </si>
  <si>
    <t xml:space="preserve">Cash|CURU01|CURAPORE STERILE 10CM X 30CM/9CM X 30CM(LOHMANN AND RAUSCHER)</t>
  </si>
  <si>
    <t xml:space="preserve">Cash|CURAPORE STERILE 10CM X 30CM/9CM X 30CM(LOHMANN AND RAUSCHER)</t>
  </si>
  <si>
    <t xml:space="preserve">TR285|BIO0001</t>
  </si>
  <si>
    <t xml:space="preserve">Cash|DERU28|DERMI SURGICAL MARKER(DERMARK-ROMSONS)</t>
  </si>
  <si>
    <t xml:space="preserve">Cash|DERMI SURGICAL MARKER(DERMARK-ROMSONS)</t>
  </si>
  <si>
    <t xml:space="preserve">TR285|BIO0002</t>
  </si>
  <si>
    <t xml:space="preserve">Cash|DIAU126|DIAPER ADULT MEDIUM 75CMX110CM(MAGMACARE)</t>
  </si>
  <si>
    <t xml:space="preserve">TR285|BIO0003</t>
  </si>
  <si>
    <t xml:space="preserve">Cash|DREC02|DRESSING PAD STERILE(KIMS)</t>
  </si>
  <si>
    <t xml:space="preserve">Cash|DRESSING PAD STERILE(KIMS)</t>
  </si>
  <si>
    <t xml:space="preserve">TR285|BIO0004</t>
  </si>
  <si>
    <t xml:space="preserve">Cash|ENCU11|MICROOPTIC STERILE GLOVE 6.0(ENCORE-JK ANSELL)</t>
  </si>
  <si>
    <t xml:space="preserve">Cash|MICROOPTIC STERILE GLOVE 6.0(ENCORE-JK ANSELL)</t>
  </si>
  <si>
    <t xml:space="preserve">TR285|BIO0162</t>
  </si>
  <si>
    <t xml:space="preserve">Cash|ENCU25|ENCORE LATEX UNDERGLOVE 6.5 NO(ANSELL)</t>
  </si>
  <si>
    <t xml:space="preserve">Cash|ENCORE LATEX UNDERGLOVE 6.5 NO(ANSELL)</t>
  </si>
  <si>
    <t xml:space="preserve">TR285|CAR5341</t>
  </si>
  <si>
    <t xml:space="preserve">Cash|ENCU29|ENCORE LATEX UNDERGLOVE 8.0 NO(ANSELL)</t>
  </si>
  <si>
    <t xml:space="preserve">Cash|ENCORE LATEX UNDERGLOVE 8.0 NO(ANSELL)</t>
  </si>
  <si>
    <t xml:space="preserve">TR285|CAS0007</t>
  </si>
  <si>
    <t xml:space="preserve">Cash|ENCU3|ENCORE ORTHOPEDIC GLOVES 6.5(JK ANSELL)</t>
  </si>
  <si>
    <t xml:space="preserve">Cash|ENCORE ORTHOPEDIC GLOVES 6.5(JK ANSELL)</t>
  </si>
  <si>
    <t xml:space="preserve">TR285|DIE0001</t>
  </si>
  <si>
    <t xml:space="preserve">Cash|FEEU05|FEEDY NO-09(ROMSONS)</t>
  </si>
  <si>
    <t xml:space="preserve">Cash|FEEDY NO-09(ROMSONS)</t>
  </si>
  <si>
    <t xml:space="preserve">TR285|EME0017</t>
  </si>
  <si>
    <t xml:space="preserve">Cash|FOLU08|FOLEYS CATHETER 2WAY 12F(RUSCH)</t>
  </si>
  <si>
    <t xml:space="preserve">Cash|FOLEYS CATHETER 2WAY 12F(RUSCH)</t>
  </si>
  <si>
    <t xml:space="preserve">TR285|EME0019</t>
  </si>
  <si>
    <t xml:space="preserve">Cash|FOLU161|FOLEYS CATHETER TWO WAY 14F(UROCATH-ROMSONS)</t>
  </si>
  <si>
    <t xml:space="preserve">Cash|FOLEYS CATHETER TWO WAY 14F(UROCATH-ROMSONS)</t>
  </si>
  <si>
    <t xml:space="preserve">TR285|EME0087</t>
  </si>
  <si>
    <t xml:space="preserve">Cash|GAUC20|GAUZE DRESSING MOP 12 PLY WITH X-RAY THREAD 10X10CM(VELSAWAB)</t>
  </si>
  <si>
    <t xml:space="preserve">Cash|GAUZE DRESSING MOP 12 PLY WITH X-RAY THREAD 10X10CM(VELSAWAB)</t>
  </si>
  <si>
    <t xml:space="preserve">TR285|HSP0047</t>
  </si>
  <si>
    <t xml:space="preserve">Cash|GDRU07|G DRESS-10 8.5X6.5CM(GD10-SURGIWEAR)</t>
  </si>
  <si>
    <t xml:space="preserve">Cash|G DRESS-10 8.5X6.5CM(GD10-SURGIWEAR)</t>
  </si>
  <si>
    <t xml:space="preserve">TR285|HSP5013</t>
  </si>
  <si>
    <t xml:space="preserve">Cash|GEEC02|GE ENTROPY SENSOR(M1038681-GE HEALTHCARE PVT LTD)</t>
  </si>
  <si>
    <t xml:space="preserve">Cash|GE ENTROPY SENSOR(M1038681-GE HEALTHCARE PVT LTD)</t>
  </si>
  <si>
    <t xml:space="preserve">TR285|ICC0001</t>
  </si>
  <si>
    <t xml:space="preserve">Cash|HANU01|HAND CARE GLOVES STERILE SMALL EVA(HI-CARE)</t>
  </si>
  <si>
    <t xml:space="preserve">Cash|HAND CARE GLOVES STERILE SMALL EVA(HI-CARE)</t>
  </si>
  <si>
    <t xml:space="preserve">TR285|ICC0002</t>
  </si>
  <si>
    <t xml:space="preserve">Cash|HOTU11|HOT AND COLD PACK(DYNAMIC)</t>
  </si>
  <si>
    <t xml:space="preserve">Cash|HOT AND COLD PACK(DYNAMIC)</t>
  </si>
  <si>
    <t xml:space="preserve">TR285|OTC0010</t>
  </si>
  <si>
    <t xml:space="preserve">Cash|KNEU03|KNEE IMMOBILIZER LARGE(DYNAMIC TECHNO MEDICALS)</t>
  </si>
  <si>
    <t xml:space="preserve">Cash|KNEE IMMOBILIZER LARGE(DYNAMIC TECHNO MEDICALS)</t>
  </si>
  <si>
    <t xml:space="preserve">TR285|OTC5005</t>
  </si>
  <si>
    <t xml:space="preserve">Cash|KWIM232|KIRSCHNER SURGICAL WIRE DOUBLE ENDED TROCAR POINT 2.5X285MM(1450.2.5.285-OROMED)</t>
  </si>
  <si>
    <t xml:space="preserve">Cash|KIRSCHNER SURGICAL WIRE DOUBLE ENDED TROCAR POINT 2.5X285MM(1450.2.5.285-OROMED)</t>
  </si>
  <si>
    <t xml:space="preserve">TR285|OTI0015</t>
  </si>
  <si>
    <t xml:space="preserve">Cash|MEAU26|MEASUREXE 250ML(UROMETER-ROMSONS)</t>
  </si>
  <si>
    <t xml:space="preserve">Cash|MEASUREXE 250ML(UROMETER-ROMSONS)</t>
  </si>
  <si>
    <t xml:space="preserve">TR285|OTI0018</t>
  </si>
  <si>
    <t xml:space="preserve">Cash|MEPU46|MEPILEX BORDER POST-OP 10CM*20CM(496400-MOLNLYCKE)</t>
  </si>
  <si>
    <t xml:space="preserve">Cash|MEPILEX BORDER POST-OP 10CM*20CM(496400-MOLNLYCKE)</t>
  </si>
  <si>
    <t xml:space="preserve">TR285|OTI0098</t>
  </si>
  <si>
    <t xml:space="preserve">Cash|MEPU62|MEPILEX BORDER POST OP 9CM*10CM(MOLNYCKE)</t>
  </si>
  <si>
    <t xml:space="preserve">Cash|MEPILEX BORDER POST OP 9CM*10CM(MOLNYCKE)</t>
  </si>
  <si>
    <t xml:space="preserve">TR285|PAT0042</t>
  </si>
  <si>
    <t xml:space="preserve">Cash|MERR26|MERSILK 4-0 NW5050(ETHICON)</t>
  </si>
  <si>
    <t xml:space="preserve">Cash|MERSILK 4-0 NW5050(ETHICON)</t>
  </si>
  <si>
    <t xml:space="preserve">TR285|PAT0045</t>
  </si>
  <si>
    <t xml:space="preserve">Cash|MICU115|MICRO POLY SYTE BI EXTENSION(POLYMED)</t>
  </si>
  <si>
    <t xml:space="preserve">Cash|MICRO POLY SYTE BI EXTENSION(POLYMED)</t>
  </si>
  <si>
    <t xml:space="preserve">TR285|PHY5082</t>
  </si>
  <si>
    <t xml:space="preserve">Cash|MICU133|MICRO INFUSION SET(BUYMED-BUYWEL)</t>
  </si>
  <si>
    <t xml:space="preserve">Cash|MICRO INFUSION SET(BUYMED-BUYWEL)</t>
  </si>
  <si>
    <t xml:space="preserve">TR285|RNS0120</t>
  </si>
  <si>
    <t xml:space="preserve">Cash|NASU122|NASAL CANNULA ADULT(LIFE-O-LINE)</t>
  </si>
  <si>
    <t xml:space="preserve">Cash|NASAL CANNULA ADULT(LIFE-O-LINE)</t>
  </si>
  <si>
    <t xml:space="preserve">TR285|RNS5005</t>
  </si>
  <si>
    <t xml:space="preserve">Cash|NEEU69|NEEDLE DISPOSABLE 26G X 0.5IN(NIPRO)</t>
  </si>
  <si>
    <t xml:space="preserve">Cash|NEEDLE DISPOSABLE 26G X 0.5IN(NIPRO)</t>
  </si>
  <si>
    <t xml:space="preserve">TR285|ROM0001</t>
  </si>
  <si>
    <t xml:space="preserve">Cash|NEEU85|NEEDLES 16G*1.5IN(ROMSONS)</t>
  </si>
  <si>
    <t xml:space="preserve">Cash|NEEDLES 16G*1.5IN(ROMSONS)</t>
  </si>
  <si>
    <t xml:space="preserve">TR285|ROM0024</t>
  </si>
  <si>
    <t xml:space="preserve">Cash|NOVR06|NOVOSYN VIOLET 2(5)90CM HS40S(M) DDP(BBRAUN)</t>
  </si>
  <si>
    <t xml:space="preserve">Cash|NOVOSYN VIOLET 2(5)90CM HS40S(M) DDP(BBRAUN)</t>
  </si>
  <si>
    <t xml:space="preserve">TR285|ROM0036</t>
  </si>
  <si>
    <t xml:space="preserve">Cash|OXYU86|OXYGEN MASK ADULT(LIFE-O-LINE)</t>
  </si>
  <si>
    <t xml:space="preserve">Cash|OXYGEN MASK ADULT(LIFE-O-LINE)</t>
  </si>
  <si>
    <t xml:space="preserve">TR285|ROM0093</t>
  </si>
  <si>
    <t xml:space="preserve">Cash|PHYR01|PHYSIO BALLS(DYNAMIC)</t>
  </si>
  <si>
    <t xml:space="preserve">Cash|PHYSIO BALLS(DYNAMIC)</t>
  </si>
  <si>
    <t xml:space="preserve">TR285|ROM5009</t>
  </si>
  <si>
    <t xml:space="preserve">Cash|PROR53|PROLENE 2-0 NW844(ETHICON)</t>
  </si>
  <si>
    <t xml:space="preserve">Cash|PROLENE 2-0 NW844(ETHICON)</t>
  </si>
  <si>
    <t xml:space="preserve">TR285|ROM5189</t>
  </si>
  <si>
    <t xml:space="preserve">Cash|PULM04|PULSAVAC WOUND DEBRIDEMENT SYSTEM(BELL PHARMA)</t>
  </si>
  <si>
    <t xml:space="preserve">Cash|PULSAVAC WOUND DEBRIDEMENT SYSTEM(BELL PHARMA)</t>
  </si>
  <si>
    <t xml:space="preserve">TR285|XRY5090</t>
  </si>
  <si>
    <t xml:space="preserve">Cash|ROMU04|ROMO VAC SET-12(ROMSONS)</t>
  </si>
  <si>
    <t xml:space="preserve">Cash|ROMO VAC SET-12(ROMSONS)</t>
  </si>
  <si>
    <t xml:space="preserve">TR285|CAR0080</t>
  </si>
  <si>
    <t xml:space="preserve">Cash|SIGU09|SIGNATURE LATEX MICRO STERILE GLOVE 6.5(MEDLINE)</t>
  </si>
  <si>
    <t xml:space="preserve">Cash|SIGNATURE LATEX MICRO STERILE GLOVE 6.5(MEDLINE)</t>
  </si>
  <si>
    <t xml:space="preserve">TR285|XRY044</t>
  </si>
  <si>
    <t xml:space="preserve">Cash|STEU119|STERIDRAPE ISOLATION BAG 50CM*50CM(1003-3M)</t>
  </si>
  <si>
    <t xml:space="preserve">TR285|XRY5133</t>
  </si>
  <si>
    <t xml:space="preserve">Cash|STIU14|STIMUPLEX ULTRA NEEDLE 22G*50MM(B.BRAUN)</t>
  </si>
  <si>
    <t xml:space="preserve">Cash|STIMUPLEX ULTRA NEEDLE 22G*50MM(B.BRAUN)</t>
  </si>
  <si>
    <t xml:space="preserve">TR285|BIO0005</t>
  </si>
  <si>
    <t xml:space="preserve">Cash|SURU325|SURGEON GOWN REINFORCED WRAPAROUND XXL(BIO5506-BIOANTHEM)</t>
  </si>
  <si>
    <t xml:space="preserve">Cash|SURGEON GOWN REINFORCED WRAPAROUND XXL(BIO5506-BIOANTHEM)</t>
  </si>
  <si>
    <t xml:space="preserve">TR285|BIO0064</t>
  </si>
  <si>
    <t xml:space="preserve">Cash|THRU36|THREE WAY EXTENSION 100CM(POLYMED)</t>
  </si>
  <si>
    <t xml:space="preserve">Cash|THREE WAY EXTENSION 100CM(POLYMED)</t>
  </si>
  <si>
    <t xml:space="preserve">TR285|BIO0075</t>
  </si>
  <si>
    <t xml:space="preserve">Cash|THRU61|THR/TKR KIT(MEDLINE INDUSTRIES)</t>
  </si>
  <si>
    <t xml:space="preserve">Cash|THR/TKR KIT(MEDLINE INDUSTRIES)</t>
  </si>
  <si>
    <t xml:space="preserve">TR285|BIO0097</t>
  </si>
  <si>
    <t xml:space="preserve">Cash|TRUR116|TRUGLYDE 1 SN2421(HEALTHIUM)</t>
  </si>
  <si>
    <t xml:space="preserve">Cash|TRUGLYDE 1 SN2421(HEALTHIUM)</t>
  </si>
  <si>
    <t xml:space="preserve">TR285|BIO0098</t>
  </si>
  <si>
    <t xml:space="preserve">Cash|TRUR17|TRUGLYDE 2-0 SN2345(HEALTHIUM)</t>
  </si>
  <si>
    <t xml:space="preserve">Cash|TRUGLYDE 2-0 SN2345(HEALTHIUM)</t>
  </si>
  <si>
    <t xml:space="preserve">TR285|BIO0106</t>
  </si>
  <si>
    <t xml:space="preserve">Cash|TRUR54|TRUGLYDE 1 SN2347(HEALTHIUM)</t>
  </si>
  <si>
    <t xml:space="preserve">Cash|TRUGLYDE 1 SN2347(HEALTHIUM)</t>
  </si>
  <si>
    <t xml:space="preserve">TR285|BIO0121</t>
  </si>
  <si>
    <t xml:space="preserve">Cash|VELU17|VELFIX-EASY WITH PAD 8CM*15CM(5507E-DMP)</t>
  </si>
  <si>
    <t xml:space="preserve">Cash|VELFIX-EASY WITH PAD 8CM*15CM(5507E-DMP)</t>
  </si>
  <si>
    <t xml:space="preserve">TR285|BIO0181</t>
  </si>
  <si>
    <t xml:space="preserve">Cash|VENU8162|VENFLON-I 18G(BD)</t>
  </si>
  <si>
    <t xml:space="preserve">Cash|VENFLON-I 18G(BD)</t>
  </si>
  <si>
    <t xml:space="preserve">TR285|BLD0001</t>
  </si>
  <si>
    <t xml:space="preserve">Cash|WALU01|WALKER FOLDING (DYNA REHAID)</t>
  </si>
  <si>
    <t xml:space="preserve">Cash|WALKER FOLDING (DYNA REHAID)</t>
  </si>
  <si>
    <t xml:space="preserve">TR285|BLD0009</t>
  </si>
  <si>
    <t xml:space="preserve">All Payers|CLOG03|CLOHEX ADS 200ML MOUTH WASH</t>
  </si>
  <si>
    <t xml:space="preserve">All Payers|CLOHEX ADS 200ML MOUTH WASH</t>
  </si>
  <si>
    <t xml:space="preserve">TR285|BLD0024</t>
  </si>
  <si>
    <t xml:space="preserve">All Payers|ENOI05|ENOXATIL 40MG INJ</t>
  </si>
  <si>
    <t xml:space="preserve">All Payers|ENOXATIL 40MG INJ</t>
  </si>
  <si>
    <t xml:space="preserve">TR285|PAT0007</t>
  </si>
  <si>
    <t xml:space="preserve">All Payers|G2KI01|G2K 40MG INJ</t>
  </si>
  <si>
    <t xml:space="preserve">All Payers|G2K 40MG INJ</t>
  </si>
  <si>
    <t xml:space="preserve">TR285|PAT0041</t>
  </si>
  <si>
    <t xml:space="preserve">All Payers|ROPI13|ROPIZUVA 0.2% 20ML INJ</t>
  </si>
  <si>
    <t xml:space="preserve">All Payers|ROPIZUVA 0.2% 20ML INJ</t>
  </si>
  <si>
    <t xml:space="preserve">TR285|PAT0078</t>
  </si>
  <si>
    <t xml:space="preserve">All Payers|VERI10|VERFEN 2ML INJ</t>
  </si>
  <si>
    <t xml:space="preserve">All Payers|VERFEN 2ML INJ</t>
  </si>
  <si>
    <t xml:space="preserve">TR285|ANS0003</t>
  </si>
  <si>
    <t xml:space="preserve">All Payers|ADVR01|ADVACRYL 0 ADVA2534(AMS)</t>
  </si>
  <si>
    <t xml:space="preserve">All Payers|ADVACRYL 0 ADVA2534(AMS)</t>
  </si>
  <si>
    <t xml:space="preserve">TR285|PHY5076</t>
  </si>
  <si>
    <t xml:space="preserve">All Payers|CLIU5|CLING DRAPE 15CM*500CM(CD01-SURGIWEAR)</t>
  </si>
  <si>
    <t xml:space="preserve">All Payers|CLING DRAPE 15CM*500CM(CD01-SURGIWEAR)</t>
  </si>
  <si>
    <t xml:space="preserve">TR285|EME0016</t>
  </si>
  <si>
    <t xml:space="preserve">All Payers|ECGU48|ECG ELECTRODES ADULT(SUCHIKA)</t>
  </si>
  <si>
    <t xml:space="preserve">All Payers|ECG ELECTRODES ADULT(SUCHIKA)</t>
  </si>
  <si>
    <t xml:space="preserve">TR285|EME0018</t>
  </si>
  <si>
    <t xml:space="preserve">All Payers|IOBU02|IOBAN 56CM*45CM(6650-3M)</t>
  </si>
  <si>
    <t xml:space="preserve">All Payers|IOBAN 56CM*45CM(6650-3M)</t>
  </si>
  <si>
    <t xml:space="preserve">TR285|EME0020</t>
  </si>
  <si>
    <t xml:space="preserve">All Payers|MEPU50|MEPILEX BORDER POST-OP 10CM*35CM(496650-MOLNLYCKE)</t>
  </si>
  <si>
    <t xml:space="preserve">All Payers|MEPILEX BORDER POST-OP 10CM*35CM(496650-MOLNLYCKE)</t>
  </si>
  <si>
    <t xml:space="preserve">TR285|EME0052</t>
  </si>
  <si>
    <t xml:space="preserve">All Payers|SURU160|SURGICAL GLOVE 7.5(BLISTER PACK-SURGICARE-KANAM)</t>
  </si>
  <si>
    <t xml:space="preserve">All Payers|SURGICAL GLOVE 7.5(BLISTER PACK-SURGICARE-KANAM)</t>
  </si>
  <si>
    <t xml:space="preserve">TR285|EME0080</t>
  </si>
  <si>
    <t xml:space="preserve">All Payers|SURU84|SURGICAL BLADE 11(GLASSVAN)</t>
  </si>
  <si>
    <t xml:space="preserve">All Payers|SURGICAL BLADE 11(GLASSVAN)</t>
  </si>
  <si>
    <t xml:space="preserve">TR285|EME5045</t>
  </si>
  <si>
    <t xml:space="preserve">All Payers|SURU85|SURGICAL BLADE 22(GLASSVAN)</t>
  </si>
  <si>
    <t xml:space="preserve">All Payers|SURGICAL BLADE 22(GLASSVAN)</t>
  </si>
  <si>
    <t xml:space="preserve">TR285|EME0088</t>
  </si>
  <si>
    <t xml:space="preserve">All Payers|SYRU121|SYRINGE 50ML LL(LIFELONG)</t>
  </si>
  <si>
    <t xml:space="preserve">All Payers|SYRINGE 50ML LL(LIFELONG)</t>
  </si>
  <si>
    <t xml:space="preserve">TR285|PSY0036</t>
  </si>
  <si>
    <t xml:space="preserve">All Payers|SYRU63|SYRINGE 10ML(LIFELONG)</t>
  </si>
  <si>
    <t xml:space="preserve">All Payers|SYRINGE 10ML(LIFELONG)</t>
  </si>
  <si>
    <t xml:space="preserve">TR286|BIO0001</t>
  </si>
  <si>
    <t xml:space="preserve">All Payers|SYRU70|SYRINGE 2ML(LIFELONG)</t>
  </si>
  <si>
    <t xml:space="preserve">All Payers|SYRINGE 2ML(LIFELONG)</t>
  </si>
  <si>
    <t xml:space="preserve">TR286|BIO0002</t>
  </si>
  <si>
    <t xml:space="preserve">All Payers|UNDU17|UNDERPAD 90CM X 60CM(MAGMACARE)</t>
  </si>
  <si>
    <t xml:space="preserve">All Payers|UNDERPAD 90CM X 60CM(MAGMACARE)</t>
  </si>
  <si>
    <t xml:space="preserve">TR286|BIO0003</t>
  </si>
  <si>
    <t xml:space="preserve">All Payers|CHGC01|CHG SKIN PREP 2% 500ML(3M)</t>
  </si>
  <si>
    <t xml:space="preserve">All Payers|CHG SKIN PREP 2% 500ML(3M)</t>
  </si>
  <si>
    <t xml:space="preserve">TR286|BIO0004</t>
  </si>
  <si>
    <t xml:space="preserve">All Payers|ADVR04|ADVACRYL 1 ADVA2421P(AMS)</t>
  </si>
  <si>
    <t xml:space="preserve">All Payers|ADVACRYL 1 ADVA2421P(AMS)</t>
  </si>
  <si>
    <t xml:space="preserve">TR286|BIO0162</t>
  </si>
  <si>
    <t xml:space="preserve">All Payers|SKIS01|SKIN STAPLER 35 PIN(ADVASKN-35-AMS)</t>
  </si>
  <si>
    <t xml:space="preserve">All Payers|SKIN STAPLER 35 PIN(ADVASKN-35-AMS)</t>
  </si>
  <si>
    <t xml:space="preserve">TR286|CAR5341</t>
  </si>
  <si>
    <t xml:space="preserve">All Payers|SPOC03|SPONGE GAUZE 4 BUNDLE(STERILE)</t>
  </si>
  <si>
    <t xml:space="preserve">All Payers|SPONGE GAUZE 4 BUNDLE(STERILE)</t>
  </si>
  <si>
    <t xml:space="preserve">TR286|CAS0007</t>
  </si>
  <si>
    <t xml:space="preserve">All Payers|STIU9|STIMUPLEX NEEDLE 100MM 21G*4IN(4894260-BBRAUN)</t>
  </si>
  <si>
    <t xml:space="preserve">All Payers|STIMUPLEX NEEDLE 100MM 21G*4IN(4894260-BBRAUN)</t>
  </si>
  <si>
    <t xml:space="preserve">TR286|DIE0001</t>
  </si>
  <si>
    <t xml:space="preserve">All Payers|SURU107|SURGICAL CLIPPER BLADE ( 9680 -3M )</t>
  </si>
  <si>
    <t xml:space="preserve">All Payers|SURGICAL CLIPPER BLADE ( 9680 -3M )</t>
  </si>
  <si>
    <t xml:space="preserve">TR286|EME0017</t>
  </si>
  <si>
    <t xml:space="preserve">All Payers|SYRU90|SYRINGE 5ML(LIFELONG)</t>
  </si>
  <si>
    <t xml:space="preserve">All Payers|SYRINGE 5ML(LIFELONG)</t>
  </si>
  <si>
    <t xml:space="preserve">TR286|EME0019</t>
  </si>
  <si>
    <t xml:space="preserve">All Payers|ROPI09|ROPIZUVA 0.75% 20ML INJ</t>
  </si>
  <si>
    <t xml:space="preserve">All Payers|ROPIZUVA 0.75% 20ML INJ</t>
  </si>
  <si>
    <t xml:space="preserve">TR286|EME0087</t>
  </si>
  <si>
    <t xml:space="preserve">All Payers|ROPI16|ROPIN HEAVY 0.75% 4ML INJ</t>
  </si>
  <si>
    <t xml:space="preserve">All Payers|ROPIN HEAVY 0.75% 4ML INJ</t>
  </si>
  <si>
    <t xml:space="preserve">TR286|HSP0047</t>
  </si>
  <si>
    <t xml:space="preserve">All Payers|ADVR07|ADVACRYL 2 ADVA2478P(AMS)</t>
  </si>
  <si>
    <t xml:space="preserve">All Payers|ADVACRYL 2 ADVA2478P(AMS)</t>
  </si>
  <si>
    <t xml:space="preserve">TR286|HSP5013</t>
  </si>
  <si>
    <t xml:space="preserve">All Payers|PROS60|PRO-OPERATIVE SHOWER KIT(3M)</t>
  </si>
  <si>
    <t xml:space="preserve">All Payers|PRO-OPERATIVE SHOWER KIT(3M)</t>
  </si>
  <si>
    <t xml:space="preserve">TR286|ICC0001</t>
  </si>
  <si>
    <t xml:space="preserve">All Payers|TOPU09|TOP C NET 15CM*10M(4100-DYNA)</t>
  </si>
  <si>
    <t xml:space="preserve">All Payers|TOP C NET 15CM*10M(4100-DYNA)</t>
  </si>
  <si>
    <t xml:space="preserve">TR286|ICC0002</t>
  </si>
  <si>
    <t xml:space="preserve">All Payers|POVC01|POVINANZ SOLUTION 10% 500ML(NANZ MEDSCIENCE)</t>
  </si>
  <si>
    <t xml:space="preserve">All Payers|POVINANZ SOLUTION 10% 500ML(NANZ MEDSCIENCE)</t>
  </si>
  <si>
    <t xml:space="preserve">TR286|OTC0010</t>
  </si>
  <si>
    <t xml:space="preserve">All Payers|VASI03|VASOCON 1ML INJ</t>
  </si>
  <si>
    <t xml:space="preserve">All Payers|VASOCON 1ML INJ</t>
  </si>
  <si>
    <t xml:space="preserve">TR286|OTC5005</t>
  </si>
  <si>
    <t xml:space="preserve">All Payers|DEXI20|DEXARIL 2ML INJ</t>
  </si>
  <si>
    <t xml:space="preserve">All Payers|DEXARIL 2ML INJ</t>
  </si>
  <si>
    <t xml:space="preserve">TR286|OTI0015</t>
  </si>
  <si>
    <t xml:space="preserve">All Payers|KETI01|KETOROL 1ML INJ</t>
  </si>
  <si>
    <t xml:space="preserve">All Payers|KETOROL 1ML INJ</t>
  </si>
  <si>
    <t xml:space="preserve">TR286|OTI0018</t>
  </si>
  <si>
    <t xml:space="preserve">All Payers|CAUU19|CAUTERY PENCIL(E2516-MEDTRONIC)</t>
  </si>
  <si>
    <t xml:space="preserve">All Payers|CAUTERY PENCIL(E2516-MEDTRONIC)</t>
  </si>
  <si>
    <t xml:space="preserve">TR286|OTI0098</t>
  </si>
  <si>
    <t xml:space="preserve">All Payers|AVAC02|AVAGARD 4% CHG SCRUB 500ML(3M)</t>
  </si>
  <si>
    <t xml:space="preserve">All Payers|AVAGARD 4% CHG SCRUB 500ML(3M)</t>
  </si>
  <si>
    <t xml:space="preserve">TR286|PAT0042</t>
  </si>
  <si>
    <t xml:space="preserve">All Payers|PARI07|PARAGLASS 100ML IV</t>
  </si>
  <si>
    <t xml:space="preserve">All Payers|PARAGLASS 100ML IV</t>
  </si>
  <si>
    <t xml:space="preserve">TR286|PAT0045</t>
  </si>
  <si>
    <t xml:space="preserve">All Payers|SURU13|SURGICAL GLOVE 7.5(SURGICARE-KANAM)</t>
  </si>
  <si>
    <t xml:space="preserve">All Payers|SURGICAL GLOVE 7.5(SURGICARE-KANAM)</t>
  </si>
  <si>
    <t xml:space="preserve">TR286|PHY5082</t>
  </si>
  <si>
    <t xml:space="preserve">All Payers|SYRU83|SYRINGE 20ML(LIFELONG)</t>
  </si>
  <si>
    <t xml:space="preserve">All Payers|SYRINGE 20ML(LIFELONG)</t>
  </si>
  <si>
    <t xml:space="preserve">TR286|RNS0120</t>
  </si>
  <si>
    <t xml:space="preserve">All Payers|GLAI09|GLANTRAX 500MG 5ML INJ</t>
  </si>
  <si>
    <t xml:space="preserve">All Payers|GLANTRAX 500MG 5ML INJ</t>
  </si>
  <si>
    <t xml:space="preserve">TR286|RNS5005</t>
  </si>
  <si>
    <t xml:space="preserve">All Payers|NS0F04|NS 0.9% 500ML EH(PROPORT NS-PROMEA)</t>
  </si>
  <si>
    <t xml:space="preserve">All Payers|NS 0.9% 500ML EH(PROPORT NS-PROMEA)</t>
  </si>
  <si>
    <t xml:space="preserve">TR286|ROM0001</t>
  </si>
  <si>
    <t xml:space="preserve">All Payers|ENCU14|MICROOPTIC STERILE GLOVE 7.5(ENCORE-JK ANSELL)</t>
  </si>
  <si>
    <t xml:space="preserve">All Payers|MICROOPTIC STERILE GLOVE 7.5(ENCORE-JK ANSELL)</t>
  </si>
  <si>
    <t xml:space="preserve">TR286|ROM0024</t>
  </si>
  <si>
    <t xml:space="preserve">All Payers|GAUC92|GAUZE MOPS X-RAY 30CM*30CM*6PLY 10PCS(BMT)</t>
  </si>
  <si>
    <t xml:space="preserve">All Payers|GAUZE MOPS X-RAY 30CM*30CM*6PLY 10PCS(BMT)</t>
  </si>
  <si>
    <t xml:space="preserve">TR286|ROM0036</t>
  </si>
  <si>
    <t xml:space="preserve">All Payers|VENU8161|VENFLON-I 20G(BD)</t>
  </si>
  <si>
    <t xml:space="preserve">All Payers|VENFLON-I 20G(BD)</t>
  </si>
  <si>
    <t xml:space="preserve">TR286|ROM0093</t>
  </si>
  <si>
    <t xml:space="preserve">All Payers|NS0F08|NS 0.9% 100ML EH(PROPORT NS-PROMEA)</t>
  </si>
  <si>
    <t xml:space="preserve">All Payers|NS 0.9% 100ML EH(PROPORT NS-PROMEA)</t>
  </si>
  <si>
    <t xml:space="preserve">TR286|ROM5009</t>
  </si>
  <si>
    <t xml:space="preserve">All Payers|BEDU47|BED BATH TOWELS 300MMX240MM(PACK OF 10-MAGMACARE)</t>
  </si>
  <si>
    <t xml:space="preserve">All Payers|BED BATH TOWELS 300MMX240MM(PACK OF 10-MAGMACARE)</t>
  </si>
  <si>
    <t xml:space="preserve">TR286|ROM5189</t>
  </si>
  <si>
    <t xml:space="preserve">All Payers|ENCU12|MICROOPTIC STERILE GLOVE 7.0(ENCORE-JK ANSELL)</t>
  </si>
  <si>
    <t xml:space="preserve">All Payers|MICROOPTIC STERILE GLOVE 7.0(ENCORE-JK ANSELL)</t>
  </si>
  <si>
    <t xml:space="preserve">TR286|XRY5090</t>
  </si>
  <si>
    <t xml:space="preserve">All Payers|SURU159|SURGICAL GLOVE 7.0(BLISTER PACK-SURGICARE-KANAM)</t>
  </si>
  <si>
    <t xml:space="preserve">All Payers|SURGICAL GLOVE 7.0(BLISTER PACK-SURGICARE-KANAM)</t>
  </si>
  <si>
    <t xml:space="preserve">TR286|CAR0080</t>
  </si>
  <si>
    <t xml:space="preserve">All Payers|INJI04|INJICORT 40MG INJ</t>
  </si>
  <si>
    <t xml:space="preserve">All Payers|INJICORT 40MG INJ</t>
  </si>
  <si>
    <t xml:space="preserve">TR286|XRY044</t>
  </si>
  <si>
    <t xml:space="preserve">All Payers|PERI01|PERINORM 2ML INJ</t>
  </si>
  <si>
    <t xml:space="preserve">All Payers|PERINORM 2ML INJ</t>
  </si>
  <si>
    <t xml:space="preserve">TR286|XRY5133</t>
  </si>
  <si>
    <t xml:space="preserve">All Payers|BREU21|BREAZER SPIROMETER 5000ML(ROMSONS)</t>
  </si>
  <si>
    <t xml:space="preserve">All Payers|BREAZER SPIROMETER 5000ML(ROMSONS)</t>
  </si>
  <si>
    <t xml:space="preserve">TR286|BIO0005</t>
  </si>
  <si>
    <t xml:space="preserve">All Payers|EASU30|EASYFIX CLEAR EC 1 7CM X 8.5CM(DYNA)</t>
  </si>
  <si>
    <t xml:space="preserve">All Payers|EASYFIX CLEAR EC 1 7CM X 8.5CM(DYNA)</t>
  </si>
  <si>
    <t xml:space="preserve">TR286|BIO0064</t>
  </si>
  <si>
    <t xml:space="preserve">All Payers|IVSU25|IV SET-LL(BUYWEL)</t>
  </si>
  <si>
    <t xml:space="preserve">All Payers|IV SET-LL(BUYWEL)</t>
  </si>
  <si>
    <t xml:space="preserve">TR286|BIO0075</t>
  </si>
  <si>
    <t xml:space="preserve">All Payers|SYRU95|SYRINGE 20ML LL(LIFE LONG)</t>
  </si>
  <si>
    <t xml:space="preserve">All Payers|SYRINGE 20ML LL(LIFE LONG)</t>
  </si>
  <si>
    <t xml:space="preserve">TR286|BIO0097</t>
  </si>
  <si>
    <t xml:space="preserve">All Payers|AXII03|AXIFUR H 1.5GM INJ</t>
  </si>
  <si>
    <t xml:space="preserve">All Payers|AXIFUR H 1.5GM INJ</t>
  </si>
  <si>
    <t xml:space="preserve">TR286|BIO0098</t>
  </si>
  <si>
    <t xml:space="preserve">All Payers|SWIS29|SWIFTOLAC SYR 150ML</t>
  </si>
  <si>
    <t xml:space="preserve">All Payers|SWIFTOLAC SYR 150ML</t>
  </si>
  <si>
    <t xml:space="preserve">TR286|BIO0106</t>
  </si>
  <si>
    <t xml:space="preserve">All Payers|VACU16|VACCULINE(VACCU SUCK SUCTION SET-ROMSON)</t>
  </si>
  <si>
    <t xml:space="preserve">All Payers|VACCULINE(VACCU SUCK SUCTION SET-ROMSON)</t>
  </si>
  <si>
    <t xml:space="preserve">TR286|BIO0121</t>
  </si>
  <si>
    <t xml:space="preserve">All Payers||NS 0.9% 100ML EH(PROPORT NS-PROMEA)</t>
  </si>
  <si>
    <t xml:space="preserve">TR286|BIO0181</t>
  </si>
  <si>
    <t xml:space="preserve">All Payers|VOMI01|VOMIKIND 2ML INJ</t>
  </si>
  <si>
    <t xml:space="preserve">All Payers|VOMIKIND 2ML INJ</t>
  </si>
  <si>
    <t xml:space="preserve">TR286|BLD0001</t>
  </si>
  <si>
    <t xml:space="preserve">All Payers|CAPU32|SURGICAL CAPS</t>
  </si>
  <si>
    <t xml:space="preserve">All Payers|SURGICAL CAPS</t>
  </si>
  <si>
    <t xml:space="preserve">TR286|BLD0009</t>
  </si>
  <si>
    <t xml:space="preserve">All Payers|CAUU21|CAUTERY PAD ADULT(MEDTRONIC)</t>
  </si>
  <si>
    <t xml:space="preserve">All Payers|CAUTERY PAD ADULT(MEDTRONIC)</t>
  </si>
  <si>
    <t xml:space="preserve">TR286|BLD0024</t>
  </si>
  <si>
    <t xml:space="preserve">All Payers|COTC05|COTTON BALL STERILE(KIMS)</t>
  </si>
  <si>
    <t xml:space="preserve">All Payers|COTTON BALL STERILE(KIMS)</t>
  </si>
  <si>
    <t xml:space="preserve">TR286|PAT0007</t>
  </si>
  <si>
    <t xml:space="preserve">All Payers|MAKU03|MAKO DRAPE KIT(PRYMAX)</t>
  </si>
  <si>
    <t xml:space="preserve">All Payers|MAKO DRAPE KIT(PRYMAX)</t>
  </si>
  <si>
    <t xml:space="preserve">TR286|PAT0041</t>
  </si>
  <si>
    <t xml:space="preserve">All Payers|SPIU32|SPINAL NEEDLE 26G(BD)</t>
  </si>
  <si>
    <t xml:space="preserve">All Payers|SPINAL NEEDLE 26G(BD)</t>
  </si>
  <si>
    <t xml:space="preserve">TR286|PAT0078</t>
  </si>
  <si>
    <t xml:space="preserve">All Payers|STRR18|STRATAFIX 1 SXPP1A203(ETHICON)</t>
  </si>
  <si>
    <t xml:space="preserve">All Payers|STRATAFIX 1 SXPP1A203(ETHICON)</t>
  </si>
  <si>
    <t xml:space="preserve">TR286|ANS0003</t>
  </si>
  <si>
    <t xml:space="preserve">All Payers|THEI15|THEMIDOL 2ML INJECTION</t>
  </si>
  <si>
    <t xml:space="preserve">All Payers|THEMIDOL 2ML INJECTION</t>
  </si>
  <si>
    <t xml:space="preserve">TR286|PHY5076</t>
  </si>
  <si>
    <t xml:space="preserve">All Payers|TROI08|TROPINE 1ML INJ</t>
  </si>
  <si>
    <t xml:space="preserve">All Payers|TROPINE 1ML INJ</t>
  </si>
  <si>
    <t xml:space="preserve">TR286|EME0016</t>
  </si>
  <si>
    <t xml:space="preserve">All Payers|DIGU36|DIGITAL THERMOMETER(GLIDER-MAGMACARE)</t>
  </si>
  <si>
    <t xml:space="preserve">All Payers|DIGITAL THERMOMETER(GLIDER-MAGMACARE)</t>
  </si>
  <si>
    <t xml:space="preserve">TR286|EME0018</t>
  </si>
  <si>
    <t xml:space="preserve">All Payers|FACU81|FACE MASK 3PLY(ELASTIC-SVTC)</t>
  </si>
  <si>
    <t xml:space="preserve">All Payers|FACE MASK 3PLY(ELASTIC-SVTC)</t>
  </si>
  <si>
    <t xml:space="preserve">TR286|EME0020</t>
  </si>
  <si>
    <t xml:space="preserve">All Payers|CREU42|CREPE BANDAGE 15CM(VELSOFT-15-DATT])</t>
  </si>
  <si>
    <t xml:space="preserve">All Payers|CREPE BANDAGE 15CM(VELSOFT-15-DATT])</t>
  </si>
  <si>
    <t xml:space="preserve">TR286|EME0052</t>
  </si>
  <si>
    <t xml:space="preserve">All Payers|DIAU127|DIAPER ADULT XL 120CMX142.5CM(MAGMACARE)</t>
  </si>
  <si>
    <t xml:space="preserve">All Payers|DIAPER ADULT XL 120CMX142.5CM(MAGMACARE)</t>
  </si>
  <si>
    <t xml:space="preserve">TR286|EME0080</t>
  </si>
  <si>
    <t xml:space="preserve">All Payers|THRU09|THREE WAY EXTENSION 10CM(BD)</t>
  </si>
  <si>
    <t xml:space="preserve">All Payers|THREE WAY EXTENSION 10CM(BD)</t>
  </si>
  <si>
    <t xml:space="preserve">TR286|EME5045</t>
  </si>
  <si>
    <t xml:space="preserve">All Payers|KABF09|KABILYTE 500ML (FRESENIUS KABI) IV</t>
  </si>
  <si>
    <t xml:space="preserve">All Payers|KABILYTE 500ML (FRESENIUS KABI) IV</t>
  </si>
  <si>
    <t xml:space="preserve">TR286|EME0088</t>
  </si>
  <si>
    <t xml:space="preserve">All Payers|LOCG39|LOCAM 2% 30GM GEL</t>
  </si>
  <si>
    <t xml:space="preserve">All Payers|LOCAM 2% 30GM GEL</t>
  </si>
  <si>
    <t xml:space="preserve">TR286|PSY0036</t>
  </si>
  <si>
    <t xml:space="preserve">All Payers|NITU59|NITRILE POWDER FREE EXAMINATION GLOVES LARGE(DURAMITT-TEGAMEN)</t>
  </si>
  <si>
    <t xml:space="preserve">All Payers|NITRILE POWDER FREE EXAMINATION GLOVES LARGE(DURAMITT-TEGAMEN)</t>
  </si>
  <si>
    <t xml:space="preserve">TR287|BIO0001</t>
  </si>
  <si>
    <t xml:space="preserve">All Payers|PARI04|PARACIP 100ML INJECTION(HS)</t>
  </si>
  <si>
    <t xml:space="preserve">All Payers|PARACIP 100ML INJECTION(HS)</t>
  </si>
  <si>
    <t xml:space="preserve">TR287|BIO0002</t>
  </si>
  <si>
    <t xml:space="preserve">All Payers|PHYF01|PHYSIOMAX 500ML IV(OTSUKA)</t>
  </si>
  <si>
    <t xml:space="preserve">All Payers|PHYSIOMAX 500ML IV(OTSUKA)</t>
  </si>
  <si>
    <t xml:space="preserve">TR287|BIO0003</t>
  </si>
  <si>
    <t xml:space="preserve">All Payers|DIAU125|DIAPER ADULT LARGE 100CMX150CM(MAGMACARE)</t>
  </si>
  <si>
    <t xml:space="preserve">All Payers|DIAPER ADULT LARGE 100CMX150CM(MAGMACARE)</t>
  </si>
  <si>
    <t xml:space="preserve">TR287|BIO0004</t>
  </si>
  <si>
    <t xml:space="preserve">All Payers|ENCU10|MICROOPTIC STERILE GLOVE 6.5(ENCORE-JK ANSELL)</t>
  </si>
  <si>
    <t xml:space="preserve">All Payers|MICROOPTIC STERILE GLOVE 6.5(ENCORE-JK ANSELL)</t>
  </si>
  <si>
    <t xml:space="preserve">TR287|BIO0162</t>
  </si>
  <si>
    <t xml:space="preserve">All Payers|OXYU83|OXYGEN MASK ADULT(BUYWEL)</t>
  </si>
  <si>
    <t xml:space="preserve">All Payers|OXYGEN MASK ADULT(BUYWEL)</t>
  </si>
  <si>
    <t xml:space="preserve">TR287|CAR5341</t>
  </si>
  <si>
    <t xml:space="preserve">All Payers|PLAU74|PLASTIC PLAIN SHEET 210CMX120CM(BIOANTHEM)</t>
  </si>
  <si>
    <t xml:space="preserve">All Payers|PLASTIC PLAIN SHEET 210CMX120CM(BIOANTHEM)</t>
  </si>
  <si>
    <t xml:space="preserve">TR287|CAS0007</t>
  </si>
  <si>
    <t xml:space="preserve">All Payers|PREU127|PREFILLED FLUSH SYRINGE BLISTER PACK 10ML(RIBBEL)</t>
  </si>
  <si>
    <t xml:space="preserve">All Payers|PREFILLED FLUSH SYRINGE BLISTER PACK 10ML(RIBBEL)</t>
  </si>
  <si>
    <t xml:space="preserve">TR287|DIE0001</t>
  </si>
  <si>
    <t xml:space="preserve">All Payers|XAMI03|XAMDEX 100MCG 1ML INJ</t>
  </si>
  <si>
    <t xml:space="preserve">All Payers|XAMDEX 100MCG 1ML INJ</t>
  </si>
  <si>
    <t xml:space="preserve">TR287|EME0017</t>
  </si>
  <si>
    <t xml:space="preserve">All Payers|PMLU44|PM LINE M/F 200CM(BUYWEL)</t>
  </si>
  <si>
    <t xml:space="preserve">All Payers|PM LINE M/F 200CM(BUYWEL)</t>
  </si>
  <si>
    <t xml:space="preserve">TR287|EME0019</t>
  </si>
  <si>
    <t xml:space="preserve">All Payers|SURU158|SURGICAL GLOVE 6.5(BLISTER PACK-SURGICARE-KANAM)</t>
  </si>
  <si>
    <t xml:space="preserve">All Payers|SURGICAL GLOVE 6.5(BLISTER PACK-SURGICARE-KANAM)</t>
  </si>
  <si>
    <t xml:space="preserve">TR287|EME0087</t>
  </si>
  <si>
    <t xml:space="preserve">All Payers|ANZT01|ANZILUM 0.5MG TAB</t>
  </si>
  <si>
    <t xml:space="preserve">All Payers|ANZILUM 0.5MG TAB</t>
  </si>
  <si>
    <t xml:space="preserve">TR287|HSP0047</t>
  </si>
  <si>
    <t xml:space="preserve">All Payers|ENEU07|ENEMA 100ML</t>
  </si>
  <si>
    <t xml:space="preserve">All Payers|ENEMA 100ML</t>
  </si>
  <si>
    <t xml:space="preserve">TR287|HSP5013</t>
  </si>
  <si>
    <t xml:space="preserve">All Payers||SYRINGE 10ML(LIFELONG)</t>
  </si>
  <si>
    <t xml:space="preserve">TR287|ICC0001</t>
  </si>
  <si>
    <t xml:space="preserve">All Payers||SYRINGE 5ML(LIFELONG)</t>
  </si>
  <si>
    <t xml:space="preserve">TR287|ICC0002</t>
  </si>
  <si>
    <t xml:space="preserve">All Payers|BEDU21|BED PAN PLASTIC(BENCO)</t>
  </si>
  <si>
    <t xml:space="preserve">All Payers|BED PAN PLASTIC(BENCO)</t>
  </si>
  <si>
    <t xml:space="preserve">TR287|OTC0010</t>
  </si>
  <si>
    <t xml:space="preserve">All Payers|CREU11|LEUKOCREPE BANDAGE 15CM(72992-03-BSN)</t>
  </si>
  <si>
    <t xml:space="preserve">All Payers|LEUKOCREPE BANDAGE 15CM(72992-03-BSN)</t>
  </si>
  <si>
    <t xml:space="preserve">TR287|OTC5005</t>
  </si>
  <si>
    <t xml:space="preserve">All Payers|IVCU10|IV CANNULIZATION SET ADVANCED WITH 1683 TEGADERM(3M)</t>
  </si>
  <si>
    <t xml:space="preserve">All Payers|IV CANNULIZATION SET ADVANCED WITH 1683 TEGADERM(3M)</t>
  </si>
  <si>
    <t xml:space="preserve">TR287|OTI0015</t>
  </si>
  <si>
    <t xml:space="preserve">All Payers||THEMIDOL 2ML INJECTION</t>
  </si>
  <si>
    <t xml:space="preserve">TR287|OTI0018</t>
  </si>
  <si>
    <t xml:space="preserve">All Payers|ATRI01|ATROPINE 1ML INJ</t>
  </si>
  <si>
    <t xml:space="preserve">All Payers|ATROPINE 1ML INJ</t>
  </si>
  <si>
    <t xml:space="preserve">TR287|OTI0098</t>
  </si>
  <si>
    <t xml:space="preserve">All Payers|CEVI02|CEVISTAT 1.5GM INJECTION</t>
  </si>
  <si>
    <t xml:space="preserve">All Payers|CEVISTAT 1.5GM INJECTION</t>
  </si>
  <si>
    <t xml:space="preserve">TR287|PAT0042</t>
  </si>
  <si>
    <t xml:space="preserve">All Payers|IVFU03|IV FLOW REGULATOR(POLYFLO-POLYMED)</t>
  </si>
  <si>
    <t xml:space="preserve">All Payers|IV FLOW REGULATOR(POLYFLO-POLYMED)</t>
  </si>
  <si>
    <t xml:space="preserve">TR287|PAT0045</t>
  </si>
  <si>
    <t xml:space="preserve">All Payers|NOVI17|NOVOTAM 2MG/2ML INJ</t>
  </si>
  <si>
    <t xml:space="preserve">All Payers|NOVOTAM 2MG/2ML INJ</t>
  </si>
  <si>
    <t xml:space="preserve">TR287|PHY5082</t>
  </si>
  <si>
    <t xml:space="preserve">All Payers|NS0F10|NS 0.9% 3000ML NH(PROLINE NS-PROMEA)</t>
  </si>
  <si>
    <t xml:space="preserve">All Payers|NS 0.9% 3000ML NH(PROLINE NS-PROMEA)</t>
  </si>
  <si>
    <t xml:space="preserve">TR287|RNS0120</t>
  </si>
  <si>
    <t xml:space="preserve">All Payers|XSUI03|XSULIN R 40 IU/10ML INJECTION</t>
  </si>
  <si>
    <t xml:space="preserve">All Payers|XSULIN R 40 IU/10ML INJECTION</t>
  </si>
  <si>
    <t xml:space="preserve">TR287|RNS5005</t>
  </si>
  <si>
    <t xml:space="preserve">All Payers||UNDERPAD 90CM X 60CM(MAGMACARE)</t>
  </si>
  <si>
    <t xml:space="preserve">TR287|ROM0001</t>
  </si>
  <si>
    <t xml:space="preserve">All Payers|CAPU37|CAPS(MEDIBLUE)</t>
  </si>
  <si>
    <t xml:space="preserve">All Payers|CAPS(MEDIBLUE)</t>
  </si>
  <si>
    <t xml:space="preserve">TR287|ROM0024</t>
  </si>
  <si>
    <t xml:space="preserve">All Payers|DIAU124|DIAPER ADULT XXL 110CMX154CMS(MAGMACARE)</t>
  </si>
  <si>
    <t xml:space="preserve">All Payers|DIAPER ADULT XXL 110CMX154CMS(MAGMACARE)</t>
  </si>
  <si>
    <t xml:space="preserve">TR287|ROM0036</t>
  </si>
  <si>
    <t xml:space="preserve">All Payers|ENCU26|ENCORE LATEX UNDERGLOVE 7.5 NO(ANSELL)</t>
  </si>
  <si>
    <t xml:space="preserve">All Payers|ENCORE LATEX UNDERGLOVE 7.5 NO(ANSELL)</t>
  </si>
  <si>
    <t xml:space="preserve">TR287|ROM0093</t>
  </si>
  <si>
    <t xml:space="preserve">All Payers|FACU131|FACE MASK 3 PLY EARLOOP(PROVIN HEALTHCARE-SVTC)</t>
  </si>
  <si>
    <t xml:space="preserve">All Payers|FACE MASK 3 PLY EARLOOP(PROVIN HEALTHCARE-SVTC)</t>
  </si>
  <si>
    <t xml:space="preserve">TR287|ROM5009</t>
  </si>
  <si>
    <t xml:space="preserve">All Payers|NEEU67|NEEDLE DISPOSABLE 18G X 1.5IN(NIPRO)</t>
  </si>
  <si>
    <t xml:space="preserve">All Payers|NEEDLE DISPOSABLE 18G X 1.5IN(NIPRO)</t>
  </si>
  <si>
    <t xml:space="preserve">TR287|ROM5189</t>
  </si>
  <si>
    <t xml:space="preserve">All Payers|POSI03|POSIFLUSH SP 10ML(306575-BD)</t>
  </si>
  <si>
    <t xml:space="preserve">All Payers|POSIFLUSH SP 10ML(306575-BD)</t>
  </si>
  <si>
    <t xml:space="preserve">TR287|XRY5090</t>
  </si>
  <si>
    <t xml:space="preserve">All Payers|PURU02|PURESIGHT ARRAY SET KNEE(4515-70-011-DEPUY)</t>
  </si>
  <si>
    <t xml:space="preserve">All Payers|PURESIGHT ARRAY SET KNEE(4515-70-011-DEPUY)</t>
  </si>
  <si>
    <t xml:space="preserve">TR287|CAR0080</t>
  </si>
  <si>
    <t xml:space="preserve">All Payers|SPIU59|SPIKIER VENTE(ROMSONS)</t>
  </si>
  <si>
    <t xml:space="preserve">All Payers|SPIKIER VENTE(ROMSONS)</t>
  </si>
  <si>
    <t xml:space="preserve">TR287|XRY044</t>
  </si>
  <si>
    <t xml:space="preserve">All Payers|SYRU140|SYRINGE 3ML LL(KAREJET-ROMSONS)</t>
  </si>
  <si>
    <t xml:space="preserve">All Payers|SYRINGE 3ML LL(KAREJET-ROMSONS)</t>
  </si>
  <si>
    <t xml:space="preserve">TR287|XRY5133</t>
  </si>
  <si>
    <t xml:space="preserve">All Payers||NS 0.9% 500ML EH(PROPORT NS-PROMEA)</t>
  </si>
  <si>
    <t xml:space="preserve">TR287|BIO0005</t>
  </si>
  <si>
    <t xml:space="preserve">All Payers|ALPT01|ALPRAX 0.25MG TAB</t>
  </si>
  <si>
    <t xml:space="preserve">All Payers|ALPRAX 0.25MG TAB</t>
  </si>
  <si>
    <t xml:space="preserve">TR287|BIO0064</t>
  </si>
  <si>
    <t xml:space="preserve">All Payers|NITU57|NITRILE POWDER FREE EXAMINATION GLOVES MEDIUM(DURAMITT-TEGAMEN)</t>
  </si>
  <si>
    <t xml:space="preserve">All Payers|NITRILE POWDER FREE EXAMINATION GLOVES MEDIUM(DURAMITT-TEGAMEN)</t>
  </si>
  <si>
    <t xml:space="preserve">TR287|BIO0075</t>
  </si>
  <si>
    <t xml:space="preserve">All Payers|SMAM40|SMARTSET GHV BONE CEMENT GENTAMICIN 40GM(3095-040-DEPUY SYNTHES)</t>
  </si>
  <si>
    <t xml:space="preserve">All Payers|SMARTSET GHV BONE CEMENT GENTAMICIN 40GM(3095-040-DEPUY SYNTHES)</t>
  </si>
  <si>
    <t xml:space="preserve">TR287|BIO0097</t>
  </si>
  <si>
    <t xml:space="preserve">All Payers|COTC05|COTTON BALLS(STERILE)</t>
  </si>
  <si>
    <t xml:space="preserve">All Payers|COTTON BALLS(STERILE)</t>
  </si>
  <si>
    <t xml:space="preserve">TR287|BIO0098</t>
  </si>
  <si>
    <t xml:space="preserve">All Payers|DIGU22|DIGITAL THERMOMETER(MICROGENE)</t>
  </si>
  <si>
    <t xml:space="preserve">All Payers|DIGITAL THERMOMETER(MICROGENE)</t>
  </si>
  <si>
    <t xml:space="preserve">TR287|BIO0106</t>
  </si>
  <si>
    <t xml:space="preserve">All Payers|DISU100|PLAIN SHEET 210CM*120CM(RAJ MEDITECH)</t>
  </si>
  <si>
    <t xml:space="preserve">All Payers|PLAIN SHEET 210CM*120CM(RAJ MEDITECH)</t>
  </si>
  <si>
    <t xml:space="preserve">TR287|BIO0121</t>
  </si>
  <si>
    <t xml:space="preserve">All Payers|HIPU08|HIP U DRAPE(E511- SURGIWEAR)</t>
  </si>
  <si>
    <t xml:space="preserve">All Payers|HIP U DRAPE(E511- SURGIWEAR)</t>
  </si>
  <si>
    <t xml:space="preserve">TR287|BIO0181</t>
  </si>
  <si>
    <t xml:space="preserve">All Payers|OXYU01|OXYGEN MASK ADULT(VINJOH)</t>
  </si>
  <si>
    <t xml:space="preserve">All Payers|OXYGEN MASK ADULT(VINJOH)</t>
  </si>
  <si>
    <t xml:space="preserve">TR287|BLD0001</t>
  </si>
  <si>
    <t xml:space="preserve">All Payers|SPIU19|SPINAL NEEDLE 27G(BD)</t>
  </si>
  <si>
    <t xml:space="preserve">All Payers|SPINAL NEEDLE 27G(BD)</t>
  </si>
  <si>
    <t xml:space="preserve">TR287|BLD0009</t>
  </si>
  <si>
    <t xml:space="preserve">All Payers|SURU11|SURGICAL GLOVE 6.5(SURGICARE-KANAM)</t>
  </si>
  <si>
    <t xml:space="preserve">All Payers|SURGICAL GLOVE 6.5(SURGICARE-KANAM)</t>
  </si>
  <si>
    <t xml:space="preserve">TR287|BLD0024</t>
  </si>
  <si>
    <t xml:space="preserve">All Payers|SURU12|SURGICAL GLOVE 7.0(SURGICARE-KANAM)</t>
  </si>
  <si>
    <t xml:space="preserve">All Payers|SURGICAL GLOVE 7.0(SURGICARE-KANAM)</t>
  </si>
  <si>
    <t xml:space="preserve">TR287|PAT0007</t>
  </si>
  <si>
    <t xml:space="preserve">All Payers|VACU27|VACUUM SUCTION SET 250CM(MORRISONS)</t>
  </si>
  <si>
    <t xml:space="preserve">All Payers|VACUUM SUCTION SET 250CM(MORRISONS)</t>
  </si>
  <si>
    <t xml:space="preserve">TR287|PAT0041</t>
  </si>
  <si>
    <t xml:space="preserve">All Payers||G2K 40MG INJ</t>
  </si>
  <si>
    <t xml:space="preserve">TR287|PAT0078</t>
  </si>
  <si>
    <t xml:space="preserve">All Payers||PARACIP 100ML INJECTION(HS)</t>
  </si>
  <si>
    <t xml:space="preserve">TR287|ANS0003</t>
  </si>
  <si>
    <t xml:space="preserve">All Payers|IDII01|IDIAQUA 1ML INJ</t>
  </si>
  <si>
    <t xml:space="preserve">All Payers|IDIAQUA 1ML INJ</t>
  </si>
  <si>
    <t xml:space="preserve">TR287|PHY5076</t>
  </si>
  <si>
    <t xml:space="preserve">All Payers|IFIF01|IFIMOL 1000MG 100ML IV</t>
  </si>
  <si>
    <t xml:space="preserve">All Payers|IFIMOL 1000MG 100ML IV</t>
  </si>
  <si>
    <t xml:space="preserve">TR287|EME0016</t>
  </si>
  <si>
    <t xml:space="preserve">All Payers|MEZI01|MEZOLAM 5ML INJ</t>
  </si>
  <si>
    <t xml:space="preserve">All Payers|MEZOLAM 5ML INJ</t>
  </si>
  <si>
    <t xml:space="preserve">TR287|EME0018</t>
  </si>
  <si>
    <t xml:space="preserve">All Payers|NORF136|NORMAL SALINE 0.9% 100ML PLASTIC EH(ACULIFE)</t>
  </si>
  <si>
    <t xml:space="preserve">All Payers|NORMAL SALINE 0.9% 100ML PLASTIC EH(ACULIFE)</t>
  </si>
  <si>
    <t xml:space="preserve">TR287|EME0020</t>
  </si>
  <si>
    <t xml:space="preserve">All Payers|NS0F05|NS 0.9% 1000ML NH(PROLINE NS-PROMEA)</t>
  </si>
  <si>
    <t xml:space="preserve">All Payers|NS 0.9% 1000ML NH(PROLINE NS-PROMEA)</t>
  </si>
  <si>
    <t xml:space="preserve">TR287|EME0052</t>
  </si>
  <si>
    <t xml:space="preserve">All Payers|NS0F06|NS 0.9% 100ML NH(PRODISC NS-PROMEA)</t>
  </si>
  <si>
    <t xml:space="preserve">All Payers|NS 0.9% 100ML NH(PRODISC NS-PROMEA)</t>
  </si>
  <si>
    <t xml:space="preserve">TR287|EME0080</t>
  </si>
  <si>
    <t xml:space="preserve">All Payers|PREC103|PRENURA 75MG CAP</t>
  </si>
  <si>
    <t xml:space="preserve">All Payers|PRENURA 75MG CAP</t>
  </si>
  <si>
    <t xml:space="preserve">TR287|EME5045</t>
  </si>
  <si>
    <t xml:space="preserve">All Payers|SUPI10|SUPRIDOL 2ML INJ</t>
  </si>
  <si>
    <t xml:space="preserve">All Payers|SUPRIDOL 2ML INJ</t>
  </si>
  <si>
    <t xml:space="preserve">TR287|EME0088</t>
  </si>
  <si>
    <t xml:space="preserve">All Payers|SIMM30|SIMPLEX PALCOS BONE CEMENT(61910001-STRYKER)</t>
  </si>
  <si>
    <t xml:space="preserve">All Payers|SIMPLEX PALCOS BONE CEMENT(61910001-STRYKER)</t>
  </si>
  <si>
    <t xml:space="preserve">TR287|PSY0036</t>
  </si>
  <si>
    <t xml:space="preserve">All Payers||SYRINGE 2ML(LIFELONG)</t>
  </si>
  <si>
    <t xml:space="preserve">TR288|BIO0001</t>
  </si>
  <si>
    <t xml:space="preserve">All Payers|LATU73|LATEX EXAMINATION GLOVES-MEDIUM(NITRILE-SUCHIKA)</t>
  </si>
  <si>
    <t xml:space="preserve">All Payers|LATEX EXAMINATION GLOVES-MEDIUM(NITRILE-SUCHIKA)</t>
  </si>
  <si>
    <t xml:space="preserve">TR288|BIO0002</t>
  </si>
  <si>
    <t xml:space="preserve">All Payers|NEEU08|NEEDLES 16G*1.5 IN(HMD)</t>
  </si>
  <si>
    <t xml:space="preserve">All Payers|NEEDLES 16G*1.5 IN(HMD)</t>
  </si>
  <si>
    <t xml:space="preserve">TR288|BIO0003</t>
  </si>
  <si>
    <t xml:space="preserve">All Payers|NEEU66|NEEDLE DISPOSABLE 16G X 1.5IN(NIPRO)</t>
  </si>
  <si>
    <t xml:space="preserve">All Payers|NEEDLE DISPOSABLE 16G X 1.5IN(NIPRO)</t>
  </si>
  <si>
    <t xml:space="preserve">TR288|BIO0004</t>
  </si>
  <si>
    <t xml:space="preserve">All Payers||VOMIKIND 2ML INJ</t>
  </si>
  <si>
    <t xml:space="preserve">TR288|BIO0162</t>
  </si>
  <si>
    <t xml:space="preserve">All Payers|GB2C01|GB 29-75MG CAPSULE</t>
  </si>
  <si>
    <t xml:space="preserve">All Payers|GB 29-75MG CAPSULE</t>
  </si>
  <si>
    <t xml:space="preserve">TR288|CAR5341</t>
  </si>
  <si>
    <t xml:space="preserve">All Payers|BEDU36|BED BATH TOWEL 300MM*240MM 10S PACK(WIPEX-ROMSONS)</t>
  </si>
  <si>
    <t xml:space="preserve">All Payers|BED BATH TOWEL 300MM*240MM 10S PACK(WIPEX-ROMSONS)</t>
  </si>
  <si>
    <t xml:space="preserve">TR288|CAS0007</t>
  </si>
  <si>
    <t xml:space="preserve">All Payers|CARU60|C ARM COVER POLY 2PIECE(P0325-PRIMEWEAR)</t>
  </si>
  <si>
    <t xml:space="preserve">All Payers|C ARM COVER POLY 2PIECE(P0325-PRIMEWEAR)</t>
  </si>
  <si>
    <t xml:space="preserve">TR288|DIE0001</t>
  </si>
  <si>
    <t xml:space="preserve">All Payers|LEGU6|LEG U DRAPE(PRIMEWEAR)</t>
  </si>
  <si>
    <t xml:space="preserve">All Payers|LEG U DRAPE(PRIMEWEAR)</t>
  </si>
  <si>
    <t xml:space="preserve">TR288|EME0017</t>
  </si>
  <si>
    <t xml:space="preserve">All Payers|MAKM01|107120 MAKO VIZADISCS</t>
  </si>
  <si>
    <t xml:space="preserve">All Payers|107120 MAKO VIZADISCS</t>
  </si>
  <si>
    <t xml:space="preserve">TR288|EME0019</t>
  </si>
  <si>
    <t xml:space="preserve">All Payers|MICU137|MICS SAGITTAL BLADE STANDARD(116170-STRYKER)</t>
  </si>
  <si>
    <t xml:space="preserve">All Payers|MICS SAGITTAL BLADE STANDARD(116170-STRYKER)</t>
  </si>
  <si>
    <t xml:space="preserve">TR288|EME0087</t>
  </si>
  <si>
    <t xml:space="preserve">All Payers|SPIU05|SPINAL NEEDLE 25G(BD)</t>
  </si>
  <si>
    <t xml:space="preserve">All Payers|SPINAL NEEDLE 25G(BD)</t>
  </si>
  <si>
    <t xml:space="preserve">TR288|HSP0047</t>
  </si>
  <si>
    <t xml:space="preserve">All Payers|SURU10|SURGICAL GLOVE 6.0(SURGICARE-KANAM)</t>
  </si>
  <si>
    <t xml:space="preserve">All Payers|SURGICAL GLOVE 6.0(SURGICARE-KANAM)</t>
  </si>
  <si>
    <t xml:space="preserve">TR288|HSP5013</t>
  </si>
  <si>
    <t xml:space="preserve">All Payers|SYRU119|SYRINGE 5ML LL(LIFE LONG)</t>
  </si>
  <si>
    <t xml:space="preserve">All Payers|SYRINGE 5ML LL(LIFE LONG)</t>
  </si>
  <si>
    <t xml:space="preserve">TR288|ICC0001</t>
  </si>
  <si>
    <t xml:space="preserve">All Payers|VOLU08|VOLDYNE SPIROMETER LUNG EXERCISER 4000ML(8884719016-MEDLINE)</t>
  </si>
  <si>
    <t xml:space="preserve">All Payers|VOLDYNE SPIROMETER LUNG EXERCISER 4000ML(8884719016-MEDLINE)</t>
  </si>
  <si>
    <t xml:space="preserve">TR288|ICC0002</t>
  </si>
  <si>
    <t xml:space="preserve">All Payers|DEPI16|DEPOCILONE 40MG INJ</t>
  </si>
  <si>
    <t xml:space="preserve">All Payers|DEPOCILONE 40MG INJ</t>
  </si>
  <si>
    <t xml:space="preserve">TR288|OTC0010</t>
  </si>
  <si>
    <t xml:space="preserve">All Payers|JUSI02|JUSTIN AQ 1ML INJ</t>
  </si>
  <si>
    <t xml:space="preserve">All Payers|JUSTIN AQ 1ML INJ</t>
  </si>
  <si>
    <t xml:space="preserve">TR288|OTC5005</t>
  </si>
  <si>
    <t xml:space="preserve">All Payers|MIDI09|MIDFAST 5ML INJ</t>
  </si>
  <si>
    <t xml:space="preserve">All Payers|MIDFAST 5ML INJ</t>
  </si>
  <si>
    <t xml:space="preserve">TR288|OTI0015</t>
  </si>
  <si>
    <t xml:space="preserve">All Payers|NORF140|NORMAL SALINE 0.9% 500ML FREEPORT/FLEXI(UNIBAG-ACULIFE)</t>
  </si>
  <si>
    <t xml:space="preserve">All Payers|NORMAL SALINE 0.9% 500ML FREEPORT/FLEXI(UNIBAG-ACULIFE)</t>
  </si>
  <si>
    <t xml:space="preserve">TR288|OTI0018</t>
  </si>
  <si>
    <t xml:space="preserve">All Payers|NORF177|NORMAL SALINE 0.9% 3000ML EH(ACULIFE)</t>
  </si>
  <si>
    <t xml:space="preserve">All Payers|NORMAL SALINE 0.9% 3000ML EH(ACULIFE)</t>
  </si>
  <si>
    <t xml:space="preserve">TR288|OTI0098</t>
  </si>
  <si>
    <t xml:space="preserve">All Payers|NORF90|NORMAL SALINE 0.9% 500ML PLASTIC EH(FRESENIUS)</t>
  </si>
  <si>
    <t xml:space="preserve">All Payers|NORMAL SALINE 0.9% 500ML PLASTIC EH(FRESENIUS)</t>
  </si>
  <si>
    <t xml:space="preserve">TR288|PAT0042</t>
  </si>
  <si>
    <t xml:space="preserve">All Payers|REST03|RESTYL 0.25MG TAB</t>
  </si>
  <si>
    <t xml:space="preserve">All Payers|RESTYL 0.25MG TAB</t>
  </si>
  <si>
    <t xml:space="preserve">TR288|PAT0045</t>
  </si>
  <si>
    <t xml:space="preserve">All Payers|ARRU07|ARRAY DRILL PIN 4X175MM(4515-70-006-DEPUY SYNTHES)</t>
  </si>
  <si>
    <t xml:space="preserve">All Payers|ARRAY DRILL PIN 4X175MM(4515-70-006-DEPUY SYNTHES)</t>
  </si>
  <si>
    <t xml:space="preserve">TR288|PHY5082</t>
  </si>
  <si>
    <t xml:space="preserve">All Payers|BONM151|SIMPLEX P BONE CEMENT 40GM(6191-0-001-STRYKER CORP)</t>
  </si>
  <si>
    <t xml:space="preserve">All Payers|SIMPLEX P BONE CEMENT 40GM(6191-0-001-STRYKER CORP)</t>
  </si>
  <si>
    <t xml:space="preserve">TR288|RNS0120</t>
  </si>
  <si>
    <t xml:space="preserve">All Payers||SYRINGE 3ML LL(KAREJET-ROMSONS)</t>
  </si>
  <si>
    <t xml:space="preserve">TR288|RNS5005</t>
  </si>
  <si>
    <t xml:space="preserve">All Payers|ENCU13|MICROOPTIC STERILE GLOVE 8.0(ENCORE-JK ANSELL)</t>
  </si>
  <si>
    <t xml:space="preserve">All Payers|MICROOPTIC STERILE GLOVE 8.0(ENCORE-JK ANSELL)</t>
  </si>
  <si>
    <t xml:space="preserve">TR288|ROM0001</t>
  </si>
  <si>
    <t xml:space="preserve">All Payers|ENCU24|ENCORE LATEX UNDERGLOVE 7.0 NO(ANSELL)</t>
  </si>
  <si>
    <t xml:space="preserve">All Payers|ENCORE LATEX UNDERGLOVE 7.0 NO(ANSELL)</t>
  </si>
  <si>
    <t xml:space="preserve">TR288|ROM0024</t>
  </si>
  <si>
    <t xml:space="preserve">All Payers|GDRU06|G DRESS-5 5CM*6CM(GD5-SURGIWEAR )</t>
  </si>
  <si>
    <t xml:space="preserve">All Payers|G DRESS-5 5CM*6CM(GD5-SURGIWEAR )</t>
  </si>
  <si>
    <t xml:space="preserve">TR288|ROM0036</t>
  </si>
  <si>
    <t xml:space="preserve">All Payers|MOPC04|MOPS WITH X-RAY DETECTABLE FILAMENT 6PLY 25CM*25CM(READY GAUGE-BMT)</t>
  </si>
  <si>
    <t xml:space="preserve">All Payers|MOPS WITH X-RAY DETECTABLE FILAMENT 6PLY 25CM*25CM(READY GAUGE-BMT)</t>
  </si>
  <si>
    <t xml:space="preserve">TR288|ROM0093</t>
  </si>
  <si>
    <t xml:space="preserve">All Payers|PMLU33|PM LINE M/F 200CM(LIFE-O-LINE)</t>
  </si>
  <si>
    <t xml:space="preserve">All Payers|PM LINE M/F 200CM(LIFE-O-LINE)</t>
  </si>
  <si>
    <t xml:space="preserve">TR288|ROM5009</t>
  </si>
  <si>
    <t xml:space="preserve">All Payers|STEU256|STERILE DRAPE KIT(4515-70-018-DEPUY)</t>
  </si>
  <si>
    <t xml:space="preserve">All Payers|STERILE DRAPE KIT(4515-70-018-DEPUY)</t>
  </si>
  <si>
    <t xml:space="preserve">TR288|ROM5189</t>
  </si>
  <si>
    <t xml:space="preserve">All Payers|STRR05|STRATAFIX SYMMETRIC PDS PLUS 1 SXPP1A201(ETHICON)</t>
  </si>
  <si>
    <t xml:space="preserve">All Payers|STRATAFIX SYMMETRIC PDS PLUS 1 SXPP1A201(ETHICON)</t>
  </si>
  <si>
    <t xml:space="preserve">TR288|XRY5090</t>
  </si>
  <si>
    <t xml:space="preserve">All Payers|SURU69|SURGICAL BLADE 15(GLASSVAN)</t>
  </si>
  <si>
    <t xml:space="preserve">All Payers|SURGICAL BLADE 15(GLASSVAN)</t>
  </si>
  <si>
    <t xml:space="preserve">TR288|CAR0080</t>
  </si>
  <si>
    <t xml:space="preserve">All Payers|SYRU49|SYRINGE 3ML LUERLOCK(BD)</t>
  </si>
  <si>
    <t xml:space="preserve">All Payers|SYRINGE 3ML LUERLOCK(BD)</t>
  </si>
  <si>
    <t xml:space="preserve">TR288|XRY044</t>
  </si>
  <si>
    <t xml:space="preserve">All Payers|SYRU75|SYRINGE INSULIN 1ML 31G NEEDLE 40 UNITS(HMD)</t>
  </si>
  <si>
    <t xml:space="preserve">All Payers|SYRINGE INSULIN 1ML 31G NEEDLE 40 UNITS(HMD)</t>
  </si>
  <si>
    <t xml:space="preserve">TR288|XRY5133</t>
  </si>
  <si>
    <t xml:space="preserve">All Payers|THRU08|THREE WAY EXTENSION 10CM(POLYMED)</t>
  </si>
  <si>
    <t xml:space="preserve">All Payers|THREE WAY EXTENSION 10CM(POLYMED)</t>
  </si>
  <si>
    <t xml:space="preserve">TR288|BIO0005</t>
  </si>
  <si>
    <t xml:space="preserve">All Payers|THRU61|THR/TKR KIT(SMART PACK-MEDLINE)</t>
  </si>
  <si>
    <t xml:space="preserve">All Payers|THR/TKR KIT(SMART PACK-MEDLINE)</t>
  </si>
  <si>
    <t xml:space="preserve">TR288|BIO0064</t>
  </si>
  <si>
    <t xml:space="preserve">All Payers|URIU35|URINAL POT MALE FEMALE(ALPHA MEDICARE AND DEVICES)</t>
  </si>
  <si>
    <t xml:space="preserve">All Payers|URINAL POT MALE FEMALE(ALPHA MEDICARE AND DEVICES)</t>
  </si>
  <si>
    <t xml:space="preserve">TR288|BIO0075</t>
  </si>
  <si>
    <t xml:space="preserve">All Payers|VENU57|VENFLON PRO SAFETY 20G(BD)</t>
  </si>
  <si>
    <t xml:space="preserve">All Payers|VENFLON PRO SAFETY 20G(BD)</t>
  </si>
  <si>
    <t xml:space="preserve">TR288|BIO0097</t>
  </si>
  <si>
    <t xml:space="preserve">All Payers||ENOXATIL 40MG INJ</t>
  </si>
  <si>
    <t xml:space="preserve">TR288|BIO0098</t>
  </si>
  <si>
    <t xml:space="preserve">All Payers|AVII01|AVIL 2ML INJ</t>
  </si>
  <si>
    <t xml:space="preserve">All Payers|AVIL 2ML INJ</t>
  </si>
  <si>
    <t xml:space="preserve">TR288|BIO0106</t>
  </si>
  <si>
    <t xml:space="preserve">All Payers|NORF45|NORMAL SALINE 1000ML(PLASTIC)(ACULIFE)</t>
  </si>
  <si>
    <t xml:space="preserve">All Payers|NORMAL SALINE 1000ML(PLASTIC)(ACULIFE)</t>
  </si>
  <si>
    <t xml:space="preserve">TR288|BIO0121</t>
  </si>
  <si>
    <t xml:space="preserve">All Payers|NORF93|NORMAL SALINE 0.9% 500ML FREEFLEX(FRESENIUS)</t>
  </si>
  <si>
    <t xml:space="preserve">All Payers|NORMAL SALINE 0.9% 500ML FREEFLEX(FRESENIUS)</t>
  </si>
  <si>
    <t xml:space="preserve">TR288|BIO0181</t>
  </si>
  <si>
    <t xml:space="preserve">All Payers|LEGU37|LEG U DRAPE(D501-SURGIWARE)</t>
  </si>
  <si>
    <t xml:space="preserve">All Payers|LEG U DRAPE(D501-SURGIWARE)</t>
  </si>
  <si>
    <t xml:space="preserve">TR288|BLD0001</t>
  </si>
  <si>
    <t xml:space="preserve">All Payers|SURU14|SURGICAL GLOVE 8.0(SURGICARE-KANAM)</t>
  </si>
  <si>
    <t xml:space="preserve">All Payers|SURGICAL GLOVE 8.0(SURGICARE-KANAM)</t>
  </si>
  <si>
    <t xml:space="preserve">TR288|BLD0009</t>
  </si>
  <si>
    <t xml:space="preserve">All Payers|SYRU137|SYRINGE INSULIN 1ML 31G NEEDLE (40 UNITS)(NIPRO)</t>
  </si>
  <si>
    <t xml:space="preserve">All Payers|SYRINGE INSULIN 1ML 31G NEEDLE (40 UNITS)(NIPRO)</t>
  </si>
  <si>
    <t xml:space="preserve">TR288|BLD0024</t>
  </si>
  <si>
    <t xml:space="preserve">All Payers|HORP04|HORLICKS DIABETES PLUS VANILLA 400GM</t>
  </si>
  <si>
    <t xml:space="preserve">All Payers|HORLICKS DIABETES PLUS VANILLA 400GM</t>
  </si>
  <si>
    <t xml:space="preserve">TR288|PAT0007</t>
  </si>
  <si>
    <t xml:space="preserve">All Payers|LOXI6|LOXICARD 2% 50ML INJ</t>
  </si>
  <si>
    <t xml:space="preserve">All Payers|LOXICARD 2% 50ML INJ</t>
  </si>
  <si>
    <t xml:space="preserve">TR288|PAT0041</t>
  </si>
  <si>
    <t xml:space="preserve">All Payers|MEPI18|MEPUP 10ML INJ</t>
  </si>
  <si>
    <t xml:space="preserve">All Payers|MEPUP 10ML INJ</t>
  </si>
  <si>
    <t xml:space="preserve">TR288|PAT0078</t>
  </si>
  <si>
    <t xml:space="preserve">All Payers|NORF140|NORMAL SALINE 0.9% 500ML FLEXIFLOW(UNIBAG-ACULIFE)</t>
  </si>
  <si>
    <t xml:space="preserve">All Payers|NORMAL SALINE 0.9% 500ML FLEXIFLOW(UNIBAG-ACULIFE)</t>
  </si>
  <si>
    <t xml:space="preserve">TR288|ANS0003</t>
  </si>
  <si>
    <t xml:space="preserve">All Payers|NORF72|NORMAL SALINE 0.9% 3000ML PLASTIC(PENTAGON)</t>
  </si>
  <si>
    <t xml:space="preserve">All Payers|NORMAL SALINE 0.9% 3000ML PLASTIC(PENTAGON)</t>
  </si>
  <si>
    <t xml:space="preserve">TR288|PHY5076</t>
  </si>
  <si>
    <t xml:space="preserve">All Payers|SYRU122|SYRINGES INSULIN 1ML 40 IU(POLYMED)</t>
  </si>
  <si>
    <t xml:space="preserve">All Payers|SYRINGES INSULIN 1ML 40 IU(POLYMED)</t>
  </si>
  <si>
    <t xml:space="preserve">TR288|EME0016</t>
  </si>
  <si>
    <t xml:space="preserve">All Payers|ATTM168|ATTUNE TIBIAL BASEPLATE FIXED BEARING REVISION CEMENTED CONSTRAINED KNEE 3(1506-40-003-DEPUY SYNTHES)</t>
  </si>
  <si>
    <t xml:space="preserve">All Payers|ATTUNE TIBIAL BASEPLATE FIXED BEARING REVISION CEMENTED CONSTRAINED KNEE 3(1506-40-003-DEPUY SYNTHES)</t>
  </si>
  <si>
    <t xml:space="preserve">TR288|EME0018</t>
  </si>
  <si>
    <t xml:space="preserve">All Payers||BED BATH TOWELS 300MMX240MM(PACK OF 10-MAGMACARE)</t>
  </si>
  <si>
    <t xml:space="preserve">TR288|EME0020</t>
  </si>
  <si>
    <t xml:space="preserve">All Payers||SYRINGE 5ML LL(LIFE LONG)</t>
  </si>
  <si>
    <t xml:space="preserve">TR288|EME0052</t>
  </si>
  <si>
    <t xml:space="preserve">All Payers|NEBU29|NEBULIZER MASK ADULT(LIFE-O-LINE)</t>
  </si>
  <si>
    <t xml:space="preserve">All Payers|NEBULIZER MASK ADULT(LIFE-O-LINE)</t>
  </si>
  <si>
    <t xml:space="preserve">TR288|EME0080</t>
  </si>
  <si>
    <t xml:space="preserve">All Payers|PREU128|PREFILLED FLUSH SYRINGE BLISTER PACK 5ML(RIBBEL)</t>
  </si>
  <si>
    <t xml:space="preserve">All Payers|PREFILLED FLUSH SYRINGE BLISTER PACK 5ML(RIBBEL)</t>
  </si>
  <si>
    <t xml:space="preserve">TR288|EME5045</t>
  </si>
  <si>
    <t xml:space="preserve">All Payers|SAGM04|SAGITAL STRIKER BLADE MEDIUM/LONG(2108-109-000-STRYKER)</t>
  </si>
  <si>
    <t xml:space="preserve">All Payers|SAGITAL STRIKER BLADE MEDIUM/LONG(2108-109-000-STRYKER)</t>
  </si>
  <si>
    <t xml:space="preserve">TR288|EME0088</t>
  </si>
  <si>
    <t xml:space="preserve">All Payers|SAGM13|116171 MICS SAGITTAL BLADE NARROW</t>
  </si>
  <si>
    <t xml:space="preserve">All Payers|116171 MICS SAGITTAL BLADE NARROW</t>
  </si>
  <si>
    <t xml:space="preserve">TR288|PSY0036</t>
  </si>
  <si>
    <t xml:space="preserve">All Payers|STEU194|STERILE DRAPE KIT(4515-70-008-DEPUY)</t>
  </si>
  <si>
    <t xml:space="preserve">All Payers|STERILE DRAPE KIT(4515-70-008-DEPUY)</t>
  </si>
  <si>
    <t xml:space="preserve">TR289|BIO0001</t>
  </si>
  <si>
    <t xml:space="preserve">All Payers|SURU182|SURGEON GOWN REINFORCED 5515</t>
  </si>
  <si>
    <t xml:space="preserve">All Payers|SURGEON GOWN REINFORCED 5515</t>
  </si>
  <si>
    <t xml:space="preserve">TR289|BIO0002</t>
  </si>
  <si>
    <t xml:space="preserve">All Payers|SYRU120|SYRINGE 10ML LL(LIFE LONG)</t>
  </si>
  <si>
    <t xml:space="preserve">All Payers|SYRINGE 10ML LL(LIFE LONG)</t>
  </si>
  <si>
    <t xml:space="preserve">TR289|BIO0003</t>
  </si>
  <si>
    <t xml:space="preserve">All Payers|SYRU136|SYRINGE 5ML(DISPOJEKT-HMD)</t>
  </si>
  <si>
    <t xml:space="preserve">All Payers|SYRINGE 5ML(DISPOJEKT-HMD)</t>
  </si>
  <si>
    <t xml:space="preserve">TR289|BIO0004</t>
  </si>
  <si>
    <t xml:space="preserve">All Payers||IV FLOW REGULATOR(POLYFLO-POLYMED)</t>
  </si>
  <si>
    <t xml:space="preserve">TR289|BIO0162</t>
  </si>
  <si>
    <t xml:space="preserve">All Payers||NOVOTAM 2MG/2ML INJ</t>
  </si>
  <si>
    <t xml:space="preserve">TR289|CAR5341</t>
  </si>
  <si>
    <t xml:space="preserve">All Payers|ADRI15|ADRENALINE 1MG INJECTION</t>
  </si>
  <si>
    <t xml:space="preserve">All Payers|ADRENALINE 1MG INJECTION</t>
  </si>
  <si>
    <t xml:space="preserve">TR289|CAS0007</t>
  </si>
  <si>
    <t xml:space="preserve">All Payers|DERI03|DERINIDE RESPULES 0.5MG</t>
  </si>
  <si>
    <t xml:space="preserve">All Payers|DERINIDE RESPULES 0.5MG</t>
  </si>
  <si>
    <t xml:space="preserve">TR289|DIE0001</t>
  </si>
  <si>
    <t xml:space="preserve">All Payers|DEXI13|DEXTOMID 100MCG 1ML INJ</t>
  </si>
  <si>
    <t xml:space="preserve">All Payers|DEXTOMID 100MCG 1ML INJ</t>
  </si>
  <si>
    <t xml:space="preserve">TR289|EME0017</t>
  </si>
  <si>
    <t xml:space="preserve">All Payers|GLYI06|GLYCOGEM 0.2MG INJECTION</t>
  </si>
  <si>
    <t xml:space="preserve">All Payers|GLYCOGEM 0.2MG INJECTION</t>
  </si>
  <si>
    <t xml:space="preserve">TR289|EME0019</t>
  </si>
  <si>
    <t xml:space="preserve">All Payers|HORP04|HORLICKS DIABETES + VANILLA 400GM POWDER</t>
  </si>
  <si>
    <t xml:space="preserve">All Payers|HORLICKS DIABETES + VANILLA 400GM POWDER</t>
  </si>
  <si>
    <t xml:space="preserve">TR289|EME0087</t>
  </si>
  <si>
    <t xml:space="preserve">All Payers|NORF39|NORMAL SALINE 0.9% 500ML(PLASTIC)(ACULIFE)</t>
  </si>
  <si>
    <t xml:space="preserve">All Payers|NORMAL SALINE 0.9% 500ML(PLASTIC)(ACULIFE)</t>
  </si>
  <si>
    <t xml:space="preserve">TR289|HSP0047</t>
  </si>
  <si>
    <t xml:space="preserve">All Payers|NS0F11|NS 0.9% 500ML NH(PRODISC NS-PROMEA)</t>
  </si>
  <si>
    <t xml:space="preserve">All Payers|NS 0.9% 500ML NH(PRODISC NS-PROMEA)</t>
  </si>
  <si>
    <t xml:space="preserve">TR289|HSP5013</t>
  </si>
  <si>
    <t xml:space="preserve">All Payers|RL5F18|RL 500ML IV NH(PRORING RL-PROMEA)</t>
  </si>
  <si>
    <t xml:space="preserve">All Payers|RL 500ML IV NH(PRORING RL-PROMEA)</t>
  </si>
  <si>
    <t xml:space="preserve">TR289|ICC0001</t>
  </si>
  <si>
    <t xml:space="preserve">All Payers|SALR03|SALBAIR I NEB 1.25MG TRANSPULES</t>
  </si>
  <si>
    <t xml:space="preserve">All Payers|SALBAIR I NEB 1.25MG TRANSPULES</t>
  </si>
  <si>
    <t xml:space="preserve">TR289|ICC0002</t>
  </si>
  <si>
    <t xml:space="preserve">All Payers|THYT60|THYRORITE 25MCG TAB</t>
  </si>
  <si>
    <t xml:space="preserve">All Payers|THYRORITE 25MCG TAB</t>
  </si>
  <si>
    <t xml:space="preserve">TR289|OTC0010</t>
  </si>
  <si>
    <t xml:space="preserve">All Payers|WOSI02|WOSULIN-R 40 IU/ML 10ML INJ</t>
  </si>
  <si>
    <t xml:space="preserve">All Payers|WOSULIN-R 40 IU/ML 10ML INJ</t>
  </si>
  <si>
    <t xml:space="preserve">TR289|OTC5005</t>
  </si>
  <si>
    <t xml:space="preserve">All Payers|TRIM110|TRIATHLON X3 TIBIAL BEARING INSERT CS SIZE-3*9MM(5531G309E-STRYKER)</t>
  </si>
  <si>
    <t xml:space="preserve">All Payers|TRIATHLON X3 TIBIAL BEARING INSERT CS SIZE-3*9MM(5531G309E-STRYKER)</t>
  </si>
  <si>
    <t xml:space="preserve">TR289|OTI0015</t>
  </si>
  <si>
    <t xml:space="preserve">All Payers|TRIM132|5510F402 TRIATHLON CR FEMORAL CEMENT RIGHT 4</t>
  </si>
  <si>
    <t xml:space="preserve">All Payers|5510F402 TRIATHLON CR FEMORAL CEMENT RIGHT 4</t>
  </si>
  <si>
    <t xml:space="preserve">TR289|OTI0018</t>
  </si>
  <si>
    <t xml:space="preserve">All Payers|TRIM187|TRIATHLON TIBIAL BASEPLATE CEMENTED 2 UNIVERSAL(5521-B-200-STRYKER CORP)</t>
  </si>
  <si>
    <t xml:space="preserve">All Payers|TRIATHLON TIBIAL BASEPLATE CEMENTED 2 UNIVERSAL(5521-B-200-STRYKER CORP)</t>
  </si>
  <si>
    <t xml:space="preserve">TR289|OTI0098</t>
  </si>
  <si>
    <t xml:space="preserve">All Payers|TRIM188|5521B300 TRIATHLON UNIVERSAL BP 3(STRYKER)</t>
  </si>
  <si>
    <t xml:space="preserve">All Payers|5521B300 TRIATHLON UNIVERSAL BP 3(STRYKER)</t>
  </si>
  <si>
    <t xml:space="preserve">TR289|PAT0042</t>
  </si>
  <si>
    <t xml:space="preserve">All Payers||DIAPER ADULT XXL 110CMX154CMS(MAGMACARE)</t>
  </si>
  <si>
    <t xml:space="preserve">TR289|PAT0045</t>
  </si>
  <si>
    <t xml:space="preserve">All Payers||PREFILLED FLUSH SYRINGE BLISTER PACK 10ML(RIBBEL)</t>
  </si>
  <si>
    <t xml:space="preserve">TR289|PHY5082</t>
  </si>
  <si>
    <t xml:space="preserve">All Payers|EEXU02|EEXTRA LINE TRIO 15CM(GS-3178T-ROMSONS)</t>
  </si>
  <si>
    <t xml:space="preserve">All Payers|EEXTRA LINE TRIO 15CM(GS-3178T-ROMSONS)</t>
  </si>
  <si>
    <t xml:space="preserve">TR289|RNS0120</t>
  </si>
  <si>
    <t xml:space="preserve">All Payers|EPIU02|EPIDURAL MINIPACK SYSTEM-1 18G(PORTEX)</t>
  </si>
  <si>
    <t xml:space="preserve">All Payers|EPIDURAL MINIPACK SYSTEM-1 18G(PORTEX)</t>
  </si>
  <si>
    <t xml:space="preserve">TR289|RNS5005</t>
  </si>
  <si>
    <t xml:space="preserve">All Payers|IVSU38|IV SET(INTRACARE BCV-ROMSONS)</t>
  </si>
  <si>
    <t xml:space="preserve">All Payers|IV SET(INTRACARE BCV-ROMSONS)</t>
  </si>
  <si>
    <t xml:space="preserve">TR289|ROM0001</t>
  </si>
  <si>
    <t xml:space="preserve">All Payers|KWIM176|KIRSCHNER SURGICAL WIRE STERILE 2.5X150MM(1450.S.2.5.150-OROMED)</t>
  </si>
  <si>
    <t xml:space="preserve">All Payers|KIRSCHNER SURGICAL WIRE STERILE 2.5X150MM(1450.S.2.5.150-OROMED)</t>
  </si>
  <si>
    <t xml:space="preserve">TR289|ROM0024</t>
  </si>
  <si>
    <t xml:space="preserve">All Payers|MICU115|MICRO POLYSITE PLUS (DUO) EXTENSION(POLYMED)</t>
  </si>
  <si>
    <t xml:space="preserve">All Payers|MICRO POLYSITE PLUS (DUO) EXTENSION(POLYMED)</t>
  </si>
  <si>
    <t xml:space="preserve">TR289|ROM0036</t>
  </si>
  <si>
    <t xml:space="preserve">All Payers|OSCU03|OSCILLATING SAW BLADE 85MMX19X2MM(4515-70-000-DEPUY)</t>
  </si>
  <si>
    <t xml:space="preserve">All Payers|OSCILLATING SAW BLADE 85MMX19X2MM(4515-70-000-DEPUY)</t>
  </si>
  <si>
    <t xml:space="preserve">TR289|ROM0093</t>
  </si>
  <si>
    <t xml:space="preserve">All Payers|OXYU72|OXYGEN MASK ADULT(FLEXI COMFORT-ROMSON)</t>
  </si>
  <si>
    <t xml:space="preserve">All Payers|OXYGEN MASK ADULT(FLEXI COMFORT-ROMSON)</t>
  </si>
  <si>
    <t xml:space="preserve">TR289|ROM5009</t>
  </si>
  <si>
    <t xml:space="preserve">All Payers|PMLU46|PM LINE M/M 200CM(BUYWEL)</t>
  </si>
  <si>
    <t xml:space="preserve">All Payers|PM LINE M/M 200CM(BUYWEL)</t>
  </si>
  <si>
    <t xml:space="preserve">TR289|ROM5189</t>
  </si>
  <si>
    <t xml:space="preserve">All Payers|SAGM05|SAGITTAL BLADE LONG NARROW THIN(2108-103-000-STRYKER)</t>
  </si>
  <si>
    <t xml:space="preserve">All Payers|SAGITTAL BLADE LONG NARROW THIN(2108-103-000-STRYKER)</t>
  </si>
  <si>
    <t xml:space="preserve">TR289|XRY5090</t>
  </si>
  <si>
    <t xml:space="preserve">All Payers|STEI10|STERILE WATER 10ML(ACULIFE)</t>
  </si>
  <si>
    <t xml:space="preserve">All Payers|STERILE WATER 10ML(ACULIFE)</t>
  </si>
  <si>
    <t xml:space="preserve">TR289|CAR0080</t>
  </si>
  <si>
    <t xml:space="preserve">All Payers|SURU157|SURGICAL GLOVE 6.0(BLISTER PACK-SURGICARE-KANAM)</t>
  </si>
  <si>
    <t xml:space="preserve">All Payers|SURGICAL GLOVE 6.0(BLISTER PACK-SURGICARE-KANAM)</t>
  </si>
  <si>
    <t xml:space="preserve">TR289|XRY044</t>
  </si>
  <si>
    <t xml:space="preserve">All Payers|SURU337|SURGICAL GOWN STERILE PRIMARY PLUS HP XL LEVEL-3(MOLNLYCKE)</t>
  </si>
  <si>
    <t xml:space="preserve">All Payers|SURGICAL GOWN STERILE PRIMARY PLUS HP XL LEVEL-3(MOLNLYCKE)</t>
  </si>
  <si>
    <t xml:space="preserve">TR289|XRY5133</t>
  </si>
  <si>
    <t xml:space="preserve">All Payers|SYRU88|SYRINGE 10ML LL(BD)</t>
  </si>
  <si>
    <t xml:space="preserve">All Payers|SYRINGE 10ML LL(BD)</t>
  </si>
  <si>
    <t xml:space="preserve">TR289|BIO0005</t>
  </si>
  <si>
    <t xml:space="preserve">All Payers|THRU79|THREE WAY EXTENSION 10CM(DISPOWAY+-HMD)</t>
  </si>
  <si>
    <t xml:space="preserve">All Payers|THREE WAY EXTENSION 10CM(DISPOWAY+-HMD)</t>
  </si>
  <si>
    <t xml:space="preserve">TR289|BIO0064</t>
  </si>
  <si>
    <t xml:space="preserve">All Payers|VENU8160|VENFLON-I 22G(BD)</t>
  </si>
  <si>
    <t xml:space="preserve">All Payers|VENFLON-I 22G(BD)</t>
  </si>
  <si>
    <t xml:space="preserve">TR289|BIO0075</t>
  </si>
  <si>
    <t xml:space="preserve">All Payers||IDIAQUA 1ML INJ</t>
  </si>
  <si>
    <t xml:space="preserve">TR289|BIO0097</t>
  </si>
  <si>
    <t xml:space="preserve">All Payers||NITRILE POWDER FREE EXAMINATION GLOVES MEDIUM(DURAMITT-TEGAMEN)</t>
  </si>
  <si>
    <t xml:space="preserve">TR289|BIO0098</t>
  </si>
  <si>
    <t xml:space="preserve">All Payers||RL 500ML IV NH(PRORING RL-PROMEA)</t>
  </si>
  <si>
    <t xml:space="preserve">TR289|BIO0106</t>
  </si>
  <si>
    <t xml:space="preserve">All Payers||SUPRIDOL 2ML INJ</t>
  </si>
  <si>
    <t xml:space="preserve">TR289|BIO0121</t>
  </si>
  <si>
    <t xml:space="preserve">All Payers|ANAI01|ANAWIN 0.25% 20ML INJ</t>
  </si>
  <si>
    <t xml:space="preserve">All Payers|ANAWIN 0.25% 20ML INJ</t>
  </si>
  <si>
    <t xml:space="preserve">TR289|BIO0181</t>
  </si>
  <si>
    <t xml:space="preserve">All Payers|ANZT02|ANZILIUM 0.25 MG TAB</t>
  </si>
  <si>
    <t xml:space="preserve">All Payers|ANZILIUM 0.25 MG TAB</t>
  </si>
  <si>
    <t xml:space="preserve">TR289|BLD0001</t>
  </si>
  <si>
    <t xml:space="preserve">All Payers|ASTI01|ASTHALIN RESPULES 2.5ML</t>
  </si>
  <si>
    <t xml:space="preserve">All Payers|ASTHALIN RESPULES 2.5ML</t>
  </si>
  <si>
    <t xml:space="preserve">TR289|BLD0009</t>
  </si>
  <si>
    <t xml:space="preserve">All Payers|AZTT03|AZTOR 10MG TAB</t>
  </si>
  <si>
    <t xml:space="preserve">All Payers|AZTOR 10MG TAB</t>
  </si>
  <si>
    <t xml:space="preserve">TR289|BLD0024</t>
  </si>
  <si>
    <t xml:space="preserve">All Payers|BUPI09|BUPITROY HEAVY 4ML INJ</t>
  </si>
  <si>
    <t xml:space="preserve">All Payers|BUPITROY HEAVY 4ML INJ</t>
  </si>
  <si>
    <t xml:space="preserve">TR289|PAT0007</t>
  </si>
  <si>
    <t xml:space="preserve">All Payers|BUPP01|BUPRIGESIC 10MCG PATCH</t>
  </si>
  <si>
    <t xml:space="preserve">All Payers|BUPRIGESIC 10MCG PATCH</t>
  </si>
  <si>
    <t xml:space="preserve">TR289|PAT0041</t>
  </si>
  <si>
    <t xml:space="preserve">All Payers|CALI01|CALCIUM GLUCONATE 10ML INJ</t>
  </si>
  <si>
    <t xml:space="preserve">All Payers|CALCIUM GLUCONATE 10ML INJ</t>
  </si>
  <si>
    <t xml:space="preserve">TR289|PAT0078</t>
  </si>
  <si>
    <t xml:space="preserve">All Payers|CORI02|CORT S 100MG INJ</t>
  </si>
  <si>
    <t xml:space="preserve">All Payers|CORT S 100MG INJ</t>
  </si>
  <si>
    <t xml:space="preserve">TR289|ANS0003</t>
  </si>
  <si>
    <t xml:space="preserve">All Payers|CURU43|CUROS DISINFECTING CAP STRIP FOR MALE LUERS(3M)</t>
  </si>
  <si>
    <t xml:space="preserve">All Payers|CUROS DISINFECTING CAP STRIP FOR MALE LUERS(3M)</t>
  </si>
  <si>
    <t xml:space="preserve">TR289|PHY5076</t>
  </si>
  <si>
    <t xml:space="preserve">All Payers|DICI13|DICLORAN AQ 75MG/1ML INJECTION</t>
  </si>
  <si>
    <t xml:space="preserve">All Payers|DICLORAN AQ 75MG/1ML INJECTION</t>
  </si>
  <si>
    <t xml:space="preserve">TR289|EME0016</t>
  </si>
  <si>
    <t xml:space="preserve">All Payers|FORR01|FORMONIDE REPSULES 0.5MG</t>
  </si>
  <si>
    <t xml:space="preserve">All Payers|FORMONIDE REPSULES 0.5MG</t>
  </si>
  <si>
    <t xml:space="preserve">TR289|EME0018</t>
  </si>
  <si>
    <t xml:space="preserve">All Payers|GEMT3|GEMER 1MG TAB</t>
  </si>
  <si>
    <t xml:space="preserve">All Payers|GEMER 1MG TAB</t>
  </si>
  <si>
    <t xml:space="preserve">TR289|EME0020</t>
  </si>
  <si>
    <t xml:space="preserve">All Payers|HISI03|HISONE-100MG INJ</t>
  </si>
  <si>
    <t xml:space="preserve">All Payers|HISONE-100MG INJ</t>
  </si>
  <si>
    <t xml:space="preserve">TR289|EME0052</t>
  </si>
  <si>
    <t xml:space="preserve">All Payers|LOCI04|LOCAM A 2% 30ML INJECTION</t>
  </si>
  <si>
    <t xml:space="preserve">All Payers|LOCAM A 2% 30ML INJECTION</t>
  </si>
  <si>
    <t xml:space="preserve">TR289|EME0080</t>
  </si>
  <si>
    <t xml:space="preserve">All Payers|LOXI8|LOX 2% ADRENALINE 30ML INJ</t>
  </si>
  <si>
    <t xml:space="preserve">All Payers|LOX 2% ADRENALINE 30ML INJ</t>
  </si>
  <si>
    <t xml:space="preserve">TR289|EME5045</t>
  </si>
  <si>
    <t xml:space="preserve">All Payers|LYCI02|LYCORTIN-S 100MG INJ</t>
  </si>
  <si>
    <t xml:space="preserve">All Payers|LYCORTIN-S 100MG INJ</t>
  </si>
  <si>
    <t xml:space="preserve">TR289|EME0088</t>
  </si>
  <si>
    <t xml:space="preserve">All Payers|MAGI04|MAGNESIUM SULPHATE 2ML INJ</t>
  </si>
  <si>
    <t xml:space="preserve">All Payers|MAGNESIUM SULPHATE 2ML INJ</t>
  </si>
  <si>
    <t xml:space="preserve">TR289|PSY0036</t>
  </si>
  <si>
    <t xml:space="preserve">All Payers|MAXC5|MAXGALIN 75MG CAP</t>
  </si>
  <si>
    <t xml:space="preserve">All Payers|MAXGALIN 75MG CAP</t>
  </si>
  <si>
    <t xml:space="preserve">TR290|BIO0001</t>
  </si>
  <si>
    <t xml:space="preserve">All Payers|REST04|RESTYL 0.5MG TAB</t>
  </si>
  <si>
    <t xml:space="preserve">All Payers|RESTYL 0.5MG TAB</t>
  </si>
  <si>
    <t xml:space="preserve">TR290|BIO0002</t>
  </si>
  <si>
    <t xml:space="preserve">All Payers|RINF21|RL 500ML PLASTIC IV(ACULIFE)</t>
  </si>
  <si>
    <t xml:space="preserve">All Payers|RL 500ML PLASTIC IV(ACULIFE)</t>
  </si>
  <si>
    <t xml:space="preserve">TR290|BIO0003</t>
  </si>
  <si>
    <t xml:space="preserve">All Payers|RINF22|RL 1000ML PLASTIC IV(ACULIFE)</t>
  </si>
  <si>
    <t xml:space="preserve">All Payers|RL 1000ML PLASTIC IV(ACULIFE)</t>
  </si>
  <si>
    <t xml:space="preserve">TR290|BIO0004</t>
  </si>
  <si>
    <t xml:space="preserve">All Payers|ROPI21|ROPIZUVA 7.5MG/20ML INJECTION</t>
  </si>
  <si>
    <t xml:space="preserve">All Payers|ROPIZUVA 7.5MG/20ML INJECTION</t>
  </si>
  <si>
    <t xml:space="preserve">TR290|BIO0162</t>
  </si>
  <si>
    <t xml:space="preserve">All Payers|ROST30|ROSUBEST 10MG TAB</t>
  </si>
  <si>
    <t xml:space="preserve">All Payers|ROSUBEST 10MG TAB</t>
  </si>
  <si>
    <t xml:space="preserve">TR290|CAR5341</t>
  </si>
  <si>
    <t xml:space="preserve">All Payers|STAT01|STAMLO 5MG TAB</t>
  </si>
  <si>
    <t xml:space="preserve">All Payers|STAMLO 5MG TAB</t>
  </si>
  <si>
    <t xml:space="preserve">TR290|CAS0007</t>
  </si>
  <si>
    <t xml:space="preserve">All Payers|SURU220|SURGICARE NUERO POWDER FREE GLOVE 7.0(KANAM)</t>
  </si>
  <si>
    <t xml:space="preserve">All Payers|SURGICARE NUERO POWDER FREE GLOVE 7.0(KANAM)</t>
  </si>
  <si>
    <t xml:space="preserve">TR290|DIE0001</t>
  </si>
  <si>
    <t xml:space="preserve">All Payers|TEMT10|TEMFIX 650MG TAB</t>
  </si>
  <si>
    <t xml:space="preserve">All Payers|TEMFIX 650MG TAB</t>
  </si>
  <si>
    <t xml:space="preserve">TR290|EME0017</t>
  </si>
  <si>
    <t xml:space="preserve">All Payers|THYT01|THYRONORM 50MCG TAB</t>
  </si>
  <si>
    <t xml:space="preserve">All Payers|THYRONORM 50MCG TAB</t>
  </si>
  <si>
    <t xml:space="preserve">TR290|EME0019</t>
  </si>
  <si>
    <t xml:space="preserve">All Payers|THYT17|THYRONORM 88MCG TAB</t>
  </si>
  <si>
    <t xml:space="preserve">All Payers|THYRONORM 88MCG TAB</t>
  </si>
  <si>
    <t xml:space="preserve">TR290|EME0087</t>
  </si>
  <si>
    <t xml:space="preserve">All Payers|ZUPP01|ZUPRINOR 10MCG PATCH</t>
  </si>
  <si>
    <t xml:space="preserve">All Payers|ZUPRINOR 10MCG PATCH</t>
  </si>
  <si>
    <t xml:space="preserve">TR290|HSP0047</t>
  </si>
  <si>
    <t xml:space="preserve">All Payers|ATTM83|ATTUNE FEMORAL COMPONENT CEMENTED CRUCIATE RETAINING RIGHT 3(1504-00-203-DEPUY SYNTHES)</t>
  </si>
  <si>
    <t xml:space="preserve">All Payers|ATTUNE FEMORAL COMPONENT CEMENTED CRUCIATE RETAINING RIGHT 3(1504-00-203-DEPUY SYNTHES)</t>
  </si>
  <si>
    <t xml:space="preserve">TR290|HSP5013</t>
  </si>
  <si>
    <t xml:space="preserve">All Payers|ATTM84|ATTUNE FEMORAL COMPONENT CEMENTED CRUCIATE RETAINING RIGHT 4(1504-00-204-DEPUY SYNTHES)</t>
  </si>
  <si>
    <t xml:space="preserve">All Payers|ATTUNE FEMORAL COMPONENT CEMENTED CRUCIATE RETAINING RIGHT 4(1504-00-204-DEPUY SYNTHES)</t>
  </si>
  <si>
    <t xml:space="preserve">TR290|ICC0001</t>
  </si>
  <si>
    <t xml:space="preserve">All Payers|ATTM85|ATTUNE FEMORAL COMPONENT CEMENTED CRUCIATE RETAINING RIGHT 5(1504-00-205-DEPUY SYNTHES)</t>
  </si>
  <si>
    <t xml:space="preserve">All Payers|ATTUNE FEMORAL COMPONENT CEMENTED CRUCIATE RETAINING RIGHT 5(1504-00-205-DEPUY SYNTHES)</t>
  </si>
  <si>
    <t xml:space="preserve">TR290|ICC0002</t>
  </si>
  <si>
    <t xml:space="preserve">All Payers|TRIM108|TRIATHLON FEMORAL COMPONENT CRUCIATE RETAINING CEMENTED PRIMARY REFERENCING RIGHT KNEE TRITANIUM 3(5510F302-STRYKER CORP)</t>
  </si>
  <si>
    <t xml:space="preserve">All Payers|TRIATHLON FEMORAL COMPONENT CRUCIATE RETAINING CEMENTED PRIMARY REFERENCING RIGHT KNEE TRITANIUM 3(5510F302-STRYKER CORP)</t>
  </si>
  <si>
    <t xml:space="preserve">TR290|OTC0010</t>
  </si>
  <si>
    <t xml:space="preserve">All Payers|TRIM131|5510F202 TRIATHLON -CR FEM CEMENT RIGHT 2</t>
  </si>
  <si>
    <t xml:space="preserve">All Payers|5510F202 TRIATHLON -CR FEM CEMENT RIGHT 2</t>
  </si>
  <si>
    <t xml:space="preserve">TR290|OTC5005</t>
  </si>
  <si>
    <t xml:space="preserve">All Payers|TRIM131|TRIATHLON FEMORAL COMPONENT CEMENTED CRUCIATE RETAINING RIGHT TRITANIUM 2(5510-F-202-STRYKER CORP)</t>
  </si>
  <si>
    <t xml:space="preserve">All Payers|TRIATHLON FEMORAL COMPONENT CEMENTED CRUCIATE RETAINING RIGHT TRITANIUM 2(5510-F-202-STRYKER CORP)</t>
  </si>
  <si>
    <t xml:space="preserve">TR290|OTI0015</t>
  </si>
  <si>
    <t xml:space="preserve">All Payers|TRIM153|TRIATHLON TIBIAL INSERT CRUCIATE SUBSTITUTING BEARING KNEE X3 2 11MM(5531-G-211-STRYKER CORP)</t>
  </si>
  <si>
    <t xml:space="preserve">All Payers|TRIATHLON TIBIAL INSERT CRUCIATE SUBSTITUTING BEARING KNEE X3 2 11MM(5531-G-211-STRYKER CORP)</t>
  </si>
  <si>
    <t xml:space="preserve">TR290|OTI0018</t>
  </si>
  <si>
    <t xml:space="preserve">All Payers|TRIM197|5560S112 TRIATHLON TOTAL KNEE CEMENTED STEM 12MM X 50 MM</t>
  </si>
  <si>
    <t xml:space="preserve">All Payers|5560S112 TRIATHLON TOTAL KNEE CEMENTED STEM 12MM X 50 MM</t>
  </si>
  <si>
    <t xml:space="preserve">TR290|OTI0098</t>
  </si>
  <si>
    <t xml:space="preserve">All Payers||DIAPER ADULT LARGE 100CMX150CM(MAGMACARE)</t>
  </si>
  <si>
    <t xml:space="preserve">TR290|PAT0042</t>
  </si>
  <si>
    <t xml:space="preserve">All Payers||SPIKIER VENTE(ROMSONS)</t>
  </si>
  <si>
    <t xml:space="preserve">TR290|PAT0045</t>
  </si>
  <si>
    <t xml:space="preserve">All Payers||SYRINGE 10ML LL WITH NEEDLE(KAREJET-ROMSONS)</t>
  </si>
  <si>
    <t xml:space="preserve">All Payers|SYRINGE 10ML LL WITH NEEDLE(KAREJET-ROMSONS)</t>
  </si>
  <si>
    <t xml:space="preserve">TR290|PHY5082</t>
  </si>
  <si>
    <t xml:space="preserve">All Payers||SYRINGE 10ML LL(BD)</t>
  </si>
  <si>
    <t xml:space="preserve">TR290|RNS0120</t>
  </si>
  <si>
    <t xml:space="preserve">All Payers||SYRINGE 3ML LUERLOCK(BD)</t>
  </si>
  <si>
    <t xml:space="preserve">TR290|RNS5005</t>
  </si>
  <si>
    <t xml:space="preserve">All Payers||SYRINGE 5ML LL(KARE JET-ROMSONS)</t>
  </si>
  <si>
    <t xml:space="preserve">All Payers|SYRINGE 5ML LL(KARE JET-ROMSONS)</t>
  </si>
  <si>
    <t xml:space="preserve">TR290|ROM0001</t>
  </si>
  <si>
    <t xml:space="preserve">All Payers||SYRINGE 5ML(DISPOJEKT-HMD)</t>
  </si>
  <si>
    <t xml:space="preserve">TR290|ROM0024</t>
  </si>
  <si>
    <t xml:space="preserve">All Payers||SYRINGE INSULIN 1ML 31G NEEDLE (40 UNITS)(NIPRO)</t>
  </si>
  <si>
    <t xml:space="preserve">TR290|ROM0036</t>
  </si>
  <si>
    <t xml:space="preserve">All Payers|BALM23|BALL BUR MICS 6MM(110135-ZIMMER)</t>
  </si>
  <si>
    <t xml:space="preserve">All Payers|BALL BUR MICS 6MM(110135-ZIMMER)</t>
  </si>
  <si>
    <t xml:space="preserve">TR290|ROM0093</t>
  </si>
  <si>
    <t xml:space="preserve">All Payers|BANU51|BANDAGE 10CMX3M(BAPUJI)</t>
  </si>
  <si>
    <t xml:space="preserve">All Payers|BANDAGE 10CMX3M(BAPUJI)</t>
  </si>
  <si>
    <t xml:space="preserve">TR290|ROM5009</t>
  </si>
  <si>
    <t xml:space="preserve">All Payers|BLOU55|BLOOD SET(MORRISONS)</t>
  </si>
  <si>
    <t xml:space="preserve">All Payers|BLOOD SET(MORRISONS)</t>
  </si>
  <si>
    <t xml:space="preserve">TR290|ROM5189</t>
  </si>
  <si>
    <t xml:space="preserve">All Payers|CHEM05|111645 CHECK POINT KIT STERILE</t>
  </si>
  <si>
    <t xml:space="preserve">All Payers|111645 CHECK POINT KIT STERILE</t>
  </si>
  <si>
    <t xml:space="preserve">TR290|XRY5090</t>
  </si>
  <si>
    <t xml:space="preserve">All Payers|CREU07|CREPE BANDAGE 10CM(3M)</t>
  </si>
  <si>
    <t xml:space="preserve">All Payers|CREPE BANDAGE 10CM(3M)</t>
  </si>
  <si>
    <t xml:space="preserve">TR290|CAR0080</t>
  </si>
  <si>
    <t xml:space="preserve">All Payers|CURU44|CUROS TIPS DISINFECTING CAP FOR NEEDLELESS CONNECTORS(3M)</t>
  </si>
  <si>
    <t xml:space="preserve">All Payers|CUROS TIPS DISINFECTING CAP FOR NEEDLELESS CONNECTORS(3M)</t>
  </si>
  <si>
    <t xml:space="preserve">TR290|XRY044</t>
  </si>
  <si>
    <t xml:space="preserve">All Payers|DISU367|DISPOSABLE PLASTIC APRON(RESPICARE)</t>
  </si>
  <si>
    <t xml:space="preserve">All Payers|DISPOSABLE PLASTIC APRON(RESPICARE)</t>
  </si>
  <si>
    <t xml:space="preserve">TR290|XRY5133</t>
  </si>
  <si>
    <t xml:space="preserve">All Payers|FEEU06|FEEDY NO-10(ROMSONS)</t>
  </si>
  <si>
    <t xml:space="preserve">All Payers|FEEDY NO-10(ROMSONS)</t>
  </si>
  <si>
    <t xml:space="preserve">TR290|BIO0005</t>
  </si>
  <si>
    <t xml:space="preserve">All Payers|FOLU02|FOLEYS CATHETER 2WAY 14F(RUSCH)</t>
  </si>
  <si>
    <t xml:space="preserve">All Payers|FOLEYS CATHETER 2WAY 14F(RUSCH)</t>
  </si>
  <si>
    <t xml:space="preserve">TR290|BIO0064</t>
  </si>
  <si>
    <t xml:space="preserve">All Payers|KWIM175|KIRSCHNER SURGICAL WIRE STERILE 2X150MM(1450.S.2.0.150-OROMED)</t>
  </si>
  <si>
    <t xml:space="preserve">All Payers|KIRSCHNER SURGICAL WIRE STERILE 2X150MM(1450.S.2.0.150-OROMED)</t>
  </si>
  <si>
    <t xml:space="preserve">TR290|BIO0075</t>
  </si>
  <si>
    <t xml:space="preserve">All Payers|POLU32|POLYURO URINE COLLECTION BAG 2000ML(POLYMED)</t>
  </si>
  <si>
    <t xml:space="preserve">All Payers|POLYURO URINE COLLECTION BAG 2000ML(POLYMED)</t>
  </si>
  <si>
    <t xml:space="preserve">TR290|BIO0097</t>
  </si>
  <si>
    <t xml:space="preserve">All Payers|POSI02|POSIFLUSH SP 5ML(306574-BD)</t>
  </si>
  <si>
    <t xml:space="preserve">All Payers|POSIFLUSH SP 5ML(306574-BD)</t>
  </si>
  <si>
    <t xml:space="preserve">TR290|BIO0098</t>
  </si>
  <si>
    <t xml:space="preserve">All Payers|PULM04|PULSAVAC (BELL)</t>
  </si>
  <si>
    <t xml:space="preserve">All Payers|PULSAVAC (BELL)</t>
  </si>
  <si>
    <t xml:space="preserve">TR290|BIO0106</t>
  </si>
  <si>
    <t xml:space="preserve">All Payers|SMAU13|SMARTSITE TRI EXTENSION(BD)</t>
  </si>
  <si>
    <t xml:space="preserve">All Payers|SMARTSITE TRI EXTENSION(BD)</t>
  </si>
  <si>
    <t xml:space="preserve">TR290|BIO0121</t>
  </si>
  <si>
    <t xml:space="preserve">All Payers|SURU168|SURGICAL GLOVE 8.0(BLISTER PACK-SURGICARE-KANAM)</t>
  </si>
  <si>
    <t xml:space="preserve">All Payers|SURGICAL GLOVE 8.0(BLISTER PACK-SURGICARE-KANAM)</t>
  </si>
  <si>
    <t xml:space="preserve">TR290|BIO0181</t>
  </si>
  <si>
    <t xml:space="preserve">All Payers|SYRU145|SYRINGE 5ML LL(KARE JET-ROMSONS)</t>
  </si>
  <si>
    <t xml:space="preserve">TR290|BLD0001</t>
  </si>
  <si>
    <t xml:space="preserve">All Payers|SYRU146|SYRINGE 10ML LL WITH NEEDLE(KAREJET-ROMSONS)</t>
  </si>
  <si>
    <t xml:space="preserve">TR290|BLD0009</t>
  </si>
  <si>
    <t xml:space="preserve">All Payers|TRUR117|TRUGLYDE 2 SN2478(HEALTHIUM)</t>
  </si>
  <si>
    <t xml:space="preserve">All Payers|TRUGLYDE 2 SN2478(HEALTHIUM)</t>
  </si>
  <si>
    <t xml:space="preserve">TR290|BLD0024</t>
  </si>
  <si>
    <t xml:space="preserve">All Payers|URIU35|URINAL POT MALE/FEMALE(ALPHA MEDICARE)</t>
  </si>
  <si>
    <t xml:space="preserve">All Payers|URINAL POT MALE/FEMALE(ALPHA MEDICARE)</t>
  </si>
  <si>
    <t xml:space="preserve">TR290|PAT0007</t>
  </si>
  <si>
    <t xml:space="preserve">All Payers||CEVISTAT 1.5GM INJECTION</t>
  </si>
  <si>
    <t xml:space="preserve">TR290|PAT0041</t>
  </si>
  <si>
    <t xml:space="preserve">All Payers||GB 29-75MG CAPSULE</t>
  </si>
  <si>
    <t xml:space="preserve">TR290|PAT0078</t>
  </si>
  <si>
    <t xml:space="preserve">All Payers||GLANTRAX 500MG 5ML INJ</t>
  </si>
  <si>
    <t xml:space="preserve">TR290|ANS0003</t>
  </si>
  <si>
    <t xml:space="preserve">All Payers||HORLICKS DIABETES PLUS VANILLA 400GM</t>
  </si>
  <si>
    <t xml:space="preserve">TR290|PHY5076</t>
  </si>
  <si>
    <t xml:space="preserve">PHYSIOTHERAPY</t>
  </si>
  <si>
    <t xml:space="preserve">All Payers||IFIMOL 1000MG 100ML IV</t>
  </si>
  <si>
    <t xml:space="preserve">TR290|EME0016</t>
  </si>
  <si>
    <t xml:space="preserve">All Payers||JUSTIN AQ 1ML INJ</t>
  </si>
  <si>
    <t xml:space="preserve">TR290|EME0018</t>
  </si>
  <si>
    <t xml:space="preserve">All Payers||NEOMIT 8MG/4ML INJ</t>
  </si>
  <si>
    <t xml:space="preserve">All Payers|NEOMIT 8MG/4ML INJ</t>
  </si>
  <si>
    <t xml:space="preserve">TR290|EME0020</t>
  </si>
  <si>
    <t xml:space="preserve">All Payers||NORMAL SALINE 0.9% 100ML PLASTIC EH(ACULIFE)</t>
  </si>
  <si>
    <t xml:space="preserve">TR290|EME0052</t>
  </si>
  <si>
    <t xml:space="preserve">All Payers||PARAGLASS 100ML IV</t>
  </si>
  <si>
    <t xml:space="preserve">TR290|EME0080</t>
  </si>
  <si>
    <t xml:space="preserve">All Payers||ROPIZUVA 0.2% 20ML INJ</t>
  </si>
  <si>
    <t xml:space="preserve">TR290|EME5045</t>
  </si>
  <si>
    <t xml:space="preserve">All Payers||SWIFTOLAC SYR 150ML</t>
  </si>
  <si>
    <t xml:space="preserve">TR290|EME0088</t>
  </si>
  <si>
    <t xml:space="preserve">All Payers||SYRINGES INSULIN 1ML 40 IU(POLYMED)</t>
  </si>
  <si>
    <t xml:space="preserve">TR290|PSY0036</t>
  </si>
  <si>
    <t xml:space="preserve">All Payers||TRANEMIC 500MG 5ML INJ</t>
  </si>
  <si>
    <t xml:space="preserve">All Payers|TRANEMIC 500MG 5ML INJ</t>
  </si>
  <si>
    <t xml:space="preserve">TR291|BIO0001</t>
  </si>
  <si>
    <t xml:space="preserve">All Payers||XSULIN R 40 IU/10ML INJECTION</t>
  </si>
  <si>
    <t xml:space="preserve">TR291|BIO0002</t>
  </si>
  <si>
    <t xml:space="preserve">All Payers|AMLT22|AMLOVAS 5MG TAB</t>
  </si>
  <si>
    <t xml:space="preserve">All Payers|AMLOVAS 5MG TAB</t>
  </si>
  <si>
    <t xml:space="preserve">TR291|BIO0003</t>
  </si>
  <si>
    <t xml:space="preserve">All Payers|AMLT36|AMLOKIND 5MG TAB</t>
  </si>
  <si>
    <t xml:space="preserve">All Payers|AMLOKIND 5MG TAB</t>
  </si>
  <si>
    <t xml:space="preserve">TR291|BIO0004</t>
  </si>
  <si>
    <t xml:space="preserve">All Payers|ASEC05|ASEPTOSHIELD PLUS 500ML(DR SCHUMACHER)</t>
  </si>
  <si>
    <t xml:space="preserve">All Payers|ASEPTOSHIELD PLUS 500ML(DR SCHUMACHER)</t>
  </si>
  <si>
    <t xml:space="preserve">TR291|BIO0162</t>
  </si>
  <si>
    <t xml:space="preserve">All Payers|ATOT59|ATOCOR 40MG TAB</t>
  </si>
  <si>
    <t xml:space="preserve">All Payers|ATOCOR 40MG TAB</t>
  </si>
  <si>
    <t xml:space="preserve">TR291|CAR5341</t>
  </si>
  <si>
    <t xml:space="preserve">All Payers|BEPI03|BEPARINE 5000 IU INJ 5ML</t>
  </si>
  <si>
    <t xml:space="preserve">All Payers|BEPARINE 5000 IU INJ 5ML</t>
  </si>
  <si>
    <t xml:space="preserve">TR291|CAS0007</t>
  </si>
  <si>
    <t xml:space="preserve">All Payers|BETS08|BETADINE 10% 100ML SOLUTION</t>
  </si>
  <si>
    <t xml:space="preserve">All Payers|BETADINE 10% 100ML SOLUTION</t>
  </si>
  <si>
    <t xml:space="preserve">TR291|DIE0001</t>
  </si>
  <si>
    <t xml:space="preserve">All Payers|BIOC56|BIODOXI-LB CAP</t>
  </si>
  <si>
    <t xml:space="preserve">All Payers|BIODOXI-LB CAP</t>
  </si>
  <si>
    <t xml:space="preserve">TR291|EME0017</t>
  </si>
  <si>
    <t xml:space="preserve">All Payers|BIST08|BISOTAB 5MG TAB</t>
  </si>
  <si>
    <t xml:space="preserve">All Payers|BISOTAB 5MG TAB</t>
  </si>
  <si>
    <t xml:space="preserve">TR291|EME0019</t>
  </si>
  <si>
    <t xml:space="preserve">All Payers|BIST12|BISOHEART 2.5MG TAB</t>
  </si>
  <si>
    <t xml:space="preserve">All Payers|BISOHEART 2.5MG TAB</t>
  </si>
  <si>
    <t xml:space="preserve">TR291|EME0087</t>
  </si>
  <si>
    <t xml:space="preserve">All Payers|BRIT13|BRIV 100MG TAB</t>
  </si>
  <si>
    <t xml:space="preserve">All Payers|BRIV 100MG TAB</t>
  </si>
  <si>
    <t xml:space="preserve">TR291|HSP0047</t>
  </si>
  <si>
    <t xml:space="preserve">All Payers|BUPP02|BUPRIGESIC PATCH 5MCG</t>
  </si>
  <si>
    <t xml:space="preserve">All Payers|BUPRIGESIC PATCH 5MCG</t>
  </si>
  <si>
    <t xml:space="preserve">TR291|HSP5013</t>
  </si>
  <si>
    <t xml:space="preserve">All Payers|BUSI03|BUSCOGAST 1ML INJ</t>
  </si>
  <si>
    <t xml:space="preserve">All Payers|BUSCOGAST 1ML INJ</t>
  </si>
  <si>
    <t xml:space="preserve">TR291|ICC0001</t>
  </si>
  <si>
    <t xml:space="preserve">All Payers|CEGI03|CEGAVA 1.5GM INJ</t>
  </si>
  <si>
    <t xml:space="preserve">All Payers|CEGAVA 1.5GM INJ</t>
  </si>
  <si>
    <t xml:space="preserve">TR291|ICC0002</t>
  </si>
  <si>
    <t xml:space="preserve">All Payers|CELP05|CELEVIDA DLS STRAWBERRY 400GM POWDER</t>
  </si>
  <si>
    <t xml:space="preserve">All Payers|CELEVIDA DLS STRAWBERRY 400GM POWDER</t>
  </si>
  <si>
    <t xml:space="preserve">TR291|OTC0010</t>
  </si>
  <si>
    <t xml:space="preserve">All Payers|CELS39|CELEVIDA DIAFIBER SACHET 12GM(PACK OF 30S)</t>
  </si>
  <si>
    <t xml:space="preserve">All Payers|CELEVIDA DIAFIBER SACHET 12GM(PACK OF 30S)</t>
  </si>
  <si>
    <t xml:space="preserve">TR291|OTC5005</t>
  </si>
  <si>
    <t xml:space="preserve">All Payers|CHYT05|CHYMOTHAL FORTE TAB</t>
  </si>
  <si>
    <t xml:space="preserve">All Payers|CHYMOTHAL FORTE TAB</t>
  </si>
  <si>
    <t xml:space="preserve">TR291|OTI0015</t>
  </si>
  <si>
    <t xml:space="preserve">All Payers|CILT06|CILAMET XL 25MG TAB</t>
  </si>
  <si>
    <t xml:space="preserve">All Payers|CILAMET XL 25MG TAB</t>
  </si>
  <si>
    <t xml:space="preserve">TR291|OTI0018</t>
  </si>
  <si>
    <t xml:space="preserve">All Payers|CILT12|CILACAR 5MG TAB</t>
  </si>
  <si>
    <t xml:space="preserve">All Payers|CILACAR 5MG TAB</t>
  </si>
  <si>
    <t xml:space="preserve">TR291|OTI0098</t>
  </si>
  <si>
    <t xml:space="preserve">All Payers|CINT04|CINOD 10MG TAB</t>
  </si>
  <si>
    <t xml:space="preserve">All Payers|CINOD 10MG TAB</t>
  </si>
  <si>
    <t xml:space="preserve">TR291|PAT0042</t>
  </si>
  <si>
    <t xml:space="preserve">All Payers|CINT06|CINOD 20MG TAB</t>
  </si>
  <si>
    <t xml:space="preserve">All Payers|CINOD 20MG TAB</t>
  </si>
  <si>
    <t xml:space="preserve">TR291|PAT0045</t>
  </si>
  <si>
    <t xml:space="preserve">All Payers|CIPT11|CIPLAR LA 40MG TAB</t>
  </si>
  <si>
    <t xml:space="preserve">All Payers|CIPLAR LA 40MG TAB</t>
  </si>
  <si>
    <t xml:space="preserve">TR291|PHY5082</t>
  </si>
  <si>
    <t xml:space="preserve">All Payers|CONT02|CONCOR 5MG TAB</t>
  </si>
  <si>
    <t xml:space="preserve">All Payers|CONCOR 5MG TAB</t>
  </si>
  <si>
    <t xml:space="preserve">TR291|RNS0120</t>
  </si>
  <si>
    <t xml:space="preserve">All Payers|DEXI38|DEXLOG 100MCG/1ML INJECTION</t>
  </si>
  <si>
    <t xml:space="preserve">All Payers|DEXLOG 100MCG/1ML INJECTION</t>
  </si>
  <si>
    <t xml:space="preserve">TR291|RNS5005</t>
  </si>
  <si>
    <t xml:space="preserve">All Payers|DULT15|DULCOFLEX TAB</t>
  </si>
  <si>
    <t xml:space="preserve">All Payers|DULCOFLEX TAB</t>
  </si>
  <si>
    <t xml:space="preserve">TR291|ROM0001</t>
  </si>
  <si>
    <t xml:space="preserve">All Payers|ECOC08|ECOSPRIN-AV 150/20MG CAP</t>
  </si>
  <si>
    <t xml:space="preserve">All Payers|ECOSPRIN-AV 150/20MG CAP</t>
  </si>
  <si>
    <t xml:space="preserve">TR291|ROM0024</t>
  </si>
  <si>
    <t xml:space="preserve">All Payers|ECOT01|ECOSPRIN 75MG TAB</t>
  </si>
  <si>
    <t xml:space="preserve">All Payers|ECOSPRIN 75MG TAB</t>
  </si>
  <si>
    <t xml:space="preserve">TR291|ROM0036</t>
  </si>
  <si>
    <t xml:space="preserve">All Payers|GABT5|GABAPIN 300MG CAP</t>
  </si>
  <si>
    <t xml:space="preserve">All Payers|GABAPIN 300MG CAP</t>
  </si>
  <si>
    <t xml:space="preserve">TR291|ROM0093</t>
  </si>
  <si>
    <t xml:space="preserve">All Payers|HETI13|HETROFOL 1% 20ML INJECTION</t>
  </si>
  <si>
    <t xml:space="preserve">All Payers|HETROFOL 1% 20ML INJECTION</t>
  </si>
  <si>
    <t xml:space="preserve">TR291|ROM5009</t>
  </si>
  <si>
    <t xml:space="preserve">All Payers|IPRI03|IPRAVENT 2ML RESPULES</t>
  </si>
  <si>
    <t xml:space="preserve">All Payers|IPRAVENT 2ML RESPULES</t>
  </si>
  <si>
    <t xml:space="preserve">TR291|ROM5189</t>
  </si>
  <si>
    <t xml:space="preserve">All Payers|IVFU02|IV FLOW REGULATOR(BUYWEL)</t>
  </si>
  <si>
    <t xml:space="preserve">All Payers|IV FLOW REGULATOR(BUYWEL)</t>
  </si>
  <si>
    <t xml:space="preserve">TR291|XRY5090</t>
  </si>
  <si>
    <t xml:space="preserve">All Payers|LETT03|LETHYROX 12.5MCG TAB</t>
  </si>
  <si>
    <t xml:space="preserve">All Payers|LETHYROX 12.5MCG TAB</t>
  </si>
  <si>
    <t xml:space="preserve">TR291|CAR0080</t>
  </si>
  <si>
    <t xml:space="preserve">All Payers|LIMT01|LIMCEE 500MG TAB</t>
  </si>
  <si>
    <t xml:space="preserve">All Payers|LIMCEE 500MG TAB</t>
  </si>
  <si>
    <t xml:space="preserve">TR291|XRY044</t>
  </si>
  <si>
    <t xml:space="preserve">All Payers|LIZT01|LIZOLID 600MG TAB</t>
  </si>
  <si>
    <t xml:space="preserve">All Payers|LIZOLID 600MG TAB</t>
  </si>
  <si>
    <t xml:space="preserve">TR291|XRY5133</t>
  </si>
  <si>
    <t xml:space="preserve">All Payers|LOCI03|LOCAM 2% 30ML INJECTION</t>
  </si>
  <si>
    <t xml:space="preserve">All Payers|LOCAM 2% 30ML INJECTION</t>
  </si>
  <si>
    <t xml:space="preserve">TR291|BIO0005</t>
  </si>
  <si>
    <t xml:space="preserve">All Payers|MEPI16|MEPHNOR 30MG INJ</t>
  </si>
  <si>
    <t xml:space="preserve">All Payers|MEPHNOR 30MG INJ</t>
  </si>
  <si>
    <t xml:space="preserve">TR291|BIO0064</t>
  </si>
  <si>
    <t xml:space="preserve">All Payers|METI7|METOLAR 5ML INJ</t>
  </si>
  <si>
    <t xml:space="preserve">All Payers|METOLAR 5ML INJ</t>
  </si>
  <si>
    <t xml:space="preserve">TR291|BIO0075</t>
  </si>
  <si>
    <t xml:space="preserve">All Payers|METT03|MET XL 50MG TAB</t>
  </si>
  <si>
    <t xml:space="preserve">All Payers|MET XL 50MG TAB</t>
  </si>
  <si>
    <t xml:space="preserve">TR291|BIO0097</t>
  </si>
  <si>
    <t xml:space="preserve">All Payers|METT04|MET XL 25MG TAB</t>
  </si>
  <si>
    <t xml:space="preserve">All Payers|MET XL 25MG TAB</t>
  </si>
  <si>
    <t xml:space="preserve">TR291|BIO0098</t>
  </si>
  <si>
    <t xml:space="preserve">All Payers|METT32|MET XL-AM 50/5MG TAB</t>
  </si>
  <si>
    <t xml:space="preserve">All Payers|MET XL-AM 50/5MG TAB</t>
  </si>
  <si>
    <t xml:space="preserve">TR291|BIO0106</t>
  </si>
  <si>
    <t xml:space="preserve">All Payers|MIDI04|MIDFAST 10ML INJ</t>
  </si>
  <si>
    <t xml:space="preserve">All Payers|MIDFAST 10ML INJ</t>
  </si>
  <si>
    <t xml:space="preserve">TR291|BIO0121</t>
  </si>
  <si>
    <t xml:space="preserve">All Payers|MONT28|MONTEK-LC TAB</t>
  </si>
  <si>
    <t xml:space="preserve">All Payers|MONTEK-LC TAB</t>
  </si>
  <si>
    <t xml:space="preserve">TR291|BIO0181</t>
  </si>
  <si>
    <t xml:space="preserve">All Payers|MUCT13|MUCINAC-AB TAB</t>
  </si>
  <si>
    <t xml:space="preserve">All Payers|MUCINAC-AB TAB</t>
  </si>
  <si>
    <t xml:space="preserve">TR291|BLD0001</t>
  </si>
  <si>
    <t xml:space="preserve">All Payers|NEOI57|NEOMIT 8MG/4ML INJ</t>
  </si>
  <si>
    <t xml:space="preserve">TR291|BLD0009</t>
  </si>
  <si>
    <t xml:space="preserve">All Payers|NEUT40|NEURIT-CD3 TAB</t>
  </si>
  <si>
    <t xml:space="preserve">All Payers|NEURIT-CD3 TAB</t>
  </si>
  <si>
    <t xml:space="preserve">TR291|BLD0024</t>
  </si>
  <si>
    <t xml:space="preserve">All Payers|NEXT16|NEXITO LS TAB</t>
  </si>
  <si>
    <t xml:space="preserve">All Payers|NEXITO LS TAB</t>
  </si>
  <si>
    <t xml:space="preserve">TR291|PAT0007</t>
  </si>
  <si>
    <t xml:space="preserve">All Payers|NEXT8|NEXITO FORTE TAB</t>
  </si>
  <si>
    <t xml:space="preserve">All Payers|NEXITO FORTE TAB</t>
  </si>
  <si>
    <t xml:space="preserve">TR291|PAT0041</t>
  </si>
  <si>
    <t xml:space="preserve">All Payers|NICT02|NICARDIA RETARD 20MG TAB</t>
  </si>
  <si>
    <t xml:space="preserve">All Payers|NICARDIA RETARD 20MG TAB</t>
  </si>
  <si>
    <t xml:space="preserve">TR291|PAT0078</t>
  </si>
  <si>
    <t xml:space="preserve">All Payers|NURU02|NURSE CRIMP CAP(SRI VIJAYA SAI)</t>
  </si>
  <si>
    <t xml:space="preserve">All Payers|NURSE CRIMP CAP(SRI VIJAYA SAI)</t>
  </si>
  <si>
    <t xml:space="preserve">TR291|ANS0003</t>
  </si>
  <si>
    <t xml:space="preserve">All Payers|PHEI08|PHENPRES INJ</t>
  </si>
  <si>
    <t xml:space="preserve">All Payers|PHENPRES INJ</t>
  </si>
  <si>
    <t xml:space="preserve">TR291|PHY5076</t>
  </si>
  <si>
    <t xml:space="preserve">All Payers|POTI08|POTLYTE 10ML INJ</t>
  </si>
  <si>
    <t xml:space="preserve">All Payers|POTLYTE 10ML INJ</t>
  </si>
  <si>
    <t xml:space="preserve">TR291|EME0016</t>
  </si>
  <si>
    <t xml:space="preserve">All Payers|POTI10|POTSAV 10ML INJECTION</t>
  </si>
  <si>
    <t xml:space="preserve">All Payers|POTSAV 10ML INJECTION</t>
  </si>
  <si>
    <t xml:space="preserve">TR291|EME0018</t>
  </si>
  <si>
    <t xml:space="preserve">All Payers|POVC03|POVINANZ SCRUB 7.5% 500ML(NANZ MEDSCIENCE)</t>
  </si>
  <si>
    <t xml:space="preserve">All Payers|POVINANZ SCRUB 7.5% 500ML(NANZ MEDSCIENCE)</t>
  </si>
  <si>
    <t xml:space="preserve">TR291|EME0020</t>
  </si>
  <si>
    <t xml:space="preserve">All Payers|PRAT83|PRASOPHEG 40MG TABLET</t>
  </si>
  <si>
    <t xml:space="preserve">All Payers|PRASOPHEG 40MG TABLET</t>
  </si>
  <si>
    <t xml:space="preserve">TR291|EME0052</t>
  </si>
  <si>
    <t xml:space="preserve">All Payers|ROPI04|ROPIN 0.2% 20ML INJ</t>
  </si>
  <si>
    <t xml:space="preserve">All Payers|ROPIN 0.2% 20ML INJ</t>
  </si>
  <si>
    <t xml:space="preserve">TR291|EME0080</t>
  </si>
  <si>
    <t xml:space="preserve">All Payers|ROST02|ROSUVAS 10MG TAB</t>
  </si>
  <si>
    <t xml:space="preserve">All Payers|ROSUVAS 10MG TAB</t>
  </si>
  <si>
    <t xml:space="preserve">TR291|EME5045</t>
  </si>
  <si>
    <t xml:space="preserve">All Payers|ROST124|ROSUR 10MG TAB</t>
  </si>
  <si>
    <t xml:space="preserve">All Payers|ROSUR 10MG TAB</t>
  </si>
  <si>
    <t xml:space="preserve">TR291|EME0088</t>
  </si>
  <si>
    <t xml:space="preserve">All Payers|SERG02|SEROFLO 250MCG INHALER</t>
  </si>
  <si>
    <t xml:space="preserve">All Payers|SEROFLO 250MCG INHALER</t>
  </si>
  <si>
    <t xml:space="preserve">TR291|PSY0036</t>
  </si>
  <si>
    <t xml:space="preserve">All Payers|SERO01|SERVINADINE 20GM OINTMENT</t>
  </si>
  <si>
    <t xml:space="preserve">All Payers|SERVINADINE 20GM OINTMENT</t>
  </si>
  <si>
    <t xml:space="preserve">TR292|BIO0001</t>
  </si>
  <si>
    <t xml:space="preserve">All Payers|SHET09|SHELCAL-XT TAB</t>
  </si>
  <si>
    <t xml:space="preserve">All Payers|SHELCAL-XT TAB</t>
  </si>
  <si>
    <t xml:space="preserve">TR292|BIO0002</t>
  </si>
  <si>
    <t xml:space="preserve">All Payers|SYNT01|SYNDOPA PLUS TAB</t>
  </si>
  <si>
    <t xml:space="preserve">All Payers|SYNDOPA PLUS TAB</t>
  </si>
  <si>
    <t xml:space="preserve">TR292|BIO0003</t>
  </si>
  <si>
    <t xml:space="preserve">All Payers|TELT308|TELDIL 40MG TAB</t>
  </si>
  <si>
    <t xml:space="preserve">All Payers|TELDIL 40MG TAB</t>
  </si>
  <si>
    <t xml:space="preserve">TR292|BIO0004</t>
  </si>
  <si>
    <t xml:space="preserve">All Payers|TELT423|TELMISPOT 40MG TABLET</t>
  </si>
  <si>
    <t xml:space="preserve">All Payers|TELMISPOT 40MG TABLET</t>
  </si>
  <si>
    <t xml:space="preserve">TR292|BIO0162</t>
  </si>
  <si>
    <t xml:space="preserve">All Payers|TELT63|TELMINORM BXL 40/25 MG TAB</t>
  </si>
  <si>
    <t xml:space="preserve">All Payers|TELMINORM BXL 40/25 MG TAB</t>
  </si>
  <si>
    <t xml:space="preserve">TR292|CAR5341</t>
  </si>
  <si>
    <t xml:space="preserve">All Payers|TEMT14|TEMFIX TR TABLET</t>
  </si>
  <si>
    <t xml:space="preserve">All Payers|TEMFIX TR TABLET</t>
  </si>
  <si>
    <t xml:space="preserve">TR292|CAS0007</t>
  </si>
  <si>
    <t xml:space="preserve">All Payers|TEXT02|TEXAKIND 500MG TAB</t>
  </si>
  <si>
    <t xml:space="preserve">All Payers|TEXAKIND 500MG TAB</t>
  </si>
  <si>
    <t xml:space="preserve">TR292|DIE0001</t>
  </si>
  <si>
    <t xml:space="preserve">All Payers|THEP06|THEMIBUPRINE-P 5MCG PATCH</t>
  </si>
  <si>
    <t xml:space="preserve">All Payers|THEMIBUPRINE-P 5MCG PATCH</t>
  </si>
  <si>
    <t xml:space="preserve">TR292|EME0017</t>
  </si>
  <si>
    <t xml:space="preserve">All Payers|THYT06|THYROX 100MCG TAB</t>
  </si>
  <si>
    <t xml:space="preserve">All Payers|THYROX 100MCG TAB</t>
  </si>
  <si>
    <t xml:space="preserve">TR292|EME0019</t>
  </si>
  <si>
    <t xml:space="preserve">All Payers|THYT15|THYRONORM 75MCG TAB</t>
  </si>
  <si>
    <t xml:space="preserve">All Payers|THYRONORM 75MCG TAB</t>
  </si>
  <si>
    <t xml:space="preserve">TR292|EME0087</t>
  </si>
  <si>
    <t xml:space="preserve">All Payers|TRAI09|TRANEMIC 500MG 5ML INJ</t>
  </si>
  <si>
    <t xml:space="preserve">TR292|HSP0047</t>
  </si>
  <si>
    <t xml:space="preserve">All Payers|TRET02|TRENAXA 500MG TAB</t>
  </si>
  <si>
    <t xml:space="preserve">All Payers|TRENAXA 500MG TAB</t>
  </si>
  <si>
    <t xml:space="preserve">TR292|HSP5013</t>
  </si>
  <si>
    <t xml:space="preserve">All Payers|TRIT44|TRIOLMEZEST 40MG TAB</t>
  </si>
  <si>
    <t xml:space="preserve">All Payers|TRIOLMEZEST 40MG TAB</t>
  </si>
  <si>
    <t xml:space="preserve">TR292|ICC0001</t>
  </si>
  <si>
    <t xml:space="preserve">All Payers|VERI06|VERFEN 10ML INJ</t>
  </si>
  <si>
    <t xml:space="preserve">All Payers|VERFEN 10ML INJ</t>
  </si>
  <si>
    <t xml:space="preserve">TR292|ICC0002</t>
  </si>
  <si>
    <t xml:space="preserve">All Payers|VETI01|VETIRA 5ML INJ</t>
  </si>
  <si>
    <t xml:space="preserve">All Payers|VETIRA 5ML INJ</t>
  </si>
  <si>
    <t xml:space="preserve">TR292|OTC0010</t>
  </si>
  <si>
    <t xml:space="preserve">All Payers|VILT31|VILDAPRIDE-M 50/500MG TAB</t>
  </si>
  <si>
    <t xml:space="preserve">All Payers|VILDAPRIDE-M 50/500MG TAB</t>
  </si>
  <si>
    <t xml:space="preserve">TR292|OTC5005</t>
  </si>
  <si>
    <t xml:space="preserve">All Payers|WOKS02|WOKADINE 100ML SOL</t>
  </si>
  <si>
    <t xml:space="preserve">All Payers|WOKADINE 100ML SOL</t>
  </si>
  <si>
    <t xml:space="preserve">TR292|OTI0015</t>
  </si>
  <si>
    <t xml:space="preserve">All Payers|ZOVC01|ZOVANTA 40MG TAB</t>
  </si>
  <si>
    <t xml:space="preserve">All Payers|ZOVANTA 40MG TAB</t>
  </si>
  <si>
    <t xml:space="preserve">TR292|OTI0018</t>
  </si>
  <si>
    <t xml:space="preserve">All Payers|ZU-T01|ZU-C 500MG TAB</t>
  </si>
  <si>
    <t xml:space="preserve">All Payers|ZU-C 500MG TAB</t>
  </si>
  <si>
    <t xml:space="preserve">TR292|OTI0098</t>
  </si>
  <si>
    <t xml:space="preserve">All Payers|ZUVT03|ZUVASTAT 20MG TAB</t>
  </si>
  <si>
    <t xml:space="preserve">All Payers|ZUVASTAT 20MG TAB</t>
  </si>
  <si>
    <t xml:space="preserve">TR292|PAT0042</t>
  </si>
  <si>
    <t xml:space="preserve">All Payers|ZYRT09|ZYROVA 20MG TAB</t>
  </si>
  <si>
    <t xml:space="preserve">All Payers|ZYROVA 20MG TAB</t>
  </si>
  <si>
    <t xml:space="preserve">TR292|PAT0045</t>
  </si>
  <si>
    <t xml:space="preserve">All Payers|ZYTO02|ZYTEE RB GEL 10ML</t>
  </si>
  <si>
    <t xml:space="preserve">All Payers|ZYTEE RB GEL 10ML</t>
  </si>
  <si>
    <t xml:space="preserve">TR292|PHY5082</t>
  </si>
  <si>
    <t xml:space="preserve">All Payers|ARRU07|ARRAY DRILL PIN 175MM*4MM(4515-70-006-DEPUY)</t>
  </si>
  <si>
    <t xml:space="preserve">All Payers|ARRAY DRILL PIN 175MM*4MM(4515-70-006-DEPUY)</t>
  </si>
  <si>
    <t xml:space="preserve">TR292|RNS0120</t>
  </si>
  <si>
    <t xml:space="preserve">All Payers|ATTM101|ATTUNE TIBIAL INSERT FIXED BEARING CRUCIATE RETAINING AOX 2 6MM(1516-20-206-DEPUY SYNTHES)</t>
  </si>
  <si>
    <t xml:space="preserve">All Payers|ATTUNE TIBIAL INSERT FIXED BEARING CRUCIATE RETAINING AOX 2 6MM(1516-20-206-DEPUY SYNTHES)</t>
  </si>
  <si>
    <t xml:space="preserve">TR292|RNS5005</t>
  </si>
  <si>
    <t xml:space="preserve">All Payers|ATTM106|ATTUNE TIBIAL INSERT F/B CRUCIATE RETAINING 3MM*6MM(1516-20-306-DEPUY)</t>
  </si>
  <si>
    <t xml:space="preserve">All Payers|ATTUNE TIBIAL INSERT F/B CRUCIATE RETAINING 3MM*6MM(1516-20-306-DEPUY)</t>
  </si>
  <si>
    <t xml:space="preserve">TR292|ROM0001</t>
  </si>
  <si>
    <t xml:space="preserve">All Payers|ATTM108|ATTUNE TIBIAL INSERT FIXED BEARING CRUCIATE RETAINING AOX 3 8MM(1516-20-308-DEPUY SYNTHES)</t>
  </si>
  <si>
    <t xml:space="preserve">All Payers|ATTUNE TIBIAL INSERT FIXED BEARING CRUCIATE RETAINING AOX 3 8MM(1516-20-308-DEPUY SYNTHES)</t>
  </si>
  <si>
    <t xml:space="preserve">TR292|ROM0024</t>
  </si>
  <si>
    <t xml:space="preserve">All Payers|ATTM110|ATTUNE TIBIAL INSERT FIXED BEARING CRUCIATE RETAINING AOX 4 5MM(1516-20-405-DEPUY SYNTHES)</t>
  </si>
  <si>
    <t xml:space="preserve">All Payers|ATTUNE TIBIAL INSERT FIXED BEARING CRUCIATE RETAINING AOX 4 5MM(1516-20-405-DEPUY SYNTHES)</t>
  </si>
  <si>
    <t xml:space="preserve">TR292|ROM0036</t>
  </si>
  <si>
    <t xml:space="preserve">All Payers|ATTM111|ATTUNE TIBIAL INSERT FIXED BEARING CRUCIATE RETAINING AOX 4 6MM(1516-20-406-DEPUY SYNTHES)</t>
  </si>
  <si>
    <t xml:space="preserve">All Payers|ATTUNE TIBIAL INSERT FIXED BEARING CRUCIATE RETAINING AOX 4 6MM(1516-20-406-DEPUY SYNTHES)</t>
  </si>
  <si>
    <t xml:space="preserve">TR292|ROM0093</t>
  </si>
  <si>
    <t xml:space="preserve">All Payers|ATTM115|ATTUNE TIBIAL INSERT FIXED BEARING CRUCIATE RETAINING AOX 5 5MM(1516-20-505-DEPUY SYNTHES)</t>
  </si>
  <si>
    <t xml:space="preserve">All Payers|ATTUNE TIBIAL INSERT FIXED BEARING CRUCIATE RETAINING AOX 5 5MM(1516-20-505-DEPUY SYNTHES)</t>
  </si>
  <si>
    <t xml:space="preserve">TR292|ROM5009</t>
  </si>
  <si>
    <t xml:space="preserve">All Payers|ATTM138|ATTUNE TIBIAL BASEPLATE FIXED BEARING CEMENTED 4MM(1506-70-004-JOHNSON &amp; JOHNSON)</t>
  </si>
  <si>
    <t xml:space="preserve">All Payers|ATTUNE TIBIAL BASEPLATE FIXED BEARING CEMENTED 4MM(1506-70-004-JOHNSON &amp; JOHNSON)</t>
  </si>
  <si>
    <t xml:space="preserve">TR292|ROM5189</t>
  </si>
  <si>
    <t xml:space="preserve">All Payers|ATTM161|ATTUNE FEMORAL COMPONENT CEMENTED CRUCIATE RETAINING RIGHT 2(1504-00-202-DEPUY SYNTHES)</t>
  </si>
  <si>
    <t xml:space="preserve">All Payers|ATTUNE FEMORAL COMPONENT CEMENTED CRUCIATE RETAINING RIGHT 2(1504-00-202-DEPUY SYNTHES)</t>
  </si>
  <si>
    <t xml:space="preserve">TR292|XRY5090</t>
  </si>
  <si>
    <t xml:space="preserve">All Payers|ATTM164|ATTUNE TIBIAL BASEPLATE STEMMABLE CEMENTED KNEE 4MM(1506-40-004-DEPUY SYNTHES)</t>
  </si>
  <si>
    <t xml:space="preserve">All Payers|ATTUNE TIBIAL BASEPLATE STEMMABLE CEMENTED KNEE 4MM(1506-40-004-DEPUY SYNTHES)</t>
  </si>
  <si>
    <t xml:space="preserve">TR292|CAR0080</t>
  </si>
  <si>
    <t xml:space="preserve">All Payers|ATTM169|ATTUNE KNEE SYSTEM REVISION TIBIAL BASE FIXED BEARING CEMENTED SIZE 2MM(1506-40-002-DEPUY)</t>
  </si>
  <si>
    <t xml:space="preserve">All Payers|ATTUNE KNEE SYSTEM REVISION TIBIAL BASE FIXED BEARING CEMENTED SIZE 2MM(1506-40-002-DEPUY)</t>
  </si>
  <si>
    <t xml:space="preserve">TR292|XRY044</t>
  </si>
  <si>
    <t xml:space="preserve">All Payers|ATTM169|ATTUNE TIBIAL BASEPLATE FIXED BEARING REVISION CEMENTED CONSTRAINED KNEE 2(1506-40-002-DEPUY SYNTHES)</t>
  </si>
  <si>
    <t xml:space="preserve">All Payers|ATTUNE TIBIAL BASEPLATE FIXED BEARING REVISION CEMENTED CONSTRAINED KNEE 2(1506-40-002-DEPUY SYNTHES)</t>
  </si>
  <si>
    <t xml:space="preserve">TR292|XRY5133</t>
  </si>
  <si>
    <t xml:space="preserve">All Payers|ATTM176|ORTHOPAEDIC BEARING TIBIAL BASE FIXED CEMENTED KNEE SYSTEM REVISION 6MM(1506-40-006-DEPUY SYNTHES)</t>
  </si>
  <si>
    <t xml:space="preserve">All Payers|ORTHOPAEDIC BEARING TIBIAL BASE FIXED CEMENTED KNEE SYSTEM REVISION 6MM(1506-40-006-DEPUY SYNTHES)</t>
  </si>
  <si>
    <t xml:space="preserve">TR292|BIO0005</t>
  </si>
  <si>
    <t xml:space="preserve">All Payers|ATTM208|ATTUNE KNEE SYSTEM TIBIAL INSERT FIXED BEARING MEDIAL STABILIZED RIGHT SIZE AOX 6MM*6MM(1520-20-606-DEPUY)</t>
  </si>
  <si>
    <t xml:space="preserve">All Payers|ATTUNE KNEE SYSTEM TIBIAL INSERT FIXED BEARING MEDIAL STABILIZED RIGHT SIZE AOX 6MM*6MM(1520-20-606-DEPUY)</t>
  </si>
  <si>
    <t xml:space="preserve">TR292|BIO0064</t>
  </si>
  <si>
    <t xml:space="preserve">All Payers|ATTM221|ATTUNE KNEE SYSTEM TIBIAL INSERT FIXED BEARING MEDIAL STABILIZED RIGHTSIZE 5MM X 10MM(1520-20-510-DEPUY)</t>
  </si>
  <si>
    <t xml:space="preserve">All Payers|ATTUNE KNEE SYSTEM TIBIAL INSERT FIXED BEARING MEDIAL STABILIZED RIGHTSIZE 5MM X 10MM(1520-20-510-DEPUY)</t>
  </si>
  <si>
    <t xml:space="preserve">TR292|BIO0075</t>
  </si>
  <si>
    <t xml:space="preserve">All Payers|ATTM223|ATTUNE KNEE SYSTEM TIBIAL INSERT FIXED BEARING MEDIAL STABILIZED RIGHT SIZE 4MM*6MM(1520-20-406-DEPUY)</t>
  </si>
  <si>
    <t xml:space="preserve">All Payers|ATTUNE KNEE SYSTEM TIBIAL INSERT FIXED BEARING MEDIAL STABILIZED RIGHT SIZE 4MM*6MM(1520-20-406-DEPUY)</t>
  </si>
  <si>
    <t xml:space="preserve">TR292|BIO0097</t>
  </si>
  <si>
    <t xml:space="preserve">All Payers|ATTM232|ATTUNE KNEE SYSTEM TIBIAL INSERT FIXED BEARING MEDIAL STABILIZED RIGHTSIZE 3MM X 7MM(1520-20-307-DEPUY)</t>
  </si>
  <si>
    <t xml:space="preserve">All Payers|ATTUNE KNEE SYSTEM TIBIAL INSERT FIXED BEARING MEDIAL STABILIZED RIGHTSIZE 3MM X 7MM(1520-20-307-DEPUY)</t>
  </si>
  <si>
    <t xml:space="preserve">TR292|BIO0098</t>
  </si>
  <si>
    <t xml:space="preserve">All Payers|ATTM27|ATTUNE TIBIAL BASEPLATE FIXED BEARING CEMENTED 5MM(1506-70-005-DEPUY SYNTHES)</t>
  </si>
  <si>
    <t xml:space="preserve">All Payers|ATTUNE TIBIAL BASEPLATE FIXED BEARING CEMENTED 5MM(1506-70-005-DEPUY SYNTHES)</t>
  </si>
  <si>
    <t xml:space="preserve">TR292|BIO0106</t>
  </si>
  <si>
    <t xml:space="preserve">All Payers|ATTM83|ATTUNE FEMORAL C/R CEMENTED RIGHT SEZE 3(1504-00-203-DEPUY)</t>
  </si>
  <si>
    <t xml:space="preserve">All Payers|ATTUNE FEMORAL C/R CEMENTED RIGHT SEZE 3(1504-00-203-DEPUY)</t>
  </si>
  <si>
    <t xml:space="preserve">TR292|BIO0121</t>
  </si>
  <si>
    <t xml:space="preserve">All Payers|ATTM86|ATTUNE FEMORAL COMPONENT CEMENTED CRUCIATE RETAINING RIGHT 6(1504-00-206-DEPUY SYNTHES)</t>
  </si>
  <si>
    <t xml:space="preserve">All Payers|ATTUNE FEMORAL COMPONENT CEMENTED CRUCIATE RETAINING RIGHT 6(1504-00-206-DEPUY SYNTHES)</t>
  </si>
  <si>
    <t xml:space="preserve">TR292|BIO0181</t>
  </si>
  <si>
    <t xml:space="preserve">All Payers|ATTM97|ATTUNE FEMORAL COMPONENT CEMENTED CRUCIATE RETAINING RIGHT 4 NARROW(1504-00-224-DEPUY SYNTHES)</t>
  </si>
  <si>
    <t xml:space="preserve">All Payers|ATTUNE FEMORAL COMPONENT CEMENTED CRUCIATE RETAINING RIGHT 4 NARROW(1504-00-224-DEPUY SYNTHES)</t>
  </si>
  <si>
    <t xml:space="preserve">TR292|BLD0001</t>
  </si>
  <si>
    <t xml:space="preserve">All Payers|BONM229|BONE PIN 3.2MM*140MM(143140/213527-STRYKER)</t>
  </si>
  <si>
    <t xml:space="preserve">All Payers|BONE PIN 3.2MM*140MM(143140/213527-STRYKER)</t>
  </si>
  <si>
    <t xml:space="preserve">TR292|BLD0009</t>
  </si>
  <si>
    <t xml:space="preserve">All Payers|CORM9076|CORTICAL SCREW SLF TAPP 3.5MM*20MM 20TPI(A458000020-PITKAR)</t>
  </si>
  <si>
    <t xml:space="preserve">All Payers|CORTICAL SCREW SLF TAPP 3.5MM*20MM 20TPI(A458000020-PITKAR)</t>
  </si>
  <si>
    <t xml:space="preserve">TR292|BLD0024</t>
  </si>
  <si>
    <t xml:space="preserve">All Payers|LOCM2609|LOCKING SCREW SELF-TAPPING 3.5X26MM(AI07100026-PITKAR ORTHOTOOLS PVT LTD)</t>
  </si>
  <si>
    <t xml:space="preserve">All Payers|LOCKING SCREW SELF-TAPPING 3.5X26MM(AI07100026-PITKAR ORTHOTOOLS PVT LTD)</t>
  </si>
  <si>
    <t xml:space="preserve">TR292|PAT0007</t>
  </si>
  <si>
    <t xml:space="preserve">All Payers|MCKM01|MCK ONLAY TIBIAL INSERT SIZE 1MM*9MM(180701-2-STRYKER)</t>
  </si>
  <si>
    <t xml:space="preserve">All Payers|MCK ONLAY TIBIAL INSERT SIZE 1MM*9MM(180701-2-STRYKER)</t>
  </si>
  <si>
    <t xml:space="preserve">TR292|PAT0041</t>
  </si>
  <si>
    <t xml:space="preserve">All Payers|RESM100|RESTORIS MCK TIBIAL ONLAY INSERT SIZE-2MM*09MM(180702-2-STRYKER)</t>
  </si>
  <si>
    <t xml:space="preserve">All Payers|RESTORIS MCK TIBIAL ONLAY INSERT SIZE-2MM*09MM(180702-2-STRYKER)</t>
  </si>
  <si>
    <t xml:space="preserve">TR292|PAT0078</t>
  </si>
  <si>
    <t xml:space="preserve">All Payers|RESM68|RESTORIS MCK FEMORAL COMPONET RM/LL SIZE-1(180511-STRYKER)</t>
  </si>
  <si>
    <t xml:space="preserve">All Payers|RESTORIS MCK FEMORAL COMPONET RM/LL SIZE-1(180511-STRYKER)</t>
  </si>
  <si>
    <t xml:space="preserve">TR292|ANS0003</t>
  </si>
  <si>
    <t xml:space="preserve">All Payers|RESM69|RESTORIS MCK FEMORAL COMPONET RM/LL SIZE-2(180512-STRYKER)</t>
  </si>
  <si>
    <t xml:space="preserve">All Payers|RESTORIS MCK FEMORAL COMPONET RM/LL SIZE-2(180512-STRYKER)</t>
  </si>
  <si>
    <t xml:space="preserve">TR292|PHY5076</t>
  </si>
  <si>
    <t xml:space="preserve">All Payers|RESM70|RESTORIS MCK FEMORAL COMPONET RM/LL SIZE-3(180513-STRYKER)</t>
  </si>
  <si>
    <t xml:space="preserve">All Payers|RESTORIS MCK FEMORAL COMPONET RM/LL SIZE-3(180513-STRYKER)</t>
  </si>
  <si>
    <t xml:space="preserve">TR292|EME0016</t>
  </si>
  <si>
    <t xml:space="preserve">All Payers|RESM71|RESTORIS MCK FEMORAL COMPONENT RIGHT MEDIAL LEFT LATERAL KNEE 4(180514-STRYKER CORP)</t>
  </si>
  <si>
    <t xml:space="preserve">All Payers|RESTORIS MCK FEMORAL COMPONENT RIGHT MEDIAL LEFT LATERAL KNEE 4(180514-STRYKER CORP)</t>
  </si>
  <si>
    <t xml:space="preserve">TR292|EME0018</t>
  </si>
  <si>
    <t xml:space="preserve">All Payers|RESM79|RESTORIS MCK TIBIAL BASE PLATE RM/LL SIZE-1(180611-STRYKER)</t>
  </si>
  <si>
    <t xml:space="preserve">All Payers|RESTORIS MCK TIBIAL BASE PLATE RM/LL SIZE-1(180611-STRYKER)</t>
  </si>
  <si>
    <t xml:space="preserve">TR292|EME0020</t>
  </si>
  <si>
    <t xml:space="preserve">All Payers|RESM80|RESTORIS MCK TIBIAL BASE PLATE RM/LL SIZE-2(180612-STRYKER)</t>
  </si>
  <si>
    <t xml:space="preserve">All Payers|RESTORIS MCK TIBIAL BASE PLATE RM/LL SIZE-2(180612-STRYKER)</t>
  </si>
  <si>
    <t xml:space="preserve">TR292|EME0052</t>
  </si>
  <si>
    <t xml:space="preserve">All Payers|RESM81|RESTORIS MCK TIBIAL BASE PLATE RM/LL SIZE-3(180613-STRYKER)</t>
  </si>
  <si>
    <t xml:space="preserve">All Payers|RESTORIS MCK TIBIAL BASE PLATE RM/LL SIZE-3(180613-STRYKER)</t>
  </si>
  <si>
    <t xml:space="preserve">TR292|EME0080</t>
  </si>
  <si>
    <t xml:space="preserve">All Payers|RESM82|RESTORIS MCK TIBIAL BASEPLATE ONLAY RIGHT MEDIAL LEFT LATERAL 4(180614-STRYKER CORP)</t>
  </si>
  <si>
    <t xml:space="preserve">All Payers|RESTORIS MCK TIBIAL BASEPLATE ONLAY RIGHT MEDIAL LEFT LATERAL 4(180614-STRYKER CORP)</t>
  </si>
  <si>
    <t xml:space="preserve">TR292|EME5045</t>
  </si>
  <si>
    <t xml:space="preserve">All Payers|RESM87|1807031 RESTORIS MCK TIBIAL INSERT 3 X 8MM</t>
  </si>
  <si>
    <t xml:space="preserve">All Payers|1807031 RESTORIS MCK TIBIAL INSERT 3 X 8MM</t>
  </si>
  <si>
    <t xml:space="preserve">TR292|EME0088</t>
  </si>
  <si>
    <t xml:space="preserve">All Payers|RESM88|RESTORIS TIBIAL INSERT MULTI COMPARTMENTAL ONLAY KNEE 4 9MM(180704-2-STRYKER CORP)</t>
  </si>
  <si>
    <t xml:space="preserve">All Payers|RESTORIS TIBIAL INSERT MULTI COMPARTMENTAL ONLAY KNEE 4 9MM(180704-2-STRYKER CORP)</t>
  </si>
  <si>
    <t xml:space="preserve">TR292|PSY0036</t>
  </si>
  <si>
    <t xml:space="preserve">All Payers|SIMM01|SIMPLEX BONE CEMENT 40 GR [6191-0-001]</t>
  </si>
  <si>
    <t xml:space="preserve">All Payers|SIMPLEX BONE CEMENT 40 GR [6191-0-001]</t>
  </si>
  <si>
    <t xml:space="preserve">TR303|BIO0001</t>
  </si>
  <si>
    <t xml:space="preserve">All Payers|SIMM30|SIMPLEX P BONE CEMENT 40GM(6191-0-001-STRYKER CORP)</t>
  </si>
  <si>
    <t xml:space="preserve">TR303|BIO0002</t>
  </si>
  <si>
    <t xml:space="preserve">All Payers|SMAM40|SMART SET GHV GENTAMICIAN 40GRM(3095-040-DEPUY)</t>
  </si>
  <si>
    <t xml:space="preserve">All Payers|SMART SET GHV GENTAMICIAN 40GRM(3095-040-DEPUY)</t>
  </si>
  <si>
    <t xml:space="preserve">TR303|BIO0003</t>
  </si>
  <si>
    <t xml:space="preserve">All Payers|TRIM114|TRIATHLON TIBIAL INSERT CRUCIATE SUBSTITUTING BEARING KNEE X3 2 9MM(5531-G-209-E-STRYKER CORP)</t>
  </si>
  <si>
    <t xml:space="preserve">All Payers|TRIATHLON TIBIAL INSERT CRUCIATE SUBSTITUTING BEARING KNEE X3 2 9MM(5531-G-209-E-STRYKER CORP)</t>
  </si>
  <si>
    <t xml:space="preserve">TR303|BIO0004</t>
  </si>
  <si>
    <t xml:space="preserve">All Payers|TRIM122|TRIATHLON CR FEMORAL CEMENT RIGHT-3(5510F302-STRYKER)</t>
  </si>
  <si>
    <t xml:space="preserve">All Payers|TRIATHLON CR FEMORAL CEMENT RIGHT-3(5510F302-STRYKER)</t>
  </si>
  <si>
    <t xml:space="preserve">TR303|BIO0162</t>
  </si>
  <si>
    <t xml:space="preserve">All Payers|TRIM132|TRIATHLON FEMORAL COMPONENT CRUCIATE RETAINING CEMENTED PRIMARY REFERENCING RIGHT KNEE TRITANIUM 4(5510F402-STRYKER CORP)</t>
  </si>
  <si>
    <t xml:space="preserve">All Payers|TRIATHLON FEMORAL COMPONENT CRUCIATE RETAINING CEMENTED PRIMARY REFERENCING RIGHT KNEE TRITANIUM 4(5510F402-STRYKER CORP)</t>
  </si>
  <si>
    <t xml:space="preserve">TR303|CAR5341</t>
  </si>
  <si>
    <t xml:space="preserve">All Payers|TRIM133|TRIATHLON FEMORAL COMPONENT CEMENTED CRUCIATE RETAINING RIGHT TRITANIUM 5(5510-F-502-STRYKER CORP)</t>
  </si>
  <si>
    <t xml:space="preserve">All Payers|TRIATHLON FEMORAL COMPONENT CEMENTED CRUCIATE RETAINING RIGHT TRITANIUM 5(5510-F-502-STRYKER CORP)</t>
  </si>
  <si>
    <t xml:space="preserve">TR303|CAS0007</t>
  </si>
  <si>
    <t xml:space="preserve">All Payers|TRIM151|TRIATHLON INSERT CS X31MM*11MM(5531G111-STRYKER)</t>
  </si>
  <si>
    <t xml:space="preserve">All Payers|TRIATHLON INSERT CS X31MM*11MM(5531G111-STRYKER)</t>
  </si>
  <si>
    <t xml:space="preserve">TR303|DIE0001</t>
  </si>
  <si>
    <t xml:space="preserve">All Payers|TRIM153|TRIATHLON INSERT CS X3 2*11MM(5531G211-STRYKER)</t>
  </si>
  <si>
    <t xml:space="preserve">All Payers|TRIATHLON INSERT CS X3 2*11MM(5531G211-STRYKER)</t>
  </si>
  <si>
    <t xml:space="preserve">TR303|EME0017</t>
  </si>
  <si>
    <t xml:space="preserve">All Payers|TRIM157|5531G409E TRIATHLON X3 TIBIAL BEARING INSERT CS 4 X 9 MM</t>
  </si>
  <si>
    <t xml:space="preserve">All Payers|5531G409E TRIATHLON X3 TIBIAL BEARING INSERT CS 4 X 9 MM</t>
  </si>
  <si>
    <t xml:space="preserve">TR303|EME0019</t>
  </si>
  <si>
    <t xml:space="preserve">All Payers|TRIM158|TRIATHLON TIBIAL INSERT CRUCIATE SUBSTITUTING BEARING KNEE X3 4 11MM(5531-G-411-E-STRYKER CORP)</t>
  </si>
  <si>
    <t xml:space="preserve">All Payers|TRIATHLON TIBIAL INSERT CRUCIATE SUBSTITUTING BEARING KNEE X3 4 11MM(5531-G-411-E-STRYKER CORP)</t>
  </si>
  <si>
    <t xml:space="preserve">TR303|EME0087</t>
  </si>
  <si>
    <t xml:space="preserve">All Payers|TRIM184|5520B400 TRIATHLON TIBIA BP CEMENTED SIZE 4</t>
  </si>
  <si>
    <t xml:space="preserve">All Payers|5520B400 TRIATHLON TIBIA BP CEMENTED SIZE 4</t>
  </si>
  <si>
    <t xml:space="preserve">TR303|HSP0047</t>
  </si>
  <si>
    <t xml:space="preserve">All Payers|TRIM185|5521B100 TRIATHLON TOT KNEE UNIVERSAL TIB BASE PLATE (STRYKER)</t>
  </si>
  <si>
    <t xml:space="preserve">All Payers|5521B100 TRIATHLON TOT KNEE UNIVERSAL TIB BASE PLATE (STRYKER)</t>
  </si>
  <si>
    <t xml:space="preserve">TR303|HSP5013</t>
  </si>
  <si>
    <t xml:space="preserve">All Payers|TRIM187|5521B200 TRIATHLON UNIVERSAL BP 2(STRYKER)</t>
  </si>
  <si>
    <t xml:space="preserve">All Payers|5521B200 TRIATHLON UNIVERSAL BP 2(STRYKER)</t>
  </si>
  <si>
    <t xml:space="preserve">TR303|ICC0001</t>
  </si>
  <si>
    <t xml:space="preserve">All Payers|TRIM188|TRIATHLON TIBIAL BASEPLATE CEMENTED 3 UNIVERSAL(5521-B-300-STRYKER CORP)</t>
  </si>
  <si>
    <t xml:space="preserve">All Payers|TRIATHLON TIBIAL BASEPLATE CEMENTED 3 UNIVERSAL(5521-B-300-STRYKER CORP)</t>
  </si>
  <si>
    <t xml:space="preserve">TR303|ICC0002</t>
  </si>
  <si>
    <t xml:space="preserve">All Payers|TRIM189|TRIATHLON TIBIAL BASEPLATE CEMENTED TOTAL KNEE UNIVERSAL 4(5521-B-400-STRYKER CORP)</t>
  </si>
  <si>
    <t xml:space="preserve">All Payers|TRIATHLON TIBIAL BASEPLATE CEMENTED TOTAL KNEE UNIVERSAL 4(5521-B-400-STRYKER CORP)</t>
  </si>
  <si>
    <t xml:space="preserve">TR303|OTC0010</t>
  </si>
  <si>
    <t xml:space="preserve">All Payers|TRIM191|TRIATHLON TIBIAL BASEPLATE PRIMARY CEMENTED STERILE 5(5520-B-500-STRYKER CORP)</t>
  </si>
  <si>
    <t xml:space="preserve">All Payers|TRIATHLON TIBIAL BASEPLATE PRIMARY CEMENTED STERILE 5(5520-B-500-STRYKER CORP)</t>
  </si>
  <si>
    <t xml:space="preserve">TR303|OTC5005</t>
  </si>
  <si>
    <t xml:space="preserve">All Payers|TRIM196|TRIATHLON TS FEMORAL STEM CEMENTED KNEE TITANIUM 12X100MM(5560-S-212-STRYKER CORP)</t>
  </si>
  <si>
    <t xml:space="preserve">All Payers|TRIATHLON TS FEMORAL STEM CEMENTED KNEE TITANIUM 12X100MM(5560-S-212-STRYKER CORP)</t>
  </si>
  <si>
    <t xml:space="preserve">TR303|OTI0015</t>
  </si>
  <si>
    <t xml:space="preserve">All Payers|TRIM197|TRIATHLON TS FEMORAL STEM CEMENTED KNEE TITANIUM 12X50MM(5560-S-112-STRYKER CORP)</t>
  </si>
  <si>
    <t xml:space="preserve">All Payers|TRIATHLON TS FEMORAL STEM CEMENTED KNEE TITANIUM 12X50MM(5560-S-112-STRYKER CORP)</t>
  </si>
  <si>
    <t xml:space="preserve">TR303|OTI0018</t>
  </si>
  <si>
    <t xml:space="preserve">All Payers|TRIM355|TRIATHLON TIBIAL INSERT CRUCIATE STABILIZED BEARING KNEE X3 3 10MM(5531-G-310-E-STRYKER CORP)</t>
  </si>
  <si>
    <t xml:space="preserve">All Payers|TRIATHLON TIBIAL INSERT CRUCIATE STABILIZED BEARING KNEE X3 3 10MM(5531-G-310-E-STRYKER CORP)</t>
  </si>
  <si>
    <t xml:space="preserve">TR303|OTI0098</t>
  </si>
  <si>
    <t xml:space="preserve">All Payers|TRIM358|TRIATHLON TIBIAL INSERT CRUCIATE STABILIZED BEARING KNEE X3 5 10MM(5531-G-510-E-STRYKER CORP)</t>
  </si>
  <si>
    <t xml:space="preserve">All Payers|TRIATHLON TIBIAL INSERT CRUCIATE STABILIZED BEARING KNEE X3 5 10MM(5531-G-510-E-STRYKER CORP)</t>
  </si>
  <si>
    <t xml:space="preserve">TR303|PAT0042</t>
  </si>
  <si>
    <t xml:space="preserve">All Payers||BED BATH TOWEL 300MM*240MM 10S PACK(WIPEX-ROMSONS)</t>
  </si>
  <si>
    <t xml:space="preserve">TR303|PAT0045</t>
  </si>
  <si>
    <t xml:space="preserve">All Payers||DIAPER ADULT MEDIUM 75CMX110CM(MAGMACARE)</t>
  </si>
  <si>
    <t xml:space="preserve">All Payers|DIAPER ADULT MEDIUM 75CMX110CM(MAGMACARE)</t>
  </si>
  <si>
    <t xml:space="preserve">TR303|PHY5082</t>
  </si>
  <si>
    <t xml:space="preserve">All Payers||DIAPER ADULT XL 120CMX142.5CM(MAGMACARE)</t>
  </si>
  <si>
    <t xml:space="preserve">TR303|RNS0120</t>
  </si>
  <si>
    <t xml:space="preserve">All Payers||ECG ELECTRODES ADULT(SUCHIKA)</t>
  </si>
  <si>
    <t xml:space="preserve">TR303|RNS5005</t>
  </si>
  <si>
    <t xml:space="preserve">All Payers||MICRO POLYSITE PLUS (DUO) EXTENSION(POLYMED)</t>
  </si>
  <si>
    <t xml:space="preserve">TR303|ROM0001</t>
  </si>
  <si>
    <t xml:space="preserve">All Payers||POSIFLUSH SP 10ML(306575-BD)</t>
  </si>
  <si>
    <t xml:space="preserve">TR303|ROM0024</t>
  </si>
  <si>
    <t xml:space="preserve">All Payers||POSIFLUSH SP 5ML(306574-BD)</t>
  </si>
  <si>
    <t xml:space="preserve">TR303|ROM0036</t>
  </si>
  <si>
    <t xml:space="preserve">All Payers||STERIDRAPE ISOLATION BAG 50CM*50CM(1003-3M)</t>
  </si>
  <si>
    <t xml:space="preserve">All Payers|STERIDRAPE ISOLATION BAG 50CM*50CM(1003-3M)</t>
  </si>
  <si>
    <t xml:space="preserve">TR303|ROM0093</t>
  </si>
  <si>
    <t xml:space="preserve">All Payers||SURGICAL GLOVE 7.5(BLISTER PACK-SURGICARE-KANAM)</t>
  </si>
  <si>
    <t xml:space="preserve">TR303|ROM5009</t>
  </si>
  <si>
    <t xml:space="preserve">All Payers||SURGICAL GLOVE 7.5(SURGICARE-KANAM)</t>
  </si>
  <si>
    <t xml:space="preserve">TR303|ROM5189</t>
  </si>
  <si>
    <t xml:space="preserve">All Payers||SYRINGE 10ML LL(LIFE LONG)</t>
  </si>
  <si>
    <t xml:space="preserve">TR303|XRY5090</t>
  </si>
  <si>
    <t xml:space="preserve">All Payers|ADVR02|ADVACRYL 1 ADVA2347(AMS)</t>
  </si>
  <si>
    <t xml:space="preserve">All Payers|ADVACRYL 1 ADVA2347(AMS)</t>
  </si>
  <si>
    <t xml:space="preserve">TR303|CAR0080</t>
  </si>
  <si>
    <t xml:space="preserve">All Payers|ADVR10|ADVACRYL 2-0 ADVA2404(AMS)</t>
  </si>
  <si>
    <t xml:space="preserve">All Payers|ADVACRYL 2-0 ADVA2404(AMS)</t>
  </si>
  <si>
    <t xml:space="preserve">TR303|XRY044</t>
  </si>
  <si>
    <t xml:space="preserve">X-RAY BED SIDE AP VIEW</t>
  </si>
  <si>
    <t xml:space="preserve">All Payers|ADVR105|ADVAGRIP 180 1-0 ADVAGL0337(AMS)</t>
  </si>
  <si>
    <t xml:space="preserve">All Payers|ADVAGRIP 180 1-0 ADVAGL0337(AMS)</t>
  </si>
  <si>
    <t xml:space="preserve">TR303|XRY5133</t>
  </si>
  <si>
    <t xml:space="preserve">All Payers|ADVR21|ADVACRYL 1 ADVA2826E(AMS)</t>
  </si>
  <si>
    <t xml:space="preserve">All Payers|ADVACRYL 1 ADVA2826E(AMS)</t>
  </si>
  <si>
    <t xml:space="preserve">TR303|BIO0005</t>
  </si>
  <si>
    <t xml:space="preserve">All Payers|ADVR34|ADVALENE 0 ADVA830(AMS)</t>
  </si>
  <si>
    <t xml:space="preserve">All Payers|ADVALENE 0 ADVA830(AMS)</t>
  </si>
  <si>
    <t xml:space="preserve">TR303|BIO0064</t>
  </si>
  <si>
    <t xml:space="preserve">All Payers|ALCC05|ALCOHOL SWABS(NANZ)</t>
  </si>
  <si>
    <t xml:space="preserve">All Payers|ALCOHOL SWABS(NANZ)</t>
  </si>
  <si>
    <t xml:space="preserve">TR303|BIO0075</t>
  </si>
  <si>
    <t xml:space="preserve">All Payers|APRU13|APRON PLASTIC DISPOSABLE(MEDIBLUE)</t>
  </si>
  <si>
    <t xml:space="preserve">All Payers|APRON PLASTIC DISPOSABLE(MEDIBLUE)</t>
  </si>
  <si>
    <t xml:space="preserve">TR303|BIO0097</t>
  </si>
  <si>
    <t xml:space="preserve">All Payers|ARTU02|ARTIFLEX 15CM*3M(72966-01/72966-03-BSN)</t>
  </si>
  <si>
    <t xml:space="preserve">All Payers|ARTIFLEX 15CM*3M(72966-01/72966-03-BSN)</t>
  </si>
  <si>
    <t xml:space="preserve">TR303|BIO0098</t>
  </si>
  <si>
    <t xml:space="preserve">All Payers|BLOU54|BLOOD SET(BUYWEL)</t>
  </si>
  <si>
    <t xml:space="preserve">All Payers|BLOOD SET(BUYWEL)</t>
  </si>
  <si>
    <t xml:space="preserve">TR303|BIO0106</t>
  </si>
  <si>
    <t xml:space="preserve">All Payers|CARU47|C ARM COVER 2PIECE(D306-2-SURGIWEAR)</t>
  </si>
  <si>
    <t xml:space="preserve">All Payers|C ARM COVER 2PIECE(D306-2-SURGIWEAR)</t>
  </si>
  <si>
    <t xml:space="preserve">TR303|BIO0121</t>
  </si>
  <si>
    <t xml:space="preserve">All Payers|CAUU22|CAUTERY PENCIL LONG TIP(MEDTRONIC)</t>
  </si>
  <si>
    <t xml:space="preserve">All Payers|CAUTERY PENCIL LONG TIP(MEDTRONIC)</t>
  </si>
  <si>
    <t xml:space="preserve">TR303|BIO0181</t>
  </si>
  <si>
    <t xml:space="preserve">All Payers|CORM10400|CORK SCREW FT-2 5.5MM WITH NEEDLE 16.3MM(AR-1928SNF-2-ARTHREX)</t>
  </si>
  <si>
    <t xml:space="preserve">All Payers|CORK SCREW FT-2 5.5MM WITH NEEDLE 16.3MM(AR-1928SNF-2-ARTHREX)</t>
  </si>
  <si>
    <t xml:space="preserve">TR303|BLD0001</t>
  </si>
  <si>
    <t xml:space="preserve">All Payers|CREU27|CREPE BANDAGE 10CM(VELSOFT-10-DATT)</t>
  </si>
  <si>
    <t xml:space="preserve">All Payers|CREPE BANDAGE 10CM(VELSOFT-10-DATT)</t>
  </si>
  <si>
    <t xml:space="preserve">TR303|BLD0009</t>
  </si>
  <si>
    <t xml:space="preserve">All Payers|CURU01|CURAPORE STERILE 10CM X 30CM/9CM X 30CM(LOHMANN AND RAUSCHER)</t>
  </si>
  <si>
    <t xml:space="preserve">All Payers|CURAPORE STERILE 10CM X 30CM/9CM X 30CM(LOHMANN AND RAUSCHER)</t>
  </si>
  <si>
    <t xml:space="preserve">TR303|BLD0024</t>
  </si>
  <si>
    <t xml:space="preserve">All Payers|DERU28|DERMI SURGICAL MARKER(DERMARK-ROMSONS)</t>
  </si>
  <si>
    <t xml:space="preserve">All Payers|DERMI SURGICAL MARKER(DERMARK-ROMSONS)</t>
  </si>
  <si>
    <t xml:space="preserve">TR303|PAT0007</t>
  </si>
  <si>
    <t xml:space="preserve">All Payers|DIAU126|DIAPER ADULT MEDIUM 75CMX110CM(MAGMACARE)</t>
  </si>
  <si>
    <t xml:space="preserve">TR303|PAT0041</t>
  </si>
  <si>
    <t xml:space="preserve">All Payers|DREC02|DRESSING PAD STERILE(KIMS)</t>
  </si>
  <si>
    <t xml:space="preserve">All Payers|DRESSING PAD STERILE(KIMS)</t>
  </si>
  <si>
    <t xml:space="preserve">TR303|PAT0078</t>
  </si>
  <si>
    <t xml:space="preserve">All Payers|ENCU11|MICROOPTIC STERILE GLOVE 6.0(ENCORE-JK ANSELL)</t>
  </si>
  <si>
    <t xml:space="preserve">All Payers|MICROOPTIC STERILE GLOVE 6.0(ENCORE-JK ANSELL)</t>
  </si>
  <si>
    <t xml:space="preserve">TR303|ANS0003</t>
  </si>
  <si>
    <t xml:space="preserve">All Payers|ENCU25|ENCORE LATEX UNDERGLOVE 6.5 NO(ANSELL)</t>
  </si>
  <si>
    <t xml:space="preserve">All Payers|ENCORE LATEX UNDERGLOVE 6.5 NO(ANSELL)</t>
  </si>
  <si>
    <t xml:space="preserve">TR303|PHY5076</t>
  </si>
  <si>
    <t xml:space="preserve">All Payers|ENCU29|ENCORE LATEX UNDERGLOVE 8.0 NO(ANSELL)</t>
  </si>
  <si>
    <t xml:space="preserve">All Payers|ENCORE LATEX UNDERGLOVE 8.0 NO(ANSELL)</t>
  </si>
  <si>
    <t xml:space="preserve">TR303|EME0016</t>
  </si>
  <si>
    <t xml:space="preserve">All Payers|ENCU3|ENCORE ORTHOPEDIC GLOVES 6.5(JK ANSELL)</t>
  </si>
  <si>
    <t xml:space="preserve">All Payers|ENCORE ORTHOPEDIC GLOVES 6.5(JK ANSELL)</t>
  </si>
  <si>
    <t xml:space="preserve">TR303|EME0018</t>
  </si>
  <si>
    <t xml:space="preserve">All Payers|FEEU05|FEEDY NO-09(ROMSONS)</t>
  </si>
  <si>
    <t xml:space="preserve">All Payers|FEEDY NO-09(ROMSONS)</t>
  </si>
  <si>
    <t xml:space="preserve">TR303|EME0020</t>
  </si>
  <si>
    <t xml:space="preserve">All Payers|FOLU08|FOLEYS CATHETER 2WAY 12F(RUSCH)</t>
  </si>
  <si>
    <t xml:space="preserve">All Payers|FOLEYS CATHETER 2WAY 12F(RUSCH)</t>
  </si>
  <si>
    <t xml:space="preserve">TR303|EME0052</t>
  </si>
  <si>
    <t xml:space="preserve">All Payers|FOLU161|FOLEYS CATHETER TWO WAY 14F(UROCATH-ROMSONS)</t>
  </si>
  <si>
    <t xml:space="preserve">All Payers|FOLEYS CATHETER TWO WAY 14F(UROCATH-ROMSONS)</t>
  </si>
  <si>
    <t xml:space="preserve">TR303|EME0080</t>
  </si>
  <si>
    <t xml:space="preserve">FOLEY'S CATHERTERIZATION</t>
  </si>
  <si>
    <t xml:space="preserve">All Payers|GAUC20|GAUZE DRESSING MOP 12 PLY WITH X-RAY THREAD 10X10CM(VELSAWAB)</t>
  </si>
  <si>
    <t xml:space="preserve">All Payers|GAUZE DRESSING MOP 12 PLY WITH X-RAY THREAD 10X10CM(VELSAWAB)</t>
  </si>
  <si>
    <t xml:space="preserve">TR303|EME5045</t>
  </si>
  <si>
    <t xml:space="preserve">All Payers|GDRU07|G DRESS-10 8.5X6.5CM(GD10-SURGIWEAR)</t>
  </si>
  <si>
    <t xml:space="preserve">All Payers|G DRESS-10 8.5X6.5CM(GD10-SURGIWEAR)</t>
  </si>
  <si>
    <t xml:space="preserve">TR303|EME0088</t>
  </si>
  <si>
    <t xml:space="preserve">All Payers|GEEC02|GE ENTROPY SENSOR(M1038681-GE HEALTHCARE PVT LTD)</t>
  </si>
  <si>
    <t xml:space="preserve">All Payers|GE ENTROPY SENSOR(M1038681-GE HEALTHCARE PVT LTD)</t>
  </si>
  <si>
    <t xml:space="preserve">TR303|PSY0036</t>
  </si>
  <si>
    <t xml:space="preserve">All Payers|HANU01|HAND CARE GLOVES STERILE SMALL EVA(HI-CARE)</t>
  </si>
  <si>
    <t xml:space="preserve">All Payers|HAND CARE GLOVES STERILE SMALL EVA(HI-CARE)</t>
  </si>
  <si>
    <t xml:space="preserve">All Payers|HOTU11|HOT AND COLD PACK(DYNAMIC)</t>
  </si>
  <si>
    <t xml:space="preserve">All Payers|HOT AND COLD PACK(DYNAMIC)</t>
  </si>
  <si>
    <t xml:space="preserve">All Payers|KNEU03|KNEE IMMOBILIZER LARGE(DYNAMIC TECHNO MEDICALS)</t>
  </si>
  <si>
    <t xml:space="preserve">All Payers|KNEE IMMOBILIZER LARGE(DYNAMIC TECHNO MEDICALS)</t>
  </si>
  <si>
    <t xml:space="preserve">All Payers|KWIM232|KIRSCHNER SURGICAL WIRE DOUBLE ENDED TROCAR POINT 2.5X285MM(1450.2.5.285-OROMED)</t>
  </si>
  <si>
    <t xml:space="preserve">All Payers|KIRSCHNER SURGICAL WIRE DOUBLE ENDED TROCAR POINT 2.5X285MM(1450.2.5.285-OROMED)</t>
  </si>
  <si>
    <t xml:space="preserve">All Payers|MEAU26|MEASUREXE 250ML(UROMETER-ROMSONS)</t>
  </si>
  <si>
    <t xml:space="preserve">All Payers|MEASUREXE 250ML(UROMETER-ROMSONS)</t>
  </si>
  <si>
    <t xml:space="preserve">All Payers|MEPU46|MEPILEX BORDER POST-OP 10CM*20CM(496400-MOLNLYCKE)</t>
  </si>
  <si>
    <t xml:space="preserve">All Payers|MEPILEX BORDER POST-OP 10CM*20CM(496400-MOLNLYCKE)</t>
  </si>
  <si>
    <t xml:space="preserve">All Payers|MEPU62|MEPILEX BORDER POST OP 9CM*10CM(MOLNYCKE)</t>
  </si>
  <si>
    <t xml:space="preserve">All Payers|MEPILEX BORDER POST OP 9CM*10CM(MOLNYCKE)</t>
  </si>
  <si>
    <t xml:space="preserve">All Payers|MERR26|MERSILK 4-0 NW5050(ETHICON)</t>
  </si>
  <si>
    <t xml:space="preserve">All Payers|MERSILK 4-0 NW5050(ETHICON)</t>
  </si>
  <si>
    <t xml:space="preserve">All Payers|MICU115|MICRO POLY SYTE BI EXTENSION(POLYMED)</t>
  </si>
  <si>
    <t xml:space="preserve">All Payers|MICRO POLY SYTE BI EXTENSION(POLYMED)</t>
  </si>
  <si>
    <t xml:space="preserve">All Payers|MICU133|MICRO INFUSION SET(BUYMED-BUYWEL)</t>
  </si>
  <si>
    <t xml:space="preserve">All Payers|MICRO INFUSION SET(BUYMED-BUYWEL)</t>
  </si>
  <si>
    <t xml:space="preserve">All Payers|NASU122|NASAL CANNULA ADULT(LIFE-O-LINE)</t>
  </si>
  <si>
    <t xml:space="preserve">All Payers|NASAL CANNULA ADULT(LIFE-O-LINE)</t>
  </si>
  <si>
    <t xml:space="preserve">All Payers|NEEU69|NEEDLE DISPOSABLE 26G X 0.5IN(NIPRO)</t>
  </si>
  <si>
    <t xml:space="preserve">All Payers|NEEDLE DISPOSABLE 26G X 0.5IN(NIPRO)</t>
  </si>
  <si>
    <t xml:space="preserve">All Payers|NEEU85|NEEDLES 16G*1.5IN(ROMSONS)</t>
  </si>
  <si>
    <t xml:space="preserve">All Payers|NEEDLES 16G*1.5IN(ROMSONS)</t>
  </si>
  <si>
    <t xml:space="preserve">All Payers|NOVR06|NOVOSYN VIOLET 2(5)90CM HS40S(M) DDP(BBRAUN)</t>
  </si>
  <si>
    <t xml:space="preserve">All Payers|NOVOSYN VIOLET 2(5)90CM HS40S(M) DDP(BBRAUN)</t>
  </si>
  <si>
    <t xml:space="preserve">All Payers|OXYU86|OXYGEN MASK ADULT(LIFE-O-LINE)</t>
  </si>
  <si>
    <t xml:space="preserve">All Payers|OXYGEN MASK ADULT(LIFE-O-LINE)</t>
  </si>
  <si>
    <t xml:space="preserve">All Payers|PHYR01|PHYSIO BALLS(DYNAMIC)</t>
  </si>
  <si>
    <t xml:space="preserve">All Payers|PHYSIO BALLS(DYNAMIC)</t>
  </si>
  <si>
    <t xml:space="preserve">All Payers|PROR53|PROLENE 2-0 NW844(ETHICON)</t>
  </si>
  <si>
    <t xml:space="preserve">All Payers|PROLENE 2-0 NW844(ETHICON)</t>
  </si>
  <si>
    <t xml:space="preserve">All Payers|PULM04|PULSAVAC WOUND DEBRIDEMENT SYSTEM(BELL PHARMA)</t>
  </si>
  <si>
    <t xml:space="preserve">All Payers|PULSAVAC WOUND DEBRIDEMENT SYSTEM(BELL PHARMA)</t>
  </si>
  <si>
    <t xml:space="preserve">All Payers|ROMU04|ROMO VAC SET-12(ROMSONS)</t>
  </si>
  <si>
    <t xml:space="preserve">All Payers|ROMO VAC SET-12(ROMSONS)</t>
  </si>
  <si>
    <t xml:space="preserve">All Payers|SIGU09|SIGNATURE LATEX MICRO STERILE GLOVE 6.5(MEDLINE)</t>
  </si>
  <si>
    <t xml:space="preserve">All Payers|SIGNATURE LATEX MICRO STERILE GLOVE 6.5(MEDLINE)</t>
  </si>
  <si>
    <t xml:space="preserve">All Payers|STEU119|STERIDRAPE ISOLATION BAG 50CM*50CM(1003-3M)</t>
  </si>
  <si>
    <t xml:space="preserve">All Payers|STIU14|STIMUPLEX ULTRA NEEDLE 22G*50MM(B.BRAUN)</t>
  </si>
  <si>
    <t xml:space="preserve">All Payers|STIMUPLEX ULTRA NEEDLE 22G*50MM(B.BRAUN)</t>
  </si>
  <si>
    <t xml:space="preserve">All Payers|SURU325|SURGEON GOWN REINFORCED WRAPAROUND XXL(BIO5506-BIOANTHEM)</t>
  </si>
  <si>
    <t xml:space="preserve">All Payers|SURGEON GOWN REINFORCED WRAPAROUND XXL(BIO5506-BIOANTHEM)</t>
  </si>
  <si>
    <t xml:space="preserve">All Payers|THRU36|THREE WAY EXTENSION 100CM(POLYMED)</t>
  </si>
  <si>
    <t xml:space="preserve">All Payers|THREE WAY EXTENSION 100CM(POLYMED)</t>
  </si>
  <si>
    <t xml:space="preserve">All Payers|THRU61|THR/TKR KIT(MEDLINE INDUSTRIES)</t>
  </si>
  <si>
    <t xml:space="preserve">All Payers|THR/TKR KIT(MEDLINE INDUSTRIES)</t>
  </si>
  <si>
    <t xml:space="preserve">All Payers|TRUR116|TRUGLYDE 1 SN2421(HEALTHIUM)</t>
  </si>
  <si>
    <t xml:space="preserve">All Payers|TRUGLYDE 1 SN2421(HEALTHIUM)</t>
  </si>
  <si>
    <t xml:space="preserve">All Payers|TRUR17|TRUGLYDE 2-0 SN2345(HEALTHIUM)</t>
  </si>
  <si>
    <t xml:space="preserve">All Payers|TRUGLYDE 2-0 SN2345(HEALTHIUM)</t>
  </si>
  <si>
    <t xml:space="preserve">All Payers|TRUR54|TRUGLYDE 1 SN2347(HEALTHIUM)</t>
  </si>
  <si>
    <t xml:space="preserve">All Payers|TRUGLYDE 1 SN2347(HEALTHIUM)</t>
  </si>
  <si>
    <t xml:space="preserve">All Payers|VELU17|VELFIX-EASY WITH PAD 8CM*15CM(5507E-DMP)</t>
  </si>
  <si>
    <t xml:space="preserve">All Payers|VELFIX-EASY WITH PAD 8CM*15CM(5507E-DMP)</t>
  </si>
  <si>
    <t xml:space="preserve">All Payers|VENU8162|VENFLON-I 18G(BD)</t>
  </si>
  <si>
    <t xml:space="preserve">All Payers|VENFLON-I 18G(BD)</t>
  </si>
  <si>
    <t xml:space="preserve">All Payers|WALU01|WALKER FOLDING (DYNA REHAID)</t>
  </si>
  <si>
    <t xml:space="preserve">All Payers|WALKER FOLDING (DYNA REHAID)</t>
  </si>
</sst>
</file>

<file path=xl/styles.xml><?xml version="1.0" encoding="utf-8"?>
<styleSheet xmlns="http://schemas.openxmlformats.org/spreadsheetml/2006/main">
  <numFmts count="6">
    <numFmt numFmtId="164" formatCode="General"/>
    <numFmt numFmtId="165" formatCode="0.0%"/>
    <numFmt numFmtId="166" formatCode="#,##0"/>
    <numFmt numFmtId="167" formatCode="#,##0.0"/>
    <numFmt numFmtId="168" formatCode="#,##0.00"/>
    <numFmt numFmtId="169" formatCode="0.00"/>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1"/>
      <color rgb="FF000000"/>
      <name val="Cambria"/>
      <family val="0"/>
      <charset val="1"/>
    </font>
    <font>
      <b val="true"/>
      <sz val="11"/>
      <name val="Cambria"/>
      <family val="0"/>
      <charset val="1"/>
    </font>
    <font>
      <b val="true"/>
      <sz val="11"/>
      <color rgb="FF000000"/>
      <name val="Cambria"/>
      <family val="0"/>
      <charset val="1"/>
    </font>
    <font>
      <sz val="10"/>
      <name val="Arial"/>
      <family val="2"/>
    </font>
  </fonts>
  <fills count="10">
    <fill>
      <patternFill patternType="none"/>
    </fill>
    <fill>
      <patternFill patternType="gray125"/>
    </fill>
    <fill>
      <patternFill patternType="solid">
        <fgColor rgb="FF1F4E78"/>
        <bgColor rgb="FF003366"/>
      </patternFill>
    </fill>
    <fill>
      <patternFill patternType="solid">
        <fgColor rgb="FFF4F6F8"/>
        <bgColor rgb="FFEAF1FB"/>
      </patternFill>
    </fill>
    <fill>
      <patternFill patternType="solid">
        <fgColor rgb="FFFFF2CC"/>
        <bgColor rgb="FFFCE4D6"/>
      </patternFill>
    </fill>
    <fill>
      <patternFill patternType="solid">
        <fgColor rgb="FFEAF4EA"/>
        <bgColor rgb="FFEAF1FB"/>
      </patternFill>
    </fill>
    <fill>
      <patternFill patternType="solid">
        <fgColor rgb="FFD9EAF7"/>
        <bgColor rgb="FFEAF1FB"/>
      </patternFill>
    </fill>
    <fill>
      <patternFill patternType="solid">
        <fgColor rgb="FFEAF1FB"/>
        <bgColor rgb="FFEAF4EA"/>
      </patternFill>
    </fill>
    <fill>
      <patternFill patternType="solid">
        <fgColor rgb="FFFCE4D6"/>
        <bgColor rgb="FFFFF2CC"/>
      </patternFill>
    </fill>
    <fill>
      <patternFill patternType="solid">
        <fgColor rgb="FFE2F0D9"/>
        <bgColor rgb="FFEAF4EA"/>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medium">
        <color rgb="FF4F81BD"/>
      </left>
      <right style="medium">
        <color rgb="FF4F81BD"/>
      </right>
      <top style="medium">
        <color rgb="FF4F81BD"/>
      </top>
      <bottom style="medium">
        <color rgb="FF4F81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4" borderId="2" xfId="0" applyFont="true" applyBorder="true" applyAlignment="true" applyProtection="false">
      <alignment horizontal="center" vertical="center" textRotation="0" wrapText="false" indent="0" shrinkToFit="false"/>
      <protection locked="true" hidden="false"/>
    </xf>
    <xf numFmtId="164" fontId="6" fillId="5" borderId="2"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5" fontId="6" fillId="5" borderId="2"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6" fontId="5" fillId="3" borderId="1" xfId="0" applyFont="true" applyBorder="true" applyAlignment="true" applyProtection="false">
      <alignment horizontal="center" vertical="center" textRotation="0" wrapText="false" indent="0" shrinkToFit="false"/>
      <protection locked="true" hidden="false"/>
    </xf>
    <xf numFmtId="166" fontId="6" fillId="5" borderId="2" xfId="0" applyFont="true" applyBorder="true" applyAlignment="true" applyProtection="false">
      <alignment horizontal="center" vertical="center" textRotation="0" wrapText="false" indent="0" shrinkToFit="false"/>
      <protection locked="true" hidden="false"/>
    </xf>
    <xf numFmtId="166" fontId="5" fillId="4" borderId="2" xfId="0" applyFont="true" applyBorder="true" applyAlignment="true" applyProtection="false">
      <alignment horizontal="center" vertical="center" textRotation="0" wrapText="false" indent="0" shrinkToFit="false"/>
      <protection locked="true" hidden="false"/>
    </xf>
    <xf numFmtId="167" fontId="5" fillId="3" borderId="1" xfId="0" applyFont="true" applyBorder="true" applyAlignment="true" applyProtection="false">
      <alignment horizontal="center" vertical="center" textRotation="0" wrapText="false" indent="0" shrinkToFit="false"/>
      <protection locked="true" hidden="false"/>
    </xf>
    <xf numFmtId="167" fontId="5" fillId="4" borderId="2" xfId="0" applyFont="true" applyBorder="true" applyAlignment="true" applyProtection="false">
      <alignment horizontal="center" vertical="center" textRotation="0" wrapText="false" indent="0" shrinkToFit="false"/>
      <protection locked="true" hidden="false"/>
    </xf>
    <xf numFmtId="167" fontId="6" fillId="5" borderId="2"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8" fontId="7" fillId="4"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8" fontId="7" fillId="3" borderId="1" xfId="0" applyFont="true" applyBorder="true" applyAlignment="true" applyProtection="false">
      <alignment horizontal="center" vertical="center"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5" fillId="3" borderId="1" xfId="0" applyFont="true" applyBorder="true" applyAlignment="true" applyProtection="false">
      <alignment horizontal="center" vertical="center" textRotation="0" wrapText="false" indent="0" shrinkToFit="false"/>
      <protection locked="true" hidden="false"/>
    </xf>
    <xf numFmtId="168" fontId="7" fillId="6"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8" fontId="5" fillId="7" borderId="1" xfId="0" applyFont="true" applyBorder="true" applyAlignment="true" applyProtection="false">
      <alignment horizontal="center" vertical="center" textRotation="0" wrapText="false" indent="0" shrinkToFit="false"/>
      <protection locked="true" hidden="false"/>
    </xf>
    <xf numFmtId="168" fontId="5" fillId="5" borderId="1" xfId="0" applyFont="true" applyBorder="true" applyAlignment="true" applyProtection="false">
      <alignment horizontal="center" vertical="center" textRotation="0" wrapText="false" indent="0" shrinkToFit="false"/>
      <protection locked="true" hidden="false"/>
    </xf>
    <xf numFmtId="168" fontId="5" fillId="4"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6" fontId="5" fillId="3"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8" fontId="7" fillId="8" borderId="1" xfId="0" applyFont="true" applyBorder="true" applyAlignment="true" applyProtection="false">
      <alignment horizontal="center" vertical="center" textRotation="0" wrapText="false" indent="0" shrinkToFit="false"/>
      <protection locked="true" hidden="false"/>
    </xf>
    <xf numFmtId="168" fontId="7" fillId="5"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8" fontId="5" fillId="3" borderId="1" xfId="0" applyFont="true" applyBorder="true" applyAlignment="true" applyProtection="false">
      <alignment horizontal="center" vertical="center" textRotation="0" wrapText="true" indent="0" shrinkToFit="false"/>
      <protection locked="true" hidden="false"/>
    </xf>
    <xf numFmtId="165" fontId="5"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8" fontId="5" fillId="5" borderId="1" xfId="0" applyFont="true" applyBorder="true" applyAlignment="true" applyProtection="false">
      <alignment horizontal="center" vertical="center" textRotation="0" wrapText="true" indent="0" shrinkToFit="false"/>
      <protection locked="true" hidden="false"/>
    </xf>
    <xf numFmtId="168" fontId="5" fillId="4" borderId="1" xfId="0" applyFont="true" applyBorder="true" applyAlignment="true" applyProtection="false">
      <alignment horizontal="center" vertical="center" textRotation="0" wrapText="true" indent="0" shrinkToFit="false"/>
      <protection locked="true" hidden="false"/>
    </xf>
    <xf numFmtId="168" fontId="5" fillId="7"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9" fontId="5" fillId="3" borderId="1"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4" fontId="7" fillId="5" borderId="2" xfId="0" applyFont="true" applyBorder="true" applyAlignment="true" applyProtection="false">
      <alignment horizontal="center"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8" fontId="7" fillId="6" borderId="1" xfId="0" applyFont="true" applyBorder="true" applyAlignment="true" applyProtection="false">
      <alignment horizontal="left" vertical="center" textRotation="0" wrapText="false" indent="0" shrinkToFit="false"/>
      <protection locked="true" hidden="false"/>
    </xf>
    <xf numFmtId="168" fontId="7" fillId="9"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8" fontId="7"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9EAF7"/>
          <bgColor rgb="FF000000"/>
        </patternFill>
      </fill>
    </dxf>
    <dxf>
      <fill>
        <patternFill patternType="solid">
          <fgColor rgb="FFF4F6F8"/>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4F6F8"/>
      <rgbColor rgb="FF808080"/>
      <rgbColor rgb="FF9999FF"/>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1FB"/>
      <rgbColor rgb="FFE2F0D9"/>
      <rgbColor rgb="FFEAF4EA"/>
      <rgbColor rgb="FF99CCFF"/>
      <rgbColor rgb="FFFF99CC"/>
      <rgbColor rgb="FFCC99FF"/>
      <rgbColor rgb="FFFCE4D6"/>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drawing" Target="../drawings/drawing3.xml"/>
</Relationships>
</file>

<file path=xl/worksheets/_rels/sheet12.xml.rels><?xml version="1.0" encoding="UTF-8"?>
<Relationships xmlns="http://schemas.openxmlformats.org/package/2006/relationships"><Relationship Id="rId1" Type="http://schemas.openxmlformats.org/officeDocument/2006/relationships/drawing" Target="../drawings/drawing4.xml"/>
</Relationships>
</file>

<file path=xl/worksheets/_rels/sheet13.xml.rels><?xml version="1.0" encoding="UTF-8"?>
<Relationships xmlns="http://schemas.openxmlformats.org/package/2006/relationships"><Relationship Id="rId1" Type="http://schemas.openxmlformats.org/officeDocument/2006/relationships/drawing" Target="../drawings/drawing5.xml"/>
</Relationships>
</file>

<file path=xl/worksheets/_rels/sheet14.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12"/>
    <col collapsed="false" customWidth="true" hidden="false" outlineLevel="0" max="5" min="4" style="0" width="18"/>
    <col collapsed="false" customWidth="true" hidden="false" outlineLevel="0" max="6" min="6" style="0" width="20"/>
    <col collapsed="false" customWidth="true" hidden="false" outlineLevel="0" max="7" min="7" style="0" width="24"/>
  </cols>
  <sheetData>
    <row r="1" customFormat="false" ht="15" hidden="false" customHeight="false" outlineLevel="0" collapsed="false">
      <c r="A1" s="1" t="s">
        <v>0</v>
      </c>
      <c r="B1" s="1"/>
      <c r="C1" s="1"/>
      <c r="D1" s="1"/>
      <c r="E1" s="1"/>
      <c r="F1" s="1"/>
      <c r="G1" s="1"/>
    </row>
    <row r="2" customFormat="false" ht="15" hidden="false" customHeight="false" outlineLevel="0" collapsed="false">
      <c r="A2" s="2" t="s">
        <v>1</v>
      </c>
      <c r="B2" s="2" t="s">
        <v>2</v>
      </c>
      <c r="D2" s="2" t="s">
        <v>3</v>
      </c>
      <c r="E2" s="3" t="s">
        <v>4</v>
      </c>
      <c r="F2" s="2" t="s">
        <v>5</v>
      </c>
      <c r="G2" s="3"/>
    </row>
    <row r="3" customFormat="false" ht="15" hidden="false" customHeight="false" outlineLevel="0" collapsed="false">
      <c r="A3" s="2" t="s">
        <v>6</v>
      </c>
      <c r="B3" s="4" t="str">
        <f aca="false">E2</f>
        <v>Cash / TR1</v>
      </c>
      <c r="D3" s="2" t="s">
        <v>7</v>
      </c>
      <c r="E3" s="3" t="s">
        <v>8</v>
      </c>
      <c r="F3" s="2" t="s">
        <v>9</v>
      </c>
      <c r="G3" s="4" t="str">
        <f aca="false">IFERROR(INDEX(Reference!$DV$2:$DV$1000, MATCH(G2, Reference!$DU$2:$DU$1000, 0)), "")</f>
        <v/>
      </c>
    </row>
    <row r="4" customFormat="false" ht="15" hidden="false" customHeight="false" outlineLevel="0" collapsed="false">
      <c r="A4" s="2" t="s">
        <v>10</v>
      </c>
      <c r="B4" s="3" t="s">
        <v>11</v>
      </c>
      <c r="D4" s="2" t="s">
        <v>12</v>
      </c>
      <c r="E4" s="4" t="str">
        <f aca="false">IF(E2="Cash / TR1","Cash",IFERROR(INDEX(Reference!$DT$2:$DT$1000, MATCH(G2, Reference!$DU$2:$DU$1000, 0)), ""))</f>
        <v>Cash</v>
      </c>
      <c r="F4" s="2" t="s">
        <v>13</v>
      </c>
      <c r="G4" s="4" t="str">
        <f aca="false">IF(E2="Cash / TR1","KIMS",IFERROR(INDEX(Reference!$DY$2:$DY$1000, MATCH(G2, Reference!$DU$2:$DU$1000, 0)), ""))</f>
        <v>KIMS</v>
      </c>
    </row>
    <row r="5" customFormat="false" ht="15" hidden="false" customHeight="false" outlineLevel="0" collapsed="false">
      <c r="A5" s="2" t="s">
        <v>14</v>
      </c>
      <c r="B5" s="3" t="s">
        <v>15</v>
      </c>
      <c r="D5" s="2" t="s">
        <v>16</v>
      </c>
      <c r="E5" s="4" t="str">
        <f aca="false">IF(E2="Cash / TR1","TR1",IFERROR(INDEX(Reference!$DX$2:$DX$1000, MATCH(G2, Reference!$DU$2:$DU$1000, 0)), ""))</f>
        <v>TR1</v>
      </c>
      <c r="F5" s="2" t="s">
        <v>17</v>
      </c>
      <c r="G5" s="4" t="str">
        <f aca="false">IF(E3&lt;&gt;"Auto (Recommended)",E3,IFERROR(INDEX(Reference!$GP$2:$GP$800, MATCH("pharmacy_basis"&amp;"|"&amp;E4, Reference!$GD$2:$GD$800, 0)), "Cash"))</f>
        <v>Cash</v>
      </c>
    </row>
    <row r="6" customFormat="false" ht="15" hidden="false" customHeight="false" outlineLevel="0" collapsed="false">
      <c r="A6" s="2" t="s">
        <v>18</v>
      </c>
      <c r="B6" s="3" t="s">
        <v>19</v>
      </c>
      <c r="D6" s="2" t="s">
        <v>20</v>
      </c>
      <c r="E6" s="3" t="s">
        <v>19</v>
      </c>
      <c r="F6" s="2" t="s">
        <v>21</v>
      </c>
      <c r="G6" s="4" t="str">
        <f aca="false">IF(E3&lt;&gt;"Auto (Recommended)",E3,IFERROR(INDEX(Reference!$GP$2:$GP$800, MATCH("service_basis"&amp;"|"&amp;E4, Reference!$GD$2:$GD$800, 0)), "Cash"))</f>
        <v>Cash</v>
      </c>
    </row>
    <row r="7" customFormat="false" ht="15" hidden="false" customHeight="false" outlineLevel="0" collapsed="false">
      <c r="A7" s="2" t="s">
        <v>22</v>
      </c>
      <c r="B7" s="2"/>
      <c r="C7" s="5"/>
      <c r="D7" s="2"/>
      <c r="E7" s="2"/>
      <c r="F7" s="2" t="s">
        <v>23</v>
      </c>
      <c r="G7" s="4" t="str">
        <f aca="false">IF(E3&lt;&gt;"Auto (Recommended)",E3,IFERROR(INDEX(Reference!$GP$2:$GP$800, MATCH("pf_basis"&amp;"|"&amp;E4, Reference!$GD$2:$GD$800, 0)), "Cash"))</f>
        <v>Cash</v>
      </c>
    </row>
    <row r="8" customFormat="false" ht="15" hidden="false" customHeight="false" outlineLevel="0" collapsed="false">
      <c r="A8" s="2" t="s">
        <v>24</v>
      </c>
      <c r="B8" s="3" t="s">
        <v>25</v>
      </c>
      <c r="D8" s="2" t="s">
        <v>26</v>
      </c>
      <c r="E8" s="6" t="n">
        <v>1</v>
      </c>
      <c r="F8" s="2" t="s">
        <v>27</v>
      </c>
      <c r="G8" s="4" t="str">
        <f aca="false">IF(E3&lt;&gt;"Auto (Recommended)","Manual override applied",IFERROR(INDEX(Reference!$GS$2:$GS$800, MATCH("service_basis"&amp;"|"&amp;E4, Reference!$GD$2:$GD$800, 0)), ""))</f>
        <v>Cash selected for service_basis against Cash; recommended exact with 26 cases.</v>
      </c>
    </row>
    <row r="9" customFormat="false" ht="39.55" hidden="false" customHeight="false" outlineLevel="0" collapsed="false">
      <c r="A9" s="7" t="s">
        <v>28</v>
      </c>
      <c r="B9" s="7" t="s">
        <v>29</v>
      </c>
      <c r="C9" s="7" t="s">
        <v>30</v>
      </c>
      <c r="D9" s="7" t="s">
        <v>31</v>
      </c>
      <c r="E9" s="7" t="s">
        <v>32</v>
      </c>
      <c r="F9" s="7" t="s">
        <v>33</v>
      </c>
      <c r="G9" s="7" t="s">
        <v>34</v>
      </c>
    </row>
    <row r="10" customFormat="false" ht="15" hidden="false" customHeight="false" outlineLevel="0" collapsed="false">
      <c r="A10" s="2" t="s">
        <v>35</v>
      </c>
      <c r="B10" s="8" t="n">
        <f aca="false">B11+B12</f>
        <v>2</v>
      </c>
      <c r="C10" s="8" t="n">
        <f aca="false">C11+C12</f>
        <v>3</v>
      </c>
      <c r="D10" s="8" t="n">
        <f aca="false">D11+D12</f>
        <v>5</v>
      </c>
      <c r="E10" s="8" t="s">
        <v>36</v>
      </c>
      <c r="F10" s="8"/>
      <c r="G10" s="9" t="n">
        <f aca="false">G11+G12</f>
        <v>3</v>
      </c>
    </row>
    <row r="11" customFormat="false" ht="15" hidden="false" customHeight="false" outlineLevel="0" collapsed="false">
      <c r="A11" s="2" t="s">
        <v>37</v>
      </c>
      <c r="B11" s="8" t="n">
        <f aca="false">INT((IFERROR(INDEX(Reference!$BI$2:$BI$500, MATCH(Builder!G6, Reference!$AZ$2:$AZ$500, 0)), 0)))+IF(MOD((IFERROR(INDEX(Reference!$BI$2:$BI$500, MATCH(Builder!G6, Reference!$AZ$2:$AZ$500, 0)), 0)),1)&gt;0.3,1,0)</f>
        <v>2</v>
      </c>
      <c r="C11" s="8" t="n">
        <f aca="false">INT((IFERROR(INDEX(Reference!$BJ$2:$BJ$500, MATCH(Builder!G6, Reference!$AZ$2:$AZ$500, 0)), 0)))+IF(MOD((IFERROR(INDEX(Reference!$BJ$2:$BJ$500, MATCH(Builder!G6, Reference!$AZ$2:$AZ$500, 0)), 0)),1)&gt;0.3,1,0)</f>
        <v>2</v>
      </c>
      <c r="D11" s="8" t="n">
        <f aca="false">INT((IFERROR(INDEX(Reference!$BK$2:$BK$500, MATCH(Builder!G6, Reference!$AZ$2:$AZ$500, 0)), 0)))+IF(MOD((IFERROR(INDEX(Reference!$BK$2:$BK$500, MATCH(Builder!G6, Reference!$AZ$2:$AZ$500, 0)), 0)),1)&gt;0.3,1,0)</f>
        <v>3</v>
      </c>
      <c r="E11" s="10" t="s">
        <v>30</v>
      </c>
      <c r="F11" s="10"/>
      <c r="G11" s="9" t="n">
        <f aca="false">INT((IF(E11="P25",B11,IF(E11="P50",C11,IF(E11="P75",D11,F11)))))+IF(MOD((IF(E11="P25",B11,IF(E11="P50",C11,IF(E11="P75",D11,F11)))),1)&gt;0.3,1,0)</f>
        <v>2</v>
      </c>
    </row>
    <row r="12" customFormat="false" ht="15" hidden="false" customHeight="false" outlineLevel="0" collapsed="false">
      <c r="A12" s="2" t="s">
        <v>38</v>
      </c>
      <c r="B12" s="8" t="n">
        <f aca="false">INT((IFERROR(INDEX(Reference!$BL$2:$BL$500, MATCH(Builder!G6, Reference!$AZ$2:$AZ$500, 0)), 0)))+IF(MOD((IFERROR(INDEX(Reference!$BL$2:$BL$500, MATCH(Builder!G6, Reference!$AZ$2:$AZ$500, 0)), 0)),1)&gt;0.3,1,0)</f>
        <v>0</v>
      </c>
      <c r="C12" s="8" t="n">
        <f aca="false">INT((IFERROR(INDEX(Reference!$BM$2:$BM$500, MATCH(Builder!G6, Reference!$AZ$2:$AZ$500, 0)), 0)))+IF(MOD((IFERROR(INDEX(Reference!$BM$2:$BM$500, MATCH(Builder!G6, Reference!$AZ$2:$AZ$500, 0)), 0)),1)&gt;0.3,1,0)</f>
        <v>1</v>
      </c>
      <c r="D12" s="8" t="n">
        <f aca="false">INT((IFERROR(INDEX(Reference!$BN$2:$BN$500, MATCH(Builder!G6, Reference!$AZ$2:$AZ$500, 0)), 0)))+IF(MOD((IFERROR(INDEX(Reference!$BN$2:$BN$500, MATCH(Builder!G6, Reference!$AZ$2:$AZ$500, 0)), 0)),1)&gt;0.3,1,0)</f>
        <v>2</v>
      </c>
      <c r="E12" s="10" t="s">
        <v>30</v>
      </c>
      <c r="F12" s="10"/>
      <c r="G12" s="9" t="n">
        <f aca="false">INT((IF(E12="P25",B12,IF(E12="P50",C12,IF(E12="P75",D12,F12)))))+IF(MOD((IF(E12="P25",B12,IF(E12="P50",C12,IF(E12="P75",D12,F12)))),1)&gt;0.3,1,0)</f>
        <v>1</v>
      </c>
    </row>
    <row r="13" customFormat="false" ht="15" hidden="false" customHeight="false" outlineLevel="0" collapsed="false">
      <c r="A13" s="2" t="s">
        <v>39</v>
      </c>
      <c r="B13" s="11" t="n">
        <f aca="false">IF((IFERROR(INDEX(Reference!$BO$2:$BO$500, MATCH(Builder!G6, Reference!$AZ$2:$AZ$500, 0)), 0))&lt;=0,0,IF((IFERROR(INDEX(Reference!$BO$2:$BO$500, MATCH(Builder!G6, Reference!$AZ$2:$AZ$500, 0)), 0))&lt;=MIN(Reference!$K$300:$K$331),MIN(Reference!$K$300:$K$331),IF((IFERROR(INDEX(Reference!$BO$2:$BO$500, MATCH(Builder!G6, Reference!$AZ$2:$AZ$500, 0)), 0))&gt;=MAX(Reference!$K$300:$K$331),MAX(Reference!$K$300:$K$331),IF(((IFERROR(INDEX(Reference!$BO$2:$BO$500, MATCH(Builder!G6, Reference!$AZ$2:$AZ$500, 0)), 0))-INDEX(Reference!$K$300:$K$331,MATCH((IFERROR(INDEX(Reference!$BO$2:$BO$500, MATCH(Builder!G6, Reference!$AZ$2:$AZ$500, 0)), 0)),Reference!$K$300:$K$331,1)))&lt;(INDEX(Reference!$K$300:$K$331,MATCH((IFERROR(INDEX(Reference!$BO$2:$BO$500, MATCH(Builder!G6, Reference!$AZ$2:$AZ$500, 0)), 0)),Reference!$K$300:$K$331,1)+1)-(IFERROR(INDEX(Reference!$BO$2:$BO$500, MATCH(Builder!G6, Reference!$AZ$2:$AZ$500, 0)), 0))),INDEX(Reference!$K$300:$K$331,MATCH((IFERROR(INDEX(Reference!$BO$2:$BO$500, MATCH(Builder!G6, Reference!$AZ$2:$AZ$500, 0)), 0)),Reference!$K$300:$K$331,1)),INDEX(Reference!$K$300:$K$331,MATCH((IFERROR(INDEX(Reference!$BO$2:$BO$500, MATCH(Builder!G6, Reference!$AZ$2:$AZ$500, 0)), 0)),Reference!$K$300:$K$331,1)+1)))))</f>
        <v>2.5</v>
      </c>
      <c r="C13" s="11" t="n">
        <f aca="false">IF((IFERROR(INDEX(Reference!$BP$2:$BP$500, MATCH(Builder!G6, Reference!$AZ$2:$AZ$500, 0)), 0))&lt;=0,0,IF((IFERROR(INDEX(Reference!$BP$2:$BP$500, MATCH(Builder!G6, Reference!$AZ$2:$AZ$500, 0)), 0))&lt;=MIN(Reference!$K$300:$K$331),MIN(Reference!$K$300:$K$331),IF((IFERROR(INDEX(Reference!$BP$2:$BP$500, MATCH(Builder!G6, Reference!$AZ$2:$AZ$500, 0)), 0))&gt;=MAX(Reference!$K$300:$K$331),MAX(Reference!$K$300:$K$331),IF(((IFERROR(INDEX(Reference!$BP$2:$BP$500, MATCH(Builder!G6, Reference!$AZ$2:$AZ$500, 0)), 0))-INDEX(Reference!$K$300:$K$331,MATCH((IFERROR(INDEX(Reference!$BP$2:$BP$500, MATCH(Builder!G6, Reference!$AZ$2:$AZ$500, 0)), 0)),Reference!$K$300:$K$331,1)))&lt;(INDEX(Reference!$K$300:$K$331,MATCH((IFERROR(INDEX(Reference!$BP$2:$BP$500, MATCH(Builder!G6, Reference!$AZ$2:$AZ$500, 0)), 0)),Reference!$K$300:$K$331,1)+1)-(IFERROR(INDEX(Reference!$BP$2:$BP$500, MATCH(Builder!G6, Reference!$AZ$2:$AZ$500, 0)), 0))),INDEX(Reference!$K$300:$K$331,MATCH((IFERROR(INDEX(Reference!$BP$2:$BP$500, MATCH(Builder!G6, Reference!$AZ$2:$AZ$500, 0)), 0)),Reference!$K$300:$K$331,1)),INDEX(Reference!$K$300:$K$331,MATCH((IFERROR(INDEX(Reference!$BP$2:$BP$500, MATCH(Builder!G6, Reference!$AZ$2:$AZ$500, 0)), 0)),Reference!$K$300:$K$331,1)+1)))))</f>
        <v>3</v>
      </c>
      <c r="D13" s="11" t="n">
        <f aca="false">IF((IFERROR(INDEX(Reference!$BQ$2:$BQ$500, MATCH(Builder!G6, Reference!$AZ$2:$AZ$500, 0)), 0))&lt;=0,0,IF((IFERROR(INDEX(Reference!$BQ$2:$BQ$500, MATCH(Builder!G6, Reference!$AZ$2:$AZ$500, 0)), 0))&lt;=MIN(Reference!$K$300:$K$331),MIN(Reference!$K$300:$K$331),IF((IFERROR(INDEX(Reference!$BQ$2:$BQ$500, MATCH(Builder!G6, Reference!$AZ$2:$AZ$500, 0)), 0))&gt;=MAX(Reference!$K$300:$K$331),MAX(Reference!$K$300:$K$331),IF(((IFERROR(INDEX(Reference!$BQ$2:$BQ$500, MATCH(Builder!G6, Reference!$AZ$2:$AZ$500, 0)), 0))-INDEX(Reference!$K$300:$K$331,MATCH((IFERROR(INDEX(Reference!$BQ$2:$BQ$500, MATCH(Builder!G6, Reference!$AZ$2:$AZ$500, 0)), 0)),Reference!$K$300:$K$331,1)))&lt;(INDEX(Reference!$K$300:$K$331,MATCH((IFERROR(INDEX(Reference!$BQ$2:$BQ$500, MATCH(Builder!G6, Reference!$AZ$2:$AZ$500, 0)), 0)),Reference!$K$300:$K$331,1)+1)-(IFERROR(INDEX(Reference!$BQ$2:$BQ$500, MATCH(Builder!G6, Reference!$AZ$2:$AZ$500, 0)), 0))),INDEX(Reference!$K$300:$K$331,MATCH((IFERROR(INDEX(Reference!$BQ$2:$BQ$500, MATCH(Builder!G6, Reference!$AZ$2:$AZ$500, 0)), 0)),Reference!$K$300:$K$331,1)),INDEX(Reference!$K$300:$K$331,MATCH((IFERROR(INDEX(Reference!$BQ$2:$BQ$500, MATCH(Builder!G6, Reference!$AZ$2:$AZ$500, 0)), 0)),Reference!$K$300:$K$331,1)+1)))))</f>
        <v>3</v>
      </c>
      <c r="E13" s="12" t="s">
        <v>30</v>
      </c>
      <c r="F13" s="12"/>
      <c r="G13" s="13" t="n">
        <f aca="false">IF((IF(E13="P25",B13,IF(E13="P50",C13,IF(E13="P75",D13,F13))))&lt;=0,0,IF((IF(E13="P25",B13,IF(E13="P50",C13,IF(E13="P75",D13,F13))))&lt;=MIN(Reference!$K$300:$K$331),MIN(Reference!$K$300:$K$331),IF((IF(E13="P25",B13,IF(E13="P50",C13,IF(E13="P75",D13,F13))))&gt;=MAX(Reference!$K$300:$K$331),MAX(Reference!$K$300:$K$331),IF(((IF(E13="P25",B13,IF(E13="P50",C13,IF(E13="P75",D13,F13))))-INDEX(Reference!$K$300:$K$331,MATCH((IF(E13="P25",B13,IF(E13="P50",C13,IF(E13="P75",D13,F13)))),Reference!$K$300:$K$331,1)))&lt;(INDEX(Reference!$K$300:$K$331,MATCH((IF(E13="P25",B13,IF(E13="P50",C13,IF(E13="P75",D13,F13)))),Reference!$K$300:$K$331,1)+1)-(IF(E13="P25",B13,IF(E13="P50",C13,IF(E13="P75",D13,F13))))),INDEX(Reference!$K$300:$K$331,MATCH((IF(E13="P25",B13,IF(E13="P50",C13,IF(E13="P75",D13,F13)))),Reference!$K$300:$K$331,1)),INDEX(Reference!$K$300:$K$331,MATCH((IF(E13="P25",B13,IF(E13="P50",C13,IF(E13="P75",D13,F13)))),Reference!$K$300:$K$331,1)+1)))))</f>
        <v>3</v>
      </c>
    </row>
    <row r="14" customFormat="false" ht="15" hidden="false" customHeight="false" outlineLevel="0" collapsed="false">
      <c r="A14" s="2" t="s">
        <v>40</v>
      </c>
      <c r="B14" s="13" t="n">
        <f aca="false">IF((G13)&lt;=0,"",IF((G13)&lt;=0,0,IF((G13)&lt;=MIN(Reference!$K$300:$K$331),MIN(Reference!$K$300:$K$331),IF((G13)&gt;=MAX(Reference!$K$300:$K$331),MAX(Reference!$K$300:$K$331),IF(((G13)-INDEX(Reference!$K$300:$K$331,MATCH((G13),Reference!$K$300:$K$331,1)))&lt;(INDEX(Reference!$K$300:$K$331,MATCH((G13),Reference!$K$300:$K$331,1)+1)-(G13)),INDEX(Reference!$K$300:$K$331,MATCH((G13),Reference!$K$300:$K$331,1)),INDEX(Reference!$K$300:$K$331,MATCH((G13),Reference!$K$300:$K$331,1)+1))))))</f>
        <v>3</v>
      </c>
    </row>
    <row r="15" customFormat="false" ht="15" hidden="false" customHeight="false" outlineLevel="0" collapsed="false">
      <c r="A15" s="2" t="s">
        <v>41</v>
      </c>
      <c r="B15" s="4" t="str">
        <f aca="false">IF(B14="","",IFERROR(INDEX(Reference!$EQ$2:$EQ$1000,MATCH(Builder!E5&amp;"|"&amp;IF(B6="Yes","emergency","normal")&amp;"|"&amp;(B14),Reference!$EL$2:$EL$1000,0)),""))</f>
        <v>OTC0010</v>
      </c>
    </row>
    <row r="16" customFormat="false" ht="15" hidden="false" customHeight="false" outlineLevel="0" collapsed="false">
      <c r="A16" s="2" t="s">
        <v>42</v>
      </c>
      <c r="B16" s="4" t="str">
        <f aca="false">IF(B14="","",IFERROR(INDEX(Reference!$ER$2:$ER$1000,MATCH(Builder!E5&amp;"|"&amp;IF(B6="Yes","emergency","normal")&amp;"|"&amp;(B14),Reference!$EL$2:$EL$1000,0)),""))</f>
        <v>OT - 3 HOURS</v>
      </c>
    </row>
    <row r="17" customFormat="false" ht="15" hidden="false" customHeight="false" outlineLevel="0" collapsed="false">
      <c r="A17" s="2" t="s">
        <v>43</v>
      </c>
      <c r="B17" s="4" t="str">
        <f aca="false">IF(B6="Yes","Emergency","Normal")</f>
        <v>Normal</v>
      </c>
    </row>
    <row r="19" customFormat="false" ht="15" hidden="false" customHeight="false" outlineLevel="0" collapsed="false">
      <c r="A19" s="5" t="s">
        <v>44</v>
      </c>
      <c r="B19" s="5"/>
      <c r="C19" s="5"/>
      <c r="D19" s="5"/>
      <c r="E19" s="5"/>
      <c r="F19" s="5"/>
      <c r="G19" s="5"/>
    </row>
    <row r="20" customFormat="false" ht="77.6" hidden="false" customHeight="false" outlineLevel="0" collapsed="false">
      <c r="A20" s="14" t="s">
        <v>45</v>
      </c>
      <c r="B20" s="14"/>
      <c r="C20" s="14"/>
      <c r="D20" s="14"/>
      <c r="E20" s="14"/>
      <c r="F20" s="14"/>
      <c r="G20" s="14"/>
    </row>
    <row r="21" customFormat="false" ht="102.95" hidden="false" customHeight="false" outlineLevel="0" collapsed="false">
      <c r="A21" s="14" t="s">
        <v>46</v>
      </c>
      <c r="B21" s="14"/>
      <c r="C21" s="14"/>
      <c r="D21" s="14"/>
      <c r="E21" s="14"/>
      <c r="F21" s="14"/>
      <c r="G21" s="14"/>
    </row>
    <row r="22" customFormat="false" ht="90.25" hidden="false" customHeight="false" outlineLevel="0" collapsed="false">
      <c r="A22" s="14" t="s">
        <v>47</v>
      </c>
      <c r="B22" s="14"/>
      <c r="C22" s="14"/>
      <c r="D22" s="14"/>
      <c r="E22" s="14"/>
      <c r="F22" s="14"/>
      <c r="G22" s="14"/>
    </row>
    <row r="23" customFormat="false" ht="64.9" hidden="false" customHeight="false" outlineLevel="0" collapsed="false">
      <c r="A23" s="14" t="s">
        <v>48</v>
      </c>
      <c r="B23" s="14"/>
      <c r="C23" s="14"/>
      <c r="D23" s="14"/>
      <c r="E23" s="14"/>
      <c r="F23" s="14"/>
      <c r="G23" s="14"/>
    </row>
    <row r="24" customFormat="false" ht="64.9" hidden="false" customHeight="false" outlineLevel="0" collapsed="false">
      <c r="A24" s="14" t="s">
        <v>49</v>
      </c>
      <c r="B24" s="14"/>
      <c r="C24" s="14"/>
      <c r="D24" s="14"/>
      <c r="E24" s="14"/>
      <c r="F24" s="14"/>
      <c r="G24" s="14"/>
    </row>
    <row r="25" customFormat="false" ht="115.65" hidden="false" customHeight="false" outlineLevel="0" collapsed="false">
      <c r="A25" s="14" t="s">
        <v>50</v>
      </c>
      <c r="B25" s="14"/>
      <c r="C25" s="14"/>
      <c r="D25" s="14"/>
      <c r="E25" s="14"/>
      <c r="F25" s="14"/>
      <c r="G25" s="14"/>
    </row>
    <row r="26" customFormat="false" ht="90.25" hidden="false" customHeight="false" outlineLevel="0" collapsed="false">
      <c r="A26" s="14" t="s">
        <v>51</v>
      </c>
      <c r="B26" s="14"/>
      <c r="C26" s="14"/>
      <c r="D26" s="14"/>
      <c r="E26" s="14"/>
      <c r="F26" s="14"/>
      <c r="G26" s="14"/>
    </row>
    <row r="27" customFormat="false" ht="128.35" hidden="false" customHeight="false" outlineLevel="0" collapsed="false">
      <c r="A27" s="14" t="s">
        <v>52</v>
      </c>
      <c r="B27" s="14"/>
      <c r="C27" s="14"/>
      <c r="D27" s="14"/>
      <c r="E27" s="14"/>
      <c r="F27" s="14"/>
      <c r="G27" s="14"/>
    </row>
    <row r="28" customFormat="false" ht="39.55" hidden="false" customHeight="false" outlineLevel="0" collapsed="false">
      <c r="A28" s="14" t="s">
        <v>53</v>
      </c>
      <c r="B28" s="14"/>
      <c r="C28" s="14"/>
      <c r="D28" s="14"/>
      <c r="E28" s="14"/>
      <c r="F28" s="14"/>
      <c r="G28" s="14"/>
    </row>
  </sheetData>
  <dataValidations count="8">
    <dataValidation allowBlank="false" errorStyle="stop" operator="between" showDropDown="false" showErrorMessage="false" showInputMessage="false" sqref="B4" type="list">
      <formula1>"General,Twin,Single"</formula1>
      <formula2>0</formula2>
    </dataValidation>
    <dataValidation allowBlank="false" errorStyle="stop" operator="between" showDropDown="false" showErrorMessage="false" showInputMessage="false" sqref="B5" type="list">
      <formula1>"Low,Typical,High"</formula1>
      <formula2>0</formula2>
    </dataValidation>
    <dataValidation allowBlank="false" errorStyle="stop" operator="between" showDropDown="false" showErrorMessage="false" showInputMessage="false" sqref="E2" type="list">
      <formula1>"Cash / TR1,Insurance / Org Tariff"</formula1>
      <formula2>0</formula2>
    </dataValidation>
    <dataValidation allowBlank="false" errorStyle="stop" operator="between" showDropDown="false" showErrorMessage="false" showInputMessage="false" sqref="E3" type="list">
      <formula1>"Auto (Recommended),Cash,GIPSA Insurance,Non-GIPSA Insurance,Corporate,Insurance All,All Payers"</formula1>
      <formula2>0</formula2>
    </dataValidation>
    <dataValidation allowBlank="false" errorStyle="stop" operator="between" showDropDown="false" showErrorMessage="false" showInputMessage="false" sqref="B6 E6" type="list">
      <formula1>"No,Yes"</formula1>
      <formula2>0</formula2>
    </dataValidation>
    <dataValidation allowBlank="true" errorStyle="stop" operator="between" showDropDown="false" showErrorMessage="false" showInputMessage="false" sqref="B8" type="list">
      <formula1>"Yes,No"</formula1>
      <formula2>0</formula2>
    </dataValidation>
    <dataValidation allowBlank="false" errorStyle="stop" operator="between" showDropDown="false" showErrorMessage="false" showInputMessage="false" sqref="E11:E13" type="list">
      <formula1>"P25,P50,P75,Manual"</formula1>
      <formula2>0</formula2>
    </dataValidation>
    <dataValidation allowBlank="true" errorStyle="stop" operator="between" showDropDown="false" showErrorMessage="false" showInputMessage="false" sqref="G2" type="list">
      <formula1>Reference!$DU$2:$DU$1000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4" min="2" style="0" width="18"/>
    <col collapsed="false" customWidth="true" hidden="false" outlineLevel="0" max="5" min="5" style="0" width="20"/>
    <col collapsed="false" customWidth="true" hidden="false" outlineLevel="0" max="6" min="6" style="0" width="12"/>
    <col collapsed="false" customWidth="true" hidden="false" outlineLevel="0" max="7" min="7" style="0" width="18"/>
    <col collapsed="false" customWidth="true" hidden="false" outlineLevel="0" max="11" min="8" style="0" width="14"/>
    <col collapsed="false" customWidth="true" hidden="false" outlineLevel="0" max="12" min="12" style="0" width="24"/>
    <col collapsed="false" customWidth="true" hidden="false" outlineLevel="0" max="15" min="13" style="0" width="14"/>
    <col collapsed="false" customWidth="true" hidden="false" outlineLevel="0" max="16" min="16" style="0" width="24"/>
    <col collapsed="false" customWidth="true" hidden="false" outlineLevel="0" max="17" min="17" style="0" width="16"/>
    <col collapsed="false" customWidth="true" hidden="false" outlineLevel="0" max="18" min="18" style="0" width="14"/>
  </cols>
  <sheetData>
    <row r="1" customFormat="false" ht="15" hidden="false" customHeight="false" outlineLevel="0" collapsed="false">
      <c r="A1" s="1" t="s">
        <v>54</v>
      </c>
      <c r="B1" s="1"/>
      <c r="C1" s="1"/>
      <c r="D1" s="1"/>
      <c r="E1" s="1"/>
      <c r="F1" s="1"/>
      <c r="G1" s="1"/>
      <c r="H1" s="1"/>
    </row>
    <row r="2" customFormat="false" ht="15" hidden="false" customHeight="false" outlineLevel="0" collapsed="false">
      <c r="A2" s="15" t="s">
        <v>55</v>
      </c>
      <c r="B2" s="15" t="str">
        <f aca="false">Builder!B4</f>
        <v>Single</v>
      </c>
      <c r="D2" s="16" t="s">
        <v>56</v>
      </c>
      <c r="E2" s="17" t="n">
        <f aca="false">IF(B2="General",'Line Item Detail'!W75,IF(B2="Twin",'Line Item Detail'!X75,'Line Item Detail'!Y75))</f>
        <v>597612.06545752</v>
      </c>
    </row>
    <row r="3" customFormat="false" ht="229.85" hidden="false" customHeight="false" outlineLevel="0" collapsed="false">
      <c r="A3" s="15" t="s">
        <v>14</v>
      </c>
      <c r="B3" s="15" t="str">
        <f aca="false">Builder!B5</f>
        <v>Typical</v>
      </c>
      <c r="D3" s="14" t="s">
        <v>57</v>
      </c>
      <c r="E3" s="14" t="s">
        <v>58</v>
      </c>
      <c r="F3" s="14"/>
      <c r="G3" s="14"/>
      <c r="H3" s="14"/>
    </row>
    <row r="4" customFormat="false" ht="15" hidden="false" customHeight="false" outlineLevel="0" collapsed="false">
      <c r="A4" s="15" t="s">
        <v>7</v>
      </c>
      <c r="B4" s="15" t="str">
        <f aca="false">Builder!E3</f>
        <v>Auto (Recommended)</v>
      </c>
    </row>
    <row r="5" customFormat="false" ht="15" hidden="false" customHeight="false" outlineLevel="0" collapsed="false">
      <c r="A5" s="15" t="s">
        <v>3</v>
      </c>
      <c r="B5" s="15" t="str">
        <f aca="false">Builder!E2</f>
        <v>Cash / TR1</v>
      </c>
    </row>
    <row r="6" customFormat="false" ht="15" hidden="false" customHeight="false" outlineLevel="0" collapsed="false">
      <c r="A6" s="15" t="s">
        <v>5</v>
      </c>
      <c r="B6" s="15" t="n">
        <f aca="false">Builder!G2</f>
        <v>0</v>
      </c>
      <c r="D6" s="18" t="s">
        <v>59</v>
      </c>
      <c r="E6" s="18" t="s">
        <v>60</v>
      </c>
      <c r="F6" s="18" t="s">
        <v>15</v>
      </c>
      <c r="G6" s="18" t="s">
        <v>61</v>
      </c>
      <c r="I6" s="5" t="s">
        <v>62</v>
      </c>
      <c r="J6" s="5"/>
      <c r="K6" s="5"/>
      <c r="L6" s="18" t="s">
        <v>63</v>
      </c>
      <c r="M6" s="18"/>
    </row>
    <row r="7" customFormat="false" ht="15" hidden="false" customHeight="false" outlineLevel="0" collapsed="false">
      <c r="A7" s="15" t="s">
        <v>12</v>
      </c>
      <c r="B7" s="19" t="str">
        <f aca="false">Builder!E4</f>
        <v>Cash</v>
      </c>
      <c r="C7" s="20"/>
      <c r="D7" s="21" t="s">
        <v>64</v>
      </c>
      <c r="E7" s="21" t="n">
        <f aca="false">'Line Item Detail'!N75</f>
        <v>555166.729905518</v>
      </c>
      <c r="F7" s="21" t="n">
        <f aca="false">'Line Item Detail'!O75</f>
        <v>579449.25295752</v>
      </c>
      <c r="G7" s="21" t="n">
        <f aca="false">'Line Item Detail'!P75</f>
        <v>685465.150770312</v>
      </c>
      <c r="I7" s="21" t="s">
        <v>65</v>
      </c>
      <c r="J7" s="21" t="n">
        <f aca="false">Builder!G10</f>
        <v>3</v>
      </c>
      <c r="K7" s="20"/>
      <c r="L7" s="21" t="s">
        <v>66</v>
      </c>
      <c r="M7" s="21" t="n">
        <f aca="false">IFERROR(INDEX(Reference!$BA$2:$BA$500, MATCH(Builder!G6, Reference!$AZ$2:$AZ$500, 0)), 0)</f>
        <v>26</v>
      </c>
      <c r="N7" s="20"/>
    </row>
    <row r="8" customFormat="false" ht="15" hidden="false" customHeight="false" outlineLevel="0" collapsed="false">
      <c r="A8" s="15" t="s">
        <v>16</v>
      </c>
      <c r="B8" s="19" t="str">
        <f aca="false">Builder!E5</f>
        <v>TR1</v>
      </c>
      <c r="C8" s="20"/>
      <c r="D8" s="21" t="s">
        <v>67</v>
      </c>
      <c r="E8" s="21" t="n">
        <f aca="false">'Line Item Detail'!Q75</f>
        <v>561243.761155518</v>
      </c>
      <c r="F8" s="21" t="n">
        <f aca="false">'Line Item Detail'!R75</f>
        <v>587765.90920752</v>
      </c>
      <c r="G8" s="21" t="n">
        <f aca="false">'Line Item Detail'!S75</f>
        <v>696021.432020312</v>
      </c>
      <c r="I8" s="21" t="s">
        <v>68</v>
      </c>
      <c r="J8" s="21" t="n">
        <f aca="false">Builder!G11</f>
        <v>2</v>
      </c>
      <c r="K8" s="20"/>
      <c r="L8" s="21" t="s">
        <v>69</v>
      </c>
      <c r="M8" s="21" t="n">
        <f aca="false">IFERROR(INDEX(Reference!$BB$2:$BB$500, MATCH(Builder!G6, Reference!$AZ$2:$AZ$500, 0)), 0)</f>
        <v>26</v>
      </c>
      <c r="N8" s="20"/>
    </row>
    <row r="9" customFormat="false" ht="15" hidden="false" customHeight="false" outlineLevel="0" collapsed="false">
      <c r="A9" s="15" t="s">
        <v>70</v>
      </c>
      <c r="B9" s="19" t="str">
        <f aca="false">Builder!G5</f>
        <v>Cash</v>
      </c>
      <c r="C9" s="20"/>
      <c r="D9" s="21" t="s">
        <v>11</v>
      </c>
      <c r="E9" s="21" t="n">
        <f aca="false">'Line Item Detail'!T75</f>
        <v>566487.761155518</v>
      </c>
      <c r="F9" s="21" t="n">
        <f aca="false">'Line Item Detail'!U75</f>
        <v>597612.06545752</v>
      </c>
      <c r="G9" s="21" t="n">
        <f aca="false">'Line Item Detail'!V75</f>
        <v>710469.744520312</v>
      </c>
      <c r="I9" s="21" t="s">
        <v>71</v>
      </c>
      <c r="J9" s="21" t="n">
        <f aca="false">Builder!G12</f>
        <v>1</v>
      </c>
      <c r="K9" s="20"/>
      <c r="L9" s="21" t="s">
        <v>72</v>
      </c>
      <c r="M9" s="21" t="n">
        <f aca="false">IFERROR(INDEX(Reference!$BC$2:$BC$500, MATCH(Builder!G6, Reference!$AZ$2:$AZ$500, 0)), 0)</f>
        <v>0</v>
      </c>
      <c r="N9" s="20"/>
    </row>
    <row r="10" customFormat="false" ht="15" hidden="false" customHeight="false" outlineLevel="0" collapsed="false">
      <c r="A10" s="15" t="s">
        <v>21</v>
      </c>
      <c r="B10" s="19" t="str">
        <f aca="false">Builder!G6</f>
        <v>Cash</v>
      </c>
      <c r="C10" s="20"/>
      <c r="D10" s="20"/>
      <c r="E10" s="20"/>
      <c r="I10" s="21" t="s">
        <v>73</v>
      </c>
      <c r="J10" s="21" t="n">
        <f aca="false">Builder!G13</f>
        <v>3</v>
      </c>
      <c r="K10" s="20"/>
      <c r="L10" s="21" t="s">
        <v>74</v>
      </c>
      <c r="M10" s="21" t="n">
        <f aca="false">IFERROR(INDEX(Reference!$BD$2:$BD$500, MATCH(Builder!G6, Reference!$AZ$2:$AZ$500, 0)), 0)</f>
        <v>0</v>
      </c>
      <c r="N10" s="20"/>
    </row>
    <row r="11" customFormat="false" ht="15" hidden="false" customHeight="false" outlineLevel="0" collapsed="false">
      <c r="A11" s="15" t="s">
        <v>23</v>
      </c>
      <c r="B11" s="19" t="str">
        <f aca="false">Builder!G7</f>
        <v>Cash</v>
      </c>
      <c r="C11" s="20"/>
      <c r="D11" s="20"/>
      <c r="E11" s="20"/>
      <c r="I11" s="21" t="s">
        <v>18</v>
      </c>
      <c r="J11" s="21" t="str">
        <f aca="false">Builder!B6</f>
        <v>No</v>
      </c>
      <c r="K11" s="20"/>
      <c r="L11" s="21" t="s">
        <v>75</v>
      </c>
      <c r="M11" s="21" t="n">
        <f aca="false">IFERROR(INDEX(Reference!$BE$2:$BE$500, MATCH(Builder!G6, Reference!$AZ$2:$AZ$500, 0)), 0)</f>
        <v>0</v>
      </c>
      <c r="N11" s="20"/>
    </row>
    <row r="12" customFormat="false" ht="15" hidden="false" customHeight="false" outlineLevel="0" collapsed="false">
      <c r="A12" s="18" t="s">
        <v>76</v>
      </c>
      <c r="B12" s="22" t="s">
        <v>77</v>
      </c>
      <c r="C12" s="20"/>
      <c r="D12" s="20"/>
      <c r="E12" s="20"/>
      <c r="I12" s="21" t="s">
        <v>78</v>
      </c>
      <c r="J12" s="21" t="n">
        <f aca="false">Builder!B14</f>
        <v>3</v>
      </c>
      <c r="K12" s="20"/>
      <c r="L12" s="20"/>
      <c r="M12" s="20"/>
      <c r="N12" s="20"/>
    </row>
    <row r="13" customFormat="false" ht="15" hidden="false" customHeight="false" outlineLevel="0" collapsed="false">
      <c r="A13" s="2" t="s">
        <v>79</v>
      </c>
      <c r="B13" s="21" t="n">
        <f aca="false">IF(B2="General",SUMIF('Line Item Detail'!$B$2:$B$73,A13,'Line Item Detail'!$W$2:$W$73),IF(B2="Twin",SUMIF('Line Item Detail'!$B$2:$B$73,A13,'Line Item Detail'!$X$2:$X$73),SUMIF('Line Item Detail'!$B$2:$B$73,A13,'Line Item Detail'!$Y$2:$Y$73)))</f>
        <v>45280</v>
      </c>
      <c r="C13" s="20"/>
      <c r="D13" s="20"/>
      <c r="E13" s="20"/>
      <c r="I13" s="21" t="s">
        <v>41</v>
      </c>
      <c r="J13" s="21" t="str">
        <f aca="false">Builder!B15</f>
        <v>OTC0010</v>
      </c>
      <c r="K13" s="20"/>
      <c r="L13" s="22" t="s">
        <v>80</v>
      </c>
      <c r="M13" s="22"/>
      <c r="N13" s="22"/>
      <c r="O13" s="18"/>
      <c r="P13" s="18"/>
      <c r="Q13" s="18"/>
      <c r="R13" s="18"/>
    </row>
    <row r="14" customFormat="false" ht="15" hidden="false" customHeight="false" outlineLevel="0" collapsed="false">
      <c r="A14" s="2" t="s">
        <v>81</v>
      </c>
      <c r="B14" s="21" t="n">
        <f aca="false">IF(B2="General",SUMIF('Line Item Detail'!$B$2:$B$73,A14,'Line Item Detail'!$W$2:$W$73),IF(B2="Twin",SUMIF('Line Item Detail'!$B$2:$B$73,A14,'Line Item Detail'!$X$2:$X$73),SUMIF('Line Item Detail'!$B$2:$B$73,A14,'Line Item Detail'!$Y$2:$Y$73)))</f>
        <v>14940</v>
      </c>
      <c r="C14" s="20"/>
      <c r="D14" s="20"/>
      <c r="E14" s="20"/>
      <c r="I14" s="21" t="s">
        <v>43</v>
      </c>
      <c r="J14" s="21" t="str">
        <f aca="false">Builder!B17</f>
        <v>Normal</v>
      </c>
      <c r="K14" s="20"/>
      <c r="L14" s="19" t="s">
        <v>76</v>
      </c>
      <c r="M14" s="19" t="s">
        <v>82</v>
      </c>
      <c r="N14" s="19" t="s">
        <v>83</v>
      </c>
      <c r="O14" s="15" t="s">
        <v>84</v>
      </c>
      <c r="P14" s="15" t="s">
        <v>85</v>
      </c>
      <c r="Q14" s="15" t="s">
        <v>86</v>
      </c>
      <c r="R14" s="15" t="s">
        <v>87</v>
      </c>
    </row>
    <row r="15" customFormat="false" ht="15" hidden="false" customHeight="false" outlineLevel="0" collapsed="false">
      <c r="A15" s="2" t="s">
        <v>88</v>
      </c>
      <c r="B15" s="21" t="n">
        <f aca="false">IF(B2="General",SUMIF('Line Item Detail'!$B$2:$B$73,A15,'Line Item Detail'!$W$2:$W$73),IF(B2="Twin",SUMIF('Line Item Detail'!$B$2:$B$73,A15,'Line Item Detail'!$X$2:$X$73),SUMIF('Line Item Detail'!$B$2:$B$73,A15,'Line Item Detail'!$Y$2:$Y$73)))</f>
        <v>158660</v>
      </c>
      <c r="C15" s="20"/>
      <c r="D15" s="20"/>
      <c r="E15" s="20"/>
      <c r="I15" s="21" t="s">
        <v>20</v>
      </c>
      <c r="J15" s="21" t="str">
        <f aca="false">Builder!E6</f>
        <v>No</v>
      </c>
      <c r="K15" s="20"/>
      <c r="L15" s="21" t="s">
        <v>89</v>
      </c>
      <c r="M15" s="21" t="n">
        <f aca="false">IFERROR(INDEX(Reference!$CK$2:$CK$500, MATCH("Cash", Reference!$AZ$2:$AZ$500, 0)), 0)</f>
        <v>2855.31875</v>
      </c>
      <c r="N15" s="21" t="n">
        <f aca="false">IFERROR(INDEX(Reference!$CK$2:$CK$500, MATCH("GIPSA Insurance", Reference!$AZ$2:$AZ$500, 0)), 0)</f>
        <v>0</v>
      </c>
      <c r="O15" s="2" t="n">
        <f aca="false">IFERROR(INDEX(Reference!$CK$2:$CK$500, MATCH("Non-GIPSA Insurance", Reference!$AZ$2:$AZ$500, 0)), 0)</f>
        <v>0</v>
      </c>
      <c r="P15" s="2" t="n">
        <f aca="false">IFERROR(INDEX(Reference!$CK$2:$CK$500, MATCH("Corporate", Reference!$AZ$2:$AZ$500, 0)), 0)</f>
        <v>0</v>
      </c>
      <c r="Q15" s="2" t="n">
        <f aca="false">IFERROR(INDEX(Reference!$CK$2:$CK$500, MATCH("Insurance All", Reference!$AZ$2:$AZ$500, 0)), 0)</f>
        <v>0</v>
      </c>
      <c r="R15" s="2" t="n">
        <f aca="false">IFERROR(INDEX(Reference!$CK$2:$CK$500, MATCH("All Payers", Reference!$AZ$2:$AZ$500, 0)), 0)</f>
        <v>2855.31875</v>
      </c>
    </row>
    <row r="16" customFormat="false" ht="15" hidden="false" customHeight="false" outlineLevel="0" collapsed="false">
      <c r="A16" s="2" t="s">
        <v>90</v>
      </c>
      <c r="B16" s="21" t="n">
        <f aca="false">IF(B2="General",SUMIF('Line Item Detail'!$B$2:$B$73,A16,'Line Item Detail'!$W$2:$W$73),IF(B2="Twin",SUMIF('Line Item Detail'!$B$2:$B$73,A16,'Line Item Detail'!$X$2:$X$73),SUMIF('Line Item Detail'!$B$2:$B$73,A16,'Line Item Detail'!$Y$2:$Y$73)))</f>
        <v>5200</v>
      </c>
      <c r="C16" s="20"/>
      <c r="D16" s="20"/>
      <c r="E16" s="20"/>
      <c r="I16" s="21" t="s">
        <v>91</v>
      </c>
      <c r="J16" s="21" t="n">
        <f aca="false">'Advanced Controls'!C6</f>
        <v>72382.9</v>
      </c>
      <c r="K16" s="20"/>
      <c r="L16" s="21" t="s">
        <v>92</v>
      </c>
      <c r="M16" s="21" t="n">
        <f aca="false">IFERROR(INDEX(Reference!$CN$2:$CN$500, MATCH("Cash", Reference!$AZ$2:$AZ$500, 0)), 0)</f>
        <v>3428.82833333333</v>
      </c>
      <c r="N16" s="21" t="n">
        <f aca="false">IFERROR(INDEX(Reference!$CN$2:$CN$500, MATCH("GIPSA Insurance", Reference!$AZ$2:$AZ$500, 0)), 0)</f>
        <v>0</v>
      </c>
      <c r="O16" s="2" t="n">
        <f aca="false">IFERROR(INDEX(Reference!$CN$2:$CN$500, MATCH("Non-GIPSA Insurance", Reference!$AZ$2:$AZ$500, 0)), 0)</f>
        <v>0</v>
      </c>
      <c r="P16" s="2" t="n">
        <f aca="false">IFERROR(INDEX(Reference!$CN$2:$CN$500, MATCH("Corporate", Reference!$AZ$2:$AZ$500, 0)), 0)</f>
        <v>0</v>
      </c>
      <c r="Q16" s="2" t="n">
        <f aca="false">IFERROR(INDEX(Reference!$CN$2:$CN$500, MATCH("Insurance All", Reference!$AZ$2:$AZ$500, 0)), 0)</f>
        <v>0</v>
      </c>
      <c r="R16" s="2" t="n">
        <f aca="false">IFERROR(INDEX(Reference!$CN$2:$CN$500, MATCH("All Payers", Reference!$AZ$2:$AZ$500, 0)), 0)</f>
        <v>3428.82833333333</v>
      </c>
    </row>
    <row r="17" customFormat="false" ht="15" hidden="false" customHeight="false" outlineLevel="0" collapsed="false">
      <c r="A17" s="2" t="s">
        <v>93</v>
      </c>
      <c r="B17" s="21" t="n">
        <f aca="false">IF(B2="General",SUMIF('Line Item Detail'!$B$2:$B$73,A17,'Line Item Detail'!$W$2:$W$73),IF(B2="Twin",SUMIF('Line Item Detail'!$B$2:$B$73,A17,'Line Item Detail'!$X$2:$X$73),SUMIF('Line Item Detail'!$B$2:$B$73,A17,'Line Item Detail'!$Y$2:$Y$73)))</f>
        <v>189805.03625</v>
      </c>
      <c r="C17" s="20"/>
      <c r="D17" s="20"/>
      <c r="E17" s="20"/>
      <c r="I17" s="21" t="s">
        <v>94</v>
      </c>
      <c r="J17" s="21" t="n">
        <f aca="false">'Implant Selection'!F6</f>
        <v>89130.16</v>
      </c>
      <c r="K17" s="20"/>
      <c r="L17" s="21" t="s">
        <v>95</v>
      </c>
      <c r="M17" s="21" t="n">
        <f aca="false">IFERROR(INDEX(Reference!$CB$2:$CB$500, MATCH("Cash", Reference!$AZ$2:$AZ$500, 0)), 0)</f>
        <v>9439.535</v>
      </c>
      <c r="N17" s="21" t="n">
        <f aca="false">IFERROR(INDEX(Reference!$CB$2:$CB$500, MATCH("GIPSA Insurance", Reference!$AZ$2:$AZ$500, 0)), 0)</f>
        <v>0</v>
      </c>
      <c r="O17" s="2" t="n">
        <f aca="false">IFERROR(INDEX(Reference!$CB$2:$CB$500, MATCH("Non-GIPSA Insurance", Reference!$AZ$2:$AZ$500, 0)), 0)</f>
        <v>0</v>
      </c>
      <c r="P17" s="2" t="n">
        <f aca="false">IFERROR(INDEX(Reference!$CB$2:$CB$500, MATCH("Corporate", Reference!$AZ$2:$AZ$500, 0)), 0)</f>
        <v>0</v>
      </c>
      <c r="Q17" s="2" t="n">
        <f aca="false">IFERROR(INDEX(Reference!$CB$2:$CB$500, MATCH("Insurance All", Reference!$AZ$2:$AZ$500, 0)), 0)</f>
        <v>0</v>
      </c>
      <c r="R17" s="2" t="n">
        <f aca="false">IFERROR(INDEX(Reference!$CB$2:$CB$500, MATCH("All Payers", Reference!$AZ$2:$AZ$500, 0)), 0)</f>
        <v>9439.535</v>
      </c>
    </row>
    <row r="18" customFormat="false" ht="15" hidden="false" customHeight="false" outlineLevel="0" collapsed="false">
      <c r="A18" s="2" t="s">
        <v>96</v>
      </c>
      <c r="B18" s="21" t="n">
        <f aca="false">IF(B2="General",SUMIF('Line Item Detail'!$B$2:$B$73,A18,'Line Item Detail'!$W$2:$W$73),IF(B2="Twin",SUMIF('Line Item Detail'!$B$2:$B$73,A18,'Line Item Detail'!$X$2:$X$73),SUMIF('Line Item Detail'!$B$2:$B$73,A18,'Line Item Detail'!$Y$2:$Y$73)))</f>
        <v>23725.62953125</v>
      </c>
      <c r="C18" s="20"/>
      <c r="D18" s="20"/>
      <c r="E18" s="20"/>
      <c r="I18" s="21" t="s">
        <v>97</v>
      </c>
      <c r="J18" s="21" t="n">
        <f aca="false">'Service Add-Ons'!C5</f>
        <v>0</v>
      </c>
      <c r="K18" s="20"/>
      <c r="L18" s="21" t="s">
        <v>98</v>
      </c>
      <c r="M18" s="21" t="n">
        <f aca="false">IFERROR(INDEX(Reference!$CE$2:$CE$500, MATCH("Cash", Reference!$AZ$2:$AZ$500, 0)), 0)</f>
        <v>72382.9</v>
      </c>
      <c r="N18" s="21" t="n">
        <f aca="false">IFERROR(INDEX(Reference!$CE$2:$CE$500, MATCH("GIPSA Insurance", Reference!$AZ$2:$AZ$500, 0)), 0)</f>
        <v>0</v>
      </c>
      <c r="O18" s="2" t="n">
        <f aca="false">IFERROR(INDEX(Reference!$CE$2:$CE$500, MATCH("Non-GIPSA Insurance", Reference!$AZ$2:$AZ$500, 0)), 0)</f>
        <v>0</v>
      </c>
      <c r="P18" s="2" t="n">
        <f aca="false">IFERROR(INDEX(Reference!$CE$2:$CE$500, MATCH("Corporate", Reference!$AZ$2:$AZ$500, 0)), 0)</f>
        <v>0</v>
      </c>
      <c r="Q18" s="2" t="n">
        <f aca="false">IFERROR(INDEX(Reference!$CE$2:$CE$500, MATCH("Insurance All", Reference!$AZ$2:$AZ$500, 0)), 0)</f>
        <v>0</v>
      </c>
      <c r="R18" s="2" t="n">
        <f aca="false">IFERROR(INDEX(Reference!$CE$2:$CE$500, MATCH("All Payers", Reference!$AZ$2:$AZ$500, 0)), 0)</f>
        <v>72382.9</v>
      </c>
    </row>
    <row r="19" customFormat="false" ht="15" hidden="false" customHeight="false" outlineLevel="0" collapsed="false">
      <c r="A19" s="2" t="s">
        <v>99</v>
      </c>
      <c r="B19" s="21" t="n">
        <f aca="false">IF(B2="General",SUMIF('Line Item Detail'!$B$2:$B$73,A19,'Line Item Detail'!$W$2:$W$73),IF(B2="Twin",SUMIF('Line Item Detail'!$B$2:$B$73,A19,'Line Item Detail'!$X$2:$X$73),SUMIF('Line Item Detail'!$B$2:$B$73,A19,'Line Item Detail'!$Y$2:$Y$73)))</f>
        <v>160001.39967627</v>
      </c>
      <c r="C19" s="20"/>
      <c r="D19" s="20"/>
      <c r="E19" s="20"/>
      <c r="I19" s="21" t="s">
        <v>100</v>
      </c>
      <c r="J19" s="21" t="n">
        <f aca="false">'Grouped Adjustments'!C5</f>
        <v>7280</v>
      </c>
      <c r="K19" s="20"/>
      <c r="L19" s="21" t="s">
        <v>101</v>
      </c>
      <c r="M19" s="21" t="n">
        <f aca="false">IFERROR(INDEX(Reference!$CH$2:$CH$500, MATCH("Cash", Reference!$AZ$2:$AZ$500, 0)), 0)</f>
        <v>89130.16</v>
      </c>
      <c r="N19" s="21" t="n">
        <f aca="false">IFERROR(INDEX(Reference!$CH$2:$CH$500, MATCH("GIPSA Insurance", Reference!$AZ$2:$AZ$500, 0)), 0)</f>
        <v>0</v>
      </c>
      <c r="O19" s="2" t="n">
        <f aca="false">IFERROR(INDEX(Reference!$CH$2:$CH$500, MATCH("Non-GIPSA Insurance", Reference!$AZ$2:$AZ$500, 0)), 0)</f>
        <v>0</v>
      </c>
      <c r="P19" s="2" t="n">
        <f aca="false">IFERROR(INDEX(Reference!$CH$2:$CH$500, MATCH("Corporate", Reference!$AZ$2:$AZ$500, 0)), 0)</f>
        <v>0</v>
      </c>
      <c r="Q19" s="2" t="n">
        <f aca="false">IFERROR(INDEX(Reference!$CH$2:$CH$500, MATCH("Insurance All", Reference!$AZ$2:$AZ$500, 0)), 0)</f>
        <v>0</v>
      </c>
      <c r="R19" s="2" t="n">
        <f aca="false">IFERROR(INDEX(Reference!$CH$2:$CH$500, MATCH("All Payers", Reference!$AZ$2:$AZ$500, 0)), 0)</f>
        <v>89130.16</v>
      </c>
    </row>
    <row r="20" customFormat="false" ht="15" hidden="false" customHeight="false" outlineLevel="0" collapsed="false">
      <c r="A20" s="2" t="s">
        <v>102</v>
      </c>
      <c r="B20" s="21" t="n">
        <f aca="false">IF(B2="General",SUMIF('Line Item Detail'!$B$2:$B$73,A20,'Line Item Detail'!$W$2:$W$73),IF(B2="Twin",SUMIF('Line Item Detail'!$B$2:$B$73,A20,'Line Item Detail'!$X$2:$X$73),SUMIF('Line Item Detail'!$B$2:$B$73,A20,'Line Item Detail'!$Y$2:$Y$73)))</f>
        <v>0</v>
      </c>
      <c r="C20" s="20"/>
      <c r="D20" s="20"/>
      <c r="E20" s="20"/>
      <c r="I20" s="2" t="s">
        <v>103</v>
      </c>
      <c r="J20" s="2" t="n">
        <f aca="false">'Grouped Adjustments'!E5</f>
        <v>3</v>
      </c>
    </row>
    <row r="21" customFormat="false" ht="15" hidden="false" customHeight="false" outlineLevel="0" collapsed="false">
      <c r="A21" s="2" t="s">
        <v>104</v>
      </c>
      <c r="B21" s="21" t="n">
        <f aca="false">E2</f>
        <v>597612.06545752</v>
      </c>
      <c r="C21" s="20"/>
      <c r="D21" s="20"/>
      <c r="E21" s="20"/>
    </row>
    <row r="22" customFormat="false" ht="15" hidden="false" customHeight="false" outlineLevel="0" collapsed="false">
      <c r="A22" s="2" t="s">
        <v>105</v>
      </c>
      <c r="B22" s="21" t="n">
        <f aca="false">IFERROR(INDEX(Reference!$FF$2:$FF$500, MATCH(Builder!G7, Reference!$FC$2:$FC$500, 0)), 0)</f>
        <v>98192</v>
      </c>
      <c r="C22" s="20"/>
      <c r="D22" s="20"/>
      <c r="E22" s="20"/>
    </row>
    <row r="23" customFormat="false" ht="15" hidden="false" customHeight="false" outlineLevel="0" collapsed="false">
      <c r="A23" s="2" t="s">
        <v>106</v>
      </c>
      <c r="B23" s="21" t="n">
        <f aca="false">B21-B19+B22</f>
        <v>535802.66578125</v>
      </c>
      <c r="C23" s="20"/>
      <c r="D23" s="20"/>
      <c r="E23" s="20"/>
    </row>
    <row r="24" customFormat="false" ht="15" hidden="false" customHeight="false" outlineLevel="0" collapsed="false">
      <c r="I24" s="2" t="s">
        <v>107</v>
      </c>
      <c r="J24" s="2"/>
      <c r="L24" s="18" t="s">
        <v>108</v>
      </c>
      <c r="M24" s="18"/>
      <c r="N24" s="18"/>
      <c r="O24" s="18"/>
      <c r="P24" s="18"/>
    </row>
    <row r="25" customFormat="false" ht="15" hidden="false" customHeight="false" outlineLevel="0" collapsed="false">
      <c r="A25" s="18" t="s">
        <v>109</v>
      </c>
      <c r="B25" s="18"/>
      <c r="C25" s="18"/>
      <c r="D25" s="18"/>
      <c r="E25" s="18"/>
      <c r="I25" s="2" t="s">
        <v>110</v>
      </c>
      <c r="J25" s="2" t="n">
        <f aca="false">'Service Add-Ons'!P10</f>
        <v>37</v>
      </c>
      <c r="L25" s="15" t="s">
        <v>111</v>
      </c>
      <c r="M25" s="15" t="s">
        <v>29</v>
      </c>
      <c r="N25" s="15" t="s">
        <v>30</v>
      </c>
      <c r="O25" s="15" t="s">
        <v>31</v>
      </c>
      <c r="P25" s="15" t="s">
        <v>112</v>
      </c>
    </row>
    <row r="26" customFormat="false" ht="15" hidden="false" customHeight="false" outlineLevel="0" collapsed="false">
      <c r="A26" s="15" t="s">
        <v>113</v>
      </c>
      <c r="B26" s="15" t="s">
        <v>114</v>
      </c>
      <c r="C26" s="15" t="s">
        <v>29</v>
      </c>
      <c r="D26" s="15" t="s">
        <v>30</v>
      </c>
      <c r="E26" s="15" t="s">
        <v>31</v>
      </c>
      <c r="I26" s="2" t="s">
        <v>115</v>
      </c>
      <c r="J26" s="2" t="n">
        <f aca="false">'Service Add-Ons'!P5</f>
        <v>36.25</v>
      </c>
      <c r="L26" s="2" t="s">
        <v>116</v>
      </c>
      <c r="M26" s="21" t="n">
        <f aca="false">IFERROR(INDEX(Reference!$FE$2:$FE$500, MATCH(Builder!G7, Reference!$FC$2:$FC$500, 0)), 0)</f>
        <v>96442</v>
      </c>
      <c r="N26" s="21" t="n">
        <f aca="false">IFERROR(INDEX(Reference!$FF$2:$FF$500, MATCH(Builder!G7, Reference!$FC$2:$FC$500, 0)), 0)</f>
        <v>98192</v>
      </c>
      <c r="O26" s="21" t="n">
        <f aca="false">IFERROR(INDEX(Reference!$FG$2:$FG$500, MATCH(Builder!G7, Reference!$FC$2:$FC$500, 0)), 0)</f>
        <v>99817</v>
      </c>
      <c r="P26" s="2" t="s">
        <v>117</v>
      </c>
    </row>
    <row r="27" customFormat="false" ht="15" hidden="false" customHeight="false" outlineLevel="0" collapsed="false">
      <c r="A27" s="2" t="s">
        <v>82</v>
      </c>
      <c r="B27" s="21" t="n">
        <f aca="false">IFERROR(INDEX(Reference!$FD$2:$FD$500, MATCH("Cash", Reference!$FC$2:$FC$500, 0)), 0)</f>
        <v>26</v>
      </c>
      <c r="C27" s="21" t="n">
        <f aca="false">IFERROR(INDEX(Reference!$FE$2:$FE$500, MATCH("Cash", Reference!$FC$2:$FC$500, 0)), 0)</f>
        <v>96442</v>
      </c>
      <c r="D27" s="21" t="n">
        <f aca="false">IFERROR(INDEX(Reference!$FF$2:$FF$500, MATCH("Cash", Reference!$FC$2:$FC$500, 0)), 0)</f>
        <v>98192</v>
      </c>
      <c r="E27" s="21" t="n">
        <f aca="false">IFERROR(INDEX(Reference!$FG$2:$FG$500, MATCH("Cash", Reference!$FC$2:$FC$500, 0)), 0)</f>
        <v>99817</v>
      </c>
      <c r="I27" s="2" t="s">
        <v>118</v>
      </c>
      <c r="J27" s="2" t="n">
        <f aca="false">'Service Add-Ons'!P6</f>
        <v>39</v>
      </c>
      <c r="L27" s="2" t="s">
        <v>119</v>
      </c>
      <c r="M27" s="21" t="n">
        <f aca="false">IFERROR(INDEX(Reference!$FH$2:$FH$500, MATCH(Builder!G7, Reference!$FC$2:$FC$500, 0)), 0)</f>
        <v>95562</v>
      </c>
      <c r="N27" s="21" t="n">
        <f aca="false">IFERROR(INDEX(Reference!$FI$2:$FI$500, MATCH(Builder!G7, Reference!$FC$2:$FC$500, 0)), 0)</f>
        <v>97062</v>
      </c>
      <c r="O27" s="21" t="n">
        <f aca="false">IFERROR(INDEX(Reference!$FJ$2:$FJ$500, MATCH(Builder!G7, Reference!$FC$2:$FC$500, 0)), 0)</f>
        <v>98562</v>
      </c>
      <c r="P27" s="2" t="s">
        <v>120</v>
      </c>
    </row>
    <row r="28" customFormat="false" ht="15" hidden="false" customHeight="false" outlineLevel="0" collapsed="false">
      <c r="A28" s="2" t="s">
        <v>121</v>
      </c>
      <c r="B28" s="21" t="n">
        <f aca="false">IFERROR(INDEX(Reference!$FD$2:$FD$500, MATCH("GIPSA Insurance", Reference!$FC$2:$FC$500, 0)), 0)</f>
        <v>0</v>
      </c>
      <c r="C28" s="21" t="n">
        <f aca="false">IFERROR(INDEX(Reference!$FE$2:$FE$500, MATCH("GIPSA Insurance", Reference!$FC$2:$FC$500, 0)), 0)</f>
        <v>0</v>
      </c>
      <c r="D28" s="21" t="n">
        <f aca="false">IFERROR(INDEX(Reference!$FF$2:$FF$500, MATCH("GIPSA Insurance", Reference!$FC$2:$FC$500, 0)), 0)</f>
        <v>0</v>
      </c>
      <c r="E28" s="21" t="n">
        <f aca="false">IFERROR(INDEX(Reference!$FG$2:$FG$500, MATCH("GIPSA Insurance", Reference!$FC$2:$FC$500, 0)), 0)</f>
        <v>0</v>
      </c>
      <c r="I28" s="2" t="s">
        <v>122</v>
      </c>
      <c r="J28" s="2" t="n">
        <f aca="false">'Service Add-Ons'!P7</f>
        <v>41</v>
      </c>
      <c r="L28" s="2" t="s">
        <v>123</v>
      </c>
      <c r="M28" s="21" t="n">
        <f aca="false">IFERROR(INDEX(Reference!$FK$2:$FK$500, MATCH(Builder!G7, Reference!$FC$2:$FC$500, 0)), 0)</f>
        <v>880</v>
      </c>
      <c r="N28" s="21" t="n">
        <f aca="false">IFERROR(INDEX(Reference!$FL$2:$FL$500, MATCH(Builder!G7, Reference!$FC$2:$FC$500, 0)), 0)</f>
        <v>880</v>
      </c>
      <c r="O28" s="21" t="n">
        <f aca="false">IFERROR(INDEX(Reference!$FM$2:$FM$500, MATCH(Builder!G7, Reference!$FC$2:$FC$500, 0)), 0)</f>
        <v>880</v>
      </c>
      <c r="P28" s="2" t="s">
        <v>124</v>
      </c>
    </row>
    <row r="29" customFormat="false" ht="15" hidden="false" customHeight="false" outlineLevel="0" collapsed="false">
      <c r="A29" s="2" t="s">
        <v>125</v>
      </c>
      <c r="B29" s="21" t="n">
        <f aca="false">IFERROR(INDEX(Reference!$FD$2:$FD$500, MATCH("Non-GIPSA Insurance", Reference!$FC$2:$FC$500, 0)), 0)</f>
        <v>0</v>
      </c>
      <c r="C29" s="21" t="n">
        <f aca="false">IFERROR(INDEX(Reference!$FE$2:$FE$500, MATCH("Non-GIPSA Insurance", Reference!$FC$2:$FC$500, 0)), 0)</f>
        <v>0</v>
      </c>
      <c r="D29" s="21" t="n">
        <f aca="false">IFERROR(INDEX(Reference!$FF$2:$FF$500, MATCH("Non-GIPSA Insurance", Reference!$FC$2:$FC$500, 0)), 0)</f>
        <v>0</v>
      </c>
      <c r="E29" s="21" t="n">
        <f aca="false">IFERROR(INDEX(Reference!$FG$2:$FG$500, MATCH("Non-GIPSA Insurance", Reference!$FC$2:$FC$500, 0)), 0)</f>
        <v>0</v>
      </c>
      <c r="I29" s="2" t="s">
        <v>126</v>
      </c>
      <c r="J29" s="2" t="str">
        <f aca="false">'Service Add-Ons'!P11</f>
        <v>Within historical range</v>
      </c>
      <c r="L29" s="2" t="s">
        <v>127</v>
      </c>
      <c r="M29" s="21" t="n">
        <f aca="false">IFERROR(INDEX(Reference!$FN$2:$FN$500, MATCH(Builder!G7, Reference!$FC$2:$FC$500, 0)), 0)</f>
        <v>65000</v>
      </c>
      <c r="N29" s="21" t="n">
        <f aca="false">IFERROR(INDEX(Reference!$FO$2:$FO$500, MATCH(Builder!G7, Reference!$FC$2:$FC$500, 0)), 0)</f>
        <v>65000</v>
      </c>
      <c r="O29" s="21" t="n">
        <f aca="false">IFERROR(INDEX(Reference!$FP$2:$FP$500, MATCH(Builder!G7, Reference!$FC$2:$FC$500, 0)), 0)</f>
        <v>65000</v>
      </c>
      <c r="P29" s="2" t="s">
        <v>128</v>
      </c>
    </row>
    <row r="30" customFormat="false" ht="15" hidden="false" customHeight="false" outlineLevel="0" collapsed="false">
      <c r="A30" s="2" t="s">
        <v>85</v>
      </c>
      <c r="B30" s="21" t="n">
        <f aca="false">IFERROR(INDEX(Reference!$FD$2:$FD$500, MATCH("Corporate", Reference!$FC$2:$FC$500, 0)), 0)</f>
        <v>0</v>
      </c>
      <c r="C30" s="21" t="n">
        <f aca="false">IFERROR(INDEX(Reference!$FE$2:$FE$500, MATCH("Corporate", Reference!$FC$2:$FC$500, 0)), 0)</f>
        <v>0</v>
      </c>
      <c r="D30" s="21" t="n">
        <f aca="false">IFERROR(INDEX(Reference!$FF$2:$FF$500, MATCH("Corporate", Reference!$FC$2:$FC$500, 0)), 0)</f>
        <v>0</v>
      </c>
      <c r="E30" s="21" t="n">
        <f aca="false">IFERROR(INDEX(Reference!$FG$2:$FG$500, MATCH("Corporate", Reference!$FC$2:$FC$500, 0)), 0)</f>
        <v>0</v>
      </c>
      <c r="L30" s="2" t="s">
        <v>129</v>
      </c>
      <c r="M30" s="21" t="n">
        <f aca="false">IFERROR(INDEX(Reference!$FQ$2:$FQ$500, MATCH(Builder!G7, Reference!$FC$2:$FC$500, 0)), 0)</f>
        <v>9750</v>
      </c>
      <c r="N30" s="21" t="n">
        <f aca="false">IFERROR(INDEX(Reference!$FR$2:$FR$500, MATCH(Builder!G7, Reference!$FC$2:$FC$500, 0)), 0)</f>
        <v>9750</v>
      </c>
      <c r="O30" s="21" t="n">
        <f aca="false">IFERROR(INDEX(Reference!$FS$2:$FS$500, MATCH(Builder!G7, Reference!$FC$2:$FC$500, 0)), 0)</f>
        <v>9750</v>
      </c>
      <c r="P30" s="2" t="s">
        <v>130</v>
      </c>
    </row>
    <row r="31" customFormat="false" ht="15" hidden="false" customHeight="false" outlineLevel="0" collapsed="false">
      <c r="A31" s="2" t="s">
        <v>86</v>
      </c>
      <c r="B31" s="21" t="n">
        <f aca="false">IFERROR(INDEX(Reference!$FD$2:$FD$500, MATCH("Insurance All", Reference!$FC$2:$FC$500, 0)), 0)</f>
        <v>0</v>
      </c>
      <c r="C31" s="21" t="n">
        <f aca="false">IFERROR(INDEX(Reference!$FE$2:$FE$500, MATCH("Insurance All", Reference!$FC$2:$FC$500, 0)), 0)</f>
        <v>0</v>
      </c>
      <c r="D31" s="21" t="n">
        <f aca="false">IFERROR(INDEX(Reference!$FF$2:$FF$500, MATCH("Insurance All", Reference!$FC$2:$FC$500, 0)), 0)</f>
        <v>0</v>
      </c>
      <c r="E31" s="21" t="n">
        <f aca="false">IFERROR(INDEX(Reference!$FG$2:$FG$500, MATCH("Insurance All", Reference!$FC$2:$FC$500, 0)), 0)</f>
        <v>0</v>
      </c>
      <c r="L31" s="2" t="s">
        <v>131</v>
      </c>
      <c r="M31" s="21" t="n">
        <f aca="false">IFERROR(INDEX(Reference!$FT$2:$FT$500, MATCH(Builder!G7, Reference!$FC$2:$FC$500, 0)), 0)</f>
        <v>16750</v>
      </c>
      <c r="N31" s="21" t="n">
        <f aca="false">IFERROR(INDEX(Reference!$FU$2:$FU$500, MATCH(Builder!G7, Reference!$FC$2:$FC$500, 0)), 0)</f>
        <v>16750</v>
      </c>
      <c r="O31" s="21" t="n">
        <f aca="false">IFERROR(INDEX(Reference!$FV$2:$FV$500, MATCH(Builder!G7, Reference!$FC$2:$FC$500, 0)), 0)</f>
        <v>16750</v>
      </c>
      <c r="P31" s="2" t="s">
        <v>132</v>
      </c>
    </row>
    <row r="32" customFormat="false" ht="15" hidden="false" customHeight="false" outlineLevel="0" collapsed="false">
      <c r="A32" s="2" t="s">
        <v>87</v>
      </c>
      <c r="B32" s="21" t="n">
        <f aca="false">IFERROR(INDEX(Reference!$FD$2:$FD$500, MATCH("All Payers", Reference!$FC$2:$FC$500, 0)), 0)</f>
        <v>26</v>
      </c>
      <c r="C32" s="21" t="n">
        <f aca="false">IFERROR(INDEX(Reference!$FE$2:$FE$500, MATCH("All Payers", Reference!$FC$2:$FC$500, 0)), 0)</f>
        <v>96442</v>
      </c>
      <c r="D32" s="21" t="n">
        <f aca="false">IFERROR(INDEX(Reference!$FF$2:$FF$500, MATCH("All Payers", Reference!$FC$2:$FC$500, 0)), 0)</f>
        <v>98192</v>
      </c>
      <c r="E32" s="21" t="n">
        <f aca="false">IFERROR(INDEX(Reference!$FG$2:$FG$500, MATCH("All Payers", Reference!$FC$2:$FC$500, 0)), 0)</f>
        <v>99817</v>
      </c>
      <c r="L32" s="2" t="s">
        <v>133</v>
      </c>
      <c r="M32" s="21" t="n">
        <f aca="false">IFERROR(INDEX(Reference!$FW$2:$FW$500, MATCH(Builder!G7, Reference!$FC$2:$FC$500, 0)), 0)</f>
        <v>4062</v>
      </c>
      <c r="N32" s="21" t="n">
        <f aca="false">IFERROR(INDEX(Reference!$FX$2:$FX$500, MATCH(Builder!G7, Reference!$FC$2:$FC$500, 0)), 0)</f>
        <v>4062</v>
      </c>
      <c r="O32" s="21" t="n">
        <f aca="false">IFERROR(INDEX(Reference!$FY$2:$FY$500, MATCH(Builder!G7, Reference!$FC$2:$FC$500, 0)), 0)</f>
        <v>4062</v>
      </c>
      <c r="P32" s="2" t="s">
        <v>134</v>
      </c>
    </row>
    <row r="33" customFormat="false" ht="15" hidden="false" customHeight="false" outlineLevel="0" collapsed="false">
      <c r="L33" s="2" t="s">
        <v>135</v>
      </c>
      <c r="M33" s="21" t="n">
        <f aca="false">IFERROR(INDEX(Reference!$FZ$2:$FZ$500, MATCH(Builder!G7, Reference!$FC$2:$FC$500, 0)), 0)</f>
        <v>0</v>
      </c>
      <c r="N33" s="21" t="n">
        <f aca="false">IFERROR(INDEX(Reference!$GA$2:$GA$500, MATCH(Builder!G7, Reference!$FC$2:$FC$500, 0)), 0)</f>
        <v>1500</v>
      </c>
      <c r="O33" s="21" t="n">
        <f aca="false">IFERROR(INDEX(Reference!$GB$2:$GB$500, MATCH(Builder!G7, Reference!$FC$2:$FC$500, 0)), 0)</f>
        <v>3000</v>
      </c>
      <c r="P33" s="2" t="s">
        <v>136</v>
      </c>
    </row>
    <row r="34" customFormat="false" ht="15" hidden="false" customHeight="false" outlineLevel="0" collapsed="false">
      <c r="L34" s="15" t="s">
        <v>137</v>
      </c>
      <c r="M34" s="15" t="str">
        <f aca="false">IFERROR(INDEX(Reference!$GC$2:$GC$500, MATCH(Builder!G7, Reference!$FC$2:$FC$500, 0)), "")</f>
        <v>cash_formula_like</v>
      </c>
    </row>
    <row r="36" customFormat="false" ht="15" hidden="false" customHeight="false" outlineLevel="0" collapsed="false">
      <c r="A36" s="5" t="s">
        <v>138</v>
      </c>
      <c r="B36" s="5"/>
      <c r="C36" s="5"/>
      <c r="D36" s="5"/>
      <c r="E36" s="5"/>
      <c r="F36" s="5"/>
    </row>
    <row r="37" customFormat="false" ht="15" hidden="false" customHeight="false" outlineLevel="0" collapsed="false">
      <c r="A37" s="15" t="s">
        <v>139</v>
      </c>
      <c r="B37" s="15" t="s">
        <v>140</v>
      </c>
      <c r="C37" s="15" t="s">
        <v>29</v>
      </c>
      <c r="D37" s="15" t="s">
        <v>30</v>
      </c>
      <c r="E37" s="15" t="s">
        <v>31</v>
      </c>
      <c r="F37" s="15" t="s">
        <v>141</v>
      </c>
    </row>
    <row r="38" customFormat="false" ht="15" hidden="false" customHeight="false" outlineLevel="0" collapsed="false">
      <c r="A38" s="14" t="s">
        <v>142</v>
      </c>
      <c r="B38" s="23" t="str">
        <f aca="false">Builder!G6</f>
        <v>Cash</v>
      </c>
      <c r="C38" s="24" t="n">
        <f aca="false">IFERROR(INDEX(Reference!$HH$2:$HH$1000, MATCH(Builder!G6&amp;"|"&amp;"los_days", Reference!$HA$2:$HA$1000, 0)), 0)</f>
        <v>3</v>
      </c>
      <c r="D38" s="25" t="n">
        <f aca="false">IFERROR(INDEX(Reference!$HI$2:$HI$1000, MATCH(Builder!G6&amp;"|"&amp;"los_days", Reference!$HA$2:$HA$1000, 0)), 0)</f>
        <v>3</v>
      </c>
      <c r="E38" s="24" t="n">
        <f aca="false">IFERROR(INDEX(Reference!$HJ$2:$HJ$1000, MATCH(Builder!G6&amp;"|"&amp;"los_days", Reference!$HA$2:$HA$1000, 0)), 0)</f>
        <v>3.75</v>
      </c>
      <c r="F38" s="14"/>
    </row>
    <row r="39" customFormat="false" ht="15" hidden="false" customHeight="false" outlineLevel="0" collapsed="false">
      <c r="A39" s="14" t="s">
        <v>37</v>
      </c>
      <c r="B39" s="23" t="str">
        <f aca="false">Builder!G6</f>
        <v>Cash</v>
      </c>
      <c r="C39" s="24" t="n">
        <f aca="false">IFERROR(INDEX(Reference!$HH$2:$HH$1000, MATCH(Builder!G6&amp;"|"&amp;"icu_days", Reference!$HA$2:$HA$1000, 0)), 0)</f>
        <v>2</v>
      </c>
      <c r="D39" s="25" t="n">
        <f aca="false">IFERROR(INDEX(Reference!$HI$2:$HI$1000, MATCH(Builder!G6&amp;"|"&amp;"icu_days", Reference!$HA$2:$HA$1000, 0)), 0)</f>
        <v>2</v>
      </c>
      <c r="E39" s="24" t="n">
        <f aca="false">IFERROR(INDEX(Reference!$HJ$2:$HJ$1000, MATCH(Builder!G6&amp;"|"&amp;"icu_days", Reference!$HA$2:$HA$1000, 0)), 0)</f>
        <v>3</v>
      </c>
      <c r="F39" s="14"/>
    </row>
    <row r="40" customFormat="false" ht="15" hidden="false" customHeight="false" outlineLevel="0" collapsed="false">
      <c r="A40" s="14" t="s">
        <v>38</v>
      </c>
      <c r="B40" s="23" t="str">
        <f aca="false">Builder!G6</f>
        <v>Cash</v>
      </c>
      <c r="C40" s="24" t="n">
        <f aca="false">IFERROR(INDEX(Reference!$HH$2:$HH$1000, MATCH(Builder!G6&amp;"|"&amp;"ward_days", Reference!$HA$2:$HA$1000, 0)), 0)</f>
        <v>0.25</v>
      </c>
      <c r="D40" s="25" t="n">
        <f aca="false">IFERROR(INDEX(Reference!$HI$2:$HI$1000, MATCH(Builder!G6&amp;"|"&amp;"ward_days", Reference!$HA$2:$HA$1000, 0)), 0)</f>
        <v>1</v>
      </c>
      <c r="E40" s="24" t="n">
        <f aca="false">IFERROR(INDEX(Reference!$HJ$2:$HJ$1000, MATCH(Builder!G6&amp;"|"&amp;"ward_days", Reference!$HA$2:$HA$1000, 0)), 0)</f>
        <v>1.75</v>
      </c>
      <c r="F40" s="14"/>
    </row>
    <row r="41" customFormat="false" ht="15" hidden="false" customHeight="false" outlineLevel="0" collapsed="false">
      <c r="A41" s="14" t="s">
        <v>39</v>
      </c>
      <c r="B41" s="23" t="str">
        <f aca="false">Builder!G6</f>
        <v>Cash</v>
      </c>
      <c r="C41" s="24" t="n">
        <f aca="false">IFERROR(INDEX(Reference!$HH$2:$HH$1000, MATCH(Builder!G6&amp;"|"&amp;"ot_hours", Reference!$HA$2:$HA$1000, 0)), 0)</f>
        <v>2.5</v>
      </c>
      <c r="D41" s="25" t="n">
        <f aca="false">IFERROR(INDEX(Reference!$HI$2:$HI$1000, MATCH(Builder!G6&amp;"|"&amp;"ot_hours", Reference!$HA$2:$HA$1000, 0)), 0)</f>
        <v>3</v>
      </c>
      <c r="E41" s="24" t="n">
        <f aca="false">IFERROR(INDEX(Reference!$HJ$2:$HJ$1000, MATCH(Builder!G6&amp;"|"&amp;"ot_hours", Reference!$HA$2:$HA$1000, 0)), 0)</f>
        <v>3</v>
      </c>
      <c r="F41" s="14"/>
    </row>
    <row r="42" customFormat="false" ht="15" hidden="false" customHeight="false" outlineLevel="0" collapsed="false">
      <c r="A42" s="14" t="s">
        <v>143</v>
      </c>
      <c r="B42" s="23" t="str">
        <f aca="false">Builder!G6</f>
        <v>Cash</v>
      </c>
      <c r="C42" s="24" t="n">
        <f aca="false">IFERROR(INDEX(Reference!$HH$2:$HH$1000, MATCH(Builder!G6&amp;"|"&amp;"service_line_count", Reference!$HA$2:$HA$1000, 0)), 0)</f>
        <v>36.25</v>
      </c>
      <c r="D42" s="25" t="n">
        <f aca="false">IFERROR(INDEX(Reference!$HI$2:$HI$1000, MATCH(Builder!G6&amp;"|"&amp;"service_line_count", Reference!$HA$2:$HA$1000, 0)), 0)</f>
        <v>39</v>
      </c>
      <c r="E42" s="24" t="n">
        <f aca="false">IFERROR(INDEX(Reference!$HJ$2:$HJ$1000, MATCH(Builder!G6&amp;"|"&amp;"service_line_count", Reference!$HA$2:$HA$1000, 0)), 0)</f>
        <v>41</v>
      </c>
      <c r="F42" s="14"/>
    </row>
    <row r="43" customFormat="false" ht="15" hidden="false" customHeight="false" outlineLevel="0" collapsed="false">
      <c r="A43" s="14" t="s">
        <v>79</v>
      </c>
      <c r="B43" s="23" t="str">
        <f aca="false">Builder!G6</f>
        <v>Cash</v>
      </c>
      <c r="C43" s="24" t="n">
        <f aca="false">IFERROR(INDEX(Reference!$HH$2:$HH$1000, MATCH(Builder!G6&amp;"|"&amp;"room_charges", Reference!$HA$2:$HA$1000, 0)), 0)</f>
        <v>41910</v>
      </c>
      <c r="D43" s="25" t="n">
        <f aca="false">IFERROR(INDEX(Reference!$HI$2:$HI$1000, MATCH(Builder!G6&amp;"|"&amp;"room_charges", Reference!$HA$2:$HA$1000, 0)), 0)</f>
        <v>45064</v>
      </c>
      <c r="E43" s="24" t="n">
        <f aca="false">IFERROR(INDEX(Reference!$HJ$2:$HJ$1000, MATCH(Builder!G6&amp;"|"&amp;"room_charges", Reference!$HA$2:$HA$1000, 0)), 0)</f>
        <v>54051</v>
      </c>
      <c r="F43" s="14"/>
    </row>
    <row r="44" customFormat="false" ht="15" hidden="false" customHeight="false" outlineLevel="0" collapsed="false">
      <c r="A44" s="14" t="s">
        <v>144</v>
      </c>
      <c r="B44" s="23" t="str">
        <f aca="false">Builder!G6</f>
        <v>Cash</v>
      </c>
      <c r="C44" s="24" t="n">
        <f aca="false">IFERROR(INDEX(Reference!$HH$2:$HH$1000, MATCH(Builder!G6&amp;"|"&amp;"room_charges_per_day", Reference!$HA$2:$HA$1000, 0)), 0)</f>
        <v>13042.67</v>
      </c>
      <c r="D44" s="25" t="n">
        <f aca="false">IFERROR(INDEX(Reference!$HI$2:$HI$1000, MATCH(Builder!G6&amp;"|"&amp;"room_charges_per_day", Reference!$HA$2:$HA$1000, 0)), 0)</f>
        <v>13970</v>
      </c>
      <c r="E44" s="24" t="n">
        <f aca="false">IFERROR(INDEX(Reference!$HJ$2:$HJ$1000, MATCH(Builder!G6&amp;"|"&amp;"room_charges_per_day", Reference!$HA$2:$HA$1000, 0)), 0)</f>
        <v>15021.33</v>
      </c>
      <c r="F44" s="14"/>
    </row>
    <row r="45" customFormat="false" ht="15" hidden="false" customHeight="false" outlineLevel="0" collapsed="false">
      <c r="A45" s="14" t="s">
        <v>81</v>
      </c>
      <c r="B45" s="23" t="str">
        <f aca="false">Builder!G6</f>
        <v>Cash</v>
      </c>
      <c r="C45" s="24" t="n">
        <f aca="false">IFERROR(INDEX(Reference!$HH$2:$HH$1000, MATCH(Builder!G6&amp;"|"&amp;"investigations", Reference!$HA$2:$HA$1000, 0)), 0)</f>
        <v>9027.5</v>
      </c>
      <c r="D45" s="25" t="n">
        <f aca="false">IFERROR(INDEX(Reference!$HI$2:$HI$1000, MATCH(Builder!G6&amp;"|"&amp;"investigations", Reference!$HA$2:$HA$1000, 0)), 0)</f>
        <v>15370</v>
      </c>
      <c r="E45" s="24" t="n">
        <f aca="false">IFERROR(INDEX(Reference!$HJ$2:$HJ$1000, MATCH(Builder!G6&amp;"|"&amp;"investigations", Reference!$HA$2:$HA$1000, 0)), 0)</f>
        <v>18402.5</v>
      </c>
      <c r="F45" s="14"/>
    </row>
    <row r="46" customFormat="false" ht="15" hidden="false" customHeight="false" outlineLevel="0" collapsed="false">
      <c r="A46" s="14" t="s">
        <v>88</v>
      </c>
      <c r="B46" s="23" t="str">
        <f aca="false">Builder!G6</f>
        <v>Cash</v>
      </c>
      <c r="C46" s="24" t="n">
        <f aca="false">IFERROR(INDEX(Reference!$HH$2:$HH$1000, MATCH(Builder!G6&amp;"|"&amp;"procedure_ot_charges", Reference!$HA$2:$HA$1000, 0)), 0)</f>
        <v>154880</v>
      </c>
      <c r="D46" s="25" t="n">
        <f aca="false">IFERROR(INDEX(Reference!$HI$2:$HI$1000, MATCH(Builder!G6&amp;"|"&amp;"procedure_ot_charges", Reference!$HA$2:$HA$1000, 0)), 0)</f>
        <v>159090</v>
      </c>
      <c r="E46" s="24" t="n">
        <f aca="false">IFERROR(INDEX(Reference!$HJ$2:$HJ$1000, MATCH(Builder!G6&amp;"|"&amp;"procedure_ot_charges", Reference!$HA$2:$HA$1000, 0)), 0)</f>
        <v>160140</v>
      </c>
      <c r="F46" s="14"/>
    </row>
    <row r="47" customFormat="false" ht="15" hidden="false" customHeight="false" outlineLevel="0" collapsed="false">
      <c r="A47" s="14" t="s">
        <v>90</v>
      </c>
      <c r="B47" s="23" t="str">
        <f aca="false">Builder!G6</f>
        <v>Cash</v>
      </c>
      <c r="C47" s="24" t="n">
        <f aca="false">IFERROR(INDEX(Reference!$HH$2:$HH$1000, MATCH(Builder!G6&amp;"|"&amp;"bedside_services", Reference!$HA$2:$HA$1000, 0)), 0)</f>
        <v>4050</v>
      </c>
      <c r="D47" s="25" t="n">
        <f aca="false">IFERROR(INDEX(Reference!$HI$2:$HI$1000, MATCH(Builder!G6&amp;"|"&amp;"bedside_services", Reference!$HA$2:$HA$1000, 0)), 0)</f>
        <v>5090</v>
      </c>
      <c r="E47" s="24" t="n">
        <f aca="false">IFERROR(INDEX(Reference!$HJ$2:$HJ$1000, MATCH(Builder!G6&amp;"|"&amp;"bedside_services", Reference!$HA$2:$HA$1000, 0)), 0)</f>
        <v>6150</v>
      </c>
      <c r="F47" s="14"/>
    </row>
    <row r="48" customFormat="false" ht="15" hidden="false" customHeight="false" outlineLevel="0" collapsed="false">
      <c r="A48" s="14" t="s">
        <v>145</v>
      </c>
      <c r="B48" s="23" t="str">
        <f aca="false">Builder!G5</f>
        <v>Cash</v>
      </c>
      <c r="C48" s="24" t="n">
        <f aca="false">IFERROR(INDEX(Reference!$HH$2:$HH$1000, MATCH(Builder!G5&amp;"|"&amp;"ip_drugs", Reference!$HA$2:$HA$1000, 0)), 0)</f>
        <v>7802.505</v>
      </c>
      <c r="D48" s="25" t="n">
        <f aca="false">IFERROR(INDEX(Reference!$HI$2:$HI$1000, MATCH(Builder!G5&amp;"|"&amp;"ip_drugs", Reference!$HA$2:$HA$1000, 0)), 0)</f>
        <v>9060.435</v>
      </c>
      <c r="E48" s="24" t="n">
        <f aca="false">IFERROR(INDEX(Reference!$HJ$2:$HJ$1000, MATCH(Builder!G5&amp;"|"&amp;"ip_drugs", Reference!$HA$2:$HA$1000, 0)), 0)</f>
        <v>10629.0975</v>
      </c>
      <c r="F48" s="14"/>
    </row>
    <row r="49" customFormat="false" ht="15" hidden="false" customHeight="false" outlineLevel="0" collapsed="false">
      <c r="A49" s="14" t="s">
        <v>89</v>
      </c>
      <c r="B49" s="23" t="str">
        <f aca="false">Builder!G5</f>
        <v>Cash</v>
      </c>
      <c r="C49" s="24" t="n">
        <f aca="false">IFERROR(INDEX(Reference!$HH$2:$HH$1000, MATCH(Builder!G5&amp;"|"&amp;"ip_drugs_per_day", Reference!$HA$2:$HA$1000, 0)), 0)</f>
        <v>2380.9425</v>
      </c>
      <c r="D49" s="25" t="n">
        <f aca="false">IFERROR(INDEX(Reference!$HI$2:$HI$1000, MATCH(Builder!G5&amp;"|"&amp;"ip_drugs_per_day", Reference!$HA$2:$HA$1000, 0)), 0)</f>
        <v>2855.32</v>
      </c>
      <c r="E49" s="24" t="n">
        <f aca="false">IFERROR(INDEX(Reference!$HJ$2:$HJ$1000, MATCH(Builder!G5&amp;"|"&amp;"ip_drugs_per_day", Reference!$HA$2:$HA$1000, 0)), 0)</f>
        <v>3198.2575</v>
      </c>
      <c r="F49" s="14"/>
    </row>
    <row r="50" customFormat="false" ht="15" hidden="false" customHeight="false" outlineLevel="0" collapsed="false">
      <c r="A50" s="14" t="s">
        <v>146</v>
      </c>
      <c r="B50" s="23" t="str">
        <f aca="false">Builder!G5</f>
        <v>Cash</v>
      </c>
      <c r="C50" s="24" t="n">
        <f aca="false">IFERROR(INDEX(Reference!$HH$2:$HH$1000, MATCH(Builder!G5&amp;"|"&amp;"ip_consumables", Reference!$HA$2:$HA$1000, 0)), 0)</f>
        <v>9677.2125</v>
      </c>
      <c r="D50" s="25" t="n">
        <f aca="false">IFERROR(INDEX(Reference!$HI$2:$HI$1000, MATCH(Builder!G5&amp;"|"&amp;"ip_consumables", Reference!$HA$2:$HA$1000, 0)), 0)</f>
        <v>10711.305</v>
      </c>
      <c r="E50" s="24" t="n">
        <f aca="false">IFERROR(INDEX(Reference!$HJ$2:$HJ$1000, MATCH(Builder!G5&amp;"|"&amp;"ip_consumables", Reference!$HA$2:$HA$1000, 0)), 0)</f>
        <v>11936.6175</v>
      </c>
      <c r="F50" s="14"/>
    </row>
    <row r="51" customFormat="false" ht="15" hidden="false" customHeight="false" outlineLevel="0" collapsed="false">
      <c r="A51" s="14" t="s">
        <v>92</v>
      </c>
      <c r="B51" s="23" t="str">
        <f aca="false">Builder!G5</f>
        <v>Cash</v>
      </c>
      <c r="C51" s="24" t="n">
        <f aca="false">IFERROR(INDEX(Reference!$HH$2:$HH$1000, MATCH(Builder!G5&amp;"|"&amp;"ip_consumables_per_day", Reference!$HA$2:$HA$1000, 0)), 0)</f>
        <v>3059.7975</v>
      </c>
      <c r="D51" s="25" t="n">
        <f aca="false">IFERROR(INDEX(Reference!$HI$2:$HI$1000, MATCH(Builder!G5&amp;"|"&amp;"ip_consumables_per_day", Reference!$HA$2:$HA$1000, 0)), 0)</f>
        <v>3428.83</v>
      </c>
      <c r="E51" s="24" t="n">
        <f aca="false">IFERROR(INDEX(Reference!$HJ$2:$HJ$1000, MATCH(Builder!G5&amp;"|"&amp;"ip_consumables_per_day", Reference!$HA$2:$HA$1000, 0)), 0)</f>
        <v>3617.7125</v>
      </c>
      <c r="F51" s="14"/>
    </row>
    <row r="52" customFormat="false" ht="15" hidden="false" customHeight="false" outlineLevel="0" collapsed="false">
      <c r="A52" s="14" t="s">
        <v>95</v>
      </c>
      <c r="B52" s="23" t="str">
        <f aca="false">Builder!G5</f>
        <v>Cash</v>
      </c>
      <c r="C52" s="24" t="n">
        <f aca="false">IFERROR(INDEX(Reference!$HH$2:$HH$1000, MATCH(Builder!G5&amp;"|"&amp;"ot_drugs", Reference!$HA$2:$HA$1000, 0)), 0)</f>
        <v>8468.8525</v>
      </c>
      <c r="D52" s="25" t="n">
        <f aca="false">IFERROR(INDEX(Reference!$HI$2:$HI$1000, MATCH(Builder!G5&amp;"|"&amp;"ot_drugs", Reference!$HA$2:$HA$1000, 0)), 0)</f>
        <v>9439.535</v>
      </c>
      <c r="E52" s="24" t="n">
        <f aca="false">IFERROR(INDEX(Reference!$HJ$2:$HJ$1000, MATCH(Builder!G5&amp;"|"&amp;"ot_drugs", Reference!$HA$2:$HA$1000, 0)), 0)</f>
        <v>11143.7</v>
      </c>
      <c r="F52" s="14"/>
    </row>
    <row r="53" customFormat="false" ht="15" hidden="false" customHeight="false" outlineLevel="0" collapsed="false">
      <c r="A53" s="14" t="s">
        <v>98</v>
      </c>
      <c r="B53" s="23" t="str">
        <f aca="false">Builder!G5</f>
        <v>Cash</v>
      </c>
      <c r="C53" s="24" t="n">
        <f aca="false">IFERROR(INDEX(Reference!$HH$2:$HH$1000, MATCH(Builder!G5&amp;"|"&amp;"ot_consumables", Reference!$HA$2:$HA$1000, 0)), 0)</f>
        <v>66040.54</v>
      </c>
      <c r="D53" s="25" t="n">
        <f aca="false">IFERROR(INDEX(Reference!$HI$2:$HI$1000, MATCH(Builder!G5&amp;"|"&amp;"ot_consumables", Reference!$HA$2:$HA$1000, 0)), 0)</f>
        <v>72382.9</v>
      </c>
      <c r="E53" s="24" t="n">
        <f aca="false">IFERROR(INDEX(Reference!$HJ$2:$HJ$1000, MATCH(Builder!G5&amp;"|"&amp;"ot_consumables", Reference!$HA$2:$HA$1000, 0)), 0)</f>
        <v>107563.63</v>
      </c>
      <c r="F53" s="14"/>
    </row>
    <row r="54" customFormat="false" ht="15" hidden="false" customHeight="false" outlineLevel="0" collapsed="false">
      <c r="A54" s="14" t="s">
        <v>101</v>
      </c>
      <c r="B54" s="23" t="str">
        <f aca="false">Builder!G5</f>
        <v>Cash</v>
      </c>
      <c r="C54" s="24" t="n">
        <f aca="false">IFERROR(INDEX(Reference!$HH$2:$HH$1000, MATCH(Builder!G5&amp;"|"&amp;"implants", Reference!$HA$2:$HA$1000, 0)), 0)</f>
        <v>89130.0775</v>
      </c>
      <c r="D54" s="25" t="n">
        <f aca="false">IFERROR(INDEX(Reference!$HI$2:$HI$1000, MATCH(Builder!G5&amp;"|"&amp;"implants", Reference!$HA$2:$HA$1000, 0)), 0)</f>
        <v>89130.16</v>
      </c>
      <c r="E54" s="24" t="n">
        <f aca="false">IFERROR(INDEX(Reference!$HJ$2:$HJ$1000, MATCH(Builder!G5&amp;"|"&amp;"implants", Reference!$HA$2:$HA$1000, 0)), 0)</f>
        <v>98838.05</v>
      </c>
      <c r="F54" s="14"/>
    </row>
    <row r="55" customFormat="false" ht="15" hidden="false" customHeight="false" outlineLevel="0" collapsed="false">
      <c r="A55" s="14" t="s">
        <v>147</v>
      </c>
      <c r="B55" s="23" t="str">
        <f aca="false">Builder!G5</f>
        <v>Cash</v>
      </c>
      <c r="C55" s="24" t="n">
        <f aca="false">IFERROR(INDEX(Reference!$HH$2:$HH$1000, MATCH(Builder!G5&amp;"|"&amp;"pharmacy_total", Reference!$HA$2:$HA$1000, 0)), 0)</f>
        <v>182949.105</v>
      </c>
      <c r="D55" s="25" t="n">
        <f aca="false">IFERROR(INDEX(Reference!$HI$2:$HI$1000, MATCH(Builder!G5&amp;"|"&amp;"pharmacy_total", Reference!$HA$2:$HA$1000, 0)), 0)</f>
        <v>189217.605</v>
      </c>
      <c r="E55" s="24" t="n">
        <f aca="false">IFERROR(INDEX(Reference!$HJ$2:$HJ$1000, MATCH(Builder!G5&amp;"|"&amp;"pharmacy_total", Reference!$HA$2:$HA$1000, 0)), 0)</f>
        <v>231144.7325</v>
      </c>
      <c r="F55" s="14"/>
    </row>
    <row r="56" customFormat="false" ht="26.85" hidden="false" customHeight="false" outlineLevel="0" collapsed="false">
      <c r="A56" s="14" t="s">
        <v>96</v>
      </c>
      <c r="B56" s="23" t="str">
        <f aca="false">Builder!G5</f>
        <v>Cash</v>
      </c>
      <c r="C56" s="24" t="n">
        <f aca="false">IFERROR(INDEX(Reference!$HH$2:$HH$1000, MATCH(Builder!G5&amp;"|"&amp;"drug_administration_charges", Reference!$HA$2:$HA$1000, 0)), 0)</f>
        <v>22868.6375</v>
      </c>
      <c r="D56" s="25" t="n">
        <f aca="false">IFERROR(INDEX(Reference!$HI$2:$HI$1000, MATCH(Builder!G5&amp;"|"&amp;"drug_administration_charges", Reference!$HA$2:$HA$1000, 0)), 0)</f>
        <v>23652.2</v>
      </c>
      <c r="E56" s="24" t="n">
        <f aca="false">IFERROR(INDEX(Reference!$HJ$2:$HJ$1000, MATCH(Builder!G5&amp;"|"&amp;"drug_administration_charges", Reference!$HA$2:$HA$1000, 0)), 0)</f>
        <v>28893.0925</v>
      </c>
      <c r="F56" s="14"/>
    </row>
    <row r="57" customFormat="false" ht="15" hidden="false" customHeight="false" outlineLevel="0" collapsed="false">
      <c r="A57" s="14" t="s">
        <v>99</v>
      </c>
      <c r="B57" s="23" t="str">
        <f aca="false">Builder!G7</f>
        <v>Cash</v>
      </c>
      <c r="C57" s="24" t="n">
        <f aca="false">IFERROR(INDEX(Reference!$HH$2:$HH$1000, MATCH(Builder!G7&amp;"|"&amp;"professional_fees", Reference!$HA$2:$HA$1000, 0)), 0)</f>
        <v>96442</v>
      </c>
      <c r="D57" s="25" t="n">
        <f aca="false">IFERROR(INDEX(Reference!$HI$2:$HI$1000, MATCH(Builder!G7&amp;"|"&amp;"professional_fees", Reference!$HA$2:$HA$1000, 0)), 0)</f>
        <v>98192</v>
      </c>
      <c r="E57" s="24" t="n">
        <f aca="false">IFERROR(INDEX(Reference!$HJ$2:$HJ$1000, MATCH(Builder!G7&amp;"|"&amp;"professional_fees", Reference!$HA$2:$HA$1000, 0)), 0)</f>
        <v>99817</v>
      </c>
      <c r="F57" s="14"/>
    </row>
    <row r="58" customFormat="false" ht="77.6" hidden="false" customHeight="false" outlineLevel="0" collapsed="false">
      <c r="A58" s="14" t="s">
        <v>148</v>
      </c>
      <c r="B58" s="23" t="str">
        <f aca="false">Builder!G7</f>
        <v>Cash</v>
      </c>
      <c r="C58" s="24" t="n">
        <f aca="false">IFERROR(INDEX(Reference!$FE$2:$FE$500, MATCH(Builder!G7, Reference!$FC$2:$FC$500, 0)), 0)</f>
        <v>96442</v>
      </c>
      <c r="D58" s="25" t="n">
        <f aca="false">IFERROR(INDEX(Reference!$FF$2:$FF$500, MATCH(Builder!G7, Reference!$FC$2:$FC$500, 0)), 0)</f>
        <v>98192</v>
      </c>
      <c r="E58" s="24" t="n">
        <f aca="false">IFERROR(INDEX(Reference!$FG$2:$FG$500, MATCH(Builder!G7, Reference!$FC$2:$FC$500, 0)), 0)</f>
        <v>99817</v>
      </c>
      <c r="F58" s="14" t="s">
        <v>149</v>
      </c>
    </row>
    <row r="59" customFormat="false" ht="115.65" hidden="false" customHeight="false" outlineLevel="0" collapsed="false">
      <c r="A59" s="14" t="s">
        <v>150</v>
      </c>
      <c r="B59" s="23" t="str">
        <f aca="false">IF(AND(Builder!G5=Builder!G6,Builder!G6=Builder!G7),Builder!G6,"Component Mix")</f>
        <v>Cash</v>
      </c>
      <c r="C59" s="24" t="n">
        <f aca="false">IF(AND(Builder!G5=Builder!G6,Builder!G6=Builder!G7),IFERROR(INDEX(Reference!$HH$2:$HH$1000, MATCH(Builder!G6&amp;"|"&amp;"total_amount_excluding_food_and_beverage_and_returns_plus_drug_admin", Reference!$HA$2:$HA$1000, 0)), 0),(IFERROR(INDEX(Reference!$HH$2:$HH$1000, MATCH(Builder!G6&amp;"|"&amp;"room_charges", Reference!$HA$2:$HA$1000, 0)), 0) + IFERROR(INDEX(Reference!$HH$2:$HH$1000, MATCH(Builder!G6&amp;"|"&amp;"investigations", Reference!$HA$2:$HA$1000, 0)), 0) + IFERROR(INDEX(Reference!$HH$2:$HH$1000, MATCH(Builder!G6&amp;"|"&amp;"procedure_ot_charges", Reference!$HA$2:$HA$1000, 0)), 0) + IFERROR(INDEX(Reference!$HH$2:$HH$1000, MATCH(Builder!G6&amp;"|"&amp;"bedside_services", Reference!$HA$2:$HA$1000, 0)), 0) + IFERROR(INDEX(Reference!$HH$2:$HH$1000, MATCH(Builder!G5&amp;"|"&amp;"pharmacy_total", Reference!$HA$2:$HA$1000, 0)), 0) + IFERROR(INDEX(Reference!$HH$2:$HH$1000, MATCH(Builder!G5&amp;"|"&amp;"drug_administration_charges", Reference!$HA$2:$HA$1000, 0)), 0) + IFERROR(INDEX(Reference!$HH$2:$HH$1000, MATCH(Builder!G7&amp;"|"&amp;"professional_fees", Reference!$HA$2:$HA$1000, 0)), 0)))</f>
        <v>520489.6525</v>
      </c>
      <c r="D59" s="25" t="n">
        <f aca="false">IF(AND(Builder!G5=Builder!G6,Builder!G6=Builder!G7),IFERROR(INDEX(Reference!$HI$2:$HI$1000, MATCH(Builder!G6&amp;"|"&amp;"total_amount_excluding_food_and_beverage_and_returns_plus_drug_admin", Reference!$HA$2:$HA$1000, 0)), 0),(IFERROR(INDEX(Reference!$HI$2:$HI$1000, MATCH(Builder!G6&amp;"|"&amp;"room_charges", Reference!$HA$2:$HA$1000, 0)), 0) + IFERROR(INDEX(Reference!$HI$2:$HI$1000, MATCH(Builder!G6&amp;"|"&amp;"investigations", Reference!$HA$2:$HA$1000, 0)), 0) + IFERROR(INDEX(Reference!$HI$2:$HI$1000, MATCH(Builder!G6&amp;"|"&amp;"procedure_ot_charges", Reference!$HA$2:$HA$1000, 0)), 0) + IFERROR(INDEX(Reference!$HI$2:$HI$1000, MATCH(Builder!G6&amp;"|"&amp;"bedside_services", Reference!$HA$2:$HA$1000, 0)), 0) + IFERROR(INDEX(Reference!$HI$2:$HI$1000, MATCH(Builder!G5&amp;"|"&amp;"pharmacy_total", Reference!$HA$2:$HA$1000, 0)), 0) + IFERROR(INDEX(Reference!$HI$2:$HI$1000, MATCH(Builder!G5&amp;"|"&amp;"drug_administration_charges", Reference!$HA$2:$HA$1000, 0)), 0) + IFERROR(INDEX(Reference!$HI$2:$HI$1000, MATCH(Builder!G7&amp;"|"&amp;"professional_fees", Reference!$HA$2:$HA$1000, 0)), 0)))</f>
        <v>539491.34</v>
      </c>
      <c r="E59" s="24" t="n">
        <f aca="false">IF(AND(Builder!G5=Builder!G6,Builder!G6=Builder!G7),IFERROR(INDEX(Reference!$HJ$2:$HJ$1000, MATCH(Builder!G6&amp;"|"&amp;"total_amount_excluding_food_and_beverage_and_returns_plus_drug_admin", Reference!$HA$2:$HA$1000, 0)), 0),(IFERROR(INDEX(Reference!$HJ$2:$HJ$1000, MATCH(Builder!G6&amp;"|"&amp;"room_charges", Reference!$HA$2:$HA$1000, 0)), 0) + IFERROR(INDEX(Reference!$HJ$2:$HJ$1000, MATCH(Builder!G6&amp;"|"&amp;"investigations", Reference!$HA$2:$HA$1000, 0)), 0) + IFERROR(INDEX(Reference!$HJ$2:$HJ$1000, MATCH(Builder!G6&amp;"|"&amp;"procedure_ot_charges", Reference!$HA$2:$HA$1000, 0)), 0) + IFERROR(INDEX(Reference!$HJ$2:$HJ$1000, MATCH(Builder!G6&amp;"|"&amp;"bedside_services", Reference!$HA$2:$HA$1000, 0)), 0) + IFERROR(INDEX(Reference!$HJ$2:$HJ$1000, MATCH(Builder!G5&amp;"|"&amp;"pharmacy_total", Reference!$HA$2:$HA$1000, 0)), 0) + IFERROR(INDEX(Reference!$HJ$2:$HJ$1000, MATCH(Builder!G5&amp;"|"&amp;"drug_administration_charges", Reference!$HA$2:$HA$1000, 0)), 0) + IFERROR(INDEX(Reference!$HJ$2:$HJ$1000, MATCH(Builder!G7&amp;"|"&amp;"professional_fees", Reference!$HA$2:$HA$1000, 0)), 0)))</f>
        <v>596680.1275</v>
      </c>
      <c r="F59" s="14"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9" min="3" style="0" width="16"/>
    <col collapsed="false" customWidth="true" hidden="false" outlineLevel="0" max="10" min="10" style="0" width="18"/>
  </cols>
  <sheetData>
    <row r="1" customFormat="false" ht="15" hidden="false" customHeight="false" outlineLevel="0" collapsed="false">
      <c r="A1" s="1" t="s">
        <v>152</v>
      </c>
      <c r="B1" s="1"/>
      <c r="C1" s="1"/>
      <c r="D1" s="1"/>
      <c r="E1" s="1"/>
      <c r="F1" s="1"/>
      <c r="G1" s="1"/>
      <c r="H1" s="1"/>
      <c r="I1" s="1"/>
      <c r="J1" s="1"/>
    </row>
    <row r="2" customFormat="false" ht="115.65" hidden="false" customHeight="false" outlineLevel="0" collapsed="false">
      <c r="A2" s="14" t="s">
        <v>153</v>
      </c>
      <c r="B2" s="14"/>
      <c r="C2" s="14"/>
      <c r="D2" s="14"/>
      <c r="E2" s="14"/>
      <c r="F2" s="14"/>
      <c r="G2" s="14"/>
      <c r="H2" s="14"/>
      <c r="I2" s="14"/>
      <c r="J2" s="14"/>
    </row>
    <row r="4" customFormat="false" ht="15" hidden="false" customHeight="false" outlineLevel="0" collapsed="false">
      <c r="A4" s="18" t="s">
        <v>154</v>
      </c>
      <c r="B4" s="18" t="s">
        <v>155</v>
      </c>
      <c r="C4" s="18" t="s">
        <v>77</v>
      </c>
      <c r="D4" s="18" t="s">
        <v>156</v>
      </c>
      <c r="E4" s="18" t="s">
        <v>157</v>
      </c>
      <c r="F4" s="18" t="s">
        <v>158</v>
      </c>
      <c r="G4" s="18" t="s">
        <v>159</v>
      </c>
      <c r="H4" s="18" t="s">
        <v>160</v>
      </c>
      <c r="I4" s="18" t="s">
        <v>161</v>
      </c>
      <c r="J4" s="18" t="s">
        <v>162</v>
      </c>
    </row>
    <row r="5" customFormat="false" ht="15" hidden="false" customHeight="false" outlineLevel="0" collapsed="false">
      <c r="A5" s="14" t="s">
        <v>79</v>
      </c>
      <c r="B5" s="23" t="str">
        <f aca="false">Builder!G6</f>
        <v>Cash</v>
      </c>
      <c r="C5" s="26" t="n">
        <f aca="false">'Estimate Summary'!B13</f>
        <v>45280</v>
      </c>
      <c r="D5" s="24" t="n">
        <f aca="false">IFERROR(INDEX(Reference!$HH$2:$HH$1000, MATCH(Builder!G6&amp;"|"&amp;"room_charges", Reference!$HA$2:$HA$1000, 0)), 0)</f>
        <v>41910</v>
      </c>
      <c r="E5" s="25" t="n">
        <f aca="false">IFERROR(INDEX(Reference!$HI$2:$HI$1000, MATCH(Builder!G6&amp;"|"&amp;"room_charges", Reference!$HA$2:$HA$1000, 0)), 0)</f>
        <v>45064</v>
      </c>
      <c r="F5" s="24" t="n">
        <f aca="false">IFERROR(INDEX(Reference!$HJ$2:$HJ$1000, MATCH(Builder!G6&amp;"|"&amp;"room_charges", Reference!$HA$2:$HA$1000, 0)), 0)</f>
        <v>54051</v>
      </c>
      <c r="G5" s="26" t="n">
        <f aca="false">C5-D5</f>
        <v>3370</v>
      </c>
      <c r="H5" s="26" t="n">
        <f aca="false">C5-E5</f>
        <v>216</v>
      </c>
      <c r="I5" s="26" t="n">
        <f aca="false">C5-F5</f>
        <v>-8771</v>
      </c>
      <c r="J5" s="27" t="str">
        <f aca="false">IF(AND(OR(C5&lt;D5,C5&gt;F5),ABS(H5)&gt;MAX(5000,0.2*MAX(E5,1))),"Material Gap",IF(C5&lt;D5,"Below Range",IF(C5&gt;F5,"Above Range","Within Range")))</f>
        <v>Within Range</v>
      </c>
    </row>
    <row r="6" customFormat="false" ht="15" hidden="false" customHeight="false" outlineLevel="0" collapsed="false">
      <c r="A6" s="14" t="s">
        <v>81</v>
      </c>
      <c r="B6" s="23" t="str">
        <f aca="false">Builder!G6</f>
        <v>Cash</v>
      </c>
      <c r="C6" s="26" t="n">
        <f aca="false">'Estimate Summary'!B14</f>
        <v>14940</v>
      </c>
      <c r="D6" s="24" t="n">
        <f aca="false">IFERROR(INDEX(Reference!$HH$2:$HH$1000, MATCH(Builder!G6&amp;"|"&amp;"investigations", Reference!$HA$2:$HA$1000, 0)), 0)</f>
        <v>9027.5</v>
      </c>
      <c r="E6" s="25" t="n">
        <f aca="false">IFERROR(INDEX(Reference!$HI$2:$HI$1000, MATCH(Builder!G6&amp;"|"&amp;"investigations", Reference!$HA$2:$HA$1000, 0)), 0)</f>
        <v>15370</v>
      </c>
      <c r="F6" s="24" t="n">
        <f aca="false">IFERROR(INDEX(Reference!$HJ$2:$HJ$1000, MATCH(Builder!G6&amp;"|"&amp;"investigations", Reference!$HA$2:$HA$1000, 0)), 0)</f>
        <v>18402.5</v>
      </c>
      <c r="G6" s="26" t="n">
        <f aca="false">C6-D6</f>
        <v>5912.5</v>
      </c>
      <c r="H6" s="26" t="n">
        <f aca="false">C6-E6</f>
        <v>-430</v>
      </c>
      <c r="I6" s="26" t="n">
        <f aca="false">C6-F6</f>
        <v>-3462.5</v>
      </c>
      <c r="J6" s="27" t="str">
        <f aca="false">IF(AND(OR(C6&lt;D6,C6&gt;F6),ABS(H6)&gt;MAX(5000,0.2*MAX(E6,1))),"Material Gap",IF(C6&lt;D6,"Below Range",IF(C6&gt;F6,"Above Range","Within Range")))</f>
        <v>Within Range</v>
      </c>
    </row>
    <row r="7" customFormat="false" ht="15" hidden="false" customHeight="false" outlineLevel="0" collapsed="false">
      <c r="A7" s="14" t="s">
        <v>88</v>
      </c>
      <c r="B7" s="23" t="str">
        <f aca="false">Builder!G6</f>
        <v>Cash</v>
      </c>
      <c r="C7" s="26" t="n">
        <f aca="false">'Estimate Summary'!B15</f>
        <v>158660</v>
      </c>
      <c r="D7" s="24" t="n">
        <f aca="false">IFERROR(INDEX(Reference!$HH$2:$HH$1000, MATCH(Builder!G6&amp;"|"&amp;"procedure_ot_charges", Reference!$HA$2:$HA$1000, 0)), 0)</f>
        <v>154880</v>
      </c>
      <c r="E7" s="25" t="n">
        <f aca="false">IFERROR(INDEX(Reference!$HI$2:$HI$1000, MATCH(Builder!G6&amp;"|"&amp;"procedure_ot_charges", Reference!$HA$2:$HA$1000, 0)), 0)</f>
        <v>159090</v>
      </c>
      <c r="F7" s="24" t="n">
        <f aca="false">IFERROR(INDEX(Reference!$HJ$2:$HJ$1000, MATCH(Builder!G6&amp;"|"&amp;"procedure_ot_charges", Reference!$HA$2:$HA$1000, 0)), 0)</f>
        <v>160140</v>
      </c>
      <c r="G7" s="26" t="n">
        <f aca="false">C7-D7</f>
        <v>3780</v>
      </c>
      <c r="H7" s="26" t="n">
        <f aca="false">C7-E7</f>
        <v>-430</v>
      </c>
      <c r="I7" s="26" t="n">
        <f aca="false">C7-F7</f>
        <v>-1480</v>
      </c>
      <c r="J7" s="27" t="str">
        <f aca="false">IF(AND(OR(C7&lt;D7,C7&gt;F7),ABS(H7)&gt;MAX(5000,0.2*MAX(E7,1))),"Material Gap",IF(C7&lt;D7,"Below Range",IF(C7&gt;F7,"Above Range","Within Range")))</f>
        <v>Within Range</v>
      </c>
    </row>
    <row r="8" customFormat="false" ht="15" hidden="false" customHeight="false" outlineLevel="0" collapsed="false">
      <c r="A8" s="14" t="s">
        <v>90</v>
      </c>
      <c r="B8" s="23" t="str">
        <f aca="false">Builder!G6</f>
        <v>Cash</v>
      </c>
      <c r="C8" s="26" t="n">
        <f aca="false">'Estimate Summary'!B16</f>
        <v>5200</v>
      </c>
      <c r="D8" s="24" t="n">
        <f aca="false">IFERROR(INDEX(Reference!$HH$2:$HH$1000, MATCH(Builder!G6&amp;"|"&amp;"bedside_services", Reference!$HA$2:$HA$1000, 0)), 0)</f>
        <v>4050</v>
      </c>
      <c r="E8" s="25" t="n">
        <f aca="false">IFERROR(INDEX(Reference!$HI$2:$HI$1000, MATCH(Builder!G6&amp;"|"&amp;"bedside_services", Reference!$HA$2:$HA$1000, 0)), 0)</f>
        <v>5090</v>
      </c>
      <c r="F8" s="24" t="n">
        <f aca="false">IFERROR(INDEX(Reference!$HJ$2:$HJ$1000, MATCH(Builder!G6&amp;"|"&amp;"bedside_services", Reference!$HA$2:$HA$1000, 0)), 0)</f>
        <v>6150</v>
      </c>
      <c r="G8" s="26" t="n">
        <f aca="false">C8-D8</f>
        <v>1150</v>
      </c>
      <c r="H8" s="26" t="n">
        <f aca="false">C8-E8</f>
        <v>110</v>
      </c>
      <c r="I8" s="26" t="n">
        <f aca="false">C8-F8</f>
        <v>-950</v>
      </c>
      <c r="J8" s="27" t="str">
        <f aca="false">IF(AND(OR(C8&lt;D8,C8&gt;F8),ABS(H8)&gt;MAX(5000,0.2*MAX(E8,1))),"Material Gap",IF(C8&lt;D8,"Below Range",IF(C8&gt;F8,"Above Range","Within Range")))</f>
        <v>Within Range</v>
      </c>
    </row>
    <row r="9" customFormat="false" ht="15" hidden="false" customHeight="false" outlineLevel="0" collapsed="false">
      <c r="A9" s="14" t="s">
        <v>147</v>
      </c>
      <c r="B9" s="23" t="str">
        <f aca="false">Builder!G5</f>
        <v>Cash</v>
      </c>
      <c r="C9" s="26" t="n">
        <f aca="false">'Estimate Summary'!B17</f>
        <v>189805.03625</v>
      </c>
      <c r="D9" s="24" t="n">
        <f aca="false">IFERROR(INDEX(Reference!$HH$2:$HH$1000, MATCH(Builder!G5&amp;"|"&amp;"pharmacy_total", Reference!$HA$2:$HA$1000, 0)), 0)</f>
        <v>182949.105</v>
      </c>
      <c r="E9" s="25" t="n">
        <f aca="false">IFERROR(INDEX(Reference!$HI$2:$HI$1000, MATCH(Builder!G5&amp;"|"&amp;"pharmacy_total", Reference!$HA$2:$HA$1000, 0)), 0)</f>
        <v>189217.605</v>
      </c>
      <c r="F9" s="24" t="n">
        <f aca="false">IFERROR(INDEX(Reference!$HJ$2:$HJ$1000, MATCH(Builder!G5&amp;"|"&amp;"pharmacy_total", Reference!$HA$2:$HA$1000, 0)), 0)</f>
        <v>231144.7325</v>
      </c>
      <c r="G9" s="26" t="n">
        <f aca="false">C9-D9</f>
        <v>6855.93124999999</v>
      </c>
      <c r="H9" s="26" t="n">
        <f aca="false">C9-E9</f>
        <v>587.431249999994</v>
      </c>
      <c r="I9" s="26" t="n">
        <f aca="false">C9-F9</f>
        <v>-41339.69625</v>
      </c>
      <c r="J9" s="27" t="str">
        <f aca="false">IF(AND(OR(C9&lt;D9,C9&gt;F9),ABS(H9)&gt;MAX(5000,0.2*MAX(E9,1))),"Material Gap",IF(C9&lt;D9,"Below Range",IF(C9&gt;F9,"Above Range","Within Range")))</f>
        <v>Within Range</v>
      </c>
    </row>
    <row r="10" customFormat="false" ht="15" hidden="false" customHeight="false" outlineLevel="0" collapsed="false">
      <c r="A10" s="14" t="s">
        <v>145</v>
      </c>
      <c r="B10" s="23" t="str">
        <f aca="false">Builder!G5</f>
        <v>Cash</v>
      </c>
      <c r="C10" s="26" t="n">
        <f aca="false">IF(Builder!B4="General",SUMIF('Line Item Detail'!$A$2:$A$73,"IP Drugs &amp; Medications",'Line Item Detail'!$W$2:$W$73),IF(Builder!B4="Twin",SUMIF('Line Item Detail'!$A$2:$A$73,"IP Drugs &amp; Medications",'Line Item Detail'!$X$2:$X$73),SUMIF('Line Item Detail'!$A$2:$A$73,"IP Drugs &amp; Medications",'Line Item Detail'!$Y$2:$Y$73)))</f>
        <v>8565.95625</v>
      </c>
      <c r="D10" s="24" t="n">
        <f aca="false">IFERROR(INDEX(Reference!$HH$2:$HH$1000, MATCH(Builder!G5&amp;"|"&amp;"ip_drugs", Reference!$HA$2:$HA$1000, 0)), 0)</f>
        <v>7802.505</v>
      </c>
      <c r="E10" s="25" t="n">
        <f aca="false">IFERROR(INDEX(Reference!$HI$2:$HI$1000, MATCH(Builder!G5&amp;"|"&amp;"ip_drugs", Reference!$HA$2:$HA$1000, 0)), 0)</f>
        <v>9060.435</v>
      </c>
      <c r="F10" s="24" t="n">
        <f aca="false">IFERROR(INDEX(Reference!$HJ$2:$HJ$1000, MATCH(Builder!G5&amp;"|"&amp;"ip_drugs", Reference!$HA$2:$HA$1000, 0)), 0)</f>
        <v>10629.0975</v>
      </c>
      <c r="G10" s="26" t="n">
        <f aca="false">C10-D10</f>
        <v>763.45125</v>
      </c>
      <c r="H10" s="26" t="n">
        <f aca="false">C10-E10</f>
        <v>-494.47875</v>
      </c>
      <c r="I10" s="26" t="n">
        <f aca="false">C10-F10</f>
        <v>-2063.14125</v>
      </c>
      <c r="J10" s="27" t="str">
        <f aca="false">IF(AND(OR(C10&lt;D10,C10&gt;F10),ABS(H10)&gt;MAX(5000,0.2*MAX(E10,1))),"Material Gap",IF(C10&lt;D10,"Below Range",IF(C10&gt;F10,"Above Range","Within Range")))</f>
        <v>Within Range</v>
      </c>
    </row>
    <row r="11" customFormat="false" ht="15" hidden="false" customHeight="false" outlineLevel="0" collapsed="false">
      <c r="A11" s="14" t="s">
        <v>89</v>
      </c>
      <c r="B11" s="23" t="str">
        <f aca="false">Builder!G5</f>
        <v>Cash</v>
      </c>
      <c r="C11" s="26" t="n">
        <f aca="false">IF(Builder!G10&lt;=0,0,(IF(Builder!B4="General",SUMIF('Line Item Detail'!$A$2:$A$73,"IP Drugs &amp; Medications",'Line Item Detail'!$W$2:$W$73),IF(Builder!B4="Twin",SUMIF('Line Item Detail'!$A$2:$A$73,"IP Drugs &amp; Medications",'Line Item Detail'!$X$2:$X$73),SUMIF('Line Item Detail'!$A$2:$A$73,"IP Drugs &amp; Medications",'Line Item Detail'!$Y$2:$Y$73))))/Builder!G10)</f>
        <v>2855.31875</v>
      </c>
      <c r="D11" s="24" t="n">
        <f aca="false">IFERROR(INDEX(Reference!$HH$2:$HH$1000, MATCH(Builder!G5&amp;"|"&amp;"ip_drugs_per_day", Reference!$HA$2:$HA$1000, 0)), 0)</f>
        <v>2380.9425</v>
      </c>
      <c r="E11" s="25" t="n">
        <f aca="false">IFERROR(INDEX(Reference!$HI$2:$HI$1000, MATCH(Builder!G5&amp;"|"&amp;"ip_drugs_per_day", Reference!$HA$2:$HA$1000, 0)), 0)</f>
        <v>2855.32</v>
      </c>
      <c r="F11" s="24" t="n">
        <f aca="false">IFERROR(INDEX(Reference!$HJ$2:$HJ$1000, MATCH(Builder!G5&amp;"|"&amp;"ip_drugs_per_day", Reference!$HA$2:$HA$1000, 0)), 0)</f>
        <v>3198.2575</v>
      </c>
      <c r="G11" s="26" t="n">
        <f aca="false">C11-D11</f>
        <v>474.37625</v>
      </c>
      <c r="H11" s="26" t="n">
        <f aca="false">C11-E11</f>
        <v>-0.00125000000025466</v>
      </c>
      <c r="I11" s="26" t="n">
        <f aca="false">C11-F11</f>
        <v>-342.93875</v>
      </c>
      <c r="J11" s="27" t="str">
        <f aca="false">IF(AND(OR(C11&lt;D11,C11&gt;F11),ABS(H11)&gt;MAX(5000,0.2*MAX(E11,1))),"Material Gap",IF(C11&lt;D11,"Below Range",IF(C11&gt;F11,"Above Range","Within Range")))</f>
        <v>Within Range</v>
      </c>
    </row>
    <row r="12" customFormat="false" ht="15" hidden="false" customHeight="false" outlineLevel="0" collapsed="false">
      <c r="A12" s="14" t="s">
        <v>146</v>
      </c>
      <c r="B12" s="23" t="str">
        <f aca="false">Builder!G5</f>
        <v>Cash</v>
      </c>
      <c r="C12" s="26" t="n">
        <f aca="false">IF(Builder!B4="General",SUMIF('Line Item Detail'!$A$2:$A$73,"IP Consumables",'Line Item Detail'!$W$2:$W$73),IF(Builder!B4="Twin",SUMIF('Line Item Detail'!$A$2:$A$73,"IP Consumables",'Line Item Detail'!$X$2:$X$73),SUMIF('Line Item Detail'!$A$2:$A$73,"IP Consumables",'Line Item Detail'!$Y$2:$Y$73)))</f>
        <v>10286.485</v>
      </c>
      <c r="D12" s="24" t="n">
        <f aca="false">IFERROR(INDEX(Reference!$HH$2:$HH$1000, MATCH(Builder!G5&amp;"|"&amp;"ip_consumables", Reference!$HA$2:$HA$1000, 0)), 0)</f>
        <v>9677.2125</v>
      </c>
      <c r="E12" s="25" t="n">
        <f aca="false">IFERROR(INDEX(Reference!$HI$2:$HI$1000, MATCH(Builder!G5&amp;"|"&amp;"ip_consumables", Reference!$HA$2:$HA$1000, 0)), 0)</f>
        <v>10711.305</v>
      </c>
      <c r="F12" s="24" t="n">
        <f aca="false">IFERROR(INDEX(Reference!$HJ$2:$HJ$1000, MATCH(Builder!G5&amp;"|"&amp;"ip_consumables", Reference!$HA$2:$HA$1000, 0)), 0)</f>
        <v>11936.6175</v>
      </c>
      <c r="G12" s="26" t="n">
        <f aca="false">C12-D12</f>
        <v>609.272499999997</v>
      </c>
      <c r="H12" s="26" t="n">
        <f aca="false">C12-E12</f>
        <v>-424.820000000002</v>
      </c>
      <c r="I12" s="26" t="n">
        <f aca="false">C12-F12</f>
        <v>-1650.1325</v>
      </c>
      <c r="J12" s="27" t="str">
        <f aca="false">IF(AND(OR(C12&lt;D12,C12&gt;F12),ABS(H12)&gt;MAX(5000,0.2*MAX(E12,1))),"Material Gap",IF(C12&lt;D12,"Below Range",IF(C12&gt;F12,"Above Range","Within Range")))</f>
        <v>Within Range</v>
      </c>
    </row>
    <row r="13" customFormat="false" ht="15" hidden="false" customHeight="false" outlineLevel="0" collapsed="false">
      <c r="A13" s="14" t="s">
        <v>92</v>
      </c>
      <c r="B13" s="23" t="str">
        <f aca="false">Builder!G5</f>
        <v>Cash</v>
      </c>
      <c r="C13" s="26" t="n">
        <f aca="false">IF(Builder!G10&lt;=0,0,(IF(Builder!B4="General",SUMIF('Line Item Detail'!$A$2:$A$73,"IP Consumables",'Line Item Detail'!$W$2:$W$73),IF(Builder!B4="Twin",SUMIF('Line Item Detail'!$A$2:$A$73,"IP Consumables",'Line Item Detail'!$X$2:$X$73),SUMIF('Line Item Detail'!$A$2:$A$73,"IP Consumables",'Line Item Detail'!$Y$2:$Y$73))))/Builder!G10)</f>
        <v>3428.82833333333</v>
      </c>
      <c r="D13" s="24" t="n">
        <f aca="false">IFERROR(INDEX(Reference!$HH$2:$HH$1000, MATCH(Builder!G5&amp;"|"&amp;"ip_consumables_per_day", Reference!$HA$2:$HA$1000, 0)), 0)</f>
        <v>3059.7975</v>
      </c>
      <c r="E13" s="25" t="n">
        <f aca="false">IFERROR(INDEX(Reference!$HI$2:$HI$1000, MATCH(Builder!G5&amp;"|"&amp;"ip_consumables_per_day", Reference!$HA$2:$HA$1000, 0)), 0)</f>
        <v>3428.83</v>
      </c>
      <c r="F13" s="24" t="n">
        <f aca="false">IFERROR(INDEX(Reference!$HJ$2:$HJ$1000, MATCH(Builder!G5&amp;"|"&amp;"ip_consumables_per_day", Reference!$HA$2:$HA$1000, 0)), 0)</f>
        <v>3617.7125</v>
      </c>
      <c r="G13" s="26" t="n">
        <f aca="false">C13-D13</f>
        <v>369.030833333333</v>
      </c>
      <c r="H13" s="26" t="n">
        <f aca="false">C13-E13</f>
        <v>-0.00166666666700621</v>
      </c>
      <c r="I13" s="26" t="n">
        <f aca="false">C13-F13</f>
        <v>-188.884166666667</v>
      </c>
      <c r="J13" s="27" t="str">
        <f aca="false">IF(AND(OR(C13&lt;D13,C13&gt;F13),ABS(H13)&gt;MAX(5000,0.2*MAX(E13,1))),"Material Gap",IF(C13&lt;D13,"Below Range",IF(C13&gt;F13,"Above Range","Within Range")))</f>
        <v>Within Range</v>
      </c>
    </row>
    <row r="14" customFormat="false" ht="15" hidden="false" customHeight="false" outlineLevel="0" collapsed="false">
      <c r="A14" s="14" t="s">
        <v>95</v>
      </c>
      <c r="B14" s="23" t="str">
        <f aca="false">Builder!G5</f>
        <v>Cash</v>
      </c>
      <c r="C14" s="26" t="n">
        <f aca="false">IF(Builder!B4="General",SUMIF('Line Item Detail'!$A$2:$A$73,"OT Drugs &amp; Medications",'Line Item Detail'!$W$2:$W$73),IF(Builder!B4="Twin",SUMIF('Line Item Detail'!$A$2:$A$73,"OT Drugs &amp; Medications",'Line Item Detail'!$X$2:$X$73),SUMIF('Line Item Detail'!$A$2:$A$73,"OT Drugs &amp; Medications",'Line Item Detail'!$Y$2:$Y$73)))</f>
        <v>9439.535</v>
      </c>
      <c r="D14" s="24" t="n">
        <f aca="false">IFERROR(INDEX(Reference!$HH$2:$HH$1000, MATCH(Builder!G5&amp;"|"&amp;"ot_drugs", Reference!$HA$2:$HA$1000, 0)), 0)</f>
        <v>8468.8525</v>
      </c>
      <c r="E14" s="25" t="n">
        <f aca="false">IFERROR(INDEX(Reference!$HI$2:$HI$1000, MATCH(Builder!G5&amp;"|"&amp;"ot_drugs", Reference!$HA$2:$HA$1000, 0)), 0)</f>
        <v>9439.535</v>
      </c>
      <c r="F14" s="24" t="n">
        <f aca="false">IFERROR(INDEX(Reference!$HJ$2:$HJ$1000, MATCH(Builder!G5&amp;"|"&amp;"ot_drugs", Reference!$HA$2:$HA$1000, 0)), 0)</f>
        <v>11143.7</v>
      </c>
      <c r="G14" s="26" t="n">
        <f aca="false">C14-D14</f>
        <v>970.682500000001</v>
      </c>
      <c r="H14" s="26" t="n">
        <f aca="false">C14-E14</f>
        <v>0</v>
      </c>
      <c r="I14" s="26" t="n">
        <f aca="false">C14-F14</f>
        <v>-1704.165</v>
      </c>
      <c r="J14" s="27" t="str">
        <f aca="false">IF(AND(OR(C14&lt;D14,C14&gt;F14),ABS(H14)&gt;MAX(5000,0.2*MAX(E14,1))),"Material Gap",IF(C14&lt;D14,"Below Range",IF(C14&gt;F14,"Above Range","Within Range")))</f>
        <v>Within Range</v>
      </c>
    </row>
    <row r="15" customFormat="false" ht="15" hidden="false" customHeight="false" outlineLevel="0" collapsed="false">
      <c r="A15" s="14" t="s">
        <v>98</v>
      </c>
      <c r="B15" s="23" t="str">
        <f aca="false">Builder!G5</f>
        <v>Cash</v>
      </c>
      <c r="C15" s="26" t="n">
        <f aca="false">IF(Builder!B4="General",SUMIF('Line Item Detail'!$A$2:$A$73,"OT Consumables",'Line Item Detail'!$W$2:$W$73),IF(Builder!B4="Twin",SUMIF('Line Item Detail'!$A$2:$A$73,"OT Consumables",'Line Item Detail'!$X$2:$X$73),SUMIF('Line Item Detail'!$A$2:$A$73,"OT Consumables",'Line Item Detail'!$Y$2:$Y$73)))</f>
        <v>72382.9</v>
      </c>
      <c r="D15" s="24" t="n">
        <f aca="false">IFERROR(INDEX(Reference!$HH$2:$HH$1000, MATCH(Builder!G5&amp;"|"&amp;"ot_consumables", Reference!$HA$2:$HA$1000, 0)), 0)</f>
        <v>66040.54</v>
      </c>
      <c r="E15" s="25" t="n">
        <f aca="false">IFERROR(INDEX(Reference!$HI$2:$HI$1000, MATCH(Builder!G5&amp;"|"&amp;"ot_consumables", Reference!$HA$2:$HA$1000, 0)), 0)</f>
        <v>72382.9</v>
      </c>
      <c r="F15" s="24" t="n">
        <f aca="false">IFERROR(INDEX(Reference!$HJ$2:$HJ$1000, MATCH(Builder!G5&amp;"|"&amp;"ot_consumables", Reference!$HA$2:$HA$1000, 0)), 0)</f>
        <v>107563.63</v>
      </c>
      <c r="G15" s="26" t="n">
        <f aca="false">C15-D15</f>
        <v>6342.36</v>
      </c>
      <c r="H15" s="26" t="n">
        <f aca="false">C15-E15</f>
        <v>0</v>
      </c>
      <c r="I15" s="26" t="n">
        <f aca="false">C15-F15</f>
        <v>-35180.73</v>
      </c>
      <c r="J15" s="27" t="str">
        <f aca="false">IF(AND(OR(C15&lt;D15,C15&gt;F15),ABS(H15)&gt;MAX(5000,0.2*MAX(E15,1))),"Material Gap",IF(C15&lt;D15,"Below Range",IF(C15&gt;F15,"Above Range","Within Range")))</f>
        <v>Within Range</v>
      </c>
    </row>
    <row r="16" customFormat="false" ht="15" hidden="false" customHeight="false" outlineLevel="0" collapsed="false">
      <c r="A16" s="14" t="s">
        <v>101</v>
      </c>
      <c r="B16" s="23" t="str">
        <f aca="false">Builder!G5</f>
        <v>Cash</v>
      </c>
      <c r="C16" s="26" t="n">
        <f aca="false">IF(Builder!B4="General",SUMIF('Line Item Detail'!$A$2:$A$73,"Implants",'Line Item Detail'!$W$2:$W$73),IF(Builder!B4="Twin",SUMIF('Line Item Detail'!$A$2:$A$73,"Implants",'Line Item Detail'!$X$2:$X$73),SUMIF('Line Item Detail'!$A$2:$A$73,"Implants",'Line Item Detail'!$Y$2:$Y$73)))</f>
        <v>89130.16</v>
      </c>
      <c r="D16" s="24" t="n">
        <f aca="false">IFERROR(INDEX(Reference!$HH$2:$HH$1000, MATCH(Builder!G5&amp;"|"&amp;"implants", Reference!$HA$2:$HA$1000, 0)), 0)</f>
        <v>89130.0775</v>
      </c>
      <c r="E16" s="25" t="n">
        <f aca="false">IFERROR(INDEX(Reference!$HI$2:$HI$1000, MATCH(Builder!G5&amp;"|"&amp;"implants", Reference!$HA$2:$HA$1000, 0)), 0)</f>
        <v>89130.16</v>
      </c>
      <c r="F16" s="24" t="n">
        <f aca="false">IFERROR(INDEX(Reference!$HJ$2:$HJ$1000, MATCH(Builder!G5&amp;"|"&amp;"implants", Reference!$HA$2:$HA$1000, 0)), 0)</f>
        <v>98838.05</v>
      </c>
      <c r="G16" s="26" t="n">
        <f aca="false">C16-D16</f>
        <v>0.0824999999895226</v>
      </c>
      <c r="H16" s="26" t="n">
        <f aca="false">C16-E16</f>
        <v>0</v>
      </c>
      <c r="I16" s="26" t="n">
        <f aca="false">C16-F16</f>
        <v>-9707.89</v>
      </c>
      <c r="J16" s="27" t="str">
        <f aca="false">IF(AND(OR(C16&lt;D16,C16&gt;F16),ABS(H16)&gt;MAX(5000,0.2*MAX(E16,1))),"Material Gap",IF(C16&lt;D16,"Below Range",IF(C16&gt;F16,"Above Range","Within Range")))</f>
        <v>Within Range</v>
      </c>
    </row>
    <row r="17" customFormat="false" ht="15" hidden="false" customHeight="false" outlineLevel="0" collapsed="false">
      <c r="A17" s="14" t="s">
        <v>96</v>
      </c>
      <c r="B17" s="23" t="str">
        <f aca="false">Builder!G5</f>
        <v>Cash</v>
      </c>
      <c r="C17" s="26" t="n">
        <f aca="false">'Estimate Summary'!B18</f>
        <v>23725.62953125</v>
      </c>
      <c r="D17" s="24" t="n">
        <f aca="false">IFERROR(INDEX(Reference!$HH$2:$HH$1000, MATCH(Builder!G5&amp;"|"&amp;"drug_administration_charges", Reference!$HA$2:$HA$1000, 0)), 0)</f>
        <v>22868.6375</v>
      </c>
      <c r="E17" s="25" t="n">
        <f aca="false">IFERROR(INDEX(Reference!$HI$2:$HI$1000, MATCH(Builder!G5&amp;"|"&amp;"drug_administration_charges", Reference!$HA$2:$HA$1000, 0)), 0)</f>
        <v>23652.2</v>
      </c>
      <c r="F17" s="24" t="n">
        <f aca="false">IFERROR(INDEX(Reference!$HJ$2:$HJ$1000, MATCH(Builder!G5&amp;"|"&amp;"drug_administration_charges", Reference!$HA$2:$HA$1000, 0)), 0)</f>
        <v>28893.0925</v>
      </c>
      <c r="G17" s="26" t="n">
        <f aca="false">C17-D17</f>
        <v>856.99203125</v>
      </c>
      <c r="H17" s="26" t="n">
        <f aca="false">C17-E17</f>
        <v>73.4295312499999</v>
      </c>
      <c r="I17" s="26" t="n">
        <f aca="false">C17-F17</f>
        <v>-5167.46296875</v>
      </c>
      <c r="J17" s="27" t="str">
        <f aca="false">IF(AND(OR(C17&lt;D17,C17&gt;F17),ABS(H17)&gt;MAX(5000,0.2*MAX(E17,1))),"Material Gap",IF(C17&lt;D17,"Below Range",IF(C17&gt;F17,"Above Range","Within Range")))</f>
        <v>Within Range</v>
      </c>
    </row>
    <row r="18" customFormat="false" ht="15" hidden="false" customHeight="false" outlineLevel="0" collapsed="false">
      <c r="A18" s="14" t="s">
        <v>163</v>
      </c>
      <c r="B18" s="23" t="str">
        <f aca="false">Builder!G7</f>
        <v>Cash</v>
      </c>
      <c r="C18" s="26" t="n">
        <f aca="false">'Estimate Summary'!B19</f>
        <v>160001.39967627</v>
      </c>
      <c r="D18" s="24" t="n">
        <f aca="false">IFERROR(INDEX(Reference!$HH$2:$HH$1000, MATCH(Builder!G7&amp;"|"&amp;"professional_fees", Reference!$HA$2:$HA$1000, 0)), 0)</f>
        <v>96442</v>
      </c>
      <c r="E18" s="25" t="n">
        <f aca="false">IFERROR(INDEX(Reference!$HI$2:$HI$1000, MATCH(Builder!G7&amp;"|"&amp;"professional_fees", Reference!$HA$2:$HA$1000, 0)), 0)</f>
        <v>98192</v>
      </c>
      <c r="F18" s="24" t="n">
        <f aca="false">IFERROR(INDEX(Reference!$HJ$2:$HJ$1000, MATCH(Builder!G7&amp;"|"&amp;"professional_fees", Reference!$HA$2:$HA$1000, 0)), 0)</f>
        <v>99817</v>
      </c>
      <c r="G18" s="26" t="n">
        <f aca="false">C18-D18</f>
        <v>63559.3996762695</v>
      </c>
      <c r="H18" s="26" t="n">
        <f aca="false">C18-E18</f>
        <v>61809.3996762695</v>
      </c>
      <c r="I18" s="26" t="n">
        <f aca="false">C18-F18</f>
        <v>60184.3996762695</v>
      </c>
      <c r="J18" s="27" t="str">
        <f aca="false">IF(AND(OR(C18&lt;D18,C18&gt;F18),ABS(H18)&gt;MAX(5000,0.2*MAX(E18,1))),"Material Gap",IF(C18&lt;D18,"Below Range",IF(C18&gt;F18,"Above Range","Within Range")))</f>
        <v>Material Gap</v>
      </c>
    </row>
    <row r="19" customFormat="false" ht="26.85" hidden="false" customHeight="false" outlineLevel="0" collapsed="false">
      <c r="A19" s="14" t="s">
        <v>105</v>
      </c>
      <c r="B19" s="23" t="str">
        <f aca="false">Builder!G7</f>
        <v>Cash</v>
      </c>
      <c r="C19" s="26" t="n">
        <f aca="false">'Estimate Summary'!B22</f>
        <v>98192</v>
      </c>
      <c r="D19" s="24" t="n">
        <f aca="false">IFERROR(INDEX(Reference!$FE$2:$FE$500, MATCH(Builder!G7, Reference!$FC$2:$FC$500, 0)), 0)</f>
        <v>96442</v>
      </c>
      <c r="E19" s="25" t="n">
        <f aca="false">IFERROR(INDEX(Reference!$FF$2:$FF$500, MATCH(Builder!G7, Reference!$FC$2:$FC$500, 0)), 0)</f>
        <v>98192</v>
      </c>
      <c r="F19" s="24" t="n">
        <f aca="false">IFERROR(INDEX(Reference!$FG$2:$FG$500, MATCH(Builder!G7, Reference!$FC$2:$FC$500, 0)), 0)</f>
        <v>99817</v>
      </c>
      <c r="G19" s="26" t="n">
        <f aca="false">C19-D19</f>
        <v>1750</v>
      </c>
      <c r="H19" s="26" t="n">
        <f aca="false">C19-E19</f>
        <v>0</v>
      </c>
      <c r="I19" s="26" t="n">
        <f aca="false">C19-F19</f>
        <v>-1625</v>
      </c>
      <c r="J19" s="27" t="str">
        <f aca="false">IF(AND(OR(C19&lt;D19,C19&gt;F19),ABS(H19)&gt;MAX(5000,0.2*MAX(E19,1))),"Material Gap",IF(C19&lt;D19,"Below Range",IF(C19&gt;F19,"Above Range","Within Range")))</f>
        <v>Within Range</v>
      </c>
    </row>
    <row r="20" customFormat="false" ht="15" hidden="false" customHeight="false" outlineLevel="0" collapsed="false">
      <c r="A20" s="14" t="s">
        <v>164</v>
      </c>
      <c r="B20" s="23" t="str">
        <f aca="false">IF(AND(Builder!G5=Builder!G6,Builder!G6=Builder!G7),Builder!G6,"Component Mix")</f>
        <v>Cash</v>
      </c>
      <c r="C20" s="26" t="n">
        <f aca="false">'Estimate Summary'!B21</f>
        <v>597612.06545752</v>
      </c>
      <c r="D20" s="24" t="n">
        <f aca="false">IF(AND(Builder!G5=Builder!G6,Builder!G6=Builder!G7),IFERROR(INDEX(Reference!$HH$2:$HH$1000, MATCH(Builder!G6&amp;"|"&amp;"total_amount_excluding_food_and_beverage_and_returns_plus_drug_admin", Reference!$HA$2:$HA$1000, 0)), 0),(IFERROR(INDEX(Reference!$HH$2:$HH$1000, MATCH(Builder!G6&amp;"|"&amp;"room_charges", Reference!$HA$2:$HA$1000, 0)), 0) + IFERROR(INDEX(Reference!$HH$2:$HH$1000, MATCH(Builder!G6&amp;"|"&amp;"investigations", Reference!$HA$2:$HA$1000, 0)), 0) + IFERROR(INDEX(Reference!$HH$2:$HH$1000, MATCH(Builder!G6&amp;"|"&amp;"procedure_ot_charges", Reference!$HA$2:$HA$1000, 0)), 0) + IFERROR(INDEX(Reference!$HH$2:$HH$1000, MATCH(Builder!G6&amp;"|"&amp;"bedside_services", Reference!$HA$2:$HA$1000, 0)), 0) + IFERROR(INDEX(Reference!$HH$2:$HH$1000, MATCH(Builder!G5&amp;"|"&amp;"pharmacy_total", Reference!$HA$2:$HA$1000, 0)), 0) + IFERROR(INDEX(Reference!$HH$2:$HH$1000, MATCH(Builder!G5&amp;"|"&amp;"drug_administration_charges", Reference!$HA$2:$HA$1000, 0)), 0) + IFERROR(INDEX(Reference!$HH$2:$HH$1000, MATCH(Builder!G7&amp;"|"&amp;"professional_fees", Reference!$HA$2:$HA$1000, 0)), 0)))</f>
        <v>520489.6525</v>
      </c>
      <c r="E20" s="25" t="n">
        <f aca="false">IF(AND(Builder!G5=Builder!G6,Builder!G6=Builder!G7),IFERROR(INDEX(Reference!$HI$2:$HI$1000, MATCH(Builder!G6&amp;"|"&amp;"total_amount_excluding_food_and_beverage_and_returns_plus_drug_admin", Reference!$HA$2:$HA$1000, 0)), 0),(IFERROR(INDEX(Reference!$HI$2:$HI$1000, MATCH(Builder!G6&amp;"|"&amp;"room_charges", Reference!$HA$2:$HA$1000, 0)), 0) + IFERROR(INDEX(Reference!$HI$2:$HI$1000, MATCH(Builder!G6&amp;"|"&amp;"investigations", Reference!$HA$2:$HA$1000, 0)), 0) + IFERROR(INDEX(Reference!$HI$2:$HI$1000, MATCH(Builder!G6&amp;"|"&amp;"procedure_ot_charges", Reference!$HA$2:$HA$1000, 0)), 0) + IFERROR(INDEX(Reference!$HI$2:$HI$1000, MATCH(Builder!G6&amp;"|"&amp;"bedside_services", Reference!$HA$2:$HA$1000, 0)), 0) + IFERROR(INDEX(Reference!$HI$2:$HI$1000, MATCH(Builder!G5&amp;"|"&amp;"pharmacy_total", Reference!$HA$2:$HA$1000, 0)), 0) + IFERROR(INDEX(Reference!$HI$2:$HI$1000, MATCH(Builder!G5&amp;"|"&amp;"drug_administration_charges", Reference!$HA$2:$HA$1000, 0)), 0) + IFERROR(INDEX(Reference!$HI$2:$HI$1000, MATCH(Builder!G7&amp;"|"&amp;"professional_fees", Reference!$HA$2:$HA$1000, 0)), 0)))</f>
        <v>539491.34</v>
      </c>
      <c r="F20" s="24" t="n">
        <f aca="false">IF(AND(Builder!G5=Builder!G6,Builder!G6=Builder!G7),IFERROR(INDEX(Reference!$HJ$2:$HJ$1000, MATCH(Builder!G6&amp;"|"&amp;"total_amount_excluding_food_and_beverage_and_returns_plus_drug_admin", Reference!$HA$2:$HA$1000, 0)), 0),(IFERROR(INDEX(Reference!$HJ$2:$HJ$1000, MATCH(Builder!G6&amp;"|"&amp;"room_charges", Reference!$HA$2:$HA$1000, 0)), 0) + IFERROR(INDEX(Reference!$HJ$2:$HJ$1000, MATCH(Builder!G6&amp;"|"&amp;"investigations", Reference!$HA$2:$HA$1000, 0)), 0) + IFERROR(INDEX(Reference!$HJ$2:$HJ$1000, MATCH(Builder!G6&amp;"|"&amp;"procedure_ot_charges", Reference!$HA$2:$HA$1000, 0)), 0) + IFERROR(INDEX(Reference!$HJ$2:$HJ$1000, MATCH(Builder!G6&amp;"|"&amp;"bedside_services", Reference!$HA$2:$HA$1000, 0)), 0) + IFERROR(INDEX(Reference!$HJ$2:$HJ$1000, MATCH(Builder!G5&amp;"|"&amp;"pharmacy_total", Reference!$HA$2:$HA$1000, 0)), 0) + IFERROR(INDEX(Reference!$HJ$2:$HJ$1000, MATCH(Builder!G5&amp;"|"&amp;"drug_administration_charges", Reference!$HA$2:$HA$1000, 0)), 0) + IFERROR(INDEX(Reference!$HJ$2:$HJ$1000, MATCH(Builder!G7&amp;"|"&amp;"professional_fees", Reference!$HA$2:$HA$1000, 0)), 0)))</f>
        <v>596680.1275</v>
      </c>
      <c r="G20" s="26" t="n">
        <f aca="false">C20-D20</f>
        <v>77122.4129575195</v>
      </c>
      <c r="H20" s="26" t="n">
        <f aca="false">C20-E20</f>
        <v>58120.7254575194</v>
      </c>
      <c r="I20" s="26" t="n">
        <f aca="false">C20-F20</f>
        <v>931.937957519549</v>
      </c>
      <c r="J20" s="27" t="str">
        <f aca="false">IF(AND(OR(C20&lt;D20,C20&gt;F20),ABS(H20)&gt;MAX(5000,0.2*MAX(E20,1))),"Material Gap",IF(C20&lt;D20,"Below Range",IF(C20&gt;F20,"Above Range","Within Range")))</f>
        <v>Above Range</v>
      </c>
    </row>
    <row r="21" customFormat="false" ht="15" hidden="false" customHeight="false" outlineLevel="0" collapsed="false">
      <c r="A21" s="14" t="s">
        <v>106</v>
      </c>
      <c r="B21" s="23" t="str">
        <f aca="false">IF(AND(Builder!G5=Builder!G6,Builder!G6=Builder!G7),Builder!G6,"Component Mix + Historic PF")</f>
        <v>Cash</v>
      </c>
      <c r="C21" s="26" t="n">
        <f aca="false">'Estimate Summary'!B23</f>
        <v>535802.66578125</v>
      </c>
      <c r="D21" s="24" t="n">
        <f aca="false">(IFERROR(INDEX(Reference!$HH$2:$HH$1000, MATCH(Builder!G6&amp;"|"&amp;"room_charges", Reference!$HA$2:$HA$1000, 0)), 0) + IFERROR(INDEX(Reference!$HH$2:$HH$1000, MATCH(Builder!G6&amp;"|"&amp;"investigations", Reference!$HA$2:$HA$1000, 0)), 0) + IFERROR(INDEX(Reference!$HH$2:$HH$1000, MATCH(Builder!G6&amp;"|"&amp;"procedure_ot_charges", Reference!$HA$2:$HA$1000, 0)), 0) + IFERROR(INDEX(Reference!$HH$2:$HH$1000, MATCH(Builder!G6&amp;"|"&amp;"bedside_services", Reference!$HA$2:$HA$1000, 0)), 0) + IFERROR(INDEX(Reference!$HH$2:$HH$1000, MATCH(Builder!G5&amp;"|"&amp;"pharmacy_total", Reference!$HA$2:$HA$1000, 0)), 0) + IFERROR(INDEX(Reference!$HH$2:$HH$1000, MATCH(Builder!G5&amp;"|"&amp;"drug_administration_charges", Reference!$HA$2:$HA$1000, 0)), 0) + IFERROR(INDEX(Reference!$FE$2:$FE$500, MATCH(Builder!G7, Reference!$FC$2:$FC$500, 0)), 0))</f>
        <v>512127.2425</v>
      </c>
      <c r="E21" s="25" t="n">
        <f aca="false">(IFERROR(INDEX(Reference!$HI$2:$HI$1000, MATCH(Builder!G6&amp;"|"&amp;"room_charges", Reference!$HA$2:$HA$1000, 0)), 0) + IFERROR(INDEX(Reference!$HI$2:$HI$1000, MATCH(Builder!G6&amp;"|"&amp;"investigations", Reference!$HA$2:$HA$1000, 0)), 0) + IFERROR(INDEX(Reference!$HI$2:$HI$1000, MATCH(Builder!G6&amp;"|"&amp;"procedure_ot_charges", Reference!$HA$2:$HA$1000, 0)), 0) + IFERROR(INDEX(Reference!$HI$2:$HI$1000, MATCH(Builder!G6&amp;"|"&amp;"bedside_services", Reference!$HA$2:$HA$1000, 0)), 0) + IFERROR(INDEX(Reference!$HI$2:$HI$1000, MATCH(Builder!G5&amp;"|"&amp;"pharmacy_total", Reference!$HA$2:$HA$1000, 0)), 0) + IFERROR(INDEX(Reference!$HI$2:$HI$1000, MATCH(Builder!G5&amp;"|"&amp;"drug_administration_charges", Reference!$HA$2:$HA$1000, 0)), 0) + IFERROR(INDEX(Reference!$FF$2:$FF$500, MATCH(Builder!G7, Reference!$FC$2:$FC$500, 0)), 0))</f>
        <v>535675.805</v>
      </c>
      <c r="F21" s="24" t="n">
        <f aca="false">(IFERROR(INDEX(Reference!$HJ$2:$HJ$1000, MATCH(Builder!G6&amp;"|"&amp;"room_charges", Reference!$HA$2:$HA$1000, 0)), 0) + IFERROR(INDEX(Reference!$HJ$2:$HJ$1000, MATCH(Builder!G6&amp;"|"&amp;"investigations", Reference!$HA$2:$HA$1000, 0)), 0) + IFERROR(INDEX(Reference!$HJ$2:$HJ$1000, MATCH(Builder!G6&amp;"|"&amp;"procedure_ot_charges", Reference!$HA$2:$HA$1000, 0)), 0) + IFERROR(INDEX(Reference!$HJ$2:$HJ$1000, MATCH(Builder!G6&amp;"|"&amp;"bedside_services", Reference!$HA$2:$HA$1000, 0)), 0) + IFERROR(INDEX(Reference!$HJ$2:$HJ$1000, MATCH(Builder!G5&amp;"|"&amp;"pharmacy_total", Reference!$HA$2:$HA$1000, 0)), 0) + IFERROR(INDEX(Reference!$HJ$2:$HJ$1000, MATCH(Builder!G5&amp;"|"&amp;"drug_administration_charges", Reference!$HA$2:$HA$1000, 0)), 0) + IFERROR(INDEX(Reference!$FG$2:$FG$500, MATCH(Builder!G7, Reference!$FC$2:$FC$500, 0)), 0))</f>
        <v>598598.325</v>
      </c>
      <c r="G21" s="26" t="n">
        <f aca="false">C21-D21</f>
        <v>23675.42328125</v>
      </c>
      <c r="H21" s="26" t="n">
        <f aca="false">C21-E21</f>
        <v>126.860781250056</v>
      </c>
      <c r="I21" s="26" t="n">
        <f aca="false">C21-F21</f>
        <v>-62795.6592187501</v>
      </c>
      <c r="J21" s="27" t="str">
        <f aca="false">IF(AND(OR(C21&lt;D21,C21&gt;F21),ABS(H21)&gt;MAX(5000,0.2*MAX(E21,1))),"Material Gap",IF(C21&lt;D21,"Below Range",IF(C21&gt;F21,"Above Range","Within Range")))</f>
        <v>Within Range</v>
      </c>
    </row>
    <row r="24" customFormat="false" ht="15" hidden="false" customHeight="false" outlineLevel="0" collapsed="false">
      <c r="A24" s="18" t="s">
        <v>28</v>
      </c>
      <c r="B24" s="18" t="s">
        <v>140</v>
      </c>
      <c r="C24" s="18" t="s">
        <v>165</v>
      </c>
      <c r="D24" s="18" t="s">
        <v>156</v>
      </c>
      <c r="E24" s="18" t="s">
        <v>157</v>
      </c>
      <c r="F24" s="18" t="s">
        <v>158</v>
      </c>
      <c r="G24" s="18" t="s">
        <v>162</v>
      </c>
    </row>
    <row r="25" customFormat="false" ht="15" hidden="false" customHeight="false" outlineLevel="0" collapsed="false">
      <c r="A25" s="2" t="s">
        <v>35</v>
      </c>
      <c r="B25" s="2" t="str">
        <f aca="false">Builder!G6</f>
        <v>Cash</v>
      </c>
      <c r="C25" s="21" t="n">
        <f aca="false">Builder!G10</f>
        <v>3</v>
      </c>
      <c r="D25" s="21" t="n">
        <f aca="false">IFERROR(INDEX(Reference!$HH$2:$HH$1000, MATCH(Builder!G6&amp;"|"&amp;"los_days", Reference!$HA$2:$HA$1000, 0)), 0)</f>
        <v>3</v>
      </c>
      <c r="E25" s="21" t="n">
        <f aca="false">IFERROR(INDEX(Reference!$HI$2:$HI$1000, MATCH(Builder!G6&amp;"|"&amp;"los_days", Reference!$HA$2:$HA$1000, 0)), 0)</f>
        <v>3</v>
      </c>
      <c r="F25" s="21" t="n">
        <f aca="false">IFERROR(INDEX(Reference!$HJ$2:$HJ$1000, MATCH(Builder!G6&amp;"|"&amp;"los_days", Reference!$HA$2:$HA$1000, 0)), 0)</f>
        <v>3.75</v>
      </c>
      <c r="G25" s="2" t="str">
        <f aca="false">IF(C25&lt;D25,"Below Range",IF(C25&gt;F25,"Above Range","Within Range"))</f>
        <v>Within Range</v>
      </c>
    </row>
    <row r="26" customFormat="false" ht="15" hidden="false" customHeight="false" outlineLevel="0" collapsed="false">
      <c r="A26" s="2" t="s">
        <v>37</v>
      </c>
      <c r="B26" s="2" t="str">
        <f aca="false">Builder!G6</f>
        <v>Cash</v>
      </c>
      <c r="C26" s="21" t="n">
        <f aca="false">Builder!G11</f>
        <v>2</v>
      </c>
      <c r="D26" s="21" t="n">
        <f aca="false">IFERROR(INDEX(Reference!$HH$2:$HH$1000, MATCH(Builder!G6&amp;"|"&amp;"icu_days", Reference!$HA$2:$HA$1000, 0)), 0)</f>
        <v>2</v>
      </c>
      <c r="E26" s="21" t="n">
        <f aca="false">IFERROR(INDEX(Reference!$HI$2:$HI$1000, MATCH(Builder!G6&amp;"|"&amp;"icu_days", Reference!$HA$2:$HA$1000, 0)), 0)</f>
        <v>2</v>
      </c>
      <c r="F26" s="21" t="n">
        <f aca="false">IFERROR(INDEX(Reference!$HJ$2:$HJ$1000, MATCH(Builder!G6&amp;"|"&amp;"icu_days", Reference!$HA$2:$HA$1000, 0)), 0)</f>
        <v>3</v>
      </c>
      <c r="G26" s="2" t="str">
        <f aca="false">IF(C26&lt;D26,"Below Range",IF(C26&gt;F26,"Above Range","Within Range"))</f>
        <v>Within Range</v>
      </c>
    </row>
    <row r="27" customFormat="false" ht="15" hidden="false" customHeight="false" outlineLevel="0" collapsed="false">
      <c r="A27" s="2" t="s">
        <v>38</v>
      </c>
      <c r="B27" s="2" t="str">
        <f aca="false">Builder!G6</f>
        <v>Cash</v>
      </c>
      <c r="C27" s="21" t="n">
        <f aca="false">Builder!G12</f>
        <v>1</v>
      </c>
      <c r="D27" s="21" t="n">
        <f aca="false">IFERROR(INDEX(Reference!$HH$2:$HH$1000, MATCH(Builder!G6&amp;"|"&amp;"ward_days", Reference!$HA$2:$HA$1000, 0)), 0)</f>
        <v>0.25</v>
      </c>
      <c r="E27" s="21" t="n">
        <f aca="false">IFERROR(INDEX(Reference!$HI$2:$HI$1000, MATCH(Builder!G6&amp;"|"&amp;"ward_days", Reference!$HA$2:$HA$1000, 0)), 0)</f>
        <v>1</v>
      </c>
      <c r="F27" s="21" t="n">
        <f aca="false">IFERROR(INDEX(Reference!$HJ$2:$HJ$1000, MATCH(Builder!G6&amp;"|"&amp;"ward_days", Reference!$HA$2:$HA$1000, 0)), 0)</f>
        <v>1.75</v>
      </c>
      <c r="G27" s="2" t="str">
        <f aca="false">IF(C27&lt;D27,"Below Range",IF(C27&gt;F27,"Above Range","Within Range"))</f>
        <v>Within Range</v>
      </c>
    </row>
    <row r="28" customFormat="false" ht="15" hidden="false" customHeight="false" outlineLevel="0" collapsed="false">
      <c r="A28" s="2" t="s">
        <v>39</v>
      </c>
      <c r="B28" s="2" t="str">
        <f aca="false">Builder!G6</f>
        <v>Cash</v>
      </c>
      <c r="C28" s="21" t="n">
        <f aca="false">Builder!G13</f>
        <v>3</v>
      </c>
      <c r="D28" s="21" t="n">
        <f aca="false">IFERROR(INDEX(Reference!$HH$2:$HH$1000, MATCH(Builder!G6&amp;"|"&amp;"ot_hours", Reference!$HA$2:$HA$1000, 0)), 0)</f>
        <v>2.5</v>
      </c>
      <c r="E28" s="21" t="n">
        <f aca="false">IFERROR(INDEX(Reference!$HI$2:$HI$1000, MATCH(Builder!G6&amp;"|"&amp;"ot_hours", Reference!$HA$2:$HA$1000, 0)), 0)</f>
        <v>3</v>
      </c>
      <c r="F28" s="21" t="n">
        <f aca="false">IFERROR(INDEX(Reference!$HJ$2:$HJ$1000, MATCH(Builder!G6&amp;"|"&amp;"ot_hours", Reference!$HA$2:$HA$1000, 0)), 0)</f>
        <v>3</v>
      </c>
      <c r="G28" s="2" t="str">
        <f aca="false">IF(C28&lt;D28,"Below Range",IF(C28&gt;F28,"Above Range","Within Range"))</f>
        <v>Within Range</v>
      </c>
    </row>
    <row r="31" customFormat="false" ht="15" hidden="false" customHeight="false" outlineLevel="0" collapsed="false">
      <c r="A31" s="18" t="s">
        <v>166</v>
      </c>
      <c r="B31" s="18" t="s">
        <v>167</v>
      </c>
      <c r="C31" s="18" t="s">
        <v>168</v>
      </c>
      <c r="D31" s="18" t="s">
        <v>82</v>
      </c>
      <c r="E31" s="18" t="s">
        <v>83</v>
      </c>
      <c r="F31" s="18" t="s">
        <v>84</v>
      </c>
      <c r="G31" s="18" t="s">
        <v>85</v>
      </c>
      <c r="H31" s="18" t="s">
        <v>169</v>
      </c>
    </row>
    <row r="32" customFormat="false" ht="64.9" hidden="false" customHeight="false" outlineLevel="0" collapsed="false">
      <c r="A32" s="14" t="s">
        <v>170</v>
      </c>
      <c r="B32" s="23" t="str">
        <f aca="false">Builder!G6</f>
        <v>Cash</v>
      </c>
      <c r="C32" s="8" t="n">
        <f aca="false">IFERROR(INDEX(Reference!$BA$2:$BA$500, MATCH(Builder!G6, Reference!$AZ$2:$AZ$500, 0)), 0)</f>
        <v>26</v>
      </c>
      <c r="D32" s="8" t="n">
        <f aca="false">IFERROR(INDEX(Reference!$BB$2:$BB$500, MATCH(Builder!G6, Reference!$AZ$2:$AZ$500, 0)), 0)</f>
        <v>26</v>
      </c>
      <c r="E32" s="8" t="n">
        <f aca="false">IFERROR(INDEX(Reference!$BC$2:$BC$500, MATCH(Builder!G6, Reference!$AZ$2:$AZ$500, 0)), 0)</f>
        <v>0</v>
      </c>
      <c r="F32" s="8" t="n">
        <f aca="false">IFERROR(INDEX(Reference!$BD$2:$BD$500, MATCH(Builder!G6, Reference!$AZ$2:$AZ$500, 0)), 0)</f>
        <v>0</v>
      </c>
      <c r="G32" s="8" t="n">
        <f aca="false">IFERROR(INDEX(Reference!$BE$2:$BE$500, MATCH(Builder!G6, Reference!$AZ$2:$AZ$500, 0)), 0)</f>
        <v>0</v>
      </c>
      <c r="H32" s="14" t="s">
        <v>171</v>
      </c>
    </row>
    <row r="33" customFormat="false" ht="77.6" hidden="false" customHeight="false" outlineLevel="0" collapsed="false">
      <c r="A33" s="14" t="s">
        <v>172</v>
      </c>
      <c r="B33" s="23" t="str">
        <f aca="false">Builder!G5</f>
        <v>Cash</v>
      </c>
      <c r="C33" s="8" t="n">
        <f aca="false">IFERROR(INDEX(Reference!$BA$2:$BA$500, MATCH(Builder!G5, Reference!$AZ$2:$AZ$500, 0)), 0)</f>
        <v>26</v>
      </c>
      <c r="D33" s="8" t="n">
        <f aca="false">IFERROR(INDEX(Reference!$BB$2:$BB$500, MATCH(Builder!G5, Reference!$AZ$2:$AZ$500, 0)), 0)</f>
        <v>26</v>
      </c>
      <c r="E33" s="8" t="n">
        <f aca="false">IFERROR(INDEX(Reference!$BC$2:$BC$500, MATCH(Builder!G5, Reference!$AZ$2:$AZ$500, 0)), 0)</f>
        <v>0</v>
      </c>
      <c r="F33" s="8" t="n">
        <f aca="false">IFERROR(INDEX(Reference!$BD$2:$BD$500, MATCH(Builder!G5, Reference!$AZ$2:$AZ$500, 0)), 0)</f>
        <v>0</v>
      </c>
      <c r="G33" s="8" t="n">
        <f aca="false">IFERROR(INDEX(Reference!$BE$2:$BE$500, MATCH(Builder!G5, Reference!$AZ$2:$AZ$500, 0)), 0)</f>
        <v>0</v>
      </c>
      <c r="H33" s="14" t="s">
        <v>173</v>
      </c>
    </row>
    <row r="34" customFormat="false" ht="64.9" hidden="false" customHeight="false" outlineLevel="0" collapsed="false">
      <c r="A34" s="14" t="s">
        <v>174</v>
      </c>
      <c r="B34" s="23" t="str">
        <f aca="false">Builder!G7</f>
        <v>Cash</v>
      </c>
      <c r="C34" s="28" t="n">
        <f aca="false">IFERROR(INDEX(Reference!$BA$2:$BA$500, MATCH(Builder!G7, Reference!$AZ$2:$AZ$500, 0)), 0)</f>
        <v>26</v>
      </c>
      <c r="D34" s="28" t="n">
        <f aca="false">IFERROR(INDEX(Reference!$BB$2:$BB$500, MATCH(Builder!G7, Reference!$AZ$2:$AZ$500, 0)), 0)</f>
        <v>26</v>
      </c>
      <c r="E34" s="28" t="n">
        <f aca="false">IFERROR(INDEX(Reference!$BC$2:$BC$500, MATCH(Builder!G7, Reference!$AZ$2:$AZ$500, 0)), 0)</f>
        <v>0</v>
      </c>
      <c r="F34" s="28" t="n">
        <f aca="false">IFERROR(INDEX(Reference!$BD$2:$BD$500, MATCH(Builder!G7, Reference!$AZ$2:$AZ$500, 0)), 0)</f>
        <v>0</v>
      </c>
      <c r="G34" s="8" t="n">
        <f aca="false">IFERROR(INDEX(Reference!$BE$2:$BE$500, MATCH(Builder!G7, Reference!$AZ$2:$AZ$500, 0)), 0)</f>
        <v>0</v>
      </c>
      <c r="H34" s="14" t="s">
        <v>175</v>
      </c>
    </row>
    <row r="37" customFormat="false" ht="15" hidden="false" customHeight="false" outlineLevel="0" collapsed="false">
      <c r="A37" s="5" t="s">
        <v>141</v>
      </c>
      <c r="B37" s="5"/>
      <c r="C37" s="5"/>
      <c r="D37" s="5"/>
      <c r="E37" s="5"/>
      <c r="F37" s="5"/>
      <c r="G37" s="5"/>
      <c r="H37" s="5"/>
      <c r="I37" s="5"/>
      <c r="J37" s="5"/>
    </row>
    <row r="38" customFormat="false" ht="90.25" hidden="false" customHeight="false" outlineLevel="0" collapsed="false">
      <c r="A38" s="14" t="s">
        <v>176</v>
      </c>
      <c r="B38" s="14"/>
      <c r="C38" s="14"/>
      <c r="D38" s="14"/>
      <c r="E38" s="14"/>
      <c r="F38" s="14"/>
      <c r="G38" s="14"/>
      <c r="H38" s="14"/>
      <c r="I38" s="14"/>
      <c r="J38" s="14"/>
    </row>
    <row r="39" customFormat="false" ht="102.95" hidden="false" customHeight="false" outlineLevel="0" collapsed="false">
      <c r="A39" s="14" t="s">
        <v>177</v>
      </c>
      <c r="B39" s="14"/>
      <c r="C39" s="14"/>
      <c r="D39" s="14"/>
      <c r="E39" s="14"/>
      <c r="F39" s="14"/>
      <c r="G39" s="14"/>
      <c r="H39" s="14"/>
      <c r="I39" s="14"/>
      <c r="J39" s="14"/>
    </row>
    <row r="40" customFormat="false" ht="102.95" hidden="false" customHeight="false" outlineLevel="0" collapsed="false">
      <c r="A40" s="14" t="s">
        <v>178</v>
      </c>
      <c r="B40" s="14"/>
      <c r="C40" s="14"/>
      <c r="D40" s="14"/>
      <c r="E40" s="14"/>
      <c r="F40" s="14"/>
      <c r="G40" s="14"/>
      <c r="H40" s="14"/>
      <c r="I40" s="14"/>
      <c r="J40" s="14"/>
    </row>
    <row r="41" customFormat="false" ht="64.9" hidden="false" customHeight="false" outlineLevel="0" collapsed="false">
      <c r="A41" s="14" t="s">
        <v>179</v>
      </c>
      <c r="B41" s="14"/>
      <c r="C41" s="14"/>
      <c r="D41" s="14"/>
      <c r="E41" s="14"/>
      <c r="F41" s="14"/>
      <c r="G41" s="14"/>
      <c r="H41" s="14"/>
      <c r="I41" s="14"/>
      <c r="J41" s="14"/>
    </row>
    <row r="42" customFormat="false" ht="64.9" hidden="false" customHeight="false" outlineLevel="0" collapsed="false">
      <c r="A42" s="14" t="s">
        <v>180</v>
      </c>
      <c r="B42" s="14"/>
      <c r="C42" s="14"/>
      <c r="D42" s="14"/>
      <c r="E42" s="14"/>
      <c r="F42" s="14"/>
      <c r="G42" s="14"/>
      <c r="H42" s="14"/>
      <c r="I42" s="14"/>
      <c r="J42" s="14"/>
    </row>
    <row r="43" customFormat="false" ht="77.6" hidden="false" customHeight="false" outlineLevel="0" collapsed="false">
      <c r="A43" s="14" t="s">
        <v>181</v>
      </c>
      <c r="B43" s="14"/>
      <c r="C43" s="14"/>
      <c r="D43" s="14"/>
      <c r="E43" s="14"/>
      <c r="F43" s="14"/>
      <c r="G43" s="14"/>
      <c r="H43" s="14"/>
      <c r="I43" s="14"/>
      <c r="J43"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3" min="2" style="0" width="12"/>
    <col collapsed="false" customWidth="true" hidden="false" outlineLevel="0" max="5" min="4" style="0" width="14"/>
    <col collapsed="false" customWidth="true" hidden="false" outlineLevel="0" max="6" min="6" style="0" width="18"/>
    <col collapsed="false" customWidth="true" hidden="false" outlineLevel="0" max="8" min="7" style="0" width="14"/>
  </cols>
  <sheetData>
    <row r="1" customFormat="false" ht="15" hidden="false" customHeight="false" outlineLevel="0" collapsed="false">
      <c r="A1" s="1" t="s">
        <v>182</v>
      </c>
      <c r="B1" s="1"/>
      <c r="C1" s="1"/>
      <c r="D1" s="1"/>
      <c r="E1" s="1"/>
      <c r="F1" s="1"/>
      <c r="G1" s="1"/>
      <c r="H1" s="1"/>
    </row>
    <row r="2" customFormat="false" ht="52.2" hidden="false" customHeight="false" outlineLevel="0" collapsed="false">
      <c r="A2" s="14" t="s">
        <v>183</v>
      </c>
      <c r="B2" s="14"/>
      <c r="C2" s="14"/>
      <c r="D2" s="14"/>
      <c r="E2" s="14"/>
      <c r="F2" s="14"/>
      <c r="G2" s="14"/>
      <c r="H2" s="14"/>
    </row>
    <row r="3" customFormat="false" ht="102.95" hidden="false" customHeight="false" outlineLevel="0" collapsed="false">
      <c r="A3" s="14" t="s">
        <v>184</v>
      </c>
      <c r="B3" s="14"/>
      <c r="C3" s="14"/>
      <c r="D3" s="14"/>
      <c r="E3" s="14"/>
      <c r="F3" s="14"/>
      <c r="G3" s="14"/>
      <c r="H3" s="14"/>
    </row>
    <row r="4" customFormat="false" ht="15" hidden="false" customHeight="false" outlineLevel="0" collapsed="false">
      <c r="A4" s="29" t="s">
        <v>185</v>
      </c>
      <c r="B4" s="29" t="s">
        <v>29</v>
      </c>
      <c r="C4" s="29" t="s">
        <v>30</v>
      </c>
      <c r="D4" s="29" t="s">
        <v>31</v>
      </c>
    </row>
    <row r="5" customFormat="false" ht="15" hidden="false" customHeight="false" outlineLevel="0" collapsed="false">
      <c r="A5" s="16"/>
      <c r="B5" s="17" t="n">
        <f aca="false">IFERROR(INDEX(Reference!$CD$2:$CD$500, MATCH(Builder!G5, Reference!$AZ$2:$AZ$500, 0)), 0)</f>
        <v>66040.54</v>
      </c>
      <c r="C5" s="17" t="n">
        <f aca="false">IFERROR(INDEX(Reference!$CE$2:$CE$500, MATCH(Builder!G5, Reference!$AZ$2:$AZ$500, 0)), 0)</f>
        <v>72382.9</v>
      </c>
      <c r="D5" s="17" t="n">
        <f aca="false">IFERROR(INDEX(Reference!$CF$2:$CF$500, MATCH(Builder!G5, Reference!$AZ$2:$AZ$500, 0)), 0)</f>
        <v>107563.63</v>
      </c>
    </row>
    <row r="6" customFormat="false" ht="15" hidden="false" customHeight="false" outlineLevel="0" collapsed="false">
      <c r="A6" s="29" t="s">
        <v>186</v>
      </c>
      <c r="B6" s="30" t="s">
        <v>187</v>
      </c>
      <c r="C6" s="31" t="n">
        <f aca="false">IF(COUNTIF(H8:H17,"Include")=0,C5,IF(IFERROR(SUMIF(H8:H17,"Include",F8:F17)/SUM(F8:F17),0)&lt;=0.3,B5,IF(IFERROR(SUMIF(H8:H17,"Include",F8:F17)/SUM(F8:F17),0)&lt;=0.5,C5,D5)))</f>
        <v>72382.9</v>
      </c>
      <c r="D6" s="31"/>
    </row>
    <row r="7" customFormat="false" ht="26.85" hidden="false" customHeight="false" outlineLevel="0" collapsed="false">
      <c r="A7" s="32" t="s">
        <v>188</v>
      </c>
      <c r="B7" s="32" t="s">
        <v>189</v>
      </c>
      <c r="C7" s="32" t="s">
        <v>190</v>
      </c>
      <c r="D7" s="32" t="s">
        <v>191</v>
      </c>
      <c r="E7" s="32" t="s">
        <v>192</v>
      </c>
      <c r="F7" s="32" t="s">
        <v>193</v>
      </c>
      <c r="G7" s="32" t="s">
        <v>194</v>
      </c>
      <c r="H7" s="32" t="s">
        <v>165</v>
      </c>
    </row>
    <row r="8" customFormat="false" ht="26.85" hidden="false" customHeight="false" outlineLevel="0" collapsed="false">
      <c r="A8" s="14" t="s">
        <v>195</v>
      </c>
      <c r="B8" s="33" t="n">
        <f aca="false">IFERROR(INDEX(Reference!$DO$2:$DO$6000, MATCH(Builder!G5&amp;"|"&amp;A8, Reference!$DR$2:$DR$6000, 0)), 2)</f>
        <v>2</v>
      </c>
      <c r="C8" s="33" t="n">
        <f aca="false">IF(B8&gt;0,D8/B8,0)</f>
        <v>26625</v>
      </c>
      <c r="D8" s="33" t="n">
        <f aca="false">IFERROR(INDEX(Reference!$DP$2:$DP$6000, MATCH(Builder!G5&amp;"|"&amp;A8, Reference!$DR$2:$DR$6000, 0)), 53250)</f>
        <v>53250</v>
      </c>
      <c r="E8" s="33" t="n">
        <f aca="false">IFERROR(INDEX(Reference!$DL$2:$DL$6000, MATCH(Builder!G5&amp;"|"&amp;A8, Reference!$DR$2:$DR$6000, 0)), 38.46)</f>
        <v>38.46</v>
      </c>
      <c r="F8" s="33" t="n">
        <f aca="false">E8*B8*C8/100</f>
        <v>20479.95</v>
      </c>
      <c r="G8" s="34" t="n">
        <f aca="false">F8/SUM($F$8:$F$17)</f>
        <v>0.35976206950123</v>
      </c>
      <c r="H8" s="35" t="s">
        <v>196</v>
      </c>
    </row>
    <row r="9" customFormat="false" ht="15" hidden="false" customHeight="false" outlineLevel="0" collapsed="false">
      <c r="A9" s="14" t="s">
        <v>197</v>
      </c>
      <c r="B9" s="33" t="n">
        <f aca="false">IFERROR(INDEX(Reference!$DO$2:$DO$6000, MATCH(Builder!G5&amp;"|"&amp;A9, Reference!$DR$2:$DR$6000, 0)), 1)</f>
        <v>1</v>
      </c>
      <c r="C9" s="33" t="n">
        <f aca="false">IF(B9&gt;0,D9/B9,0)</f>
        <v>21618.59</v>
      </c>
      <c r="D9" s="33" t="n">
        <f aca="false">IFERROR(INDEX(Reference!$DP$2:$DP$6000, MATCH(Builder!G5&amp;"|"&amp;A9, Reference!$DR$2:$DR$6000, 0)), 21618.59)</f>
        <v>21618.59</v>
      </c>
      <c r="E9" s="33" t="n">
        <f aca="false">IFERROR(INDEX(Reference!$DL$2:$DL$6000, MATCH(Builder!G5&amp;"|"&amp;A9, Reference!$DR$2:$DR$6000, 0)), 61.54)</f>
        <v>61.54</v>
      </c>
      <c r="F9" s="33" t="n">
        <f aca="false">E9*B9*C9/100</f>
        <v>13304.080286</v>
      </c>
      <c r="G9" s="34" t="n">
        <f aca="false">G8+F9/SUM($F$8:$F$17)</f>
        <v>0.593468863536463</v>
      </c>
      <c r="H9" s="35" t="s">
        <v>196</v>
      </c>
    </row>
    <row r="10" customFormat="false" ht="15" hidden="false" customHeight="false" outlineLevel="0" collapsed="false">
      <c r="A10" s="14" t="s">
        <v>198</v>
      </c>
      <c r="B10" s="33" t="n">
        <f aca="false">IFERROR(INDEX(Reference!$DO$2:$DO$6000, MATCH(Builder!G5&amp;"|"&amp;A10, Reference!$DR$2:$DR$6000, 0)), 1)</f>
        <v>1</v>
      </c>
      <c r="C10" s="33" t="n">
        <f aca="false">IF(B10&gt;0,D10/B10,0)</f>
        <v>28040</v>
      </c>
      <c r="D10" s="33" t="n">
        <f aca="false">IFERROR(INDEX(Reference!$DP$2:$DP$6000, MATCH(Builder!G5&amp;"|"&amp;A10, Reference!$DR$2:$DR$6000, 0)), 28040)</f>
        <v>28040</v>
      </c>
      <c r="E10" s="33" t="n">
        <f aca="false">IFERROR(INDEX(Reference!$DL$2:$DL$6000, MATCH(Builder!G5&amp;"|"&amp;A10, Reference!$DR$2:$DR$6000, 0)), 23.08)</f>
        <v>23.08</v>
      </c>
      <c r="F10" s="33" t="n">
        <f aca="false">E10*B10*C10/100</f>
        <v>6471.632</v>
      </c>
      <c r="G10" s="34" t="n">
        <f aca="false">G9+F10/SUM($F$8:$F$17)</f>
        <v>0.707153111855936</v>
      </c>
      <c r="H10" s="35" t="s">
        <v>196</v>
      </c>
    </row>
    <row r="11" customFormat="false" ht="15" hidden="false" customHeight="false" outlineLevel="0" collapsed="false">
      <c r="A11" s="14" t="s">
        <v>199</v>
      </c>
      <c r="B11" s="33" t="n">
        <f aca="false">IFERROR(INDEX(Reference!$DO$2:$DO$6000, MATCH(Builder!G5&amp;"|"&amp;A11, Reference!$DR$2:$DR$6000, 0)), 1)</f>
        <v>1</v>
      </c>
      <c r="C11" s="33" t="n">
        <f aca="false">IF(B11&gt;0,D11/B11,0)</f>
        <v>28040</v>
      </c>
      <c r="D11" s="33" t="n">
        <f aca="false">IFERROR(INDEX(Reference!$DP$2:$DP$6000, MATCH(Builder!G5&amp;"|"&amp;A11, Reference!$DR$2:$DR$6000, 0)), 28040)</f>
        <v>28040</v>
      </c>
      <c r="E11" s="33" t="n">
        <f aca="false">IFERROR(INDEX(Reference!$DL$2:$DL$6000, MATCH(Builder!G5&amp;"|"&amp;A11, Reference!$DR$2:$DR$6000, 0)), 15.38)</f>
        <v>15.38</v>
      </c>
      <c r="F11" s="33" t="n">
        <f aca="false">E11*B11*C11/100</f>
        <v>4312.552</v>
      </c>
      <c r="G11" s="34" t="n">
        <f aca="false">G10+F11/SUM($F$8:$F$17)</f>
        <v>0.782909772997768</v>
      </c>
      <c r="H11" s="35" t="s">
        <v>196</v>
      </c>
    </row>
    <row r="12" customFormat="false" ht="26.85" hidden="false" customHeight="false" outlineLevel="0" collapsed="false">
      <c r="A12" s="14" t="s">
        <v>200</v>
      </c>
      <c r="B12" s="33" t="n">
        <f aca="false">IFERROR(INDEX(Reference!$DO$2:$DO$6000, MATCH(Builder!G5&amp;"|"&amp;A12, Reference!$DR$2:$DR$6000, 0)), 1)</f>
        <v>1</v>
      </c>
      <c r="C12" s="33" t="n">
        <f aca="false">IF(B12&gt;0,D12/B12,0)</f>
        <v>30093</v>
      </c>
      <c r="D12" s="33" t="n">
        <f aca="false">IFERROR(INDEX(Reference!$DP$2:$DP$6000, MATCH(Builder!G5&amp;"|"&amp;A12, Reference!$DR$2:$DR$6000, 0)), 30093)</f>
        <v>30093</v>
      </c>
      <c r="E12" s="33" t="n">
        <f aca="false">IFERROR(INDEX(Reference!$DL$2:$DL$6000, MATCH(Builder!G5&amp;"|"&amp;A12, Reference!$DR$2:$DR$6000, 0)), 11.54)</f>
        <v>11.54</v>
      </c>
      <c r="F12" s="33" t="n">
        <f aca="false">E12*B12*C12/100</f>
        <v>3472.7322</v>
      </c>
      <c r="G12" s="34" t="n">
        <f aca="false">G11+F12/SUM($F$8:$F$17)</f>
        <v>0.843913697474906</v>
      </c>
      <c r="H12" s="35" t="s">
        <v>196</v>
      </c>
    </row>
    <row r="13" customFormat="false" ht="26.85" hidden="false" customHeight="false" outlineLevel="0" collapsed="false">
      <c r="A13" s="14" t="s">
        <v>201</v>
      </c>
      <c r="B13" s="33" t="n">
        <f aca="false">IFERROR(INDEX(Reference!$DO$2:$DO$6000, MATCH(Builder!G5&amp;"|"&amp;A13, Reference!$DR$2:$DR$6000, 0)), 3)</f>
        <v>3</v>
      </c>
      <c r="C13" s="33" t="n">
        <f aca="false">IF(B13&gt;0,D13/B13,0)</f>
        <v>3526</v>
      </c>
      <c r="D13" s="33" t="n">
        <f aca="false">IFERROR(INDEX(Reference!$DP$2:$DP$6000, MATCH(Builder!G5&amp;"|"&amp;A13, Reference!$DR$2:$DR$6000, 0)), 10578)</f>
        <v>10578</v>
      </c>
      <c r="E13" s="33" t="n">
        <f aca="false">IFERROR(INDEX(Reference!$DL$2:$DL$6000, MATCH(Builder!G5&amp;"|"&amp;A13, Reference!$DR$2:$DR$6000, 0)), 26.92)</f>
        <v>26.92</v>
      </c>
      <c r="F13" s="33" t="n">
        <f aca="false">E13*B13*C13/100</f>
        <v>2847.5976</v>
      </c>
      <c r="G13" s="34" t="n">
        <f aca="false">G12+F13/SUM($F$8:$F$17)</f>
        <v>0.893936163627545</v>
      </c>
      <c r="H13" s="35" t="s">
        <v>196</v>
      </c>
    </row>
    <row r="14" customFormat="false" ht="15" hidden="false" customHeight="false" outlineLevel="0" collapsed="false">
      <c r="A14" s="14" t="s">
        <v>202</v>
      </c>
      <c r="B14" s="33" t="n">
        <f aca="false">IFERROR(INDEX(Reference!$DO$2:$DO$6000, MATCH(Builder!G5&amp;"|"&amp;A14, Reference!$DR$2:$DR$6000, 0)), 1)</f>
        <v>1</v>
      </c>
      <c r="C14" s="33" t="n">
        <f aca="false">IF(B14&gt;0,D14/B14,0)</f>
        <v>3760</v>
      </c>
      <c r="D14" s="33" t="n">
        <f aca="false">IFERROR(INDEX(Reference!$DP$2:$DP$6000, MATCH(Builder!G5&amp;"|"&amp;A14, Reference!$DR$2:$DR$6000, 0)), 3760)</f>
        <v>3760</v>
      </c>
      <c r="E14" s="33" t="n">
        <f aca="false">IFERROR(INDEX(Reference!$DL$2:$DL$6000, MATCH(Builder!G5&amp;"|"&amp;A14, Reference!$DR$2:$DR$6000, 0)), 61.54)</f>
        <v>61.54</v>
      </c>
      <c r="F14" s="33" t="n">
        <f aca="false">E14*B14*C14/100</f>
        <v>2313.904</v>
      </c>
      <c r="G14" s="34" t="n">
        <f aca="false">G13+F14/SUM($F$8:$F$17)</f>
        <v>0.93458347437133</v>
      </c>
      <c r="H14" s="35" t="s">
        <v>196</v>
      </c>
    </row>
    <row r="15" customFormat="false" ht="15" hidden="false" customHeight="false" outlineLevel="0" collapsed="false">
      <c r="A15" s="14" t="s">
        <v>203</v>
      </c>
      <c r="B15" s="33" t="n">
        <f aca="false">IFERROR(INDEX(Reference!$DO$2:$DO$6000, MATCH(Builder!G5&amp;"|"&amp;A15, Reference!$DR$2:$DR$6000, 0)), 3)</f>
        <v>3</v>
      </c>
      <c r="C15" s="33" t="n">
        <f aca="false">IF(B15&gt;0,D15/B15,0)</f>
        <v>3333.33</v>
      </c>
      <c r="D15" s="33" t="n">
        <f aca="false">IFERROR(INDEX(Reference!$DP$2:$DP$6000, MATCH(Builder!G5&amp;"|"&amp;A15, Reference!$DR$2:$DR$6000, 0)), 9999.99)</f>
        <v>9999.99</v>
      </c>
      <c r="E15" s="33" t="n">
        <f aca="false">IFERROR(INDEX(Reference!$DL$2:$DL$6000, MATCH(Builder!G5&amp;"|"&amp;A15, Reference!$DR$2:$DR$6000, 0)), 15.38)</f>
        <v>15.38</v>
      </c>
      <c r="F15" s="33" t="n">
        <f aca="false">E15*B15*C15/100</f>
        <v>1537.998462</v>
      </c>
      <c r="G15" s="34" t="n">
        <f aca="false">G14+F15/SUM($F$8:$F$17)</f>
        <v>0.961600801541505</v>
      </c>
      <c r="H15" s="35" t="s">
        <v>196</v>
      </c>
    </row>
    <row r="16" customFormat="false" ht="15" hidden="false" customHeight="false" outlineLevel="0" collapsed="false">
      <c r="A16" s="14" t="s">
        <v>204</v>
      </c>
      <c r="B16" s="33" t="n">
        <f aca="false">IFERROR(INDEX(Reference!$DO$2:$DO$6000, MATCH(Builder!G5&amp;"|"&amp;A16, Reference!$DR$2:$DR$6000, 0)), 1)</f>
        <v>1</v>
      </c>
      <c r="C16" s="33" t="n">
        <f aca="false">IF(B16&gt;0,D16/B16,0)</f>
        <v>4218.6</v>
      </c>
      <c r="D16" s="33" t="n">
        <f aca="false">IFERROR(INDEX(Reference!$DP$2:$DP$6000, MATCH(Builder!G5&amp;"|"&amp;A16, Reference!$DR$2:$DR$6000, 0)), 4218.6)</f>
        <v>4218.6</v>
      </c>
      <c r="E16" s="33" t="n">
        <f aca="false">IFERROR(INDEX(Reference!$DL$2:$DL$6000, MATCH(Builder!G5&amp;"|"&amp;A16, Reference!$DR$2:$DR$6000, 0)), 26.92)</f>
        <v>26.92</v>
      </c>
      <c r="F16" s="33" t="n">
        <f aca="false">E16*B16*C16/100</f>
        <v>1135.64712</v>
      </c>
      <c r="G16" s="34" t="n">
        <f aca="false">G15+F16/SUM($F$8:$F$17)</f>
        <v>0.98155020366965</v>
      </c>
      <c r="H16" s="35" t="s">
        <v>196</v>
      </c>
    </row>
    <row r="17" customFormat="false" ht="26.85" hidden="false" customHeight="false" outlineLevel="0" collapsed="false">
      <c r="A17" s="14" t="s">
        <v>205</v>
      </c>
      <c r="B17" s="33" t="n">
        <f aca="false">IFERROR(INDEX(Reference!$DO$2:$DO$6000, MATCH(Builder!G5&amp;"|"&amp;A17, Reference!$DR$2:$DR$6000, 0)), 1)</f>
        <v>1</v>
      </c>
      <c r="C17" s="33" t="n">
        <f aca="false">IF(B17&gt;0,D17/B17,0)</f>
        <v>27280</v>
      </c>
      <c r="D17" s="33" t="n">
        <f aca="false">IFERROR(INDEX(Reference!$DP$2:$DP$6000, MATCH(Builder!G5&amp;"|"&amp;A17, Reference!$DR$2:$DR$6000, 0)), 27280)</f>
        <v>27280</v>
      </c>
      <c r="E17" s="33" t="n">
        <f aca="false">IFERROR(INDEX(Reference!$DL$2:$DL$6000, MATCH(Builder!G5&amp;"|"&amp;A17, Reference!$DR$2:$DR$6000, 0)), 3.85)</f>
        <v>3.85</v>
      </c>
      <c r="F17" s="33" t="n">
        <f aca="false">E17*B17*C17/100</f>
        <v>1050.28</v>
      </c>
      <c r="G17" s="34" t="n">
        <f aca="false">G16+F17/SUM($F$8:$F$17)</f>
        <v>1</v>
      </c>
      <c r="H17" s="35" t="s">
        <v>196</v>
      </c>
    </row>
  </sheetData>
  <dataValidations count="1">
    <dataValidation allowBlank="false" errorStyle="stop" operator="between" showDropDown="false" showErrorMessage="false" showInputMessage="false" sqref="H8:H17" type="list">
      <formula1>"Include,Exclude"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6" min="3" style="0" width="12"/>
    <col collapsed="false" customWidth="true" hidden="false" outlineLevel="0" max="8" min="7" style="0" width="14"/>
    <col collapsed="false" customWidth="true" hidden="false" outlineLevel="0" max="9" min="9" style="0" width="12"/>
    <col collapsed="false" customWidth="true" hidden="false" outlineLevel="0" max="12" min="10" style="0" width="14"/>
    <col collapsed="false" customWidth="true" hidden="true" outlineLevel="0" max="13" min="13" style="0" width="14"/>
    <col collapsed="false" customWidth="true" hidden="false" outlineLevel="0" max="15" min="15" style="0" width="28"/>
    <col collapsed="false" customWidth="true" hidden="false" outlineLevel="0" max="16" min="16" style="0" width="16"/>
  </cols>
  <sheetData>
    <row r="1" customFormat="false" ht="15" hidden="false" customHeight="false" outlineLevel="0" collapsed="false">
      <c r="A1" s="1" t="s">
        <v>206</v>
      </c>
      <c r="B1" s="1"/>
      <c r="C1" s="1"/>
      <c r="D1" s="1"/>
      <c r="E1" s="1"/>
      <c r="F1" s="1"/>
      <c r="G1" s="1"/>
      <c r="H1" s="1"/>
      <c r="I1" s="1"/>
      <c r="J1" s="1"/>
      <c r="K1" s="1"/>
      <c r="L1" s="1"/>
      <c r="M1" s="1"/>
    </row>
    <row r="2" customFormat="false" ht="77.6" hidden="false" customHeight="false" outlineLevel="0" collapsed="false">
      <c r="A2" s="14" t="s">
        <v>207</v>
      </c>
      <c r="B2" s="14"/>
      <c r="C2" s="14"/>
      <c r="D2" s="14"/>
      <c r="E2" s="14"/>
      <c r="F2" s="14"/>
      <c r="G2" s="14"/>
      <c r="H2" s="14"/>
      <c r="I2" s="14"/>
      <c r="J2" s="14"/>
      <c r="K2" s="14"/>
      <c r="L2" s="14"/>
      <c r="M2" s="14"/>
    </row>
    <row r="4" customFormat="false" ht="15" hidden="false" customHeight="false" outlineLevel="0" collapsed="false">
      <c r="A4" s="18" t="s">
        <v>102</v>
      </c>
      <c r="B4" s="18" t="s">
        <v>60</v>
      </c>
      <c r="C4" s="18" t="s">
        <v>15</v>
      </c>
      <c r="D4" s="18" t="s">
        <v>61</v>
      </c>
      <c r="O4" s="5" t="s">
        <v>208</v>
      </c>
      <c r="P4" s="5"/>
    </row>
    <row r="5" customFormat="false" ht="15" hidden="false" customHeight="false" outlineLevel="0" collapsed="false">
      <c r="A5" s="16"/>
      <c r="B5" s="16" t="n">
        <f aca="false">SUMIF(I7:I33,"Include",J7:J33)</f>
        <v>0</v>
      </c>
      <c r="C5" s="16" t="n">
        <f aca="false">SUMIF(I7:I33,"Include",K7:K33)</f>
        <v>0</v>
      </c>
      <c r="D5" s="16" t="n">
        <f aca="false">SUMIF(I7:I33,"Include",L7:L33)</f>
        <v>0</v>
      </c>
      <c r="O5" s="36" t="s">
        <v>115</v>
      </c>
      <c r="P5" s="2" t="n">
        <f aca="false">IFERROR(INDEX(Reference!$BR$2:$BR$500, MATCH(Builder!G6, Reference!$AZ$2:$AZ$500, 0)), 0)</f>
        <v>36.25</v>
      </c>
    </row>
    <row r="6" customFormat="false" ht="26.85" hidden="false" customHeight="false" outlineLevel="0" collapsed="false">
      <c r="A6" s="37" t="s">
        <v>209</v>
      </c>
      <c r="B6" s="37" t="s">
        <v>210</v>
      </c>
      <c r="C6" s="37" t="s">
        <v>192</v>
      </c>
      <c r="D6" s="37" t="s">
        <v>211</v>
      </c>
      <c r="E6" s="37" t="s">
        <v>212</v>
      </c>
      <c r="F6" s="37" t="s">
        <v>213</v>
      </c>
      <c r="G6" s="37" t="s">
        <v>214</v>
      </c>
      <c r="H6" s="37" t="s">
        <v>215</v>
      </c>
      <c r="I6" s="37" t="s">
        <v>165</v>
      </c>
      <c r="J6" s="37" t="s">
        <v>216</v>
      </c>
      <c r="K6" s="37" t="s">
        <v>217</v>
      </c>
      <c r="L6" s="37" t="s">
        <v>218</v>
      </c>
      <c r="M6" s="37" t="s">
        <v>219</v>
      </c>
      <c r="O6" s="36" t="s">
        <v>118</v>
      </c>
      <c r="P6" s="2" t="n">
        <f aca="false">IFERROR(INDEX(Reference!$BS$2:$BS$500, MATCH(Builder!G6, Reference!$AZ$2:$AZ$500, 0)), 0)</f>
        <v>39</v>
      </c>
    </row>
    <row r="7" customFormat="false" ht="15" hidden="false" customHeight="false" outlineLevel="0" collapsed="false">
      <c r="A7" s="14" t="s">
        <v>220</v>
      </c>
      <c r="B7" s="14" t="s">
        <v>221</v>
      </c>
      <c r="C7" s="33" t="n">
        <f aca="false">IFERROR(INDEX(Reference!$CW$2:$CW$4000, MATCH(Builder!G6&amp;"|"&amp;M7, Reference!$CQ$2:$CQ$4000, 0)), 61.54)</f>
        <v>61.54</v>
      </c>
      <c r="D7" s="33" t="n">
        <f aca="false">IFERROR(INDEX(Reference!$CX$2:$CX$4000, MATCH(Builder!G6&amp;"|"&amp;M7, Reference!$CQ$2:$CQ$4000, 0)), 1.75)</f>
        <v>1.75</v>
      </c>
      <c r="E7" s="33" t="n">
        <f aca="false">IFERROR(INDEX(Reference!$CY$2:$CY$4000, MATCH(Builder!G6&amp;"|"&amp;M7, Reference!$CQ$2:$CQ$4000, 0)), 2)</f>
        <v>2</v>
      </c>
      <c r="F7" s="33" t="n">
        <f aca="false">IFERROR(INDEX(Reference!$CZ$2:$CZ$4000, MATCH(Builder!G6&amp;"|"&amp;M7, Reference!$CQ$2:$CQ$4000, 0)), 2)</f>
        <v>2</v>
      </c>
      <c r="G7" s="33" t="n">
        <f aca="false">IF(Builder!B4="General",0+IFERROR(INDEX(Reference!$EG$2:$EG$8000, MATCH(Builder!E5&amp;"|"&amp;M7, Reference!$EB$2:$EB$8000, 0)), 0),IF(Builder!B4="Twin",0+IFERROR(INDEX(Reference!$EH$2:$EH$8000, MATCH(Builder!E5&amp;"|"&amp;M7, Reference!$EB$2:$EB$8000, 0)), 0),0+IFERROR(INDEX(Reference!$EI$2:$EI$8000, MATCH(Builder!E5&amp;"|"&amp;M7, Reference!$EB$2:$EB$8000, 0)), 0)))</f>
        <v>2900</v>
      </c>
      <c r="H7" s="38" t="n">
        <f aca="false">IF(AND(Builder!E2="Insurance / Org Tariff",IFERROR(INDEX(Reference!$EZ$2:$EZ$1000, MATCH(M7, Reference!$EX$2:$EX$1000, 0)), "No")="Yes"),0,E7*G7)</f>
        <v>5800</v>
      </c>
      <c r="I7" s="39" t="s">
        <v>196</v>
      </c>
      <c r="J7" s="40" t="n">
        <f aca="false">IF(AND(Builder!E2="Insurance / Org Tariff",IFERROR(INDEX(Reference!$EZ$2:$EZ$1000, MATCH(M7, Reference!$EX$2:$EX$1000, 0)), "No")="Yes"),0,D7*G7)</f>
        <v>5075</v>
      </c>
      <c r="K7" s="38" t="n">
        <f aca="false">IF(AND(Builder!E2="Insurance / Org Tariff",IFERROR(INDEX(Reference!$EZ$2:$EZ$1000, MATCH(M7, Reference!$EX$2:$EX$1000, 0)), "No")="Yes"),0,E7*G7)</f>
        <v>5800</v>
      </c>
      <c r="L7" s="40" t="n">
        <f aca="false">IF(AND(Builder!E2="Insurance / Org Tariff",IFERROR(INDEX(Reference!$EZ$2:$EZ$1000, MATCH(M7, Reference!$EX$2:$EX$1000, 0)), "No")="Yes"),0,F7*G7)</f>
        <v>5800</v>
      </c>
      <c r="M7" s="41" t="s">
        <v>222</v>
      </c>
      <c r="O7" s="36" t="s">
        <v>122</v>
      </c>
      <c r="P7" s="2" t="n">
        <f aca="false">IFERROR(INDEX(Reference!$BT$2:$BT$500, MATCH(Builder!G6, Reference!$AZ$2:$AZ$500, 0)), 0)</f>
        <v>41</v>
      </c>
    </row>
    <row r="8" customFormat="false" ht="15" hidden="false" customHeight="false" outlineLevel="0" collapsed="false">
      <c r="A8" s="14" t="s">
        <v>223</v>
      </c>
      <c r="B8" s="14" t="s">
        <v>224</v>
      </c>
      <c r="C8" s="33" t="n">
        <f aca="false">IFERROR(INDEX(Reference!$CW$2:$CW$4000, MATCH(Builder!G6&amp;"|"&amp;M8, Reference!$CQ$2:$CQ$4000, 0)), 38.46)</f>
        <v>38.46</v>
      </c>
      <c r="D8" s="33" t="n">
        <f aca="false">IFERROR(INDEX(Reference!$CX$2:$CX$4000, MATCH(Builder!G6&amp;"|"&amp;M8, Reference!$CQ$2:$CQ$4000, 0)), 1)</f>
        <v>1</v>
      </c>
      <c r="E8" s="33" t="n">
        <f aca="false">IFERROR(INDEX(Reference!$CY$2:$CY$4000, MATCH(Builder!G6&amp;"|"&amp;M8, Reference!$CQ$2:$CQ$4000, 0)), 1)</f>
        <v>1</v>
      </c>
      <c r="F8" s="33" t="n">
        <f aca="false">IFERROR(INDEX(Reference!$CZ$2:$CZ$4000, MATCH(Builder!G6&amp;"|"&amp;M8, Reference!$CQ$2:$CQ$4000, 0)), 2.75)</f>
        <v>2.75</v>
      </c>
      <c r="G8" s="33" t="n">
        <f aca="false">IF(Builder!B4="General",0+IFERROR(INDEX(Reference!$EG$2:$EG$8000, MATCH(Builder!E5&amp;"|"&amp;M8, Reference!$EB$2:$EB$8000, 0)), 0),IF(Builder!B4="Twin",0+IFERROR(INDEX(Reference!$EH$2:$EH$8000, MATCH(Builder!E5&amp;"|"&amp;M8, Reference!$EB$2:$EB$8000, 0)), 0),0+IFERROR(INDEX(Reference!$EI$2:$EI$8000, MATCH(Builder!E5&amp;"|"&amp;M8, Reference!$EB$2:$EB$8000, 0)), 0)))</f>
        <v>3260</v>
      </c>
      <c r="H8" s="38" t="n">
        <f aca="false">IF(AND(Builder!E2="Insurance / Org Tariff",IFERROR(INDEX(Reference!$EZ$2:$EZ$1000, MATCH(M8, Reference!$EX$2:$EX$1000, 0)), "No")="Yes"),0,E8*G8)</f>
        <v>3260</v>
      </c>
      <c r="I8" s="39" t="s">
        <v>196</v>
      </c>
      <c r="J8" s="40" t="n">
        <f aca="false">IF(AND(Builder!E2="Insurance / Org Tariff",IFERROR(INDEX(Reference!$EZ$2:$EZ$1000, MATCH(M8, Reference!$EX$2:$EX$1000, 0)), "No")="Yes"),0,D8*G8)</f>
        <v>3260</v>
      </c>
      <c r="K8" s="38" t="n">
        <f aca="false">IF(AND(Builder!E2="Insurance / Org Tariff",IFERROR(INDEX(Reference!$EZ$2:$EZ$1000, MATCH(M8, Reference!$EX$2:$EX$1000, 0)), "No")="Yes"),0,E8*G8)</f>
        <v>3260</v>
      </c>
      <c r="L8" s="40" t="n">
        <f aca="false">IF(AND(Builder!E2="Insurance / Org Tariff",IFERROR(INDEX(Reference!$EZ$2:$EZ$1000, MATCH(M8, Reference!$EX$2:$EX$1000, 0)), "No")="Yes"),0,F8*G8)</f>
        <v>8965</v>
      </c>
      <c r="M8" s="41" t="s">
        <v>225</v>
      </c>
      <c r="O8" s="36" t="s">
        <v>226</v>
      </c>
      <c r="P8" s="2" t="n">
        <f aca="false">36 + IF(Builder!B8="Yes",1,0)</f>
        <v>37</v>
      </c>
    </row>
    <row r="9" customFormat="false" ht="15" hidden="false" customHeight="false" outlineLevel="0" collapsed="false">
      <c r="A9" s="14" t="s">
        <v>227</v>
      </c>
      <c r="B9" s="14" t="s">
        <v>228</v>
      </c>
      <c r="C9" s="33" t="n">
        <f aca="false">IFERROR(INDEX(Reference!$CW$2:$CW$4000, MATCH(Builder!G6&amp;"|"&amp;M9, Reference!$CQ$2:$CQ$4000, 0)), 57.69)</f>
        <v>57.69</v>
      </c>
      <c r="D9" s="33" t="n">
        <f aca="false">IFERROR(INDEX(Reference!$CX$2:$CX$4000, MATCH(Builder!G6&amp;"|"&amp;M9, Reference!$CQ$2:$CQ$4000, 0)), 5)</f>
        <v>5</v>
      </c>
      <c r="E9" s="33" t="n">
        <f aca="false">IFERROR(INDEX(Reference!$CY$2:$CY$4000, MATCH(Builder!G6&amp;"|"&amp;M9, Reference!$CQ$2:$CQ$4000, 0)), 5)</f>
        <v>5</v>
      </c>
      <c r="F9" s="33" t="n">
        <f aca="false">IFERROR(INDEX(Reference!$CZ$2:$CZ$4000, MATCH(Builder!G6&amp;"|"&amp;M9, Reference!$CQ$2:$CQ$4000, 0)), 7)</f>
        <v>7</v>
      </c>
      <c r="G9" s="33" t="n">
        <f aca="false">IF(Builder!B4="General",0+IFERROR(INDEX(Reference!$EG$2:$EG$8000, MATCH(Builder!E5&amp;"|"&amp;M9, Reference!$EB$2:$EB$8000, 0)), 0),IF(Builder!B4="Twin",0+IFERROR(INDEX(Reference!$EH$2:$EH$8000, MATCH(Builder!E5&amp;"|"&amp;M9, Reference!$EB$2:$EB$8000, 0)), 0),0+IFERROR(INDEX(Reference!$EI$2:$EI$8000, MATCH(Builder!E5&amp;"|"&amp;M9, Reference!$EB$2:$EB$8000, 0)), 0)))</f>
        <v>330</v>
      </c>
      <c r="H9" s="38" t="n">
        <f aca="false">IF(AND(Builder!E2="Insurance / Org Tariff",IFERROR(INDEX(Reference!$EZ$2:$EZ$1000, MATCH(M9, Reference!$EX$2:$EX$1000, 0)), "No")="Yes"),0,E9*G9)</f>
        <v>1650</v>
      </c>
      <c r="I9" s="39" t="s">
        <v>196</v>
      </c>
      <c r="J9" s="40" t="n">
        <f aca="false">IF(AND(Builder!E2="Insurance / Org Tariff",IFERROR(INDEX(Reference!$EZ$2:$EZ$1000, MATCH(M9, Reference!$EX$2:$EX$1000, 0)), "No")="Yes"),0,D9*G9)</f>
        <v>1650</v>
      </c>
      <c r="K9" s="38" t="n">
        <f aca="false">IF(AND(Builder!E2="Insurance / Org Tariff",IFERROR(INDEX(Reference!$EZ$2:$EZ$1000, MATCH(M9, Reference!$EX$2:$EX$1000, 0)), "No")="Yes"),0,E9*G9)</f>
        <v>1650</v>
      </c>
      <c r="L9" s="40" t="n">
        <f aca="false">IF(AND(Builder!E2="Insurance / Org Tariff",IFERROR(INDEX(Reference!$EZ$2:$EZ$1000, MATCH(M9, Reference!$EX$2:$EX$1000, 0)), "No")="Yes"),0,F9*G9)</f>
        <v>2310</v>
      </c>
      <c r="M9" s="41" t="s">
        <v>229</v>
      </c>
      <c r="O9" s="36" t="s">
        <v>230</v>
      </c>
      <c r="P9" s="2" t="n">
        <f aca="false">COUNTIF(I7:I33,"Include")</f>
        <v>0</v>
      </c>
    </row>
    <row r="10" customFormat="false" ht="26.85" hidden="false" customHeight="false" outlineLevel="0" collapsed="false">
      <c r="A10" s="14" t="s">
        <v>231</v>
      </c>
      <c r="B10" s="14" t="s">
        <v>232</v>
      </c>
      <c r="C10" s="33" t="n">
        <f aca="false">IFERROR(INDEX(Reference!$CW$2:$CW$4000, MATCH(Builder!G6&amp;"|"&amp;M10, Reference!$CQ$2:$CQ$4000, 0)), 53.85)</f>
        <v>53.85</v>
      </c>
      <c r="D10" s="33" t="n">
        <f aca="false">IFERROR(INDEX(Reference!$CX$2:$CX$4000, MATCH(Builder!G6&amp;"|"&amp;M10, Reference!$CQ$2:$CQ$4000, 0)), 1)</f>
        <v>1</v>
      </c>
      <c r="E10" s="33" t="n">
        <f aca="false">IFERROR(INDEX(Reference!$CY$2:$CY$4000, MATCH(Builder!G6&amp;"|"&amp;M10, Reference!$CQ$2:$CQ$4000, 0)), 1)</f>
        <v>1</v>
      </c>
      <c r="F10" s="33" t="n">
        <f aca="false">IFERROR(INDEX(Reference!$CZ$2:$CZ$4000, MATCH(Builder!G6&amp;"|"&amp;M10, Reference!$CQ$2:$CQ$4000, 0)), 1)</f>
        <v>1</v>
      </c>
      <c r="G10" s="33" t="n">
        <f aca="false">IF(Builder!B4="General",0+IFERROR(INDEX(Reference!$EG$2:$EG$8000, MATCH(Builder!E5&amp;"|"&amp;M10, Reference!$EB$2:$EB$8000, 0)), 0),IF(Builder!B4="Twin",0+IFERROR(INDEX(Reference!$EH$2:$EH$8000, MATCH(Builder!E5&amp;"|"&amp;M10, Reference!$EB$2:$EB$8000, 0)), 0),0+IFERROR(INDEX(Reference!$EI$2:$EI$8000, MATCH(Builder!E5&amp;"|"&amp;M10, Reference!$EB$2:$EB$8000, 0)), 0)))</f>
        <v>1320</v>
      </c>
      <c r="H10" s="38" t="n">
        <f aca="false">IF(AND(Builder!E2="Insurance / Org Tariff",IFERROR(INDEX(Reference!$EZ$2:$EZ$1000, MATCH(M10, Reference!$EX$2:$EX$1000, 0)), "No")="Yes"),0,E10*G10)</f>
        <v>1320</v>
      </c>
      <c r="I10" s="39" t="s">
        <v>196</v>
      </c>
      <c r="J10" s="40" t="n">
        <f aca="false">IF(AND(Builder!E2="Insurance / Org Tariff",IFERROR(INDEX(Reference!$EZ$2:$EZ$1000, MATCH(M10, Reference!$EX$2:$EX$1000, 0)), "No")="Yes"),0,D10*G10)</f>
        <v>1320</v>
      </c>
      <c r="K10" s="38" t="n">
        <f aca="false">IF(AND(Builder!E2="Insurance / Org Tariff",IFERROR(INDEX(Reference!$EZ$2:$EZ$1000, MATCH(M10, Reference!$EX$2:$EX$1000, 0)), "No")="Yes"),0,E10*G10)</f>
        <v>1320</v>
      </c>
      <c r="L10" s="40" t="n">
        <f aca="false">IF(AND(Builder!E2="Insurance / Org Tariff",IFERROR(INDEX(Reference!$EZ$2:$EZ$1000, MATCH(M10, Reference!$EX$2:$EX$1000, 0)), "No")="Yes"),0,F10*G10)</f>
        <v>1320</v>
      </c>
      <c r="M10" s="41" t="s">
        <v>233</v>
      </c>
      <c r="O10" s="36" t="s">
        <v>234</v>
      </c>
      <c r="P10" s="23" t="n">
        <f aca="false">P8+P9</f>
        <v>37</v>
      </c>
    </row>
    <row r="11" customFormat="false" ht="26.85" hidden="false" customHeight="false" outlineLevel="0" collapsed="false">
      <c r="A11" s="14" t="s">
        <v>235</v>
      </c>
      <c r="B11" s="14" t="s">
        <v>236</v>
      </c>
      <c r="C11" s="33" t="n">
        <f aca="false">IFERROR(INDEX(Reference!$CW$2:$CW$4000, MATCH(Builder!G6&amp;"|"&amp;M11, Reference!$CQ$2:$CQ$4000, 0)), 19.23)</f>
        <v>19.23</v>
      </c>
      <c r="D11" s="33" t="n">
        <f aca="false">IFERROR(INDEX(Reference!$CX$2:$CX$4000, MATCH(Builder!G6&amp;"|"&amp;M11, Reference!$CQ$2:$CQ$4000, 0)), 1)</f>
        <v>1</v>
      </c>
      <c r="E11" s="33" t="n">
        <f aca="false">IFERROR(INDEX(Reference!$CY$2:$CY$4000, MATCH(Builder!G6&amp;"|"&amp;M11, Reference!$CQ$2:$CQ$4000, 0)), 1)</f>
        <v>1</v>
      </c>
      <c r="F11" s="33" t="n">
        <f aca="false">IFERROR(INDEX(Reference!$CZ$2:$CZ$4000, MATCH(Builder!G6&amp;"|"&amp;M11, Reference!$CQ$2:$CQ$4000, 0)), 1)</f>
        <v>1</v>
      </c>
      <c r="G11" s="33" t="n">
        <f aca="false">IF(Builder!B4="General",0+IFERROR(INDEX(Reference!$EG$2:$EG$8000, MATCH(Builder!E5&amp;"|"&amp;M11, Reference!$EB$2:$EB$8000, 0)), 0),IF(Builder!B4="Twin",0+IFERROR(INDEX(Reference!$EH$2:$EH$8000, MATCH(Builder!E5&amp;"|"&amp;M11, Reference!$EB$2:$EB$8000, 0)), 0),0+IFERROR(INDEX(Reference!$EI$2:$EI$8000, MATCH(Builder!E5&amp;"|"&amp;M11, Reference!$EB$2:$EB$8000, 0)), 0)))</f>
        <v>2650</v>
      </c>
      <c r="H11" s="38" t="n">
        <f aca="false">IF(AND(Builder!E2="Insurance / Org Tariff",IFERROR(INDEX(Reference!$EZ$2:$EZ$1000, MATCH(M11, Reference!$EX$2:$EX$1000, 0)), "No")="Yes"),0,E11*G11)</f>
        <v>2650</v>
      </c>
      <c r="I11" s="39" t="s">
        <v>196</v>
      </c>
      <c r="J11" s="40" t="n">
        <f aca="false">IF(AND(Builder!E2="Insurance / Org Tariff",IFERROR(INDEX(Reference!$EZ$2:$EZ$1000, MATCH(M11, Reference!$EX$2:$EX$1000, 0)), "No")="Yes"),0,D11*G11)</f>
        <v>2650</v>
      </c>
      <c r="K11" s="38" t="n">
        <f aca="false">IF(AND(Builder!E2="Insurance / Org Tariff",IFERROR(INDEX(Reference!$EZ$2:$EZ$1000, MATCH(M11, Reference!$EX$2:$EX$1000, 0)), "No")="Yes"),0,E11*G11)</f>
        <v>2650</v>
      </c>
      <c r="L11" s="40" t="n">
        <f aca="false">IF(AND(Builder!E2="Insurance / Org Tariff",IFERROR(INDEX(Reference!$EZ$2:$EZ$1000, MATCH(M11, Reference!$EX$2:$EX$1000, 0)), "No")="Yes"),0,F11*G11)</f>
        <v>2650</v>
      </c>
      <c r="M11" s="41" t="s">
        <v>237</v>
      </c>
      <c r="O11" s="36" t="s">
        <v>126</v>
      </c>
      <c r="P11" s="27" t="str">
        <f aca="false">IF(P10&lt;P5,"Below historical P25",IF(P10&gt;P7,"Above historical P75","Within historical range"))</f>
        <v>Within historical range</v>
      </c>
    </row>
    <row r="12" customFormat="false" ht="26.85" hidden="false" customHeight="false" outlineLevel="0" collapsed="false">
      <c r="A12" s="14" t="s">
        <v>238</v>
      </c>
      <c r="B12" s="14" t="s">
        <v>239</v>
      </c>
      <c r="C12" s="33" t="n">
        <f aca="false">IFERROR(INDEX(Reference!$CW$2:$CW$4000, MATCH(Builder!G6&amp;"|"&amp;M12, Reference!$CQ$2:$CQ$4000, 0)), 3.85)</f>
        <v>3.85</v>
      </c>
      <c r="D12" s="33" t="n">
        <f aca="false">IFERROR(INDEX(Reference!$CX$2:$CX$4000, MATCH(Builder!G6&amp;"|"&amp;M12, Reference!$CQ$2:$CQ$4000, 0)), 2)</f>
        <v>2</v>
      </c>
      <c r="E12" s="33" t="n">
        <f aca="false">IFERROR(INDEX(Reference!$CY$2:$CY$4000, MATCH(Builder!G6&amp;"|"&amp;M12, Reference!$CQ$2:$CQ$4000, 0)), 2)</f>
        <v>2</v>
      </c>
      <c r="F12" s="33" t="n">
        <f aca="false">IFERROR(INDEX(Reference!$CZ$2:$CZ$4000, MATCH(Builder!G6&amp;"|"&amp;M12, Reference!$CQ$2:$CQ$4000, 0)), 2)</f>
        <v>2</v>
      </c>
      <c r="G12" s="33" t="n">
        <f aca="false">IF(Builder!B4="General",0+IFERROR(INDEX(Reference!$EG$2:$EG$8000, MATCH(Builder!E5&amp;"|"&amp;M12, Reference!$EB$2:$EB$8000, 0)), 0),IF(Builder!B4="Twin",0+IFERROR(INDEX(Reference!$EH$2:$EH$8000, MATCH(Builder!E5&amp;"|"&amp;M12, Reference!$EB$2:$EB$8000, 0)), 0),0+IFERROR(INDEX(Reference!$EI$2:$EI$8000, MATCH(Builder!E5&amp;"|"&amp;M12, Reference!$EB$2:$EB$8000, 0)), 0)))</f>
        <v>3620</v>
      </c>
      <c r="H12" s="38" t="n">
        <f aca="false">IF(AND(Builder!E2="Insurance / Org Tariff",IFERROR(INDEX(Reference!$EZ$2:$EZ$1000, MATCH(M12, Reference!$EX$2:$EX$1000, 0)), "No")="Yes"),0,E12*G12)</f>
        <v>7240</v>
      </c>
      <c r="I12" s="39" t="s">
        <v>196</v>
      </c>
      <c r="J12" s="40" t="n">
        <f aca="false">IF(AND(Builder!E2="Insurance / Org Tariff",IFERROR(INDEX(Reference!$EZ$2:$EZ$1000, MATCH(M12, Reference!$EX$2:$EX$1000, 0)), "No")="Yes"),0,D12*G12)</f>
        <v>7240</v>
      </c>
      <c r="K12" s="38" t="n">
        <f aca="false">IF(AND(Builder!E2="Insurance / Org Tariff",IFERROR(INDEX(Reference!$EZ$2:$EZ$1000, MATCH(M12, Reference!$EX$2:$EX$1000, 0)), "No")="Yes"),0,E12*G12)</f>
        <v>7240</v>
      </c>
      <c r="L12" s="40" t="n">
        <f aca="false">IF(AND(Builder!E2="Insurance / Org Tariff",IFERROR(INDEX(Reference!$EZ$2:$EZ$1000, MATCH(M12, Reference!$EX$2:$EX$1000, 0)), "No")="Yes"),0,F12*G12)</f>
        <v>7240</v>
      </c>
      <c r="M12" s="41" t="s">
        <v>240</v>
      </c>
    </row>
    <row r="13" customFormat="false" ht="26.85" hidden="false" customHeight="false" outlineLevel="0" collapsed="false">
      <c r="A13" s="14" t="s">
        <v>241</v>
      </c>
      <c r="B13" s="14" t="s">
        <v>242</v>
      </c>
      <c r="C13" s="33" t="n">
        <f aca="false">IFERROR(INDEX(Reference!$CW$2:$CW$4000, MATCH(Builder!G6&amp;"|"&amp;M13, Reference!$CQ$2:$CQ$4000, 0)), 19.23)</f>
        <v>19.23</v>
      </c>
      <c r="D13" s="33" t="n">
        <f aca="false">IFERROR(INDEX(Reference!$CX$2:$CX$4000, MATCH(Builder!G6&amp;"|"&amp;M13, Reference!$CQ$2:$CQ$4000, 0)), 1)</f>
        <v>1</v>
      </c>
      <c r="E13" s="33" t="n">
        <f aca="false">IFERROR(INDEX(Reference!$CY$2:$CY$4000, MATCH(Builder!G6&amp;"|"&amp;M13, Reference!$CQ$2:$CQ$4000, 0)), 1)</f>
        <v>1</v>
      </c>
      <c r="F13" s="33" t="n">
        <f aca="false">IFERROR(INDEX(Reference!$CZ$2:$CZ$4000, MATCH(Builder!G6&amp;"|"&amp;M13, Reference!$CQ$2:$CQ$4000, 0)), 1)</f>
        <v>1</v>
      </c>
      <c r="G13" s="33" t="n">
        <f aca="false">IF(Builder!B4="General",0+IFERROR(INDEX(Reference!$EG$2:$EG$8000, MATCH(Builder!E5&amp;"|"&amp;M13, Reference!$EB$2:$EB$8000, 0)), 0),IF(Builder!B4="Twin",0+IFERROR(INDEX(Reference!$EH$2:$EH$8000, MATCH(Builder!E5&amp;"|"&amp;M13, Reference!$EB$2:$EB$8000, 0)), 0),0+IFERROR(INDEX(Reference!$EI$2:$EI$8000, MATCH(Builder!E5&amp;"|"&amp;M13, Reference!$EB$2:$EB$8000, 0)), 0)))</f>
        <v>1250</v>
      </c>
      <c r="H13" s="38" t="n">
        <f aca="false">IF(AND(Builder!E2="Insurance / Org Tariff",IFERROR(INDEX(Reference!$EZ$2:$EZ$1000, MATCH(M13, Reference!$EX$2:$EX$1000, 0)), "No")="Yes"),0,E13*G13)</f>
        <v>1250</v>
      </c>
      <c r="I13" s="39" t="s">
        <v>196</v>
      </c>
      <c r="J13" s="40" t="n">
        <f aca="false">IF(AND(Builder!E2="Insurance / Org Tariff",IFERROR(INDEX(Reference!$EZ$2:$EZ$1000, MATCH(M13, Reference!$EX$2:$EX$1000, 0)), "No")="Yes"),0,D13*G13)</f>
        <v>1250</v>
      </c>
      <c r="K13" s="38" t="n">
        <f aca="false">IF(AND(Builder!E2="Insurance / Org Tariff",IFERROR(INDEX(Reference!$EZ$2:$EZ$1000, MATCH(M13, Reference!$EX$2:$EX$1000, 0)), "No")="Yes"),0,E13*G13)</f>
        <v>1250</v>
      </c>
      <c r="L13" s="40" t="n">
        <f aca="false">IF(AND(Builder!E2="Insurance / Org Tariff",IFERROR(INDEX(Reference!$EZ$2:$EZ$1000, MATCH(M13, Reference!$EX$2:$EX$1000, 0)), "No")="Yes"),0,F13*G13)</f>
        <v>1250</v>
      </c>
      <c r="M13" s="41" t="s">
        <v>243</v>
      </c>
    </row>
    <row r="14" customFormat="false" ht="26.85" hidden="false" customHeight="false" outlineLevel="0" collapsed="false">
      <c r="A14" s="14" t="s">
        <v>244</v>
      </c>
      <c r="B14" s="14" t="s">
        <v>245</v>
      </c>
      <c r="C14" s="33" t="n">
        <f aca="false">IFERROR(INDEX(Reference!$CW$2:$CW$4000, MATCH(Builder!G6&amp;"|"&amp;M14, Reference!$CQ$2:$CQ$4000, 0)), 15.38)</f>
        <v>15.38</v>
      </c>
      <c r="D14" s="33" t="n">
        <f aca="false">IFERROR(INDEX(Reference!$CX$2:$CX$4000, MATCH(Builder!G6&amp;"|"&amp;M14, Reference!$CQ$2:$CQ$4000, 0)), 1)</f>
        <v>1</v>
      </c>
      <c r="E14" s="33" t="n">
        <f aca="false">IFERROR(INDEX(Reference!$CY$2:$CY$4000, MATCH(Builder!G6&amp;"|"&amp;M14, Reference!$CQ$2:$CQ$4000, 0)), 1.5)</f>
        <v>1.5</v>
      </c>
      <c r="F14" s="33" t="n">
        <f aca="false">IFERROR(INDEX(Reference!$CZ$2:$CZ$4000, MATCH(Builder!G6&amp;"|"&amp;M14, Reference!$CQ$2:$CQ$4000, 0)), 2.25)</f>
        <v>2.25</v>
      </c>
      <c r="G14" s="33" t="n">
        <f aca="false">IF(Builder!B4="General",0+IFERROR(INDEX(Reference!$EG$2:$EG$8000, MATCH(Builder!E5&amp;"|"&amp;M14, Reference!$EB$2:$EB$8000, 0)), 0),IF(Builder!B4="Twin",0+IFERROR(INDEX(Reference!$EH$2:$EH$8000, MATCH(Builder!E5&amp;"|"&amp;M14, Reference!$EB$2:$EB$8000, 0)), 0),0+IFERROR(INDEX(Reference!$EI$2:$EI$8000, MATCH(Builder!E5&amp;"|"&amp;M14, Reference!$EB$2:$EB$8000, 0)), 0)))</f>
        <v>870</v>
      </c>
      <c r="H14" s="38" t="n">
        <f aca="false">IF(AND(Builder!E2="Insurance / Org Tariff",IFERROR(INDEX(Reference!$EZ$2:$EZ$1000, MATCH(M14, Reference!$EX$2:$EX$1000, 0)), "No")="Yes"),0,E14*G14)</f>
        <v>1305</v>
      </c>
      <c r="I14" s="39" t="s">
        <v>196</v>
      </c>
      <c r="J14" s="40" t="n">
        <f aca="false">IF(AND(Builder!E2="Insurance / Org Tariff",IFERROR(INDEX(Reference!$EZ$2:$EZ$1000, MATCH(M14, Reference!$EX$2:$EX$1000, 0)), "No")="Yes"),0,D14*G14)</f>
        <v>870</v>
      </c>
      <c r="K14" s="38" t="n">
        <f aca="false">IF(AND(Builder!E2="Insurance / Org Tariff",IFERROR(INDEX(Reference!$EZ$2:$EZ$1000, MATCH(M14, Reference!$EX$2:$EX$1000, 0)), "No")="Yes"),0,E14*G14)</f>
        <v>1305</v>
      </c>
      <c r="L14" s="40" t="n">
        <f aca="false">IF(AND(Builder!E2="Insurance / Org Tariff",IFERROR(INDEX(Reference!$EZ$2:$EZ$1000, MATCH(M14, Reference!$EX$2:$EX$1000, 0)), "No")="Yes"),0,F14*G14)</f>
        <v>1957.5</v>
      </c>
      <c r="M14" s="41" t="s">
        <v>246</v>
      </c>
    </row>
    <row r="15" customFormat="false" ht="26.85" hidden="false" customHeight="false" outlineLevel="0" collapsed="false">
      <c r="A15" s="14" t="s">
        <v>247</v>
      </c>
      <c r="B15" s="14" t="s">
        <v>248</v>
      </c>
      <c r="C15" s="33" t="n">
        <f aca="false">IFERROR(INDEX(Reference!$CW$2:$CW$4000, MATCH(Builder!G6&amp;"|"&amp;M15, Reference!$CQ$2:$CQ$4000, 0)), 53.85)</f>
        <v>53.85</v>
      </c>
      <c r="D15" s="33" t="n">
        <f aca="false">IFERROR(INDEX(Reference!$CX$2:$CX$4000, MATCH(Builder!G6&amp;"|"&amp;M15, Reference!$CQ$2:$CQ$4000, 0)), 1)</f>
        <v>1</v>
      </c>
      <c r="E15" s="33" t="n">
        <f aca="false">IFERROR(INDEX(Reference!$CY$2:$CY$4000, MATCH(Builder!G6&amp;"|"&amp;M15, Reference!$CQ$2:$CQ$4000, 0)), 1)</f>
        <v>1</v>
      </c>
      <c r="F15" s="33" t="n">
        <f aca="false">IFERROR(INDEX(Reference!$CZ$2:$CZ$4000, MATCH(Builder!G6&amp;"|"&amp;M15, Reference!$CQ$2:$CQ$4000, 0)), 1)</f>
        <v>1</v>
      </c>
      <c r="G15" s="33" t="n">
        <f aca="false">IF(Builder!B4="General",0+IFERROR(INDEX(Reference!$EG$2:$EG$8000, MATCH(Builder!E5&amp;"|"&amp;M15, Reference!$EB$2:$EB$8000, 0)), 0),IF(Builder!B4="Twin",0+IFERROR(INDEX(Reference!$EH$2:$EH$8000, MATCH(Builder!E5&amp;"|"&amp;M15, Reference!$EB$2:$EB$8000, 0)), 0),0+IFERROR(INDEX(Reference!$EI$2:$EI$8000, MATCH(Builder!E5&amp;"|"&amp;M15, Reference!$EB$2:$EB$8000, 0)), 0)))</f>
        <v>370</v>
      </c>
      <c r="H15" s="38" t="n">
        <f aca="false">IF(AND(Builder!E2="Insurance / Org Tariff",IFERROR(INDEX(Reference!$EZ$2:$EZ$1000, MATCH(M15, Reference!$EX$2:$EX$1000, 0)), "No")="Yes"),0,E15*G15)</f>
        <v>370</v>
      </c>
      <c r="I15" s="39" t="s">
        <v>196</v>
      </c>
      <c r="J15" s="40" t="n">
        <f aca="false">IF(AND(Builder!E2="Insurance / Org Tariff",IFERROR(INDEX(Reference!$EZ$2:$EZ$1000, MATCH(M15, Reference!$EX$2:$EX$1000, 0)), "No")="Yes"),0,D15*G15)</f>
        <v>370</v>
      </c>
      <c r="K15" s="38" t="n">
        <f aca="false">IF(AND(Builder!E2="Insurance / Org Tariff",IFERROR(INDEX(Reference!$EZ$2:$EZ$1000, MATCH(M15, Reference!$EX$2:$EX$1000, 0)), "No")="Yes"),0,E15*G15)</f>
        <v>370</v>
      </c>
      <c r="L15" s="40" t="n">
        <f aca="false">IF(AND(Builder!E2="Insurance / Org Tariff",IFERROR(INDEX(Reference!$EZ$2:$EZ$1000, MATCH(M15, Reference!$EX$2:$EX$1000, 0)), "No")="Yes"),0,F15*G15)</f>
        <v>370</v>
      </c>
      <c r="M15" s="41" t="s">
        <v>249</v>
      </c>
    </row>
    <row r="16" customFormat="false" ht="26.85" hidden="false" customHeight="false" outlineLevel="0" collapsed="false">
      <c r="A16" s="14" t="s">
        <v>250</v>
      </c>
      <c r="B16" s="14" t="s">
        <v>251</v>
      </c>
      <c r="C16" s="33" t="n">
        <f aca="false">IFERROR(INDEX(Reference!$CW$2:$CW$4000, MATCH(Builder!G6&amp;"|"&amp;M16, Reference!$CQ$2:$CQ$4000, 0)), 15.38)</f>
        <v>15.38</v>
      </c>
      <c r="D16" s="33" t="n">
        <f aca="false">IFERROR(INDEX(Reference!$CX$2:$CX$4000, MATCH(Builder!G6&amp;"|"&amp;M16, Reference!$CQ$2:$CQ$4000, 0)), 1)</f>
        <v>1</v>
      </c>
      <c r="E16" s="33" t="n">
        <f aca="false">IFERROR(INDEX(Reference!$CY$2:$CY$4000, MATCH(Builder!G6&amp;"|"&amp;M16, Reference!$CQ$2:$CQ$4000, 0)), 1)</f>
        <v>1</v>
      </c>
      <c r="F16" s="33" t="n">
        <f aca="false">IFERROR(INDEX(Reference!$CZ$2:$CZ$4000, MATCH(Builder!G6&amp;"|"&amp;M16, Reference!$CQ$2:$CQ$4000, 0)), 1)</f>
        <v>1</v>
      </c>
      <c r="G16" s="33" t="n">
        <f aca="false">IF(Builder!B4="General",0+IFERROR(INDEX(Reference!$EG$2:$EG$8000, MATCH(Builder!E5&amp;"|"&amp;M16, Reference!$EB$2:$EB$8000, 0)), 0),IF(Builder!B4="Twin",0+IFERROR(INDEX(Reference!$EH$2:$EH$8000, MATCH(Builder!E5&amp;"|"&amp;M16, Reference!$EB$2:$EB$8000, 0)), 0),0+IFERROR(INDEX(Reference!$EI$2:$EI$8000, MATCH(Builder!E5&amp;"|"&amp;M16, Reference!$EB$2:$EB$8000, 0)), 0)))</f>
        <v>890</v>
      </c>
      <c r="H16" s="38" t="n">
        <f aca="false">IF(AND(Builder!E2="Insurance / Org Tariff",IFERROR(INDEX(Reference!$EZ$2:$EZ$1000, MATCH(M16, Reference!$EX$2:$EX$1000, 0)), "No")="Yes"),0,E16*G16)</f>
        <v>890</v>
      </c>
      <c r="I16" s="39" t="s">
        <v>196</v>
      </c>
      <c r="J16" s="40" t="n">
        <f aca="false">IF(AND(Builder!E2="Insurance / Org Tariff",IFERROR(INDEX(Reference!$EZ$2:$EZ$1000, MATCH(M16, Reference!$EX$2:$EX$1000, 0)), "No")="Yes"),0,D16*G16)</f>
        <v>890</v>
      </c>
      <c r="K16" s="38" t="n">
        <f aca="false">IF(AND(Builder!E2="Insurance / Org Tariff",IFERROR(INDEX(Reference!$EZ$2:$EZ$1000, MATCH(M16, Reference!$EX$2:$EX$1000, 0)), "No")="Yes"),0,E16*G16)</f>
        <v>890</v>
      </c>
      <c r="L16" s="40" t="n">
        <f aca="false">IF(AND(Builder!E2="Insurance / Org Tariff",IFERROR(INDEX(Reference!$EZ$2:$EZ$1000, MATCH(M16, Reference!$EX$2:$EX$1000, 0)), "No")="Yes"),0,F16*G16)</f>
        <v>890</v>
      </c>
      <c r="M16" s="41" t="s">
        <v>252</v>
      </c>
    </row>
    <row r="17" customFormat="false" ht="26.85" hidden="false" customHeight="false" outlineLevel="0" collapsed="false">
      <c r="A17" s="14" t="s">
        <v>253</v>
      </c>
      <c r="B17" s="14" t="s">
        <v>254</v>
      </c>
      <c r="C17" s="33" t="n">
        <f aca="false">IFERROR(INDEX(Reference!$CW$2:$CW$4000, MATCH(Builder!G6&amp;"|"&amp;M17, Reference!$CQ$2:$CQ$4000, 0)), 11.54)</f>
        <v>11.54</v>
      </c>
      <c r="D17" s="33" t="n">
        <f aca="false">IFERROR(INDEX(Reference!$CX$2:$CX$4000, MATCH(Builder!G6&amp;"|"&amp;M17, Reference!$CQ$2:$CQ$4000, 0)), 1)</f>
        <v>1</v>
      </c>
      <c r="E17" s="33" t="n">
        <f aca="false">IFERROR(INDEX(Reference!$CY$2:$CY$4000, MATCH(Builder!G6&amp;"|"&amp;M17, Reference!$CQ$2:$CQ$4000, 0)), 1)</f>
        <v>1</v>
      </c>
      <c r="F17" s="33" t="n">
        <f aca="false">IFERROR(INDEX(Reference!$CZ$2:$CZ$4000, MATCH(Builder!G6&amp;"|"&amp;M17, Reference!$CQ$2:$CQ$4000, 0)), 1)</f>
        <v>1</v>
      </c>
      <c r="G17" s="33" t="n">
        <f aca="false">IF(Builder!B4="General",0+IFERROR(INDEX(Reference!$EG$2:$EG$8000, MATCH(Builder!E5&amp;"|"&amp;M17, Reference!$EB$2:$EB$8000, 0)), 0),IF(Builder!B4="Twin",0+IFERROR(INDEX(Reference!$EH$2:$EH$8000, MATCH(Builder!E5&amp;"|"&amp;M17, Reference!$EB$2:$EB$8000, 0)), 0),0+IFERROR(INDEX(Reference!$EI$2:$EI$8000, MATCH(Builder!E5&amp;"|"&amp;M17, Reference!$EB$2:$EB$8000, 0)), 0)))</f>
        <v>1170</v>
      </c>
      <c r="H17" s="38" t="n">
        <f aca="false">IF(AND(Builder!E2="Insurance / Org Tariff",IFERROR(INDEX(Reference!$EZ$2:$EZ$1000, MATCH(M17, Reference!$EX$2:$EX$1000, 0)), "No")="Yes"),0,E17*G17)</f>
        <v>1170</v>
      </c>
      <c r="I17" s="39" t="s">
        <v>196</v>
      </c>
      <c r="J17" s="40" t="n">
        <f aca="false">IF(AND(Builder!E2="Insurance / Org Tariff",IFERROR(INDEX(Reference!$EZ$2:$EZ$1000, MATCH(M17, Reference!$EX$2:$EX$1000, 0)), "No")="Yes"),0,D17*G17)</f>
        <v>1170</v>
      </c>
      <c r="K17" s="38" t="n">
        <f aca="false">IF(AND(Builder!E2="Insurance / Org Tariff",IFERROR(INDEX(Reference!$EZ$2:$EZ$1000, MATCH(M17, Reference!$EX$2:$EX$1000, 0)), "No")="Yes"),0,E17*G17)</f>
        <v>1170</v>
      </c>
      <c r="L17" s="40" t="n">
        <f aca="false">IF(AND(Builder!E2="Insurance / Org Tariff",IFERROR(INDEX(Reference!$EZ$2:$EZ$1000, MATCH(M17, Reference!$EX$2:$EX$1000, 0)), "No")="Yes"),0,F17*G17)</f>
        <v>1170</v>
      </c>
      <c r="M17" s="41" t="s">
        <v>255</v>
      </c>
    </row>
    <row r="18" customFormat="false" ht="26.85" hidden="false" customHeight="false" outlineLevel="0" collapsed="false">
      <c r="A18" s="14" t="s">
        <v>256</v>
      </c>
      <c r="B18" s="14" t="s">
        <v>257</v>
      </c>
      <c r="C18" s="33" t="n">
        <f aca="false">IFERROR(INDEX(Reference!$CW$2:$CW$4000, MATCH(Builder!G6&amp;"|"&amp;M18, Reference!$CQ$2:$CQ$4000, 0)), 3.85)</f>
        <v>3.85</v>
      </c>
      <c r="D18" s="33" t="n">
        <f aca="false">IFERROR(INDEX(Reference!$CX$2:$CX$4000, MATCH(Builder!G6&amp;"|"&amp;M18, Reference!$CQ$2:$CQ$4000, 0)), 1)</f>
        <v>1</v>
      </c>
      <c r="E18" s="33" t="n">
        <f aca="false">IFERROR(INDEX(Reference!$CY$2:$CY$4000, MATCH(Builder!G6&amp;"|"&amp;M18, Reference!$CQ$2:$CQ$4000, 0)), 1)</f>
        <v>1</v>
      </c>
      <c r="F18" s="33" t="n">
        <f aca="false">IFERROR(INDEX(Reference!$CZ$2:$CZ$4000, MATCH(Builder!G6&amp;"|"&amp;M18, Reference!$CQ$2:$CQ$4000, 0)), 1)</f>
        <v>1</v>
      </c>
      <c r="G18" s="33" t="n">
        <f aca="false">IF(Builder!B4="General",0+IFERROR(INDEX(Reference!$EG$2:$EG$8000, MATCH(Builder!E5&amp;"|"&amp;M18, Reference!$EB$2:$EB$8000, 0)), 0),IF(Builder!B4="Twin",0+IFERROR(INDEX(Reference!$EH$2:$EH$8000, MATCH(Builder!E5&amp;"|"&amp;M18, Reference!$EB$2:$EB$8000, 0)), 0),0+IFERROR(INDEX(Reference!$EI$2:$EI$8000, MATCH(Builder!E5&amp;"|"&amp;M18, Reference!$EB$2:$EB$8000, 0)), 0)))</f>
        <v>3470</v>
      </c>
      <c r="H18" s="38" t="n">
        <f aca="false">IF(AND(Builder!E2="Insurance / Org Tariff",IFERROR(INDEX(Reference!$EZ$2:$EZ$1000, MATCH(M18, Reference!$EX$2:$EX$1000, 0)), "No")="Yes"),0,E18*G18)</f>
        <v>3470</v>
      </c>
      <c r="I18" s="39" t="s">
        <v>196</v>
      </c>
      <c r="J18" s="40" t="n">
        <f aca="false">IF(AND(Builder!E2="Insurance / Org Tariff",IFERROR(INDEX(Reference!$EZ$2:$EZ$1000, MATCH(M18, Reference!$EX$2:$EX$1000, 0)), "No")="Yes"),0,D18*G18)</f>
        <v>3470</v>
      </c>
      <c r="K18" s="38" t="n">
        <f aca="false">IF(AND(Builder!E2="Insurance / Org Tariff",IFERROR(INDEX(Reference!$EZ$2:$EZ$1000, MATCH(M18, Reference!$EX$2:$EX$1000, 0)), "No")="Yes"),0,E18*G18)</f>
        <v>3470</v>
      </c>
      <c r="L18" s="40" t="n">
        <f aca="false">IF(AND(Builder!E2="Insurance / Org Tariff",IFERROR(INDEX(Reference!$EZ$2:$EZ$1000, MATCH(M18, Reference!$EX$2:$EX$1000, 0)), "No")="Yes"),0,F18*G18)</f>
        <v>3470</v>
      </c>
      <c r="M18" s="41" t="s">
        <v>258</v>
      </c>
    </row>
    <row r="19" customFormat="false" ht="15" hidden="false" customHeight="false" outlineLevel="0" collapsed="false">
      <c r="A19" s="14" t="s">
        <v>259</v>
      </c>
      <c r="B19" s="14" t="s">
        <v>260</v>
      </c>
      <c r="C19" s="33" t="n">
        <f aca="false">IFERROR(INDEX(Reference!$CW$2:$CW$4000, MATCH(Builder!G6&amp;"|"&amp;M19, Reference!$CQ$2:$CQ$4000, 0)), 11.54)</f>
        <v>11.54</v>
      </c>
      <c r="D19" s="33" t="n">
        <f aca="false">IFERROR(INDEX(Reference!$CX$2:$CX$4000, MATCH(Builder!G6&amp;"|"&amp;M19, Reference!$CQ$2:$CQ$4000, 0)), 1)</f>
        <v>1</v>
      </c>
      <c r="E19" s="33" t="n">
        <f aca="false">IFERROR(INDEX(Reference!$CY$2:$CY$4000, MATCH(Builder!G6&amp;"|"&amp;M19, Reference!$CQ$2:$CQ$4000, 0)), 1)</f>
        <v>1</v>
      </c>
      <c r="F19" s="33" t="n">
        <f aca="false">IFERROR(INDEX(Reference!$CZ$2:$CZ$4000, MATCH(Builder!G6&amp;"|"&amp;M19, Reference!$CQ$2:$CQ$4000, 0)), 1)</f>
        <v>1</v>
      </c>
      <c r="G19" s="33" t="n">
        <f aca="false">IF(Builder!B4="General",0+IFERROR(INDEX(Reference!$EG$2:$EG$8000, MATCH(Builder!E5&amp;"|"&amp;M19, Reference!$EB$2:$EB$8000, 0)), 0),IF(Builder!B4="Twin",0+IFERROR(INDEX(Reference!$EH$2:$EH$8000, MATCH(Builder!E5&amp;"|"&amp;M19, Reference!$EB$2:$EB$8000, 0)), 0),0+IFERROR(INDEX(Reference!$EI$2:$EI$8000, MATCH(Builder!E5&amp;"|"&amp;M19, Reference!$EB$2:$EB$8000, 0)), 0)))</f>
        <v>1020</v>
      </c>
      <c r="H19" s="38" t="n">
        <f aca="false">IF(AND(Builder!E2="Insurance / Org Tariff",IFERROR(INDEX(Reference!$EZ$2:$EZ$1000, MATCH(M19, Reference!$EX$2:$EX$1000, 0)), "No")="Yes"),0,E19*G19)</f>
        <v>1020</v>
      </c>
      <c r="I19" s="39" t="s">
        <v>196</v>
      </c>
      <c r="J19" s="40" t="n">
        <f aca="false">IF(AND(Builder!E2="Insurance / Org Tariff",IFERROR(INDEX(Reference!$EZ$2:$EZ$1000, MATCH(M19, Reference!$EX$2:$EX$1000, 0)), "No")="Yes"),0,D19*G19)</f>
        <v>1020</v>
      </c>
      <c r="K19" s="38" t="n">
        <f aca="false">IF(AND(Builder!E2="Insurance / Org Tariff",IFERROR(INDEX(Reference!$EZ$2:$EZ$1000, MATCH(M19, Reference!$EX$2:$EX$1000, 0)), "No")="Yes"),0,E19*G19)</f>
        <v>1020</v>
      </c>
      <c r="L19" s="40" t="n">
        <f aca="false">IF(AND(Builder!E2="Insurance / Org Tariff",IFERROR(INDEX(Reference!$EZ$2:$EZ$1000, MATCH(M19, Reference!$EX$2:$EX$1000, 0)), "No")="Yes"),0,F19*G19)</f>
        <v>1020</v>
      </c>
      <c r="M19" s="41" t="s">
        <v>261</v>
      </c>
    </row>
    <row r="20" customFormat="false" ht="26.85" hidden="false" customHeight="false" outlineLevel="0" collapsed="false">
      <c r="A20" s="14" t="s">
        <v>262</v>
      </c>
      <c r="B20" s="14" t="s">
        <v>263</v>
      </c>
      <c r="C20" s="33" t="n">
        <f aca="false">IFERROR(INDEX(Reference!$CW$2:$CW$4000, MATCH(Builder!G6&amp;"|"&amp;M20, Reference!$CQ$2:$CQ$4000, 0)), 11.54)</f>
        <v>11.54</v>
      </c>
      <c r="D20" s="33" t="n">
        <f aca="false">IFERROR(INDEX(Reference!$CX$2:$CX$4000, MATCH(Builder!G6&amp;"|"&amp;M20, Reference!$CQ$2:$CQ$4000, 0)), 1)</f>
        <v>1</v>
      </c>
      <c r="E20" s="33" t="n">
        <f aca="false">IFERROR(INDEX(Reference!$CY$2:$CY$4000, MATCH(Builder!G6&amp;"|"&amp;M20, Reference!$CQ$2:$CQ$4000, 0)), 1)</f>
        <v>1</v>
      </c>
      <c r="F20" s="33" t="n">
        <f aca="false">IFERROR(INDEX(Reference!$CZ$2:$CZ$4000, MATCH(Builder!G6&amp;"|"&amp;M20, Reference!$CQ$2:$CQ$4000, 0)), 1)</f>
        <v>1</v>
      </c>
      <c r="G20" s="33" t="n">
        <f aca="false">IF(Builder!B4="General",0+IFERROR(INDEX(Reference!$EG$2:$EG$8000, MATCH(Builder!E5&amp;"|"&amp;M20, Reference!$EB$2:$EB$8000, 0)), 0),IF(Builder!B4="Twin",0+IFERROR(INDEX(Reference!$EH$2:$EH$8000, MATCH(Builder!E5&amp;"|"&amp;M20, Reference!$EB$2:$EB$8000, 0)), 0),0+IFERROR(INDEX(Reference!$EI$2:$EI$8000, MATCH(Builder!E5&amp;"|"&amp;M20, Reference!$EB$2:$EB$8000, 0)), 0)))</f>
        <v>810</v>
      </c>
      <c r="H20" s="38" t="n">
        <f aca="false">IF(AND(Builder!E2="Insurance / Org Tariff",IFERROR(INDEX(Reference!$EZ$2:$EZ$1000, MATCH(M20, Reference!$EX$2:$EX$1000, 0)), "No")="Yes"),0,E20*G20)</f>
        <v>810</v>
      </c>
      <c r="I20" s="39" t="s">
        <v>196</v>
      </c>
      <c r="J20" s="40" t="n">
        <f aca="false">IF(AND(Builder!E2="Insurance / Org Tariff",IFERROR(INDEX(Reference!$EZ$2:$EZ$1000, MATCH(M20, Reference!$EX$2:$EX$1000, 0)), "No")="Yes"),0,D20*G20)</f>
        <v>810</v>
      </c>
      <c r="K20" s="38" t="n">
        <f aca="false">IF(AND(Builder!E2="Insurance / Org Tariff",IFERROR(INDEX(Reference!$EZ$2:$EZ$1000, MATCH(M20, Reference!$EX$2:$EX$1000, 0)), "No")="Yes"),0,E20*G20)</f>
        <v>810</v>
      </c>
      <c r="L20" s="40" t="n">
        <f aca="false">IF(AND(Builder!E2="Insurance / Org Tariff",IFERROR(INDEX(Reference!$EZ$2:$EZ$1000, MATCH(M20, Reference!$EX$2:$EX$1000, 0)), "No")="Yes"),0,F20*G20)</f>
        <v>810</v>
      </c>
      <c r="M20" s="41" t="s">
        <v>264</v>
      </c>
    </row>
    <row r="21" customFormat="false" ht="15" hidden="false" customHeight="false" outlineLevel="0" collapsed="false">
      <c r="A21" s="14" t="s">
        <v>265</v>
      </c>
      <c r="B21" s="14" t="s">
        <v>266</v>
      </c>
      <c r="C21" s="33" t="n">
        <f aca="false">IFERROR(INDEX(Reference!$CW$2:$CW$4000, MATCH(Builder!G6&amp;"|"&amp;M21, Reference!$CQ$2:$CQ$4000, 0)), 3.85)</f>
        <v>3.85</v>
      </c>
      <c r="D21" s="33" t="n">
        <f aca="false">IFERROR(INDEX(Reference!$CX$2:$CX$4000, MATCH(Builder!G6&amp;"|"&amp;M21, Reference!$CQ$2:$CQ$4000, 0)), 1)</f>
        <v>1</v>
      </c>
      <c r="E21" s="33" t="n">
        <f aca="false">IFERROR(INDEX(Reference!$CY$2:$CY$4000, MATCH(Builder!G6&amp;"|"&amp;M21, Reference!$CQ$2:$CQ$4000, 0)), 1)</f>
        <v>1</v>
      </c>
      <c r="F21" s="33" t="n">
        <f aca="false">IFERROR(INDEX(Reference!$CZ$2:$CZ$4000, MATCH(Builder!G6&amp;"|"&amp;M21, Reference!$CQ$2:$CQ$4000, 0)), 1)</f>
        <v>1</v>
      </c>
      <c r="G21" s="33" t="n">
        <f aca="false">IF(Builder!B4="General",0+IFERROR(INDEX(Reference!$EG$2:$EG$8000, MATCH(Builder!E5&amp;"|"&amp;M21, Reference!$EB$2:$EB$8000, 0)), 0),IF(Builder!B4="Twin",0+IFERROR(INDEX(Reference!$EH$2:$EH$8000, MATCH(Builder!E5&amp;"|"&amp;M21, Reference!$EB$2:$EB$8000, 0)), 0),0+IFERROR(INDEX(Reference!$EI$2:$EI$8000, MATCH(Builder!E5&amp;"|"&amp;M21, Reference!$EB$2:$EB$8000, 0)), 0)))</f>
        <v>2290</v>
      </c>
      <c r="H21" s="38" t="n">
        <f aca="false">IF(AND(Builder!E2="Insurance / Org Tariff",IFERROR(INDEX(Reference!$EZ$2:$EZ$1000, MATCH(M21, Reference!$EX$2:$EX$1000, 0)), "No")="Yes"),0,E21*G21)</f>
        <v>2290</v>
      </c>
      <c r="I21" s="39" t="s">
        <v>196</v>
      </c>
      <c r="J21" s="40" t="n">
        <f aca="false">IF(AND(Builder!E2="Insurance / Org Tariff",IFERROR(INDEX(Reference!$EZ$2:$EZ$1000, MATCH(M21, Reference!$EX$2:$EX$1000, 0)), "No")="Yes"),0,D21*G21)</f>
        <v>2290</v>
      </c>
      <c r="K21" s="38" t="n">
        <f aca="false">IF(AND(Builder!E2="Insurance / Org Tariff",IFERROR(INDEX(Reference!$EZ$2:$EZ$1000, MATCH(M21, Reference!$EX$2:$EX$1000, 0)), "No")="Yes"),0,E21*G21)</f>
        <v>2290</v>
      </c>
      <c r="L21" s="40" t="n">
        <f aca="false">IF(AND(Builder!E2="Insurance / Org Tariff",IFERROR(INDEX(Reference!$EZ$2:$EZ$1000, MATCH(M21, Reference!$EX$2:$EX$1000, 0)), "No")="Yes"),0,F21*G21)</f>
        <v>2290</v>
      </c>
      <c r="M21" s="41" t="s">
        <v>267</v>
      </c>
    </row>
    <row r="22" customFormat="false" ht="26.85" hidden="false" customHeight="false" outlineLevel="0" collapsed="false">
      <c r="A22" s="14" t="s">
        <v>268</v>
      </c>
      <c r="B22" s="14" t="s">
        <v>236</v>
      </c>
      <c r="C22" s="33" t="n">
        <f aca="false">IFERROR(INDEX(Reference!$CW$2:$CW$4000, MATCH(Builder!G6&amp;"|"&amp;M22, Reference!$CQ$2:$CQ$4000, 0)), 26.92)</f>
        <v>26.92</v>
      </c>
      <c r="D22" s="33" t="n">
        <f aca="false">IFERROR(INDEX(Reference!$CX$2:$CX$4000, MATCH(Builder!G6&amp;"|"&amp;M22, Reference!$CQ$2:$CQ$4000, 0)), 1)</f>
        <v>1</v>
      </c>
      <c r="E22" s="33" t="n">
        <f aca="false">IFERROR(INDEX(Reference!$CY$2:$CY$4000, MATCH(Builder!G6&amp;"|"&amp;M22, Reference!$CQ$2:$CQ$4000, 0)), 1)</f>
        <v>1</v>
      </c>
      <c r="F22" s="33" t="n">
        <f aca="false">IFERROR(INDEX(Reference!$CZ$2:$CZ$4000, MATCH(Builder!G6&amp;"|"&amp;M22, Reference!$CQ$2:$CQ$4000, 0)), 1)</f>
        <v>1</v>
      </c>
      <c r="G22" s="33" t="n">
        <f aca="false">IF(Builder!B4="General",0+IFERROR(INDEX(Reference!$EG$2:$EG$8000, MATCH(Builder!E5&amp;"|"&amp;M22, Reference!$EB$2:$EB$8000, 0)), 0),IF(Builder!B4="Twin",0+IFERROR(INDEX(Reference!$EH$2:$EH$8000, MATCH(Builder!E5&amp;"|"&amp;M22, Reference!$EB$2:$EB$8000, 0)), 0),0+IFERROR(INDEX(Reference!$EI$2:$EI$8000, MATCH(Builder!E5&amp;"|"&amp;M22, Reference!$EB$2:$EB$8000, 0)), 0)))</f>
        <v>280</v>
      </c>
      <c r="H22" s="38" t="n">
        <f aca="false">IF(AND(Builder!E2="Insurance / Org Tariff",IFERROR(INDEX(Reference!$EZ$2:$EZ$1000, MATCH(M22, Reference!$EX$2:$EX$1000, 0)), "No")="Yes"),0,E22*G22)</f>
        <v>280</v>
      </c>
      <c r="I22" s="39" t="s">
        <v>196</v>
      </c>
      <c r="J22" s="40" t="n">
        <f aca="false">IF(AND(Builder!E2="Insurance / Org Tariff",IFERROR(INDEX(Reference!$EZ$2:$EZ$1000, MATCH(M22, Reference!$EX$2:$EX$1000, 0)), "No")="Yes"),0,D22*G22)</f>
        <v>280</v>
      </c>
      <c r="K22" s="38" t="n">
        <f aca="false">IF(AND(Builder!E2="Insurance / Org Tariff",IFERROR(INDEX(Reference!$EZ$2:$EZ$1000, MATCH(M22, Reference!$EX$2:$EX$1000, 0)), "No")="Yes"),0,E22*G22)</f>
        <v>280</v>
      </c>
      <c r="L22" s="40" t="n">
        <f aca="false">IF(AND(Builder!E2="Insurance / Org Tariff",IFERROR(INDEX(Reference!$EZ$2:$EZ$1000, MATCH(M22, Reference!$EX$2:$EX$1000, 0)), "No")="Yes"),0,F22*G22)</f>
        <v>280</v>
      </c>
      <c r="M22" s="41" t="s">
        <v>269</v>
      </c>
    </row>
    <row r="23" customFormat="false" ht="15" hidden="false" customHeight="false" outlineLevel="0" collapsed="false">
      <c r="A23" s="14" t="s">
        <v>270</v>
      </c>
      <c r="B23" s="14" t="s">
        <v>271</v>
      </c>
      <c r="C23" s="33" t="n">
        <f aca="false">IFERROR(INDEX(Reference!$CW$2:$CW$4000, MATCH(Builder!G6&amp;"|"&amp;M23, Reference!$CQ$2:$CQ$4000, 0)), 3.85)</f>
        <v>3.85</v>
      </c>
      <c r="D23" s="33" t="n">
        <f aca="false">IFERROR(INDEX(Reference!$CX$2:$CX$4000, MATCH(Builder!G6&amp;"|"&amp;M23, Reference!$CQ$2:$CQ$4000, 0)), 1)</f>
        <v>1</v>
      </c>
      <c r="E23" s="33" t="n">
        <f aca="false">IFERROR(INDEX(Reference!$CY$2:$CY$4000, MATCH(Builder!G6&amp;"|"&amp;M23, Reference!$CQ$2:$CQ$4000, 0)), 1)</f>
        <v>1</v>
      </c>
      <c r="F23" s="33" t="n">
        <f aca="false">IFERROR(INDEX(Reference!$CZ$2:$CZ$4000, MATCH(Builder!G6&amp;"|"&amp;M23, Reference!$CQ$2:$CQ$4000, 0)), 1)</f>
        <v>1</v>
      </c>
      <c r="G23" s="33" t="n">
        <f aca="false">IF(Builder!B4="General",0+IFERROR(INDEX(Reference!$EG$2:$EG$8000, MATCH(Builder!E5&amp;"|"&amp;M23, Reference!$EB$2:$EB$8000, 0)), 0),IF(Builder!B4="Twin",0+IFERROR(INDEX(Reference!$EH$2:$EH$8000, MATCH(Builder!E5&amp;"|"&amp;M23, Reference!$EB$2:$EB$8000, 0)), 0),0+IFERROR(INDEX(Reference!$EI$2:$EI$8000, MATCH(Builder!E5&amp;"|"&amp;M23, Reference!$EB$2:$EB$8000, 0)), 0)))</f>
        <v>1710</v>
      </c>
      <c r="H23" s="38" t="n">
        <f aca="false">IF(AND(Builder!E2="Insurance / Org Tariff",IFERROR(INDEX(Reference!$EZ$2:$EZ$1000, MATCH(M23, Reference!$EX$2:$EX$1000, 0)), "No")="Yes"),0,E23*G23)</f>
        <v>1710</v>
      </c>
      <c r="I23" s="39" t="s">
        <v>196</v>
      </c>
      <c r="J23" s="40" t="n">
        <f aca="false">IF(AND(Builder!E2="Insurance / Org Tariff",IFERROR(INDEX(Reference!$EZ$2:$EZ$1000, MATCH(M23, Reference!$EX$2:$EX$1000, 0)), "No")="Yes"),0,D23*G23)</f>
        <v>1710</v>
      </c>
      <c r="K23" s="38" t="n">
        <f aca="false">IF(AND(Builder!E2="Insurance / Org Tariff",IFERROR(INDEX(Reference!$EZ$2:$EZ$1000, MATCH(M23, Reference!$EX$2:$EX$1000, 0)), "No")="Yes"),0,E23*G23)</f>
        <v>1710</v>
      </c>
      <c r="L23" s="40" t="n">
        <f aca="false">IF(AND(Builder!E2="Insurance / Org Tariff",IFERROR(INDEX(Reference!$EZ$2:$EZ$1000, MATCH(M23, Reference!$EX$2:$EX$1000, 0)), "No")="Yes"),0,F23*G23)</f>
        <v>1710</v>
      </c>
      <c r="M23" s="41" t="s">
        <v>272</v>
      </c>
    </row>
    <row r="24" customFormat="false" ht="26.85" hidden="false" customHeight="false" outlineLevel="0" collapsed="false">
      <c r="A24" s="14" t="s">
        <v>273</v>
      </c>
      <c r="B24" s="14" t="s">
        <v>274</v>
      </c>
      <c r="C24" s="33" t="n">
        <f aca="false">IFERROR(INDEX(Reference!$CW$2:$CW$4000, MATCH(Builder!G6&amp;"|"&amp;M24, Reference!$CQ$2:$CQ$4000, 0)), 3.85)</f>
        <v>3.85</v>
      </c>
      <c r="D24" s="33" t="n">
        <f aca="false">IFERROR(INDEX(Reference!$CX$2:$CX$4000, MATCH(Builder!G6&amp;"|"&amp;M24, Reference!$CQ$2:$CQ$4000, 0)), 1)</f>
        <v>1</v>
      </c>
      <c r="E24" s="33" t="n">
        <f aca="false">IFERROR(INDEX(Reference!$CY$2:$CY$4000, MATCH(Builder!G6&amp;"|"&amp;M24, Reference!$CQ$2:$CQ$4000, 0)), 1)</f>
        <v>1</v>
      </c>
      <c r="F24" s="33" t="n">
        <f aca="false">IFERROR(INDEX(Reference!$CZ$2:$CZ$4000, MATCH(Builder!G6&amp;"|"&amp;M24, Reference!$CQ$2:$CQ$4000, 0)), 1)</f>
        <v>1</v>
      </c>
      <c r="G24" s="33" t="n">
        <f aca="false">IF(Builder!B4="General",0+IFERROR(INDEX(Reference!$EG$2:$EG$8000, MATCH(Builder!E5&amp;"|"&amp;M24, Reference!$EB$2:$EB$8000, 0)), 0),IF(Builder!B4="Twin",0+IFERROR(INDEX(Reference!$EH$2:$EH$8000, MATCH(Builder!E5&amp;"|"&amp;M24, Reference!$EB$2:$EB$8000, 0)), 0),0+IFERROR(INDEX(Reference!$EI$2:$EI$8000, MATCH(Builder!E5&amp;"|"&amp;M24, Reference!$EB$2:$EB$8000, 0)), 0)))</f>
        <v>1200</v>
      </c>
      <c r="H24" s="38" t="n">
        <f aca="false">IF(AND(Builder!E2="Insurance / Org Tariff",IFERROR(INDEX(Reference!$EZ$2:$EZ$1000, MATCH(M24, Reference!$EX$2:$EX$1000, 0)), "No")="Yes"),0,E24*G24)</f>
        <v>1200</v>
      </c>
      <c r="I24" s="39" t="s">
        <v>196</v>
      </c>
      <c r="J24" s="40" t="n">
        <f aca="false">IF(AND(Builder!E2="Insurance / Org Tariff",IFERROR(INDEX(Reference!$EZ$2:$EZ$1000, MATCH(M24, Reference!$EX$2:$EX$1000, 0)), "No")="Yes"),0,D24*G24)</f>
        <v>1200</v>
      </c>
      <c r="K24" s="38" t="n">
        <f aca="false">IF(AND(Builder!E2="Insurance / Org Tariff",IFERROR(INDEX(Reference!$EZ$2:$EZ$1000, MATCH(M24, Reference!$EX$2:$EX$1000, 0)), "No")="Yes"),0,E24*G24)</f>
        <v>1200</v>
      </c>
      <c r="L24" s="40" t="n">
        <f aca="false">IF(AND(Builder!E2="Insurance / Org Tariff",IFERROR(INDEX(Reference!$EZ$2:$EZ$1000, MATCH(M24, Reference!$EX$2:$EX$1000, 0)), "No")="Yes"),0,F24*G24)</f>
        <v>1200</v>
      </c>
      <c r="M24" s="41" t="s">
        <v>275</v>
      </c>
    </row>
    <row r="25" customFormat="false" ht="26.85" hidden="false" customHeight="false" outlineLevel="0" collapsed="false">
      <c r="A25" s="14" t="s">
        <v>276</v>
      </c>
      <c r="B25" s="14" t="s">
        <v>277</v>
      </c>
      <c r="C25" s="33" t="n">
        <f aca="false">IFERROR(INDEX(Reference!$CW$2:$CW$4000, MATCH(Builder!G6&amp;"|"&amp;M25, Reference!$CQ$2:$CQ$4000, 0)), 3.85)</f>
        <v>3.85</v>
      </c>
      <c r="D25" s="33" t="n">
        <f aca="false">IFERROR(INDEX(Reference!$CX$2:$CX$4000, MATCH(Builder!G6&amp;"|"&amp;M25, Reference!$CQ$2:$CQ$4000, 0)), 1)</f>
        <v>1</v>
      </c>
      <c r="E25" s="33" t="n">
        <f aca="false">IFERROR(INDEX(Reference!$CY$2:$CY$4000, MATCH(Builder!G6&amp;"|"&amp;M25, Reference!$CQ$2:$CQ$4000, 0)), 1)</f>
        <v>1</v>
      </c>
      <c r="F25" s="33" t="n">
        <f aca="false">IFERROR(INDEX(Reference!$CZ$2:$CZ$4000, MATCH(Builder!G6&amp;"|"&amp;M25, Reference!$CQ$2:$CQ$4000, 0)), 1)</f>
        <v>1</v>
      </c>
      <c r="G25" s="33" t="n">
        <f aca="false">IF(Builder!B4="General",0+IFERROR(INDEX(Reference!$EG$2:$EG$8000, MATCH(Builder!E5&amp;"|"&amp;M25, Reference!$EB$2:$EB$8000, 0)), 0),IF(Builder!B4="Twin",0+IFERROR(INDEX(Reference!$EH$2:$EH$8000, MATCH(Builder!E5&amp;"|"&amp;M25, Reference!$EB$2:$EB$8000, 0)), 0),0+IFERROR(INDEX(Reference!$EI$2:$EI$8000, MATCH(Builder!E5&amp;"|"&amp;M25, Reference!$EB$2:$EB$8000, 0)), 0)))</f>
        <v>1110</v>
      </c>
      <c r="H25" s="38" t="n">
        <f aca="false">IF(AND(Builder!E2="Insurance / Org Tariff",IFERROR(INDEX(Reference!$EZ$2:$EZ$1000, MATCH(M25, Reference!$EX$2:$EX$1000, 0)), "No")="Yes"),0,E25*G25)</f>
        <v>1110</v>
      </c>
      <c r="I25" s="39" t="s">
        <v>196</v>
      </c>
      <c r="J25" s="40" t="n">
        <f aca="false">IF(AND(Builder!E2="Insurance / Org Tariff",IFERROR(INDEX(Reference!$EZ$2:$EZ$1000, MATCH(M25, Reference!$EX$2:$EX$1000, 0)), "No")="Yes"),0,D25*G25)</f>
        <v>1110</v>
      </c>
      <c r="K25" s="38" t="n">
        <f aca="false">IF(AND(Builder!E2="Insurance / Org Tariff",IFERROR(INDEX(Reference!$EZ$2:$EZ$1000, MATCH(M25, Reference!$EX$2:$EX$1000, 0)), "No")="Yes"),0,E25*G25)</f>
        <v>1110</v>
      </c>
      <c r="L25" s="40" t="n">
        <f aca="false">IF(AND(Builder!E2="Insurance / Org Tariff",IFERROR(INDEX(Reference!$EZ$2:$EZ$1000, MATCH(M25, Reference!$EX$2:$EX$1000, 0)), "No")="Yes"),0,F25*G25)</f>
        <v>1110</v>
      </c>
      <c r="M25" s="41" t="s">
        <v>278</v>
      </c>
    </row>
    <row r="26" customFormat="false" ht="26.85" hidden="false" customHeight="false" outlineLevel="0" collapsed="false">
      <c r="A26" s="14" t="s">
        <v>279</v>
      </c>
      <c r="B26" s="14" t="s">
        <v>248</v>
      </c>
      <c r="C26" s="33" t="n">
        <f aca="false">IFERROR(INDEX(Reference!$CW$2:$CW$4000, MATCH(Builder!G6&amp;"|"&amp;M26, Reference!$CQ$2:$CQ$4000, 0)), 3.85)</f>
        <v>3.85</v>
      </c>
      <c r="D26" s="33" t="n">
        <f aca="false">IFERROR(INDEX(Reference!$CX$2:$CX$4000, MATCH(Builder!G6&amp;"|"&amp;M26, Reference!$CQ$2:$CQ$4000, 0)), 1)</f>
        <v>1</v>
      </c>
      <c r="E26" s="33" t="n">
        <f aca="false">IFERROR(INDEX(Reference!$CY$2:$CY$4000, MATCH(Builder!G6&amp;"|"&amp;M26, Reference!$CQ$2:$CQ$4000, 0)), 1)</f>
        <v>1</v>
      </c>
      <c r="F26" s="33" t="n">
        <f aca="false">IFERROR(INDEX(Reference!$CZ$2:$CZ$4000, MATCH(Builder!G6&amp;"|"&amp;M26, Reference!$CQ$2:$CQ$4000, 0)), 1)</f>
        <v>1</v>
      </c>
      <c r="G26" s="33" t="n">
        <f aca="false">IF(Builder!B4="General",0+IFERROR(INDEX(Reference!$EG$2:$EG$8000, MATCH(Builder!E5&amp;"|"&amp;M26, Reference!$EB$2:$EB$8000, 0)), 0),IF(Builder!B4="Twin",0+IFERROR(INDEX(Reference!$EH$2:$EH$8000, MATCH(Builder!E5&amp;"|"&amp;M26, Reference!$EB$2:$EB$8000, 0)), 0),0+IFERROR(INDEX(Reference!$EI$2:$EI$8000, MATCH(Builder!E5&amp;"|"&amp;M26, Reference!$EB$2:$EB$8000, 0)), 0)))</f>
        <v>1020</v>
      </c>
      <c r="H26" s="38" t="n">
        <f aca="false">IF(AND(Builder!E2="Insurance / Org Tariff",IFERROR(INDEX(Reference!$EZ$2:$EZ$1000, MATCH(M26, Reference!$EX$2:$EX$1000, 0)), "No")="Yes"),0,E26*G26)</f>
        <v>1020</v>
      </c>
      <c r="I26" s="39" t="s">
        <v>196</v>
      </c>
      <c r="J26" s="40" t="n">
        <f aca="false">IF(AND(Builder!E2="Insurance / Org Tariff",IFERROR(INDEX(Reference!$EZ$2:$EZ$1000, MATCH(M26, Reference!$EX$2:$EX$1000, 0)), "No")="Yes"),0,D26*G26)</f>
        <v>1020</v>
      </c>
      <c r="K26" s="38" t="n">
        <f aca="false">IF(AND(Builder!E2="Insurance / Org Tariff",IFERROR(INDEX(Reference!$EZ$2:$EZ$1000, MATCH(M26, Reference!$EX$2:$EX$1000, 0)), "No")="Yes"),0,E26*G26)</f>
        <v>1020</v>
      </c>
      <c r="L26" s="40" t="n">
        <f aca="false">IF(AND(Builder!E2="Insurance / Org Tariff",IFERROR(INDEX(Reference!$EZ$2:$EZ$1000, MATCH(M26, Reference!$EX$2:$EX$1000, 0)), "No")="Yes"),0,F26*G26)</f>
        <v>1020</v>
      </c>
      <c r="M26" s="41" t="s">
        <v>280</v>
      </c>
    </row>
    <row r="27" customFormat="false" ht="26.85" hidden="false" customHeight="false" outlineLevel="0" collapsed="false">
      <c r="A27" s="14" t="s">
        <v>281</v>
      </c>
      <c r="B27" s="14" t="s">
        <v>282</v>
      </c>
      <c r="C27" s="33" t="n">
        <f aca="false">IFERROR(INDEX(Reference!$CW$2:$CW$4000, MATCH(Builder!G6&amp;"|"&amp;M27, Reference!$CQ$2:$CQ$4000, 0)), 7.69)</f>
        <v>7.69</v>
      </c>
      <c r="D27" s="33" t="n">
        <f aca="false">IFERROR(INDEX(Reference!$CX$2:$CX$4000, MATCH(Builder!G6&amp;"|"&amp;M27, Reference!$CQ$2:$CQ$4000, 0)), 1)</f>
        <v>1</v>
      </c>
      <c r="E27" s="33" t="n">
        <f aca="false">IFERROR(INDEX(Reference!$CY$2:$CY$4000, MATCH(Builder!G6&amp;"|"&amp;M27, Reference!$CQ$2:$CQ$4000, 0)), 1)</f>
        <v>1</v>
      </c>
      <c r="F27" s="33" t="n">
        <f aca="false">IFERROR(INDEX(Reference!$CZ$2:$CZ$4000, MATCH(Builder!G6&amp;"|"&amp;M27, Reference!$CQ$2:$CQ$4000, 0)), 1)</f>
        <v>1</v>
      </c>
      <c r="G27" s="33" t="n">
        <f aca="false">IF(Builder!B4="General",0+IFERROR(INDEX(Reference!$EG$2:$EG$8000, MATCH(Builder!E5&amp;"|"&amp;M27, Reference!$EB$2:$EB$8000, 0)), 0),IF(Builder!B4="Twin",0+IFERROR(INDEX(Reference!$EH$2:$EH$8000, MATCH(Builder!E5&amp;"|"&amp;M27, Reference!$EB$2:$EB$8000, 0)), 0),0+IFERROR(INDEX(Reference!$EI$2:$EI$8000, MATCH(Builder!E5&amp;"|"&amp;M27, Reference!$EB$2:$EB$8000, 0)), 0)))</f>
        <v>430</v>
      </c>
      <c r="H27" s="38" t="n">
        <f aca="false">IF(AND(Builder!E2="Insurance / Org Tariff",IFERROR(INDEX(Reference!$EZ$2:$EZ$1000, MATCH(M27, Reference!$EX$2:$EX$1000, 0)), "No")="Yes"),0,E27*G27)</f>
        <v>430</v>
      </c>
      <c r="I27" s="39" t="s">
        <v>196</v>
      </c>
      <c r="J27" s="40" t="n">
        <f aca="false">IF(AND(Builder!E2="Insurance / Org Tariff",IFERROR(INDEX(Reference!$EZ$2:$EZ$1000, MATCH(M27, Reference!$EX$2:$EX$1000, 0)), "No")="Yes"),0,D27*G27)</f>
        <v>430</v>
      </c>
      <c r="K27" s="38" t="n">
        <f aca="false">IF(AND(Builder!E2="Insurance / Org Tariff",IFERROR(INDEX(Reference!$EZ$2:$EZ$1000, MATCH(M27, Reference!$EX$2:$EX$1000, 0)), "No")="Yes"),0,E27*G27)</f>
        <v>430</v>
      </c>
      <c r="L27" s="40" t="n">
        <f aca="false">IF(AND(Builder!E2="Insurance / Org Tariff",IFERROR(INDEX(Reference!$EZ$2:$EZ$1000, MATCH(M27, Reference!$EX$2:$EX$1000, 0)), "No")="Yes"),0,F27*G27)</f>
        <v>430</v>
      </c>
      <c r="M27" s="41" t="s">
        <v>283</v>
      </c>
    </row>
    <row r="28" customFormat="false" ht="26.85" hidden="false" customHeight="false" outlineLevel="0" collapsed="false">
      <c r="A28" s="14" t="s">
        <v>284</v>
      </c>
      <c r="B28" s="14" t="s">
        <v>285</v>
      </c>
      <c r="C28" s="33" t="n">
        <f aca="false">IFERROR(INDEX(Reference!$CW$2:$CW$4000, MATCH(Builder!G6&amp;"|"&amp;M28, Reference!$CQ$2:$CQ$4000, 0)), 3.85)</f>
        <v>3.85</v>
      </c>
      <c r="D28" s="33" t="n">
        <f aca="false">IFERROR(INDEX(Reference!$CX$2:$CX$4000, MATCH(Builder!G6&amp;"|"&amp;M28, Reference!$CQ$2:$CQ$4000, 0)), 1)</f>
        <v>1</v>
      </c>
      <c r="E28" s="33" t="n">
        <f aca="false">IFERROR(INDEX(Reference!$CY$2:$CY$4000, MATCH(Builder!G6&amp;"|"&amp;M28, Reference!$CQ$2:$CQ$4000, 0)), 1)</f>
        <v>1</v>
      </c>
      <c r="F28" s="33" t="n">
        <f aca="false">IFERROR(INDEX(Reference!$CZ$2:$CZ$4000, MATCH(Builder!G6&amp;"|"&amp;M28, Reference!$CQ$2:$CQ$4000, 0)), 1)</f>
        <v>1</v>
      </c>
      <c r="G28" s="33" t="n">
        <f aca="false">IF(Builder!B4="General",0+IFERROR(INDEX(Reference!$EG$2:$EG$8000, MATCH(Builder!E5&amp;"|"&amp;M28, Reference!$EB$2:$EB$8000, 0)), 0),IF(Builder!B4="Twin",0+IFERROR(INDEX(Reference!$EH$2:$EH$8000, MATCH(Builder!E5&amp;"|"&amp;M28, Reference!$EB$2:$EB$8000, 0)), 0),0+IFERROR(INDEX(Reference!$EI$2:$EI$8000, MATCH(Builder!E5&amp;"|"&amp;M28, Reference!$EB$2:$EB$8000, 0)), 0)))</f>
        <v>810</v>
      </c>
      <c r="H28" s="38" t="n">
        <f aca="false">IF(AND(Builder!E2="Insurance / Org Tariff",IFERROR(INDEX(Reference!$EZ$2:$EZ$1000, MATCH(M28, Reference!$EX$2:$EX$1000, 0)), "No")="Yes"),0,E28*G28)</f>
        <v>810</v>
      </c>
      <c r="I28" s="39" t="s">
        <v>196</v>
      </c>
      <c r="J28" s="40" t="n">
        <f aca="false">IF(AND(Builder!E2="Insurance / Org Tariff",IFERROR(INDEX(Reference!$EZ$2:$EZ$1000, MATCH(M28, Reference!$EX$2:$EX$1000, 0)), "No")="Yes"),0,D28*G28)</f>
        <v>810</v>
      </c>
      <c r="K28" s="38" t="n">
        <f aca="false">IF(AND(Builder!E2="Insurance / Org Tariff",IFERROR(INDEX(Reference!$EZ$2:$EZ$1000, MATCH(M28, Reference!$EX$2:$EX$1000, 0)), "No")="Yes"),0,E28*G28)</f>
        <v>810</v>
      </c>
      <c r="L28" s="40" t="n">
        <f aca="false">IF(AND(Builder!E2="Insurance / Org Tariff",IFERROR(INDEX(Reference!$EZ$2:$EZ$1000, MATCH(M28, Reference!$EX$2:$EX$1000, 0)), "No")="Yes"),0,F28*G28)</f>
        <v>810</v>
      </c>
      <c r="M28" s="41" t="s">
        <v>286</v>
      </c>
    </row>
    <row r="29" customFormat="false" ht="26.85" hidden="false" customHeight="false" outlineLevel="0" collapsed="false">
      <c r="A29" s="14" t="s">
        <v>287</v>
      </c>
      <c r="B29" s="14" t="s">
        <v>236</v>
      </c>
      <c r="C29" s="33" t="n">
        <f aca="false">IFERROR(INDEX(Reference!$CW$2:$CW$4000, MATCH(Builder!G6&amp;"|"&amp;M29, Reference!$CQ$2:$CQ$4000, 0)), 3.85)</f>
        <v>3.85</v>
      </c>
      <c r="D29" s="33" t="n">
        <f aca="false">IFERROR(INDEX(Reference!$CX$2:$CX$4000, MATCH(Builder!G6&amp;"|"&amp;M29, Reference!$CQ$2:$CQ$4000, 0)), 1)</f>
        <v>1</v>
      </c>
      <c r="E29" s="33" t="n">
        <f aca="false">IFERROR(INDEX(Reference!$CY$2:$CY$4000, MATCH(Builder!G6&amp;"|"&amp;M29, Reference!$CQ$2:$CQ$4000, 0)), 1)</f>
        <v>1</v>
      </c>
      <c r="F29" s="33" t="n">
        <f aca="false">IFERROR(INDEX(Reference!$CZ$2:$CZ$4000, MATCH(Builder!G6&amp;"|"&amp;M29, Reference!$CQ$2:$CQ$4000, 0)), 1)</f>
        <v>1</v>
      </c>
      <c r="G29" s="33" t="n">
        <f aca="false">IF(Builder!B4="General",0+IFERROR(INDEX(Reference!$EG$2:$EG$8000, MATCH(Builder!E5&amp;"|"&amp;M29, Reference!$EB$2:$EB$8000, 0)), 0),IF(Builder!B4="Twin",0+IFERROR(INDEX(Reference!$EH$2:$EH$8000, MATCH(Builder!E5&amp;"|"&amp;M29, Reference!$EB$2:$EB$8000, 0)), 0),0+IFERROR(INDEX(Reference!$EI$2:$EI$8000, MATCH(Builder!E5&amp;"|"&amp;M29, Reference!$EB$2:$EB$8000, 0)), 0)))</f>
        <v>580</v>
      </c>
      <c r="H29" s="38" t="n">
        <f aca="false">IF(AND(Builder!E2="Insurance / Org Tariff",IFERROR(INDEX(Reference!$EZ$2:$EZ$1000, MATCH(M29, Reference!$EX$2:$EX$1000, 0)), "No")="Yes"),0,E29*G29)</f>
        <v>580</v>
      </c>
      <c r="I29" s="39" t="s">
        <v>196</v>
      </c>
      <c r="J29" s="40" t="n">
        <f aca="false">IF(AND(Builder!E2="Insurance / Org Tariff",IFERROR(INDEX(Reference!$EZ$2:$EZ$1000, MATCH(M29, Reference!$EX$2:$EX$1000, 0)), "No")="Yes"),0,D29*G29)</f>
        <v>580</v>
      </c>
      <c r="K29" s="38" t="n">
        <f aca="false">IF(AND(Builder!E2="Insurance / Org Tariff",IFERROR(INDEX(Reference!$EZ$2:$EZ$1000, MATCH(M29, Reference!$EX$2:$EX$1000, 0)), "No")="Yes"),0,E29*G29)</f>
        <v>580</v>
      </c>
      <c r="L29" s="40" t="n">
        <f aca="false">IF(AND(Builder!E2="Insurance / Org Tariff",IFERROR(INDEX(Reference!$EZ$2:$EZ$1000, MATCH(M29, Reference!$EX$2:$EX$1000, 0)), "No")="Yes"),0,F29*G29)</f>
        <v>580</v>
      </c>
      <c r="M29" s="41" t="s">
        <v>288</v>
      </c>
    </row>
    <row r="30" customFormat="false" ht="15" hidden="false" customHeight="false" outlineLevel="0" collapsed="false">
      <c r="A30" s="14" t="s">
        <v>289</v>
      </c>
      <c r="B30" s="14" t="s">
        <v>289</v>
      </c>
      <c r="C30" s="33" t="n">
        <f aca="false">IFERROR(INDEX(Reference!$CW$2:$CW$4000, MATCH(Builder!G6&amp;"|"&amp;M30, Reference!$CQ$2:$CQ$4000, 0)), 3.85)</f>
        <v>3.85</v>
      </c>
      <c r="D30" s="33" t="n">
        <f aca="false">IFERROR(INDEX(Reference!$CX$2:$CX$4000, MATCH(Builder!G6&amp;"|"&amp;M30, Reference!$CQ$2:$CQ$4000, 0)), 1)</f>
        <v>1</v>
      </c>
      <c r="E30" s="33" t="n">
        <f aca="false">IFERROR(INDEX(Reference!$CY$2:$CY$4000, MATCH(Builder!G6&amp;"|"&amp;M30, Reference!$CQ$2:$CQ$4000, 0)), 1)</f>
        <v>1</v>
      </c>
      <c r="F30" s="33" t="n">
        <f aca="false">IFERROR(INDEX(Reference!$CZ$2:$CZ$4000, MATCH(Builder!G6&amp;"|"&amp;M30, Reference!$CQ$2:$CQ$4000, 0)), 1)</f>
        <v>1</v>
      </c>
      <c r="G30" s="33" t="n">
        <f aca="false">IF(Builder!B4="General",0+IFERROR(INDEX(Reference!$EG$2:$EG$8000, MATCH(Builder!E5&amp;"|"&amp;M30, Reference!$EB$2:$EB$8000, 0)), 0),IF(Builder!B4="Twin",0+IFERROR(INDEX(Reference!$EH$2:$EH$8000, MATCH(Builder!E5&amp;"|"&amp;M30, Reference!$EB$2:$EB$8000, 0)), 0),0+IFERROR(INDEX(Reference!$EI$2:$EI$8000, MATCH(Builder!E5&amp;"|"&amp;M30, Reference!$EB$2:$EB$8000, 0)), 0)))</f>
        <v>500</v>
      </c>
      <c r="H30" s="38" t="n">
        <f aca="false">IF(AND(Builder!E2="Insurance / Org Tariff",IFERROR(INDEX(Reference!$EZ$2:$EZ$1000, MATCH(M30, Reference!$EX$2:$EX$1000, 0)), "No")="Yes"),0,E30*G30)</f>
        <v>500</v>
      </c>
      <c r="I30" s="39" t="s">
        <v>196</v>
      </c>
      <c r="J30" s="40" t="n">
        <f aca="false">IF(AND(Builder!E2="Insurance / Org Tariff",IFERROR(INDEX(Reference!$EZ$2:$EZ$1000, MATCH(M30, Reference!$EX$2:$EX$1000, 0)), "No")="Yes"),0,D30*G30)</f>
        <v>500</v>
      </c>
      <c r="K30" s="38" t="n">
        <f aca="false">IF(AND(Builder!E2="Insurance / Org Tariff",IFERROR(INDEX(Reference!$EZ$2:$EZ$1000, MATCH(M30, Reference!$EX$2:$EX$1000, 0)), "No")="Yes"),0,E30*G30)</f>
        <v>500</v>
      </c>
      <c r="L30" s="40" t="n">
        <f aca="false">IF(AND(Builder!E2="Insurance / Org Tariff",IFERROR(INDEX(Reference!$EZ$2:$EZ$1000, MATCH(M30, Reference!$EX$2:$EX$1000, 0)), "No")="Yes"),0,F30*G30)</f>
        <v>500</v>
      </c>
      <c r="M30" s="41" t="s">
        <v>290</v>
      </c>
    </row>
    <row r="31" customFormat="false" ht="15" hidden="false" customHeight="false" outlineLevel="0" collapsed="false">
      <c r="A31" s="14" t="s">
        <v>291</v>
      </c>
      <c r="B31" s="14" t="s">
        <v>292</v>
      </c>
      <c r="C31" s="33" t="n">
        <f aca="false">IFERROR(INDEX(Reference!$CW$2:$CW$4000, MATCH(Builder!G6&amp;"|"&amp;M31, Reference!$CQ$2:$CQ$4000, 0)), 3.85)</f>
        <v>3.85</v>
      </c>
      <c r="D31" s="33" t="n">
        <f aca="false">IFERROR(INDEX(Reference!$CX$2:$CX$4000, MATCH(Builder!G6&amp;"|"&amp;M31, Reference!$CQ$2:$CQ$4000, 0)), 1)</f>
        <v>1</v>
      </c>
      <c r="E31" s="33" t="n">
        <f aca="false">IFERROR(INDEX(Reference!$CY$2:$CY$4000, MATCH(Builder!G6&amp;"|"&amp;M31, Reference!$CQ$2:$CQ$4000, 0)), 1)</f>
        <v>1</v>
      </c>
      <c r="F31" s="33" t="n">
        <f aca="false">IFERROR(INDEX(Reference!$CZ$2:$CZ$4000, MATCH(Builder!G6&amp;"|"&amp;M31, Reference!$CQ$2:$CQ$4000, 0)), 1)</f>
        <v>1</v>
      </c>
      <c r="G31" s="33" t="n">
        <f aca="false">IF(Builder!B4="General",0+IFERROR(INDEX(Reference!$EG$2:$EG$8000, MATCH(Builder!E5&amp;"|"&amp;M31, Reference!$EB$2:$EB$8000, 0)), 0),IF(Builder!B4="Twin",0+IFERROR(INDEX(Reference!$EH$2:$EH$8000, MATCH(Builder!E5&amp;"|"&amp;M31, Reference!$EB$2:$EB$8000, 0)), 0),0+IFERROR(INDEX(Reference!$EI$2:$EI$8000, MATCH(Builder!E5&amp;"|"&amp;M31, Reference!$EB$2:$EB$8000, 0)), 0)))</f>
        <v>400</v>
      </c>
      <c r="H31" s="38" t="n">
        <f aca="false">IF(AND(Builder!E2="Insurance / Org Tariff",IFERROR(INDEX(Reference!$EZ$2:$EZ$1000, MATCH(M31, Reference!$EX$2:$EX$1000, 0)), "No")="Yes"),0,E31*G31)</f>
        <v>400</v>
      </c>
      <c r="I31" s="39" t="s">
        <v>196</v>
      </c>
      <c r="J31" s="40" t="n">
        <f aca="false">IF(AND(Builder!E2="Insurance / Org Tariff",IFERROR(INDEX(Reference!$EZ$2:$EZ$1000, MATCH(M31, Reference!$EX$2:$EX$1000, 0)), "No")="Yes"),0,D31*G31)</f>
        <v>400</v>
      </c>
      <c r="K31" s="38" t="n">
        <f aca="false">IF(AND(Builder!E2="Insurance / Org Tariff",IFERROR(INDEX(Reference!$EZ$2:$EZ$1000, MATCH(M31, Reference!$EX$2:$EX$1000, 0)), "No")="Yes"),0,E31*G31)</f>
        <v>400</v>
      </c>
      <c r="L31" s="40" t="n">
        <f aca="false">IF(AND(Builder!E2="Insurance / Org Tariff",IFERROR(INDEX(Reference!$EZ$2:$EZ$1000, MATCH(M31, Reference!$EX$2:$EX$1000, 0)), "No")="Yes"),0,F31*G31)</f>
        <v>400</v>
      </c>
      <c r="M31" s="41" t="s">
        <v>293</v>
      </c>
    </row>
    <row r="32" customFormat="false" ht="26.85" hidden="false" customHeight="false" outlineLevel="0" collapsed="false">
      <c r="A32" s="14" t="s">
        <v>294</v>
      </c>
      <c r="B32" s="14" t="s">
        <v>295</v>
      </c>
      <c r="C32" s="33" t="n">
        <f aca="false">IFERROR(INDEX(Reference!$CW$2:$CW$4000, MATCH(Builder!G6&amp;"|"&amp;M32, Reference!$CQ$2:$CQ$4000, 0)), 7.69)</f>
        <v>7.69</v>
      </c>
      <c r="D32" s="33" t="n">
        <f aca="false">IFERROR(INDEX(Reference!$CX$2:$CX$4000, MATCH(Builder!G6&amp;"|"&amp;M32, Reference!$CQ$2:$CQ$4000, 0)), 1)</f>
        <v>1</v>
      </c>
      <c r="E32" s="33" t="n">
        <f aca="false">IFERROR(INDEX(Reference!$CY$2:$CY$4000, MATCH(Builder!G6&amp;"|"&amp;M32, Reference!$CQ$2:$CQ$4000, 0)), 1)</f>
        <v>1</v>
      </c>
      <c r="F32" s="33" t="n">
        <f aca="false">IFERROR(INDEX(Reference!$CZ$2:$CZ$4000, MATCH(Builder!G6&amp;"|"&amp;M32, Reference!$CQ$2:$CQ$4000, 0)), 1)</f>
        <v>1</v>
      </c>
      <c r="G32" s="33" t="n">
        <f aca="false">IF(Builder!B4="General",0+IFERROR(INDEX(Reference!$EG$2:$EG$8000, MATCH(Builder!E5&amp;"|"&amp;M32, Reference!$EB$2:$EB$8000, 0)), 0),IF(Builder!B4="Twin",0+IFERROR(INDEX(Reference!$EH$2:$EH$8000, MATCH(Builder!E5&amp;"|"&amp;M32, Reference!$EB$2:$EB$8000, 0)), 0),0+IFERROR(INDEX(Reference!$EI$2:$EI$8000, MATCH(Builder!E5&amp;"|"&amp;M32, Reference!$EB$2:$EB$8000, 0)), 0)))</f>
        <v>150</v>
      </c>
      <c r="H32" s="38" t="n">
        <f aca="false">IF(AND(Builder!E2="Insurance / Org Tariff",IFERROR(INDEX(Reference!$EZ$2:$EZ$1000, MATCH(M32, Reference!$EX$2:$EX$1000, 0)), "No")="Yes"),0,E32*G32)</f>
        <v>150</v>
      </c>
      <c r="I32" s="39" t="s">
        <v>196</v>
      </c>
      <c r="J32" s="40" t="n">
        <f aca="false">IF(AND(Builder!E2="Insurance / Org Tariff",IFERROR(INDEX(Reference!$EZ$2:$EZ$1000, MATCH(M32, Reference!$EX$2:$EX$1000, 0)), "No")="Yes"),0,D32*G32)</f>
        <v>150</v>
      </c>
      <c r="K32" s="38" t="n">
        <f aca="false">IF(AND(Builder!E2="Insurance / Org Tariff",IFERROR(INDEX(Reference!$EZ$2:$EZ$1000, MATCH(M32, Reference!$EX$2:$EX$1000, 0)), "No")="Yes"),0,E32*G32)</f>
        <v>150</v>
      </c>
      <c r="L32" s="40" t="n">
        <f aca="false">IF(AND(Builder!E2="Insurance / Org Tariff",IFERROR(INDEX(Reference!$EZ$2:$EZ$1000, MATCH(M32, Reference!$EX$2:$EX$1000, 0)), "No")="Yes"),0,F32*G32)</f>
        <v>150</v>
      </c>
      <c r="M32" s="41" t="s">
        <v>296</v>
      </c>
    </row>
    <row r="33" customFormat="false" ht="26.85" hidden="false" customHeight="false" outlineLevel="0" collapsed="false">
      <c r="A33" s="14" t="s">
        <v>297</v>
      </c>
      <c r="B33" s="14" t="s">
        <v>274</v>
      </c>
      <c r="C33" s="33" t="n">
        <f aca="false">IFERROR(INDEX(Reference!$CW$2:$CW$4000, MATCH(Builder!G6&amp;"|"&amp;M33, Reference!$CQ$2:$CQ$4000, 0)), 7.69)</f>
        <v>7.69</v>
      </c>
      <c r="D33" s="33" t="n">
        <f aca="false">IFERROR(INDEX(Reference!$CX$2:$CX$4000, MATCH(Builder!G6&amp;"|"&amp;M33, Reference!$CQ$2:$CQ$4000, 0)), 1)</f>
        <v>1</v>
      </c>
      <c r="E33" s="33" t="n">
        <f aca="false">IFERROR(INDEX(Reference!$CY$2:$CY$4000, MATCH(Builder!G6&amp;"|"&amp;M33, Reference!$CQ$2:$CQ$4000, 0)), 1)</f>
        <v>1</v>
      </c>
      <c r="F33" s="33" t="n">
        <f aca="false">IFERROR(INDEX(Reference!$CZ$2:$CZ$4000, MATCH(Builder!G6&amp;"|"&amp;M33, Reference!$CQ$2:$CQ$4000, 0)), 1)</f>
        <v>1</v>
      </c>
      <c r="G33" s="33" t="n">
        <f aca="false">IF(Builder!B4="General",0+IFERROR(INDEX(Reference!$EG$2:$EG$8000, MATCH(Builder!E5&amp;"|"&amp;M33, Reference!$EB$2:$EB$8000, 0)), 0),IF(Builder!B4="Twin",0+IFERROR(INDEX(Reference!$EH$2:$EH$8000, MATCH(Builder!E5&amp;"|"&amp;M33, Reference!$EB$2:$EB$8000, 0)), 0),0+IFERROR(INDEX(Reference!$EI$2:$EI$8000, MATCH(Builder!E5&amp;"|"&amp;M33, Reference!$EB$2:$EB$8000, 0)), 0)))</f>
        <v>1</v>
      </c>
      <c r="H33" s="38" t="n">
        <f aca="false">IF(AND(Builder!E2="Insurance / Org Tariff",IFERROR(INDEX(Reference!$EZ$2:$EZ$1000, MATCH(M33, Reference!$EX$2:$EX$1000, 0)), "No")="Yes"),0,E33*G33)</f>
        <v>1</v>
      </c>
      <c r="I33" s="39" t="s">
        <v>196</v>
      </c>
      <c r="J33" s="40" t="n">
        <f aca="false">IF(AND(Builder!E2="Insurance / Org Tariff",IFERROR(INDEX(Reference!$EZ$2:$EZ$1000, MATCH(M33, Reference!$EX$2:$EX$1000, 0)), "No")="Yes"),0,D33*G33)</f>
        <v>1</v>
      </c>
      <c r="K33" s="38" t="n">
        <f aca="false">IF(AND(Builder!E2="Insurance / Org Tariff",IFERROR(INDEX(Reference!$EZ$2:$EZ$1000, MATCH(M33, Reference!$EX$2:$EX$1000, 0)), "No")="Yes"),0,E33*G33)</f>
        <v>1</v>
      </c>
      <c r="L33" s="40" t="n">
        <f aca="false">IF(AND(Builder!E2="Insurance / Org Tariff",IFERROR(INDEX(Reference!$EZ$2:$EZ$1000, MATCH(M33, Reference!$EX$2:$EX$1000, 0)), "No")="Yes"),0,F33*G33)</f>
        <v>1</v>
      </c>
      <c r="M33" s="41" t="s">
        <v>298</v>
      </c>
    </row>
  </sheetData>
  <dataValidations count="1">
    <dataValidation allowBlank="false" errorStyle="stop" operator="between" showDropDown="false" showErrorMessage="false" showInputMessage="false" sqref="I7:I33" type="list">
      <formula1>"Include,Exclude"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14"/>
    <col collapsed="false" customWidth="true" hidden="false" outlineLevel="0" max="11" min="4" style="0" width="16"/>
    <col collapsed="false" customWidth="true" hidden="false" outlineLevel="0" max="12" min="12" style="0" width="12"/>
    <col collapsed="false" customWidth="true" hidden="false" outlineLevel="0" max="13" min="13" style="0" width="16"/>
    <col collapsed="false" customWidth="true" hidden="false" outlineLevel="0" max="14" min="14" style="0" width="34"/>
    <col collapsed="false" customWidth="true" hidden="true" outlineLevel="0" max="17" min="15" style="0" width="13"/>
  </cols>
  <sheetData>
    <row r="1" customFormat="false" ht="15" hidden="false" customHeight="false" outlineLevel="0" collapsed="false">
      <c r="A1" s="1" t="s">
        <v>299</v>
      </c>
      <c r="B1" s="1"/>
      <c r="C1" s="1"/>
      <c r="D1" s="1"/>
      <c r="E1" s="1"/>
      <c r="F1" s="1"/>
      <c r="G1" s="1"/>
      <c r="H1" s="1"/>
      <c r="I1" s="1"/>
      <c r="J1" s="1"/>
      <c r="K1" s="1"/>
      <c r="L1" s="1"/>
      <c r="M1" s="1"/>
      <c r="N1" s="1"/>
    </row>
    <row r="2" customFormat="false" ht="115.65" hidden="false" customHeight="false" outlineLevel="0" collapsed="false">
      <c r="A2" s="14" t="s">
        <v>300</v>
      </c>
      <c r="B2" s="14"/>
      <c r="C2" s="14"/>
      <c r="D2" s="14"/>
      <c r="E2" s="14"/>
      <c r="F2" s="14"/>
      <c r="G2" s="14"/>
      <c r="H2" s="14"/>
      <c r="I2" s="14"/>
      <c r="J2" s="14"/>
      <c r="K2" s="14"/>
      <c r="L2" s="14"/>
      <c r="M2" s="14"/>
      <c r="N2" s="14"/>
    </row>
    <row r="4" customFormat="false" ht="15" hidden="false" customHeight="false" outlineLevel="0" collapsed="false">
      <c r="A4" s="18" t="s">
        <v>299</v>
      </c>
      <c r="B4" s="18" t="s">
        <v>60</v>
      </c>
      <c r="C4" s="18" t="s">
        <v>15</v>
      </c>
      <c r="D4" s="18" t="s">
        <v>61</v>
      </c>
      <c r="E4" s="0" t="s">
        <v>301</v>
      </c>
    </row>
    <row r="5" customFormat="false" ht="15" hidden="false" customHeight="false" outlineLevel="0" collapsed="false">
      <c r="A5" s="16"/>
      <c r="B5" s="16" t="n">
        <f aca="false">SUMIF(L7:L9,"Include",I7:I9)</f>
        <v>6042.5</v>
      </c>
      <c r="C5" s="16" t="n">
        <f aca="false">SUMIF(L7:L9,"Include",J7:J9)</f>
        <v>7280</v>
      </c>
      <c r="D5" s="16" t="n">
        <f aca="false">SUMIF(L7:L9,"Include",K7:K9)</f>
        <v>7830</v>
      </c>
      <c r="E5" s="42" t="n">
        <f aca="false">COUNTIF(L7:L9,"Include")</f>
        <v>3</v>
      </c>
    </row>
    <row r="6" customFormat="false" ht="39.55" hidden="false" customHeight="false" outlineLevel="0" collapsed="false">
      <c r="A6" s="37" t="s">
        <v>210</v>
      </c>
      <c r="B6" s="37" t="s">
        <v>302</v>
      </c>
      <c r="C6" s="37" t="s">
        <v>303</v>
      </c>
      <c r="D6" s="37" t="s">
        <v>304</v>
      </c>
      <c r="E6" s="37" t="s">
        <v>305</v>
      </c>
      <c r="F6" s="37" t="s">
        <v>306</v>
      </c>
      <c r="G6" s="37" t="s">
        <v>307</v>
      </c>
      <c r="H6" s="37" t="s">
        <v>308</v>
      </c>
      <c r="I6" s="37" t="s">
        <v>309</v>
      </c>
      <c r="J6" s="37" t="s">
        <v>310</v>
      </c>
      <c r="K6" s="37" t="s">
        <v>311</v>
      </c>
      <c r="L6" s="37" t="s">
        <v>165</v>
      </c>
      <c r="M6" s="37" t="s">
        <v>312</v>
      </c>
      <c r="N6" s="37" t="s">
        <v>313</v>
      </c>
    </row>
    <row r="7" customFormat="false" ht="15" hidden="false" customHeight="false" outlineLevel="0" collapsed="false">
      <c r="A7" s="14" t="s">
        <v>221</v>
      </c>
      <c r="B7" s="14" t="s">
        <v>81</v>
      </c>
      <c r="C7" s="34" t="n">
        <v>0.6154</v>
      </c>
      <c r="D7" s="33" t="n">
        <v>4722.5</v>
      </c>
      <c r="E7" s="33" t="n">
        <v>5590</v>
      </c>
      <c r="F7" s="33" t="n">
        <v>5800</v>
      </c>
      <c r="G7" s="33" t="n">
        <v>0</v>
      </c>
      <c r="H7" s="40" t="n">
        <f aca="false">IF(Builder!B5="Low",O7,IF(Builder!B5="Typical",P7,Q7))</f>
        <v>0</v>
      </c>
      <c r="I7" s="40" t="n">
        <f aca="false">MAX(0,D7-G7-O7)</f>
        <v>4722.5</v>
      </c>
      <c r="J7" s="38" t="n">
        <f aca="false">MAX(0,E7-G7-P7)</f>
        <v>5590</v>
      </c>
      <c r="K7" s="40" t="n">
        <f aca="false">MAX(0,F7-G7-Q7)</f>
        <v>5800</v>
      </c>
      <c r="L7" s="39" t="s">
        <v>314</v>
      </c>
      <c r="M7" s="38" t="n">
        <f aca="false">IF(L7="Include",IF(Builder!B5="Low",I7,IF(Builder!B5="Typical",J7,K7)),0)</f>
        <v>5590</v>
      </c>
      <c r="N7" s="14" t="s">
        <v>315</v>
      </c>
      <c r="O7" s="0" t="n">
        <f aca="false">SUMIFS('Service Add-Ons'!$J:$J,'Service Add-Ons'!$B:$B,$A7,'Service Add-Ons'!$I:$I,"Include")</f>
        <v>0</v>
      </c>
      <c r="P7" s="0" t="n">
        <f aca="false">SUMIFS('Service Add-Ons'!$K:$K,'Service Add-Ons'!$B:$B,$A7,'Service Add-Ons'!$I:$I,"Include")</f>
        <v>0</v>
      </c>
      <c r="Q7" s="0" t="n">
        <f aca="false">SUMIFS('Service Add-Ons'!$L:$L,'Service Add-Ons'!$B:$B,$A7,'Service Add-Ons'!$I:$I,"Include")</f>
        <v>0</v>
      </c>
    </row>
    <row r="8" customFormat="false" ht="15" hidden="false" customHeight="false" outlineLevel="0" collapsed="false">
      <c r="A8" s="14" t="s">
        <v>232</v>
      </c>
      <c r="B8" s="14" t="s">
        <v>81</v>
      </c>
      <c r="C8" s="34" t="n">
        <v>0.5385</v>
      </c>
      <c r="D8" s="33" t="n">
        <v>1320</v>
      </c>
      <c r="E8" s="33" t="n">
        <v>1320</v>
      </c>
      <c r="F8" s="33" t="n">
        <v>1540</v>
      </c>
      <c r="G8" s="33" t="n">
        <v>0</v>
      </c>
      <c r="H8" s="40" t="n">
        <f aca="false">IF(Builder!B5="Low",O8,IF(Builder!B5="Typical",P8,Q8))</f>
        <v>0</v>
      </c>
      <c r="I8" s="40" t="n">
        <f aca="false">MAX(0,D8-G8-O8)</f>
        <v>1320</v>
      </c>
      <c r="J8" s="38" t="n">
        <f aca="false">MAX(0,E8-G8-P8)</f>
        <v>1320</v>
      </c>
      <c r="K8" s="40" t="n">
        <f aca="false">MAX(0,F8-G8-Q8)</f>
        <v>1540</v>
      </c>
      <c r="L8" s="39" t="s">
        <v>314</v>
      </c>
      <c r="M8" s="38" t="n">
        <f aca="false">IF(L8="Include",IF(Builder!B5="Low",I8,IF(Builder!B5="Typical",J8,K8)),0)</f>
        <v>1320</v>
      </c>
      <c r="N8" s="14" t="s">
        <v>315</v>
      </c>
      <c r="O8" s="0" t="n">
        <f aca="false">SUMIFS('Service Add-Ons'!$J:$J,'Service Add-Ons'!$B:$B,$A8,'Service Add-Ons'!$I:$I,"Include")</f>
        <v>0</v>
      </c>
      <c r="P8" s="0" t="n">
        <f aca="false">SUMIFS('Service Add-Ons'!$K:$K,'Service Add-Ons'!$B:$B,$A8,'Service Add-Ons'!$I:$I,"Include")</f>
        <v>0</v>
      </c>
      <c r="Q8" s="0" t="n">
        <f aca="false">SUMIFS('Service Add-Ons'!$L:$L,'Service Add-Ons'!$B:$B,$A8,'Service Add-Ons'!$I:$I,"Include")</f>
        <v>0</v>
      </c>
    </row>
    <row r="9" customFormat="false" ht="15" hidden="false" customHeight="false" outlineLevel="0" collapsed="false">
      <c r="A9" s="14" t="s">
        <v>248</v>
      </c>
      <c r="B9" s="14" t="s">
        <v>81</v>
      </c>
      <c r="C9" s="34" t="n">
        <v>1</v>
      </c>
      <c r="D9" s="33" t="n">
        <v>1710</v>
      </c>
      <c r="E9" s="33" t="n">
        <v>2080</v>
      </c>
      <c r="F9" s="33" t="n">
        <v>2200</v>
      </c>
      <c r="G9" s="33" t="n">
        <v>1710</v>
      </c>
      <c r="H9" s="40" t="n">
        <f aca="false">IF(Builder!B5="Low",O9,IF(Builder!B5="Typical",P9,Q9))</f>
        <v>0</v>
      </c>
      <c r="I9" s="40" t="n">
        <f aca="false">MAX(0,D9-G9-O9)</f>
        <v>0</v>
      </c>
      <c r="J9" s="38" t="n">
        <f aca="false">MAX(0,E9-G9-P9)</f>
        <v>370</v>
      </c>
      <c r="K9" s="40" t="n">
        <f aca="false">MAX(0,F9-G9-Q9)</f>
        <v>490</v>
      </c>
      <c r="L9" s="39" t="s">
        <v>314</v>
      </c>
      <c r="M9" s="38" t="n">
        <f aca="false">IF(L9="Include",IF(Builder!B5="Low",I9,IF(Builder!B5="Typical",J9,K9)),0)</f>
        <v>370</v>
      </c>
      <c r="N9" s="14" t="s">
        <v>315</v>
      </c>
      <c r="O9" s="0" t="n">
        <f aca="false">SUMIFS('Service Add-Ons'!$J:$J,'Service Add-Ons'!$B:$B,$A9,'Service Add-Ons'!$I:$I,"Include")</f>
        <v>0</v>
      </c>
      <c r="P9" s="0" t="n">
        <f aca="false">SUMIFS('Service Add-Ons'!$K:$K,'Service Add-Ons'!$B:$B,$A9,'Service Add-Ons'!$I:$I,"Include")</f>
        <v>0</v>
      </c>
      <c r="Q9" s="0" t="n">
        <f aca="false">SUMIFS('Service Add-Ons'!$L:$L,'Service Add-Ons'!$B:$B,$A9,'Service Add-Ons'!$I:$I,"Include")</f>
        <v>0</v>
      </c>
    </row>
  </sheetData>
  <dataValidations count="1">
    <dataValidation allowBlank="false" errorStyle="stop" operator="between" showDropDown="false" showErrorMessage="false" showInputMessage="false" sqref="L7:L9" type="list">
      <formula1>"Include,Exclude"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44"/>
    <col collapsed="false" customWidth="true" hidden="false" outlineLevel="0" max="4" min="4" style="0" width="14"/>
    <col collapsed="false" customWidth="true" hidden="false" outlineLevel="0" max="6" min="5" style="0" width="16"/>
    <col collapsed="false" customWidth="true" hidden="false" outlineLevel="0" max="7" min="7" style="0" width="36"/>
  </cols>
  <sheetData>
    <row r="1" customFormat="false" ht="15" hidden="false" customHeight="false" outlineLevel="0" collapsed="false">
      <c r="A1" s="1" t="s">
        <v>316</v>
      </c>
      <c r="B1" s="1"/>
      <c r="C1" s="1"/>
      <c r="D1" s="1"/>
      <c r="E1" s="1"/>
      <c r="F1" s="1"/>
      <c r="G1" s="1"/>
      <c r="H1" s="1"/>
      <c r="I1" s="1"/>
      <c r="J1" s="1"/>
      <c r="K1" s="1"/>
      <c r="L1" s="1"/>
      <c r="M1" s="1"/>
      <c r="N1" s="1"/>
      <c r="O1" s="1"/>
      <c r="P1" s="1"/>
    </row>
    <row r="2" customFormat="false" ht="90.25" hidden="false" customHeight="false" outlineLevel="0" collapsed="false">
      <c r="A2" s="14" t="s">
        <v>317</v>
      </c>
      <c r="B2" s="14"/>
      <c r="C2" s="14"/>
      <c r="D2" s="14"/>
      <c r="E2" s="14"/>
      <c r="F2" s="14"/>
      <c r="G2" s="14"/>
      <c r="H2" s="14"/>
      <c r="I2" s="14"/>
      <c r="J2" s="14"/>
      <c r="K2" s="14"/>
      <c r="L2" s="14"/>
      <c r="M2" s="14"/>
      <c r="N2" s="14"/>
      <c r="O2" s="14"/>
      <c r="P2" s="14"/>
    </row>
    <row r="4" customFormat="false" ht="39.55" hidden="false" customHeight="false" outlineLevel="0" collapsed="false">
      <c r="A4" s="37" t="s">
        <v>210</v>
      </c>
      <c r="B4" s="37" t="s">
        <v>302</v>
      </c>
      <c r="C4" s="37" t="s">
        <v>303</v>
      </c>
      <c r="D4" s="37" t="s">
        <v>305</v>
      </c>
      <c r="E4" s="37" t="s">
        <v>318</v>
      </c>
      <c r="F4" s="37" t="s">
        <v>319</v>
      </c>
      <c r="G4" s="37" t="s">
        <v>162</v>
      </c>
    </row>
    <row r="5" customFormat="false" ht="15" hidden="false" customHeight="false" outlineLevel="0" collapsed="false">
      <c r="A5" s="14" t="s">
        <v>248</v>
      </c>
      <c r="B5" s="14" t="s">
        <v>81</v>
      </c>
      <c r="C5" s="43" t="n">
        <v>1</v>
      </c>
      <c r="D5" s="33" t="s">
        <v>320</v>
      </c>
      <c r="E5" s="33" t="s">
        <v>321</v>
      </c>
      <c r="F5" s="33" t="s">
        <v>322</v>
      </c>
      <c r="G5" s="14" t="s">
        <v>323</v>
      </c>
    </row>
    <row r="10" customFormat="false" ht="15" hidden="false" customHeight="false" outlineLevel="0" collapsed="false">
      <c r="A10" s="5" t="s">
        <v>324</v>
      </c>
      <c r="B10" s="5"/>
      <c r="C10" s="5"/>
      <c r="D10" s="5"/>
      <c r="E10" s="5"/>
      <c r="F10" s="5"/>
      <c r="G10" s="5"/>
      <c r="H10" s="5"/>
      <c r="I10" s="5"/>
      <c r="J10" s="5"/>
      <c r="K10" s="5"/>
      <c r="L10" s="5"/>
      <c r="M10" s="5"/>
      <c r="N10" s="5"/>
      <c r="O10" s="5"/>
      <c r="P10" s="5"/>
    </row>
    <row r="11" customFormat="false" ht="52.2" hidden="false" customHeight="false" outlineLevel="0" collapsed="false">
      <c r="A11" s="14" t="s">
        <v>325</v>
      </c>
      <c r="B11" s="14"/>
      <c r="C11" s="14"/>
      <c r="D11" s="14"/>
      <c r="E11" s="14"/>
      <c r="F11" s="14"/>
      <c r="G11" s="14"/>
      <c r="H11" s="14"/>
      <c r="I11" s="14"/>
      <c r="J11" s="14"/>
      <c r="K11" s="14"/>
      <c r="L11" s="14"/>
      <c r="M11" s="14"/>
      <c r="N11" s="14"/>
      <c r="O11" s="14"/>
      <c r="P11" s="14"/>
    </row>
    <row r="12" customFormat="false" ht="26.85" hidden="false" customHeight="false" outlineLevel="0" collapsed="false">
      <c r="A12" s="37" t="s">
        <v>210</v>
      </c>
      <c r="B12" s="37" t="s">
        <v>326</v>
      </c>
      <c r="C12" s="37" t="s">
        <v>327</v>
      </c>
      <c r="D12" s="37" t="s">
        <v>192</v>
      </c>
      <c r="E12" s="37" t="s">
        <v>191</v>
      </c>
      <c r="F12" s="37" t="s">
        <v>328</v>
      </c>
      <c r="G12" s="37" t="s">
        <v>329</v>
      </c>
    </row>
    <row r="13" customFormat="false" ht="15" hidden="false" customHeight="false" outlineLevel="0" collapsed="false">
      <c r="A13" s="14" t="s">
        <v>248</v>
      </c>
      <c r="B13" s="41" t="s">
        <v>330</v>
      </c>
      <c r="C13" s="14" t="s">
        <v>331</v>
      </c>
      <c r="D13" s="43" t="n">
        <v>0.9615</v>
      </c>
      <c r="E13" s="33" t="s">
        <v>332</v>
      </c>
      <c r="F13" s="14" t="s">
        <v>25</v>
      </c>
      <c r="G13" s="14" t="s">
        <v>333</v>
      </c>
    </row>
    <row r="14" customFormat="false" ht="15" hidden="false" customHeight="false" outlineLevel="0" collapsed="false">
      <c r="A14" s="14" t="s">
        <v>248</v>
      </c>
      <c r="B14" s="41" t="s">
        <v>334</v>
      </c>
      <c r="C14" s="14" t="s">
        <v>335</v>
      </c>
      <c r="D14" s="43" t="n">
        <v>0.8846</v>
      </c>
      <c r="E14" s="33" t="s">
        <v>336</v>
      </c>
      <c r="F14" s="14" t="s">
        <v>25</v>
      </c>
      <c r="G14" s="14" t="s">
        <v>333</v>
      </c>
    </row>
    <row r="15" customFormat="false" ht="15" hidden="false" customHeight="false" outlineLevel="0" collapsed="false">
      <c r="A15" s="14" t="s">
        <v>248</v>
      </c>
      <c r="B15" s="41" t="s">
        <v>249</v>
      </c>
      <c r="C15" s="14" t="s">
        <v>247</v>
      </c>
      <c r="D15" s="43" t="n">
        <v>0.5385</v>
      </c>
      <c r="E15" s="33" t="s">
        <v>322</v>
      </c>
      <c r="F15" s="14" t="s">
        <v>19</v>
      </c>
      <c r="G15" s="14" t="s">
        <v>337</v>
      </c>
    </row>
    <row r="16" customFormat="false" ht="15" hidden="false" customHeight="false" outlineLevel="0" collapsed="false">
      <c r="A16" s="14" t="s">
        <v>248</v>
      </c>
      <c r="B16" s="41" t="s">
        <v>280</v>
      </c>
      <c r="C16" s="14" t="s">
        <v>279</v>
      </c>
      <c r="D16" s="43" t="n">
        <v>0.0385</v>
      </c>
      <c r="E16" s="33" t="s">
        <v>338</v>
      </c>
      <c r="F16" s="14" t="s">
        <v>19</v>
      </c>
      <c r="G16" s="14" t="s">
        <v>337</v>
      </c>
    </row>
  </sheetData>
  <autoFilter ref="A12:G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8"/>
    <col collapsed="false" customWidth="true" hidden="false" outlineLevel="0" max="3" min="3" style="0" width="42"/>
    <col collapsed="false" customWidth="true" hidden="false" outlineLevel="0" max="4" min="4" style="0" width="10"/>
    <col collapsed="false" customWidth="true" hidden="false" outlineLevel="0" max="5" min="5" style="0" width="18"/>
    <col collapsed="false" customWidth="true" hidden="false" outlineLevel="0" max="8" min="6" style="0" width="14"/>
    <col collapsed="false" customWidth="true" hidden="false" outlineLevel="0" max="9" min="9" style="0" width="2"/>
    <col collapsed="false" customWidth="true" hidden="false" outlineLevel="0" max="11" min="11" style="0" width="18"/>
    <col collapsed="false" customWidth="true" hidden="false" outlineLevel="0" max="12" min="12" style="0" width="22"/>
    <col collapsed="false" customWidth="true" hidden="false" outlineLevel="0" max="13" min="13" style="0" width="14"/>
    <col collapsed="false" customWidth="true" hidden="false" outlineLevel="0" max="15" min="14" style="0" width="12"/>
    <col collapsed="false" customWidth="true" hidden="false" outlineLevel="0" max="16" min="16" style="0" width="14"/>
    <col collapsed="false" customWidth="true" hidden="false" outlineLevel="0" max="17" min="17" style="0" width="16"/>
    <col collapsed="false" customWidth="true" hidden="true" outlineLevel="0" max="18" min="18" style="0" width="14"/>
    <col collapsed="false" customWidth="true" hidden="true" outlineLevel="0" max="19" min="19" style="0" width="18"/>
    <col collapsed="false" customWidth="true" hidden="true" outlineLevel="0" max="44" min="20" style="0" width="13"/>
  </cols>
  <sheetData>
    <row r="1" customFormat="false" ht="15" hidden="false" customHeight="false" outlineLevel="0" collapsed="false">
      <c r="A1" s="1" t="s">
        <v>339</v>
      </c>
      <c r="B1" s="1"/>
      <c r="C1" s="1"/>
      <c r="D1" s="1"/>
      <c r="E1" s="1"/>
      <c r="F1" s="1"/>
      <c r="G1" s="1"/>
      <c r="H1" s="1"/>
      <c r="I1" s="1"/>
      <c r="J1" s="1"/>
      <c r="K1" s="1"/>
      <c r="L1" s="1"/>
      <c r="M1" s="1"/>
      <c r="N1" s="1"/>
      <c r="O1" s="1"/>
      <c r="P1" s="1"/>
      <c r="Q1" s="1"/>
      <c r="R1" s="1" t="s">
        <v>340</v>
      </c>
      <c r="S1" s="0" t="s">
        <v>341</v>
      </c>
      <c r="T1" s="0" t="s">
        <v>342</v>
      </c>
      <c r="U1" s="0" t="s">
        <v>343</v>
      </c>
      <c r="V1" s="0" t="s">
        <v>344</v>
      </c>
      <c r="W1" s="0" t="s">
        <v>211</v>
      </c>
      <c r="X1" s="0" t="s">
        <v>212</v>
      </c>
      <c r="Y1" s="0" t="s">
        <v>213</v>
      </c>
      <c r="Z1" s="0" t="s">
        <v>345</v>
      </c>
      <c r="AA1" s="0" t="s">
        <v>346</v>
      </c>
      <c r="AB1" s="0" t="s">
        <v>347</v>
      </c>
      <c r="AD1" s="0" t="s">
        <v>343</v>
      </c>
      <c r="AE1" s="0" t="s">
        <v>348</v>
      </c>
      <c r="AF1" s="0" t="s">
        <v>344</v>
      </c>
      <c r="AG1" s="0" t="s">
        <v>212</v>
      </c>
      <c r="AH1" s="0" t="s">
        <v>346</v>
      </c>
      <c r="AI1" s="0" t="s">
        <v>347</v>
      </c>
      <c r="AJ1" s="0" t="s">
        <v>349</v>
      </c>
      <c r="AK1" s="0" t="s">
        <v>343</v>
      </c>
      <c r="AL1" s="0" t="s">
        <v>348</v>
      </c>
      <c r="AM1" s="0" t="s">
        <v>326</v>
      </c>
      <c r="AN1" s="0" t="s">
        <v>327</v>
      </c>
      <c r="AO1" s="0" t="s">
        <v>344</v>
      </c>
      <c r="AP1" s="0" t="s">
        <v>212</v>
      </c>
      <c r="AQ1" s="0" t="s">
        <v>346</v>
      </c>
      <c r="AR1" s="0" t="s">
        <v>347</v>
      </c>
    </row>
    <row r="2" customFormat="false" ht="64.9" hidden="false" customHeight="false" outlineLevel="0" collapsed="false">
      <c r="A2" s="14" t="s">
        <v>350</v>
      </c>
      <c r="B2" s="14"/>
      <c r="C2" s="14"/>
      <c r="D2" s="14"/>
      <c r="E2" s="14"/>
      <c r="F2" s="14"/>
      <c r="G2" s="14"/>
      <c r="H2" s="14"/>
      <c r="I2" s="14"/>
      <c r="J2" s="14"/>
      <c r="K2" s="14"/>
      <c r="L2" s="14"/>
      <c r="M2" s="14"/>
      <c r="N2" s="14"/>
      <c r="O2" s="14"/>
      <c r="P2" s="14"/>
      <c r="Q2" s="14"/>
      <c r="R2" s="14" t="s">
        <v>351</v>
      </c>
      <c r="S2" s="0" t="s">
        <v>351</v>
      </c>
      <c r="T2" s="0" t="s">
        <v>352</v>
      </c>
      <c r="U2" s="0" t="s">
        <v>353</v>
      </c>
      <c r="V2" s="0" t="n">
        <v>100</v>
      </c>
      <c r="W2" s="0" t="n">
        <v>1</v>
      </c>
      <c r="X2" s="0" t="n">
        <v>1</v>
      </c>
      <c r="Y2" s="0" t="n">
        <v>1</v>
      </c>
      <c r="Z2" s="0" t="n">
        <v>36130</v>
      </c>
      <c r="AA2" s="0" t="n">
        <v>36130</v>
      </c>
      <c r="AB2" s="0" t="n">
        <v>36130</v>
      </c>
      <c r="AD2" s="0" t="s">
        <v>353</v>
      </c>
      <c r="AE2" s="0" t="s">
        <v>354</v>
      </c>
      <c r="AF2" s="0" t="n">
        <v>38.46</v>
      </c>
      <c r="AG2" s="0" t="n">
        <v>3</v>
      </c>
      <c r="AH2" s="0" t="n">
        <v>36136</v>
      </c>
      <c r="AI2" s="0" t="n">
        <v>108408</v>
      </c>
      <c r="AJ2" s="0" t="s">
        <v>355</v>
      </c>
      <c r="AK2" s="0" t="s">
        <v>353</v>
      </c>
      <c r="AL2" s="0" t="s">
        <v>354</v>
      </c>
      <c r="AM2" s="0" t="s">
        <v>356</v>
      </c>
      <c r="AN2" s="0" t="s">
        <v>357</v>
      </c>
      <c r="AO2" s="0" t="n">
        <v>11.54</v>
      </c>
      <c r="AP2" s="0" t="n">
        <v>1</v>
      </c>
      <c r="AQ2" s="0" t="n">
        <v>36136</v>
      </c>
      <c r="AR2" s="0" t="n">
        <v>36136</v>
      </c>
    </row>
    <row r="3" customFormat="false" ht="115.65" hidden="false" customHeight="false" outlineLevel="0" collapsed="false">
      <c r="A3" s="14" t="s">
        <v>358</v>
      </c>
      <c r="B3" s="14"/>
      <c r="C3" s="14"/>
      <c r="D3" s="14"/>
      <c r="E3" s="14"/>
      <c r="F3" s="14"/>
      <c r="G3" s="14"/>
      <c r="H3" s="14"/>
      <c r="I3" s="14"/>
      <c r="J3" s="14"/>
      <c r="K3" s="14"/>
      <c r="L3" s="14"/>
      <c r="M3" s="14"/>
      <c r="N3" s="14"/>
      <c r="O3" s="14"/>
      <c r="P3" s="14"/>
      <c r="Q3" s="14"/>
      <c r="R3" s="14" t="s">
        <v>353</v>
      </c>
      <c r="S3" s="0" t="s">
        <v>354</v>
      </c>
      <c r="T3" s="0" t="s">
        <v>356</v>
      </c>
      <c r="U3" s="0" t="s">
        <v>359</v>
      </c>
      <c r="V3" s="0" t="n">
        <v>100</v>
      </c>
      <c r="W3" s="0" t="n">
        <v>1</v>
      </c>
      <c r="X3" s="0" t="n">
        <v>1</v>
      </c>
      <c r="Y3" s="0" t="n">
        <v>1</v>
      </c>
      <c r="Z3" s="0" t="n">
        <v>13340.05</v>
      </c>
      <c r="AA3" s="0" t="n">
        <v>13340.05</v>
      </c>
      <c r="AB3" s="0" t="n">
        <v>13340.05</v>
      </c>
      <c r="AD3" s="0" t="s">
        <v>353</v>
      </c>
      <c r="AE3" s="0" t="s">
        <v>360</v>
      </c>
      <c r="AF3" s="0" t="n">
        <v>15.38</v>
      </c>
      <c r="AG3" s="0" t="n">
        <v>3</v>
      </c>
      <c r="AH3" s="0" t="n">
        <v>33925</v>
      </c>
      <c r="AI3" s="0" t="n">
        <v>101775</v>
      </c>
      <c r="AJ3" s="0" t="s">
        <v>361</v>
      </c>
      <c r="AK3" s="0" t="s">
        <v>353</v>
      </c>
      <c r="AL3" s="0" t="s">
        <v>354</v>
      </c>
      <c r="AM3" s="0" t="s">
        <v>362</v>
      </c>
      <c r="AN3" s="0" t="s">
        <v>363</v>
      </c>
      <c r="AO3" s="0" t="n">
        <v>3.85</v>
      </c>
      <c r="AP3" s="0" t="n">
        <v>1</v>
      </c>
      <c r="AQ3" s="0" t="n">
        <v>36136</v>
      </c>
      <c r="AR3" s="0" t="n">
        <v>36136</v>
      </c>
    </row>
    <row r="4" customFormat="false" ht="15" hidden="false" customHeight="false" outlineLevel="0" collapsed="false">
      <c r="A4" s="15" t="s">
        <v>364</v>
      </c>
      <c r="B4" s="44" t="s">
        <v>365</v>
      </c>
      <c r="E4" s="45" t="s">
        <v>101</v>
      </c>
      <c r="F4" s="45" t="s">
        <v>60</v>
      </c>
      <c r="G4" s="45" t="s">
        <v>15</v>
      </c>
      <c r="H4" s="45" t="s">
        <v>61</v>
      </c>
      <c r="R4" s="0" t="s">
        <v>359</v>
      </c>
      <c r="S4" s="0" t="s">
        <v>366</v>
      </c>
      <c r="T4" s="0" t="s">
        <v>362</v>
      </c>
      <c r="U4" s="0" t="s">
        <v>367</v>
      </c>
      <c r="V4" s="0" t="n">
        <v>100</v>
      </c>
      <c r="W4" s="0" t="n">
        <v>1</v>
      </c>
      <c r="X4" s="0" t="n">
        <v>1</v>
      </c>
      <c r="Y4" s="0" t="n">
        <v>1</v>
      </c>
      <c r="Z4" s="0" t="n">
        <v>0.1</v>
      </c>
      <c r="AA4" s="0" t="n">
        <v>0.1</v>
      </c>
      <c r="AB4" s="0" t="n">
        <v>0.1</v>
      </c>
      <c r="AD4" s="0" t="s">
        <v>353</v>
      </c>
      <c r="AE4" s="0" t="s">
        <v>368</v>
      </c>
      <c r="AF4" s="0" t="n">
        <v>46.15</v>
      </c>
      <c r="AG4" s="0" t="n">
        <v>3</v>
      </c>
      <c r="AH4" s="0" t="n">
        <v>36130</v>
      </c>
      <c r="AI4" s="0" t="n">
        <v>108390</v>
      </c>
      <c r="AJ4" s="0" t="s">
        <v>369</v>
      </c>
      <c r="AK4" s="0" t="s">
        <v>353</v>
      </c>
      <c r="AL4" s="0" t="s">
        <v>354</v>
      </c>
      <c r="AM4" s="0" t="s">
        <v>370</v>
      </c>
      <c r="AN4" s="0" t="s">
        <v>371</v>
      </c>
      <c r="AO4" s="0" t="n">
        <v>3.85</v>
      </c>
      <c r="AP4" s="0" t="n">
        <v>1</v>
      </c>
      <c r="AQ4" s="0" t="n">
        <v>36136</v>
      </c>
      <c r="AR4" s="0" t="n">
        <v>36136</v>
      </c>
    </row>
    <row r="5" customFormat="false" ht="15" hidden="false" customHeight="false" outlineLevel="0" collapsed="false">
      <c r="A5" s="15" t="s">
        <v>372</v>
      </c>
      <c r="B5" s="44" t="s">
        <v>351</v>
      </c>
      <c r="E5" s="16"/>
      <c r="F5" s="16" t="n">
        <f aca="false">IFERROR(INDEX(Reference!$CG$2:$CG$500, MATCH(Builder!G5, Reference!$AZ$2:$AZ$500, 0)), 0)</f>
        <v>89130.078</v>
      </c>
      <c r="G5" s="16" t="n">
        <f aca="false">IFERROR(INDEX(Reference!$CH$2:$CH$500, MATCH(Builder!G5, Reference!$AZ$2:$AZ$500, 0)), 0)</f>
        <v>89130.16</v>
      </c>
      <c r="H5" s="16" t="n">
        <f aca="false">IFERROR(INDEX(Reference!$CI$2:$CI$500, MATCH(Builder!G5, Reference!$AZ$2:$AZ$500, 0)), 0)</f>
        <v>98838.05</v>
      </c>
      <c r="R5" s="0" t="s">
        <v>367</v>
      </c>
      <c r="S5" s="0" t="s">
        <v>373</v>
      </c>
      <c r="T5" s="0" t="s">
        <v>370</v>
      </c>
      <c r="U5" s="0" t="s">
        <v>374</v>
      </c>
      <c r="V5" s="0" t="n">
        <v>96.15</v>
      </c>
      <c r="W5" s="0" t="n">
        <v>1</v>
      </c>
      <c r="X5" s="0" t="n">
        <v>1</v>
      </c>
      <c r="Y5" s="0" t="n">
        <v>1</v>
      </c>
      <c r="Z5" s="0" t="n">
        <v>33925</v>
      </c>
      <c r="AA5" s="0" t="n">
        <v>39660</v>
      </c>
      <c r="AB5" s="0" t="n">
        <v>39660</v>
      </c>
      <c r="AD5" s="0" t="s">
        <v>359</v>
      </c>
      <c r="AE5" s="0" t="s">
        <v>354</v>
      </c>
      <c r="AF5" s="0" t="n">
        <v>38.46</v>
      </c>
      <c r="AG5" s="0" t="n">
        <v>3</v>
      </c>
      <c r="AH5" s="0" t="n">
        <v>36136</v>
      </c>
      <c r="AI5" s="0" t="n">
        <v>108408</v>
      </c>
      <c r="AJ5" s="0" t="s">
        <v>375</v>
      </c>
      <c r="AK5" s="0" t="s">
        <v>353</v>
      </c>
      <c r="AL5" s="0" t="s">
        <v>354</v>
      </c>
      <c r="AM5" s="0" t="s">
        <v>376</v>
      </c>
      <c r="AN5" s="0" t="s">
        <v>377</v>
      </c>
      <c r="AO5" s="0" t="n">
        <v>7.69</v>
      </c>
      <c r="AP5" s="0" t="n">
        <v>1</v>
      </c>
      <c r="AQ5" s="0" t="n">
        <v>36136</v>
      </c>
      <c r="AR5" s="0" t="n">
        <v>36136</v>
      </c>
    </row>
    <row r="6" customFormat="false" ht="15" hidden="false" customHeight="false" outlineLevel="0" collapsed="false">
      <c r="A6" s="15" t="s">
        <v>378</v>
      </c>
      <c r="B6" s="44" t="s">
        <v>351</v>
      </c>
      <c r="E6" s="16" t="s">
        <v>379</v>
      </c>
      <c r="F6" s="46" t="n">
        <f aca="false">IF(B4="Default P50",$G$5,IF(B4="Family Override",IFERROR(INDEX($AB$2:$AB$50,MATCH(B5,$U$2:$U$50,0)),$G$5),IF(B4="Brand Override",IFERROR(INDEX($AI$2:$AI$100,MATCH(B5&amp;"|"&amp;B6,$AJ$2:$AJ$100,0)),IFERROR(INDEX($AB$2:$AB$50,MATCH(B5,$U$2:$U$50,0)),$G$5)),IFERROR(INDEX($AR$2:$AR$200,MATCH(B7,$AM$2:$AM$200,0)),IFERROR(INDEX($AI$2:$AI$100,MATCH(B5&amp;"|"&amp;B6,$AJ$2:$AJ$100,0)),IFERROR(INDEX($AB$2:$AB$50,MATCH(B5,$U$2:$U$50,0)),$G$5))))))</f>
        <v>89130.16</v>
      </c>
      <c r="R6" s="0" t="s">
        <v>374</v>
      </c>
      <c r="S6" s="0" t="s">
        <v>360</v>
      </c>
      <c r="T6" s="0" t="s">
        <v>376</v>
      </c>
      <c r="U6" s="0" t="s">
        <v>380</v>
      </c>
      <c r="V6" s="0" t="n">
        <v>19.23</v>
      </c>
      <c r="W6" s="0" t="n">
        <v>1</v>
      </c>
      <c r="X6" s="0" t="n">
        <v>1</v>
      </c>
      <c r="Y6" s="0" t="n">
        <v>1</v>
      </c>
      <c r="Z6" s="0" t="n">
        <v>0.02</v>
      </c>
      <c r="AA6" s="0" t="n">
        <v>0.1</v>
      </c>
      <c r="AB6" s="0" t="n">
        <v>0.1</v>
      </c>
      <c r="AD6" s="0" t="s">
        <v>359</v>
      </c>
      <c r="AE6" s="0" t="s">
        <v>360</v>
      </c>
      <c r="AF6" s="0" t="n">
        <v>15.38</v>
      </c>
      <c r="AG6" s="0" t="n">
        <v>3</v>
      </c>
      <c r="AH6" s="0" t="n">
        <v>33925</v>
      </c>
      <c r="AI6" s="0" t="n">
        <v>101775</v>
      </c>
      <c r="AJ6" s="0" t="s">
        <v>381</v>
      </c>
      <c r="AK6" s="0" t="s">
        <v>353</v>
      </c>
      <c r="AL6" s="0" t="s">
        <v>354</v>
      </c>
      <c r="AM6" s="0" t="s">
        <v>382</v>
      </c>
      <c r="AN6" s="0" t="s">
        <v>383</v>
      </c>
      <c r="AO6" s="0" t="n">
        <v>7.69</v>
      </c>
      <c r="AP6" s="0" t="n">
        <v>1</v>
      </c>
      <c r="AQ6" s="0" t="n">
        <v>36136</v>
      </c>
      <c r="AR6" s="0" t="n">
        <v>36136</v>
      </c>
    </row>
    <row r="7" customFormat="false" ht="15" hidden="false" customHeight="false" outlineLevel="0" collapsed="false">
      <c r="A7" s="15" t="s">
        <v>384</v>
      </c>
      <c r="B7" s="44" t="s">
        <v>352</v>
      </c>
      <c r="C7" s="47" t="str">
        <f aca="false">IF(B7="None","",IFERROR(INDEX($AN$2:$AN$200,MATCH(B7,$AM$2:$AM$200,0)),""))</f>
        <v/>
      </c>
      <c r="R7" s="0" t="s">
        <v>380</v>
      </c>
      <c r="S7" s="0" t="s">
        <v>385</v>
      </c>
      <c r="T7" s="0" t="s">
        <v>382</v>
      </c>
      <c r="U7" s="0" t="s">
        <v>386</v>
      </c>
      <c r="V7" s="0" t="n">
        <v>7.69</v>
      </c>
      <c r="W7" s="0" t="n">
        <v>1</v>
      </c>
      <c r="X7" s="0" t="n">
        <v>1</v>
      </c>
      <c r="Y7" s="0" t="n">
        <v>1</v>
      </c>
      <c r="Z7" s="0" t="n">
        <v>312.26</v>
      </c>
      <c r="AA7" s="0" t="n">
        <v>396.62</v>
      </c>
      <c r="AB7" s="0" t="n">
        <v>396.62</v>
      </c>
      <c r="AD7" s="0" t="s">
        <v>359</v>
      </c>
      <c r="AE7" s="0" t="s">
        <v>368</v>
      </c>
      <c r="AF7" s="0" t="n">
        <v>46.15</v>
      </c>
      <c r="AG7" s="0" t="n">
        <v>3</v>
      </c>
      <c r="AH7" s="0" t="n">
        <v>36130</v>
      </c>
      <c r="AI7" s="0" t="n">
        <v>108390</v>
      </c>
      <c r="AJ7" s="0" t="s">
        <v>387</v>
      </c>
      <c r="AK7" s="0" t="s">
        <v>353</v>
      </c>
      <c r="AL7" s="0" t="s">
        <v>354</v>
      </c>
      <c r="AM7" s="0" t="s">
        <v>388</v>
      </c>
      <c r="AN7" s="0" t="s">
        <v>389</v>
      </c>
      <c r="AO7" s="0" t="n">
        <v>3.85</v>
      </c>
      <c r="AP7" s="0" t="n">
        <v>1</v>
      </c>
      <c r="AQ7" s="0" t="n">
        <v>36136</v>
      </c>
      <c r="AR7" s="0" t="n">
        <v>36136</v>
      </c>
    </row>
    <row r="8" customFormat="false" ht="15" hidden="false" customHeight="false" outlineLevel="0" collapsed="false">
      <c r="R8" s="0" t="s">
        <v>386</v>
      </c>
      <c r="S8" s="0" t="s">
        <v>390</v>
      </c>
      <c r="T8" s="0" t="s">
        <v>388</v>
      </c>
      <c r="U8" s="0" t="s">
        <v>391</v>
      </c>
      <c r="V8" s="0" t="n">
        <v>30.77</v>
      </c>
      <c r="W8" s="0" t="n">
        <v>1</v>
      </c>
      <c r="X8" s="0" t="n">
        <v>1</v>
      </c>
      <c r="Y8" s="0" t="n">
        <v>1</v>
      </c>
      <c r="Z8" s="0" t="n">
        <v>1406.25</v>
      </c>
      <c r="AA8" s="0" t="n">
        <v>1453.12</v>
      </c>
      <c r="AB8" s="0" t="n">
        <v>1453.12</v>
      </c>
      <c r="AD8" s="0" t="s">
        <v>367</v>
      </c>
      <c r="AE8" s="0" t="s">
        <v>385</v>
      </c>
      <c r="AF8" s="0" t="n">
        <v>61.54</v>
      </c>
      <c r="AG8" s="0" t="n">
        <v>1</v>
      </c>
      <c r="AH8" s="0" t="n">
        <v>0.1</v>
      </c>
      <c r="AI8" s="0" t="n">
        <v>0.1</v>
      </c>
      <c r="AJ8" s="0" t="s">
        <v>392</v>
      </c>
      <c r="AK8" s="0" t="s">
        <v>353</v>
      </c>
      <c r="AL8" s="0" t="s">
        <v>360</v>
      </c>
      <c r="AM8" s="0" t="s">
        <v>393</v>
      </c>
      <c r="AN8" s="0" t="s">
        <v>394</v>
      </c>
      <c r="AO8" s="0" t="n">
        <v>3.85</v>
      </c>
      <c r="AP8" s="0" t="n">
        <v>1</v>
      </c>
      <c r="AQ8" s="0" t="n">
        <v>36130</v>
      </c>
      <c r="AR8" s="0" t="n">
        <v>36130</v>
      </c>
    </row>
    <row r="9" customFormat="false" ht="15" hidden="false" customHeight="false" outlineLevel="0" collapsed="false">
      <c r="R9" s="0" t="s">
        <v>391</v>
      </c>
      <c r="S9" s="0" t="s">
        <v>368</v>
      </c>
      <c r="T9" s="0" t="s">
        <v>393</v>
      </c>
      <c r="AD9" s="0" t="s">
        <v>367</v>
      </c>
      <c r="AE9" s="0" t="s">
        <v>390</v>
      </c>
      <c r="AF9" s="0" t="n">
        <v>38.46</v>
      </c>
      <c r="AG9" s="0" t="n">
        <v>1</v>
      </c>
      <c r="AH9" s="0" t="n">
        <v>5730</v>
      </c>
      <c r="AI9" s="0" t="n">
        <v>5730</v>
      </c>
      <c r="AJ9" s="0" t="s">
        <v>395</v>
      </c>
      <c r="AK9" s="0" t="s">
        <v>353</v>
      </c>
      <c r="AL9" s="0" t="s">
        <v>360</v>
      </c>
      <c r="AM9" s="0" t="s">
        <v>396</v>
      </c>
      <c r="AN9" s="0" t="s">
        <v>397</v>
      </c>
      <c r="AO9" s="0" t="n">
        <v>3.85</v>
      </c>
      <c r="AP9" s="0" t="n">
        <v>1</v>
      </c>
      <c r="AQ9" s="0" t="n">
        <v>36130</v>
      </c>
      <c r="AR9" s="0" t="n">
        <v>36130</v>
      </c>
    </row>
    <row r="10" customFormat="false" ht="15" hidden="false" customHeight="false" outlineLevel="0" collapsed="false">
      <c r="A10" s="5" t="s">
        <v>398</v>
      </c>
      <c r="B10" s="5"/>
      <c r="C10" s="5"/>
      <c r="D10" s="5"/>
      <c r="E10" s="5"/>
      <c r="F10" s="5"/>
      <c r="G10" s="5"/>
      <c r="H10" s="5"/>
      <c r="I10" s="5"/>
      <c r="K10" s="5" t="s">
        <v>399</v>
      </c>
      <c r="L10" s="5"/>
      <c r="M10" s="5"/>
      <c r="N10" s="5"/>
      <c r="O10" s="5"/>
      <c r="P10" s="5"/>
      <c r="Q10" s="5"/>
      <c r="T10" s="0" t="s">
        <v>396</v>
      </c>
      <c r="AD10" s="0" t="s">
        <v>374</v>
      </c>
      <c r="AE10" s="0" t="s">
        <v>354</v>
      </c>
      <c r="AF10" s="0" t="n">
        <v>30.77</v>
      </c>
      <c r="AG10" s="0" t="n">
        <v>3</v>
      </c>
      <c r="AH10" s="0" t="n">
        <v>36136</v>
      </c>
      <c r="AI10" s="0" t="n">
        <v>108408</v>
      </c>
      <c r="AJ10" s="0" t="s">
        <v>400</v>
      </c>
      <c r="AK10" s="0" t="s">
        <v>353</v>
      </c>
      <c r="AL10" s="0" t="s">
        <v>360</v>
      </c>
      <c r="AM10" s="0" t="s">
        <v>401</v>
      </c>
      <c r="AN10" s="0" t="s">
        <v>402</v>
      </c>
      <c r="AO10" s="0" t="n">
        <v>3.85</v>
      </c>
      <c r="AP10" s="0" t="n">
        <v>1</v>
      </c>
      <c r="AQ10" s="0" t="n">
        <v>36130</v>
      </c>
      <c r="AR10" s="0" t="n">
        <v>36130</v>
      </c>
    </row>
    <row r="11" customFormat="false" ht="115.65" hidden="false" customHeight="false" outlineLevel="0" collapsed="false">
      <c r="A11" s="48" t="s">
        <v>343</v>
      </c>
      <c r="B11" s="48" t="s">
        <v>192</v>
      </c>
      <c r="C11" s="48" t="s">
        <v>211</v>
      </c>
      <c r="D11" s="48" t="s">
        <v>212</v>
      </c>
      <c r="E11" s="48" t="s">
        <v>213</v>
      </c>
      <c r="F11" s="48" t="s">
        <v>345</v>
      </c>
      <c r="G11" s="48" t="s">
        <v>346</v>
      </c>
      <c r="H11" s="48" t="s">
        <v>403</v>
      </c>
      <c r="I11" s="48" t="s">
        <v>347</v>
      </c>
      <c r="K11" s="48" t="s">
        <v>343</v>
      </c>
      <c r="L11" s="48" t="s">
        <v>348</v>
      </c>
      <c r="M11" s="48" t="s">
        <v>192</v>
      </c>
      <c r="N11" s="48" t="s">
        <v>212</v>
      </c>
      <c r="O11" s="48" t="s">
        <v>346</v>
      </c>
      <c r="P11" s="48" t="s">
        <v>347</v>
      </c>
      <c r="Q11" s="48" t="s">
        <v>404</v>
      </c>
      <c r="T11" s="0" t="s">
        <v>401</v>
      </c>
      <c r="AD11" s="0" t="s">
        <v>374</v>
      </c>
      <c r="AE11" s="0" t="s">
        <v>373</v>
      </c>
      <c r="AF11" s="0" t="n">
        <v>3.85</v>
      </c>
      <c r="AG11" s="0" t="n">
        <v>1</v>
      </c>
      <c r="AH11" s="0" t="n">
        <v>43628</v>
      </c>
      <c r="AI11" s="0" t="n">
        <v>43628</v>
      </c>
      <c r="AJ11" s="0" t="s">
        <v>405</v>
      </c>
      <c r="AK11" s="0" t="s">
        <v>353</v>
      </c>
      <c r="AL11" s="0" t="s">
        <v>360</v>
      </c>
      <c r="AM11" s="0" t="s">
        <v>406</v>
      </c>
      <c r="AN11" s="0" t="s">
        <v>407</v>
      </c>
      <c r="AO11" s="0" t="n">
        <v>3.85</v>
      </c>
      <c r="AP11" s="0" t="n">
        <v>1</v>
      </c>
      <c r="AQ11" s="0" t="n">
        <v>36130</v>
      </c>
      <c r="AR11" s="0" t="n">
        <v>36130</v>
      </c>
    </row>
    <row r="12" customFormat="false" ht="26.85" hidden="false" customHeight="false" outlineLevel="0" collapsed="false">
      <c r="A12" s="41" t="s">
        <v>353</v>
      </c>
      <c r="B12" s="33" t="n">
        <v>100</v>
      </c>
      <c r="C12" s="33" t="n">
        <v>1</v>
      </c>
      <c r="D12" s="33" t="n">
        <v>1</v>
      </c>
      <c r="E12" s="33" t="n">
        <v>1</v>
      </c>
      <c r="F12" s="33" t="n">
        <v>36130</v>
      </c>
      <c r="G12" s="33" t="n">
        <v>36130</v>
      </c>
      <c r="H12" s="33" t="n">
        <v>36136</v>
      </c>
      <c r="I12" s="33" t="n">
        <v>36130</v>
      </c>
      <c r="K12" s="41" t="s">
        <v>353</v>
      </c>
      <c r="L12" s="41" t="s">
        <v>354</v>
      </c>
      <c r="M12" s="33" t="n">
        <v>38.46</v>
      </c>
      <c r="N12" s="33" t="n">
        <v>3</v>
      </c>
      <c r="O12" s="33" t="n">
        <v>36136</v>
      </c>
      <c r="P12" s="33" t="n">
        <v>108408</v>
      </c>
      <c r="Q12" s="41" t="str">
        <f aca="false">IF($B$5="All","Yes",IF(K12=$B$5,"Yes","No"))</f>
        <v>Yes</v>
      </c>
      <c r="T12" s="0" t="s">
        <v>406</v>
      </c>
      <c r="AD12" s="0" t="s">
        <v>374</v>
      </c>
      <c r="AE12" s="0" t="s">
        <v>360</v>
      </c>
      <c r="AF12" s="0" t="n">
        <v>15.38</v>
      </c>
      <c r="AG12" s="0" t="n">
        <v>3</v>
      </c>
      <c r="AH12" s="0" t="n">
        <v>33925</v>
      </c>
      <c r="AI12" s="0" t="n">
        <v>101775</v>
      </c>
      <c r="AJ12" s="0" t="s">
        <v>408</v>
      </c>
      <c r="AK12" s="0" t="s">
        <v>353</v>
      </c>
      <c r="AL12" s="0" t="s">
        <v>368</v>
      </c>
      <c r="AM12" s="0" t="s">
        <v>409</v>
      </c>
      <c r="AN12" s="0" t="s">
        <v>410</v>
      </c>
      <c r="AO12" s="0" t="n">
        <v>15.38</v>
      </c>
      <c r="AP12" s="0" t="n">
        <v>1</v>
      </c>
      <c r="AQ12" s="0" t="n">
        <v>36130</v>
      </c>
      <c r="AR12" s="0" t="n">
        <v>36130</v>
      </c>
    </row>
    <row r="13" customFormat="false" ht="26.85" hidden="false" customHeight="false" outlineLevel="0" collapsed="false">
      <c r="A13" s="41" t="s">
        <v>359</v>
      </c>
      <c r="B13" s="33" t="n">
        <v>100</v>
      </c>
      <c r="C13" s="33" t="n">
        <v>1</v>
      </c>
      <c r="D13" s="33" t="n">
        <v>1</v>
      </c>
      <c r="E13" s="33" t="n">
        <v>1</v>
      </c>
      <c r="F13" s="33" t="n">
        <v>13340.05</v>
      </c>
      <c r="G13" s="33" t="n">
        <v>13340.05</v>
      </c>
      <c r="H13" s="33" t="n">
        <v>13344.01</v>
      </c>
      <c r="I13" s="33" t="n">
        <v>13340.05</v>
      </c>
      <c r="K13" s="41" t="s">
        <v>353</v>
      </c>
      <c r="L13" s="41" t="s">
        <v>360</v>
      </c>
      <c r="M13" s="33" t="n">
        <v>15.38</v>
      </c>
      <c r="N13" s="33" t="n">
        <v>3</v>
      </c>
      <c r="O13" s="33" t="n">
        <v>33925</v>
      </c>
      <c r="P13" s="33" t="n">
        <v>101775</v>
      </c>
      <c r="Q13" s="41" t="str">
        <f aca="false">IF($B$5="All","Yes",IF(K13=$B$5,"Yes","No"))</f>
        <v>Yes</v>
      </c>
      <c r="T13" s="0" t="s">
        <v>409</v>
      </c>
      <c r="AD13" s="0" t="s">
        <v>374</v>
      </c>
      <c r="AE13" s="0" t="s">
        <v>368</v>
      </c>
      <c r="AF13" s="0" t="n">
        <v>46.15</v>
      </c>
      <c r="AG13" s="0" t="n">
        <v>3</v>
      </c>
      <c r="AH13" s="0" t="n">
        <v>36130</v>
      </c>
      <c r="AI13" s="0" t="n">
        <v>108390</v>
      </c>
      <c r="AJ13" s="0" t="s">
        <v>411</v>
      </c>
      <c r="AK13" s="0" t="s">
        <v>353</v>
      </c>
      <c r="AL13" s="0" t="s">
        <v>368</v>
      </c>
      <c r="AM13" s="0" t="s">
        <v>412</v>
      </c>
      <c r="AN13" s="0" t="s">
        <v>413</v>
      </c>
      <c r="AO13" s="0" t="n">
        <v>15.38</v>
      </c>
      <c r="AP13" s="0" t="n">
        <v>1</v>
      </c>
      <c r="AQ13" s="0" t="n">
        <v>36130</v>
      </c>
      <c r="AR13" s="0" t="n">
        <v>36130</v>
      </c>
    </row>
    <row r="14" customFormat="false" ht="26.85" hidden="false" customHeight="false" outlineLevel="0" collapsed="false">
      <c r="A14" s="41" t="s">
        <v>367</v>
      </c>
      <c r="B14" s="33" t="n">
        <v>100</v>
      </c>
      <c r="C14" s="33" t="n">
        <v>1</v>
      </c>
      <c r="D14" s="33" t="n">
        <v>1</v>
      </c>
      <c r="E14" s="33" t="n">
        <v>1</v>
      </c>
      <c r="F14" s="33" t="n">
        <v>0.1</v>
      </c>
      <c r="G14" s="33" t="n">
        <v>0.1</v>
      </c>
      <c r="H14" s="33" t="n">
        <v>5730</v>
      </c>
      <c r="I14" s="33" t="n">
        <v>0.1</v>
      </c>
      <c r="K14" s="41" t="s">
        <v>353</v>
      </c>
      <c r="L14" s="41" t="s">
        <v>368</v>
      </c>
      <c r="M14" s="33" t="n">
        <v>46.15</v>
      </c>
      <c r="N14" s="33" t="n">
        <v>3</v>
      </c>
      <c r="O14" s="33" t="n">
        <v>36130</v>
      </c>
      <c r="P14" s="33" t="n">
        <v>108390</v>
      </c>
      <c r="Q14" s="41" t="str">
        <f aca="false">IF($B$5="All","Yes",IF(K14=$B$5,"Yes","No"))</f>
        <v>Yes</v>
      </c>
      <c r="T14" s="0" t="s">
        <v>412</v>
      </c>
      <c r="AD14" s="0" t="s">
        <v>380</v>
      </c>
      <c r="AE14" s="0" t="s">
        <v>354</v>
      </c>
      <c r="AF14" s="0" t="n">
        <v>3.85</v>
      </c>
      <c r="AG14" s="0" t="n">
        <v>3</v>
      </c>
      <c r="AH14" s="0" t="n">
        <v>36136</v>
      </c>
      <c r="AI14" s="0" t="n">
        <v>108408</v>
      </c>
      <c r="AJ14" s="0" t="s">
        <v>414</v>
      </c>
      <c r="AK14" s="0" t="s">
        <v>353</v>
      </c>
      <c r="AL14" s="0" t="s">
        <v>368</v>
      </c>
      <c r="AM14" s="0" t="s">
        <v>415</v>
      </c>
      <c r="AN14" s="0" t="s">
        <v>416</v>
      </c>
      <c r="AO14" s="0" t="n">
        <v>3.85</v>
      </c>
      <c r="AP14" s="0" t="n">
        <v>1</v>
      </c>
      <c r="AQ14" s="0" t="n">
        <v>36130</v>
      </c>
      <c r="AR14" s="0" t="n">
        <v>36130</v>
      </c>
    </row>
    <row r="15" customFormat="false" ht="26.85" hidden="false" customHeight="false" outlineLevel="0" collapsed="false">
      <c r="A15" s="41" t="s">
        <v>374</v>
      </c>
      <c r="B15" s="33" t="n">
        <v>96.15</v>
      </c>
      <c r="C15" s="33" t="n">
        <v>1</v>
      </c>
      <c r="D15" s="33" t="n">
        <v>1</v>
      </c>
      <c r="E15" s="33" t="n">
        <v>1</v>
      </c>
      <c r="F15" s="33" t="n">
        <v>33925</v>
      </c>
      <c r="G15" s="33" t="n">
        <v>39660</v>
      </c>
      <c r="H15" s="33" t="n">
        <v>43628</v>
      </c>
      <c r="I15" s="33" t="n">
        <v>39660</v>
      </c>
      <c r="K15" s="41" t="s">
        <v>359</v>
      </c>
      <c r="L15" s="41" t="s">
        <v>354</v>
      </c>
      <c r="M15" s="33" t="n">
        <v>38.46</v>
      </c>
      <c r="N15" s="33" t="n">
        <v>3</v>
      </c>
      <c r="O15" s="33" t="n">
        <v>36136</v>
      </c>
      <c r="P15" s="33" t="n">
        <v>108408</v>
      </c>
      <c r="Q15" s="41" t="str">
        <f aca="false">IF($B$5="All","Yes",IF(K15=$B$5,"Yes","No"))</f>
        <v>Yes</v>
      </c>
      <c r="T15" s="0" t="s">
        <v>415</v>
      </c>
      <c r="AD15" s="0" t="s">
        <v>380</v>
      </c>
      <c r="AE15" s="0" t="s">
        <v>368</v>
      </c>
      <c r="AF15" s="0" t="n">
        <v>15.38</v>
      </c>
      <c r="AG15" s="0" t="n">
        <v>3</v>
      </c>
      <c r="AH15" s="0" t="n">
        <v>36130</v>
      </c>
      <c r="AI15" s="0" t="n">
        <v>108390</v>
      </c>
      <c r="AJ15" s="0" t="s">
        <v>417</v>
      </c>
      <c r="AK15" s="0" t="s">
        <v>353</v>
      </c>
      <c r="AL15" s="0" t="s">
        <v>368</v>
      </c>
      <c r="AM15" s="0" t="s">
        <v>418</v>
      </c>
      <c r="AN15" s="0" t="s">
        <v>419</v>
      </c>
      <c r="AO15" s="0" t="n">
        <v>3.85</v>
      </c>
      <c r="AP15" s="0" t="n">
        <v>1</v>
      </c>
      <c r="AQ15" s="0" t="n">
        <v>36130</v>
      </c>
      <c r="AR15" s="0" t="n">
        <v>36130</v>
      </c>
    </row>
    <row r="16" customFormat="false" ht="26.85" hidden="false" customHeight="false" outlineLevel="0" collapsed="false">
      <c r="A16" s="41" t="s">
        <v>380</v>
      </c>
      <c r="B16" s="33" t="n">
        <v>19.23</v>
      </c>
      <c r="C16" s="33" t="n">
        <v>1</v>
      </c>
      <c r="D16" s="33" t="n">
        <v>1</v>
      </c>
      <c r="E16" s="33" t="n">
        <v>1</v>
      </c>
      <c r="F16" s="33" t="n">
        <v>0.02</v>
      </c>
      <c r="G16" s="33" t="n">
        <v>0.1</v>
      </c>
      <c r="H16" s="33" t="n">
        <v>0.1</v>
      </c>
      <c r="I16" s="33" t="n">
        <v>0.1</v>
      </c>
      <c r="K16" s="41" t="s">
        <v>359</v>
      </c>
      <c r="L16" s="41" t="s">
        <v>360</v>
      </c>
      <c r="M16" s="33" t="n">
        <v>15.38</v>
      </c>
      <c r="N16" s="33" t="n">
        <v>3</v>
      </c>
      <c r="O16" s="33" t="n">
        <v>33925</v>
      </c>
      <c r="P16" s="33" t="n">
        <v>101775</v>
      </c>
      <c r="Q16" s="41" t="str">
        <f aca="false">IF($B$5="All","Yes",IF(K16=$B$5,"Yes","No"))</f>
        <v>Yes</v>
      </c>
      <c r="T16" s="0" t="s">
        <v>418</v>
      </c>
      <c r="AD16" s="0" t="s">
        <v>386</v>
      </c>
      <c r="AE16" s="0" t="s">
        <v>366</v>
      </c>
      <c r="AF16" s="0" t="n">
        <v>7.69</v>
      </c>
      <c r="AG16" s="0" t="n">
        <v>1</v>
      </c>
      <c r="AH16" s="0" t="n">
        <v>1406.25</v>
      </c>
      <c r="AI16" s="0" t="n">
        <v>1406.25</v>
      </c>
      <c r="AJ16" s="0" t="s">
        <v>420</v>
      </c>
      <c r="AK16" s="0" t="s">
        <v>353</v>
      </c>
      <c r="AL16" s="0" t="s">
        <v>368</v>
      </c>
      <c r="AM16" s="0" t="s">
        <v>421</v>
      </c>
      <c r="AN16" s="0" t="s">
        <v>422</v>
      </c>
      <c r="AO16" s="0" t="n">
        <v>7.69</v>
      </c>
      <c r="AP16" s="0" t="n">
        <v>1</v>
      </c>
      <c r="AQ16" s="0" t="n">
        <v>36130</v>
      </c>
      <c r="AR16" s="0" t="n">
        <v>36130</v>
      </c>
    </row>
    <row r="17" customFormat="false" ht="26.85" hidden="false" customHeight="false" outlineLevel="0" collapsed="false">
      <c r="A17" s="41" t="s">
        <v>386</v>
      </c>
      <c r="B17" s="33" t="n">
        <v>7.69</v>
      </c>
      <c r="C17" s="33" t="n">
        <v>1</v>
      </c>
      <c r="D17" s="33" t="n">
        <v>1</v>
      </c>
      <c r="E17" s="33" t="n">
        <v>1</v>
      </c>
      <c r="F17" s="33" t="n">
        <v>312.26</v>
      </c>
      <c r="G17" s="33" t="n">
        <v>396.62</v>
      </c>
      <c r="H17" s="33" t="n">
        <v>480.99</v>
      </c>
      <c r="I17" s="33" t="n">
        <v>396.62</v>
      </c>
      <c r="K17" s="41" t="s">
        <v>359</v>
      </c>
      <c r="L17" s="41" t="s">
        <v>368</v>
      </c>
      <c r="M17" s="33" t="n">
        <v>46.15</v>
      </c>
      <c r="N17" s="33" t="n">
        <v>3</v>
      </c>
      <c r="O17" s="33" t="n">
        <v>36130</v>
      </c>
      <c r="P17" s="33" t="n">
        <v>108390</v>
      </c>
      <c r="Q17" s="41" t="str">
        <f aca="false">IF($B$5="All","Yes",IF(K17=$B$5,"Yes","No"))</f>
        <v>Yes</v>
      </c>
      <c r="T17" s="0" t="s">
        <v>421</v>
      </c>
      <c r="AD17" s="0" t="s">
        <v>391</v>
      </c>
      <c r="AE17" s="0" t="s">
        <v>366</v>
      </c>
      <c r="AF17" s="0" t="n">
        <v>30.77</v>
      </c>
      <c r="AG17" s="0" t="n">
        <v>1</v>
      </c>
      <c r="AH17" s="0" t="n">
        <v>1406.25</v>
      </c>
      <c r="AI17" s="0" t="n">
        <v>1406.25</v>
      </c>
      <c r="AJ17" s="0" t="s">
        <v>423</v>
      </c>
      <c r="AK17" s="0" t="s">
        <v>359</v>
      </c>
      <c r="AL17" s="0" t="s">
        <v>354</v>
      </c>
      <c r="AM17" s="0" t="s">
        <v>424</v>
      </c>
      <c r="AN17" s="0" t="s">
        <v>425</v>
      </c>
      <c r="AO17" s="0" t="n">
        <v>3.85</v>
      </c>
      <c r="AP17" s="0" t="n">
        <v>1</v>
      </c>
      <c r="AQ17" s="0" t="n">
        <v>13344.05</v>
      </c>
      <c r="AR17" s="0" t="n">
        <v>13344.05</v>
      </c>
    </row>
    <row r="18" customFormat="false" ht="15" hidden="false" customHeight="false" outlineLevel="0" collapsed="false">
      <c r="A18" s="41" t="s">
        <v>391</v>
      </c>
      <c r="B18" s="33" t="n">
        <v>30.77</v>
      </c>
      <c r="C18" s="33" t="n">
        <v>1</v>
      </c>
      <c r="D18" s="33" t="n">
        <v>1</v>
      </c>
      <c r="E18" s="33" t="n">
        <v>1</v>
      </c>
      <c r="F18" s="33" t="n">
        <v>1406.25</v>
      </c>
      <c r="G18" s="33" t="n">
        <v>1453.12</v>
      </c>
      <c r="H18" s="33" t="n">
        <v>1500</v>
      </c>
      <c r="I18" s="33" t="n">
        <v>1453.12</v>
      </c>
      <c r="K18" s="41" t="s">
        <v>367</v>
      </c>
      <c r="L18" s="41" t="s">
        <v>385</v>
      </c>
      <c r="M18" s="33" t="n">
        <v>61.54</v>
      </c>
      <c r="N18" s="33" t="n">
        <v>1</v>
      </c>
      <c r="O18" s="33" t="n">
        <v>0.1</v>
      </c>
      <c r="P18" s="33" t="n">
        <v>0.1</v>
      </c>
      <c r="Q18" s="41" t="str">
        <f aca="false">IF($B$5="All","Yes",IF(K18=$B$5,"Yes","No"))</f>
        <v>Yes</v>
      </c>
      <c r="T18" s="0" t="s">
        <v>424</v>
      </c>
      <c r="AK18" s="0" t="s">
        <v>359</v>
      </c>
      <c r="AL18" s="0" t="s">
        <v>354</v>
      </c>
      <c r="AM18" s="0" t="s">
        <v>426</v>
      </c>
      <c r="AN18" s="0" t="s">
        <v>427</v>
      </c>
      <c r="AO18" s="0" t="n">
        <v>3.85</v>
      </c>
      <c r="AP18" s="0" t="n">
        <v>1</v>
      </c>
      <c r="AQ18" s="0" t="n">
        <v>13344.01</v>
      </c>
      <c r="AR18" s="0" t="n">
        <v>13344.01</v>
      </c>
    </row>
    <row r="19" customFormat="false" ht="15" hidden="false" customHeight="false" outlineLevel="0" collapsed="false">
      <c r="K19" s="41" t="s">
        <v>367</v>
      </c>
      <c r="L19" s="41" t="s">
        <v>390</v>
      </c>
      <c r="M19" s="33" t="n">
        <v>38.46</v>
      </c>
      <c r="N19" s="33" t="n">
        <v>1</v>
      </c>
      <c r="O19" s="33" t="n">
        <v>5730</v>
      </c>
      <c r="P19" s="33" t="n">
        <v>5730</v>
      </c>
      <c r="Q19" s="41" t="str">
        <f aca="false">IF($B$5="All","Yes",IF(K19=$B$5,"Yes","No"))</f>
        <v>Yes</v>
      </c>
      <c r="T19" s="0" t="s">
        <v>426</v>
      </c>
      <c r="AK19" s="0" t="s">
        <v>359</v>
      </c>
      <c r="AL19" s="0" t="s">
        <v>354</v>
      </c>
      <c r="AM19" s="0" t="s">
        <v>428</v>
      </c>
      <c r="AN19" s="0" t="s">
        <v>429</v>
      </c>
      <c r="AO19" s="0" t="n">
        <v>3.85</v>
      </c>
      <c r="AP19" s="0" t="n">
        <v>1</v>
      </c>
      <c r="AQ19" s="0" t="n">
        <v>13344.05</v>
      </c>
      <c r="AR19" s="0" t="n">
        <v>13344.05</v>
      </c>
    </row>
    <row r="20" customFormat="false" ht="15" hidden="false" customHeight="false" outlineLevel="0" collapsed="false">
      <c r="K20" s="41" t="s">
        <v>374</v>
      </c>
      <c r="L20" s="41" t="s">
        <v>354</v>
      </c>
      <c r="M20" s="33" t="n">
        <v>30.77</v>
      </c>
      <c r="N20" s="33" t="n">
        <v>3</v>
      </c>
      <c r="O20" s="33" t="n">
        <v>36136</v>
      </c>
      <c r="P20" s="33" t="n">
        <v>108408</v>
      </c>
      <c r="Q20" s="41" t="str">
        <f aca="false">IF($B$5="All","Yes",IF(K20=$B$5,"Yes","No"))</f>
        <v>Yes</v>
      </c>
      <c r="T20" s="0" t="s">
        <v>428</v>
      </c>
      <c r="AK20" s="0" t="s">
        <v>359</v>
      </c>
      <c r="AL20" s="0" t="s">
        <v>354</v>
      </c>
      <c r="AM20" s="0" t="s">
        <v>430</v>
      </c>
      <c r="AN20" s="0" t="s">
        <v>431</v>
      </c>
      <c r="AO20" s="0" t="n">
        <v>3.85</v>
      </c>
      <c r="AP20" s="0" t="n">
        <v>1</v>
      </c>
      <c r="AQ20" s="0" t="n">
        <v>13344.09</v>
      </c>
      <c r="AR20" s="0" t="n">
        <v>13344.09</v>
      </c>
    </row>
    <row r="21" customFormat="false" ht="15" hidden="false" customHeight="false" outlineLevel="0" collapsed="false">
      <c r="K21" s="41" t="s">
        <v>374</v>
      </c>
      <c r="L21" s="41" t="s">
        <v>373</v>
      </c>
      <c r="M21" s="33" t="n">
        <v>3.85</v>
      </c>
      <c r="N21" s="33" t="n">
        <v>1</v>
      </c>
      <c r="O21" s="33" t="n">
        <v>43628</v>
      </c>
      <c r="P21" s="33" t="n">
        <v>43628</v>
      </c>
      <c r="Q21" s="41" t="str">
        <f aca="false">IF($B$5="All","Yes",IF(K21=$B$5,"Yes","No"))</f>
        <v>Yes</v>
      </c>
      <c r="T21" s="0" t="s">
        <v>430</v>
      </c>
      <c r="AK21" s="0" t="s">
        <v>359</v>
      </c>
      <c r="AL21" s="0" t="s">
        <v>354</v>
      </c>
      <c r="AM21" s="0" t="s">
        <v>432</v>
      </c>
      <c r="AN21" s="0" t="s">
        <v>433</v>
      </c>
      <c r="AO21" s="0" t="n">
        <v>3.85</v>
      </c>
      <c r="AP21" s="0" t="n">
        <v>1</v>
      </c>
      <c r="AQ21" s="0" t="n">
        <v>13344</v>
      </c>
      <c r="AR21" s="0" t="n">
        <v>13344</v>
      </c>
    </row>
    <row r="22" customFormat="false" ht="15" hidden="false" customHeight="false" outlineLevel="0" collapsed="false">
      <c r="K22" s="41" t="s">
        <v>374</v>
      </c>
      <c r="L22" s="41" t="s">
        <v>360</v>
      </c>
      <c r="M22" s="33" t="n">
        <v>15.38</v>
      </c>
      <c r="N22" s="33" t="n">
        <v>3</v>
      </c>
      <c r="O22" s="33" t="n">
        <v>33925</v>
      </c>
      <c r="P22" s="33" t="n">
        <v>101775</v>
      </c>
      <c r="Q22" s="41" t="str">
        <f aca="false">IF($B$5="All","Yes",IF(K22=$B$5,"Yes","No"))</f>
        <v>Yes</v>
      </c>
      <c r="T22" s="0" t="s">
        <v>432</v>
      </c>
      <c r="AK22" s="0" t="s">
        <v>359</v>
      </c>
      <c r="AL22" s="0" t="s">
        <v>354</v>
      </c>
      <c r="AM22" s="0" t="s">
        <v>434</v>
      </c>
      <c r="AN22" s="0" t="s">
        <v>435</v>
      </c>
      <c r="AO22" s="0" t="n">
        <v>3.85</v>
      </c>
      <c r="AP22" s="0" t="n">
        <v>1</v>
      </c>
      <c r="AQ22" s="0" t="n">
        <v>13344.05</v>
      </c>
      <c r="AR22" s="0" t="n">
        <v>13344.05</v>
      </c>
    </row>
    <row r="23" customFormat="false" ht="15" hidden="false" customHeight="false" outlineLevel="0" collapsed="false">
      <c r="K23" s="41" t="s">
        <v>374</v>
      </c>
      <c r="L23" s="41" t="s">
        <v>368</v>
      </c>
      <c r="M23" s="33" t="n">
        <v>46.15</v>
      </c>
      <c r="N23" s="33" t="n">
        <v>3</v>
      </c>
      <c r="O23" s="33" t="n">
        <v>36130</v>
      </c>
      <c r="P23" s="33" t="n">
        <v>108390</v>
      </c>
      <c r="Q23" s="41" t="str">
        <f aca="false">IF($B$5="All","Yes",IF(K23=$B$5,"Yes","No"))</f>
        <v>Yes</v>
      </c>
      <c r="T23" s="0" t="s">
        <v>434</v>
      </c>
      <c r="AK23" s="0" t="s">
        <v>359</v>
      </c>
      <c r="AL23" s="0" t="s">
        <v>354</v>
      </c>
      <c r="AM23" s="0" t="s">
        <v>436</v>
      </c>
      <c r="AN23" s="0" t="s">
        <v>437</v>
      </c>
      <c r="AO23" s="0" t="n">
        <v>3.85</v>
      </c>
      <c r="AP23" s="0" t="n">
        <v>1</v>
      </c>
      <c r="AQ23" s="0" t="n">
        <v>13344</v>
      </c>
      <c r="AR23" s="0" t="n">
        <v>13344</v>
      </c>
    </row>
    <row r="24" customFormat="false" ht="15" hidden="false" customHeight="false" outlineLevel="0" collapsed="false">
      <c r="K24" s="41" t="s">
        <v>380</v>
      </c>
      <c r="L24" s="41" t="s">
        <v>354</v>
      </c>
      <c r="M24" s="33" t="n">
        <v>3.85</v>
      </c>
      <c r="N24" s="33" t="n">
        <v>3</v>
      </c>
      <c r="O24" s="33" t="n">
        <v>36136</v>
      </c>
      <c r="P24" s="33" t="n">
        <v>108408</v>
      </c>
      <c r="Q24" s="41" t="str">
        <f aca="false">IF($B$5="All","Yes",IF(K24=$B$5,"Yes","No"))</f>
        <v>Yes</v>
      </c>
      <c r="T24" s="0" t="s">
        <v>436</v>
      </c>
      <c r="AK24" s="0" t="s">
        <v>359</v>
      </c>
      <c r="AL24" s="0" t="s">
        <v>354</v>
      </c>
      <c r="AM24" s="0" t="s">
        <v>438</v>
      </c>
      <c r="AN24" s="0" t="s">
        <v>439</v>
      </c>
      <c r="AO24" s="0" t="n">
        <v>3.85</v>
      </c>
      <c r="AP24" s="0" t="n">
        <v>1</v>
      </c>
      <c r="AQ24" s="0" t="n">
        <v>13344.01</v>
      </c>
      <c r="AR24" s="0" t="n">
        <v>13344.01</v>
      </c>
    </row>
    <row r="25" customFormat="false" ht="15" hidden="false" customHeight="false" outlineLevel="0" collapsed="false">
      <c r="K25" s="41" t="s">
        <v>380</v>
      </c>
      <c r="L25" s="41" t="s">
        <v>368</v>
      </c>
      <c r="M25" s="33" t="n">
        <v>15.38</v>
      </c>
      <c r="N25" s="33" t="n">
        <v>3</v>
      </c>
      <c r="O25" s="33" t="n">
        <v>36130</v>
      </c>
      <c r="P25" s="33" t="n">
        <v>108390</v>
      </c>
      <c r="Q25" s="41" t="str">
        <f aca="false">IF($B$5="All","Yes",IF(K25=$B$5,"Yes","No"))</f>
        <v>Yes</v>
      </c>
      <c r="T25" s="0" t="s">
        <v>438</v>
      </c>
      <c r="AK25" s="0" t="s">
        <v>359</v>
      </c>
      <c r="AL25" s="0" t="s">
        <v>354</v>
      </c>
      <c r="AM25" s="0" t="s">
        <v>440</v>
      </c>
      <c r="AN25" s="0" t="s">
        <v>441</v>
      </c>
      <c r="AO25" s="0" t="n">
        <v>3.85</v>
      </c>
      <c r="AP25" s="0" t="n">
        <v>1</v>
      </c>
      <c r="AQ25" s="0" t="n">
        <v>13344.01</v>
      </c>
      <c r="AR25" s="0" t="n">
        <v>13344.01</v>
      </c>
    </row>
    <row r="26" customFormat="false" ht="15" hidden="false" customHeight="false" outlineLevel="0" collapsed="false">
      <c r="K26" s="5" t="s">
        <v>442</v>
      </c>
      <c r="L26" s="5" t="s">
        <v>366</v>
      </c>
      <c r="M26" s="49" t="n">
        <v>7.69</v>
      </c>
      <c r="N26" s="49" t="n">
        <v>1</v>
      </c>
      <c r="O26" s="49" t="n">
        <v>1406.25</v>
      </c>
      <c r="P26" s="49" t="n">
        <v>1406.25</v>
      </c>
      <c r="Q26" s="5" t="str">
        <f aca="false">IF($B$5="All","Yes",IF(K26=$B$5,"Yes","No"))</f>
        <v>Yes</v>
      </c>
      <c r="R26" s="5"/>
      <c r="S26" s="5"/>
      <c r="T26" s="0" t="s">
        <v>440</v>
      </c>
      <c r="AK26" s="0" t="s">
        <v>359</v>
      </c>
      <c r="AL26" s="0" t="s">
        <v>354</v>
      </c>
      <c r="AM26" s="0" t="s">
        <v>443</v>
      </c>
      <c r="AN26" s="0" t="s">
        <v>444</v>
      </c>
      <c r="AO26" s="0" t="n">
        <v>3.85</v>
      </c>
      <c r="AP26" s="0" t="n">
        <v>1</v>
      </c>
      <c r="AQ26" s="0" t="n">
        <v>13344</v>
      </c>
      <c r="AR26" s="0" t="n">
        <v>13344</v>
      </c>
    </row>
    <row r="27" customFormat="false" ht="26.85" hidden="false" customHeight="false" outlineLevel="0" collapsed="false">
      <c r="K27" s="48" t="s">
        <v>343</v>
      </c>
      <c r="L27" s="48" t="s">
        <v>348</v>
      </c>
      <c r="M27" s="50" t="s">
        <v>326</v>
      </c>
      <c r="N27" s="50" t="s">
        <v>327</v>
      </c>
      <c r="O27" s="50" t="s">
        <v>192</v>
      </c>
      <c r="P27" s="50" t="s">
        <v>212</v>
      </c>
      <c r="Q27" s="48" t="s">
        <v>346</v>
      </c>
      <c r="R27" s="48" t="s">
        <v>347</v>
      </c>
      <c r="S27" s="48" t="s">
        <v>445</v>
      </c>
      <c r="T27" s="0" t="s">
        <v>443</v>
      </c>
      <c r="AK27" s="0" t="s">
        <v>359</v>
      </c>
      <c r="AL27" s="0" t="s">
        <v>360</v>
      </c>
      <c r="AM27" s="0" t="s">
        <v>446</v>
      </c>
      <c r="AN27" s="0" t="s">
        <v>447</v>
      </c>
      <c r="AO27" s="0" t="n">
        <v>3.85</v>
      </c>
      <c r="AP27" s="0" t="n">
        <v>2</v>
      </c>
      <c r="AQ27" s="0" t="n">
        <v>13340.05</v>
      </c>
      <c r="AR27" s="0" t="n">
        <v>26680.1</v>
      </c>
    </row>
    <row r="28" customFormat="false" ht="90.25" hidden="false" customHeight="false" outlineLevel="0" collapsed="false">
      <c r="K28" s="41" t="s">
        <v>353</v>
      </c>
      <c r="L28" s="41" t="s">
        <v>354</v>
      </c>
      <c r="M28" s="41" t="s">
        <v>356</v>
      </c>
      <c r="N28" s="41" t="s">
        <v>357</v>
      </c>
      <c r="O28" s="33" t="n">
        <v>11.54</v>
      </c>
      <c r="P28" s="33" t="n">
        <v>1</v>
      </c>
      <c r="Q28" s="33" t="n">
        <v>36136</v>
      </c>
      <c r="R28" s="33" t="n">
        <v>36136</v>
      </c>
      <c r="S28" s="41" t="str">
        <f aca="false">IF($B$5="All","Yes",IF($B$6="All",IF(K28=$B$5,"Yes","No"),IF(AND(K28=$B$5,L28=$B$6),"Yes","No")))</f>
        <v>Yes</v>
      </c>
      <c r="T28" s="0" t="s">
        <v>446</v>
      </c>
      <c r="AK28" s="0" t="s">
        <v>359</v>
      </c>
      <c r="AL28" s="0" t="s">
        <v>360</v>
      </c>
      <c r="AM28" s="0" t="s">
        <v>448</v>
      </c>
      <c r="AN28" s="0" t="s">
        <v>449</v>
      </c>
      <c r="AO28" s="0" t="n">
        <v>3.85</v>
      </c>
      <c r="AP28" s="0" t="n">
        <v>1</v>
      </c>
      <c r="AQ28" s="0" t="n">
        <v>13340.05</v>
      </c>
      <c r="AR28" s="0" t="n">
        <v>13340.05</v>
      </c>
    </row>
    <row r="29" customFormat="false" ht="141" hidden="false" customHeight="false" outlineLevel="0" collapsed="false">
      <c r="K29" s="41" t="s">
        <v>353</v>
      </c>
      <c r="L29" s="41" t="s">
        <v>354</v>
      </c>
      <c r="M29" s="41" t="s">
        <v>362</v>
      </c>
      <c r="N29" s="41" t="s">
        <v>363</v>
      </c>
      <c r="O29" s="33" t="n">
        <v>3.85</v>
      </c>
      <c r="P29" s="33" t="n">
        <v>1</v>
      </c>
      <c r="Q29" s="33" t="n">
        <v>36136</v>
      </c>
      <c r="R29" s="33" t="n">
        <v>36136</v>
      </c>
      <c r="S29" s="41" t="str">
        <f aca="false">IF($B$5="All","Yes",IF($B$6="All",IF(K29=$B$5,"Yes","No"),IF(AND(K29=$B$5,L29=$B$6),"Yes","No")))</f>
        <v>Yes</v>
      </c>
      <c r="T29" s="0" t="s">
        <v>448</v>
      </c>
      <c r="AK29" s="0" t="s">
        <v>359</v>
      </c>
      <c r="AL29" s="0" t="s">
        <v>360</v>
      </c>
      <c r="AM29" s="0" t="s">
        <v>450</v>
      </c>
      <c r="AN29" s="0" t="s">
        <v>451</v>
      </c>
      <c r="AO29" s="0" t="n">
        <v>3.85</v>
      </c>
      <c r="AP29" s="0" t="n">
        <v>1</v>
      </c>
      <c r="AQ29" s="0" t="n">
        <v>13340.05</v>
      </c>
      <c r="AR29" s="0" t="n">
        <v>13340.05</v>
      </c>
    </row>
    <row r="30" customFormat="false" ht="153.7" hidden="false" customHeight="false" outlineLevel="0" collapsed="false">
      <c r="K30" s="41" t="s">
        <v>353</v>
      </c>
      <c r="L30" s="41" t="s">
        <v>354</v>
      </c>
      <c r="M30" s="41" t="s">
        <v>370</v>
      </c>
      <c r="N30" s="41" t="s">
        <v>371</v>
      </c>
      <c r="O30" s="33" t="n">
        <v>3.85</v>
      </c>
      <c r="P30" s="33" t="n">
        <v>1</v>
      </c>
      <c r="Q30" s="33" t="n">
        <v>36136</v>
      </c>
      <c r="R30" s="33" t="n">
        <v>36136</v>
      </c>
      <c r="S30" s="41" t="str">
        <f aca="false">IF($B$5="All","Yes",IF($B$6="All",IF(K30=$B$5,"Yes","No"),IF(AND(K30=$B$5,L30=$B$6),"Yes","No")))</f>
        <v>Yes</v>
      </c>
      <c r="T30" s="0" t="s">
        <v>450</v>
      </c>
      <c r="AK30" s="0" t="s">
        <v>359</v>
      </c>
      <c r="AL30" s="0" t="s">
        <v>360</v>
      </c>
      <c r="AM30" s="0" t="s">
        <v>452</v>
      </c>
      <c r="AN30" s="0" t="s">
        <v>453</v>
      </c>
      <c r="AO30" s="0" t="n">
        <v>3.85</v>
      </c>
      <c r="AP30" s="0" t="n">
        <v>1</v>
      </c>
      <c r="AQ30" s="0" t="n">
        <v>13339.5</v>
      </c>
      <c r="AR30" s="0" t="n">
        <v>13339.5</v>
      </c>
    </row>
    <row r="31" customFormat="false" ht="141" hidden="false" customHeight="false" outlineLevel="0" collapsed="false">
      <c r="K31" s="41" t="s">
        <v>353</v>
      </c>
      <c r="L31" s="41" t="s">
        <v>354</v>
      </c>
      <c r="M31" s="41" t="s">
        <v>376</v>
      </c>
      <c r="N31" s="41" t="s">
        <v>377</v>
      </c>
      <c r="O31" s="33" t="n">
        <v>7.69</v>
      </c>
      <c r="P31" s="33" t="n">
        <v>1</v>
      </c>
      <c r="Q31" s="33" t="n">
        <v>36136</v>
      </c>
      <c r="R31" s="33" t="n">
        <v>36136</v>
      </c>
      <c r="S31" s="41" t="str">
        <f aca="false">IF($B$5="All","Yes",IF($B$6="All",IF(K31=$B$5,"Yes","No"),IF(AND(K31=$B$5,L31=$B$6),"Yes","No")))</f>
        <v>Yes</v>
      </c>
      <c r="T31" s="0" t="s">
        <v>452</v>
      </c>
      <c r="AK31" s="0" t="s">
        <v>359</v>
      </c>
      <c r="AL31" s="0" t="s">
        <v>368</v>
      </c>
      <c r="AM31" s="0" t="s">
        <v>454</v>
      </c>
      <c r="AN31" s="0" t="s">
        <v>455</v>
      </c>
      <c r="AO31" s="0" t="n">
        <v>3.85</v>
      </c>
      <c r="AP31" s="0" t="n">
        <v>1</v>
      </c>
      <c r="AQ31" s="0" t="n">
        <v>13340.05</v>
      </c>
      <c r="AR31" s="0" t="n">
        <v>13340.05</v>
      </c>
    </row>
    <row r="32" customFormat="false" ht="141" hidden="false" customHeight="false" outlineLevel="0" collapsed="false">
      <c r="K32" s="41" t="s">
        <v>353</v>
      </c>
      <c r="L32" s="41" t="s">
        <v>354</v>
      </c>
      <c r="M32" s="41" t="s">
        <v>382</v>
      </c>
      <c r="N32" s="41" t="s">
        <v>383</v>
      </c>
      <c r="O32" s="33" t="n">
        <v>7.69</v>
      </c>
      <c r="P32" s="33" t="n">
        <v>1</v>
      </c>
      <c r="Q32" s="33" t="n">
        <v>36136</v>
      </c>
      <c r="R32" s="33" t="n">
        <v>36136</v>
      </c>
      <c r="S32" s="41" t="str">
        <f aca="false">IF($B$5="All","Yes",IF($B$6="All",IF(K32=$B$5,"Yes","No"),IF(AND(K32=$B$5,L32=$B$6),"Yes","No")))</f>
        <v>Yes</v>
      </c>
      <c r="T32" s="0" t="s">
        <v>454</v>
      </c>
      <c r="AK32" s="0" t="s">
        <v>359</v>
      </c>
      <c r="AL32" s="0" t="s">
        <v>368</v>
      </c>
      <c r="AM32" s="0" t="s">
        <v>456</v>
      </c>
      <c r="AN32" s="0" t="s">
        <v>457</v>
      </c>
      <c r="AO32" s="0" t="n">
        <v>11.54</v>
      </c>
      <c r="AP32" s="0" t="n">
        <v>1</v>
      </c>
      <c r="AQ32" s="0" t="n">
        <v>13340.05</v>
      </c>
      <c r="AR32" s="0" t="n">
        <v>13340.05</v>
      </c>
    </row>
    <row r="33" customFormat="false" ht="141" hidden="false" customHeight="false" outlineLevel="0" collapsed="false">
      <c r="K33" s="41" t="s">
        <v>353</v>
      </c>
      <c r="L33" s="41" t="s">
        <v>354</v>
      </c>
      <c r="M33" s="41" t="s">
        <v>388</v>
      </c>
      <c r="N33" s="41" t="s">
        <v>389</v>
      </c>
      <c r="O33" s="33" t="n">
        <v>3.85</v>
      </c>
      <c r="P33" s="33" t="n">
        <v>1</v>
      </c>
      <c r="Q33" s="33" t="n">
        <v>36136</v>
      </c>
      <c r="R33" s="33" t="n">
        <v>36136</v>
      </c>
      <c r="S33" s="41" t="str">
        <f aca="false">IF($B$5="All","Yes",IF($B$6="All",IF(K33=$B$5,"Yes","No"),IF(AND(K33=$B$5,L33=$B$6),"Yes","No")))</f>
        <v>Yes</v>
      </c>
      <c r="T33" s="0" t="s">
        <v>456</v>
      </c>
      <c r="AK33" s="0" t="s">
        <v>359</v>
      </c>
      <c r="AL33" s="0" t="s">
        <v>368</v>
      </c>
      <c r="AM33" s="0" t="s">
        <v>458</v>
      </c>
      <c r="AN33" s="0" t="s">
        <v>459</v>
      </c>
      <c r="AO33" s="0" t="n">
        <v>3.85</v>
      </c>
      <c r="AP33" s="0" t="n">
        <v>1</v>
      </c>
      <c r="AQ33" s="0" t="n">
        <v>13340.05</v>
      </c>
      <c r="AR33" s="0" t="n">
        <v>13340.05</v>
      </c>
    </row>
    <row r="34" customFormat="false" ht="153.7" hidden="false" customHeight="false" outlineLevel="0" collapsed="false">
      <c r="K34" s="41" t="s">
        <v>353</v>
      </c>
      <c r="L34" s="41" t="s">
        <v>360</v>
      </c>
      <c r="M34" s="41" t="s">
        <v>393</v>
      </c>
      <c r="N34" s="41" t="s">
        <v>394</v>
      </c>
      <c r="O34" s="33" t="n">
        <v>3.85</v>
      </c>
      <c r="P34" s="33" t="n">
        <v>1</v>
      </c>
      <c r="Q34" s="33" t="n">
        <v>36130</v>
      </c>
      <c r="R34" s="33" t="n">
        <v>36130</v>
      </c>
      <c r="S34" s="41" t="str">
        <f aca="false">IF($B$5="All","Yes",IF($B$6="All",IF(K34=$B$5,"Yes","No"),IF(AND(K34=$B$5,L34=$B$6),"Yes","No")))</f>
        <v>Yes</v>
      </c>
      <c r="T34" s="0" t="s">
        <v>458</v>
      </c>
      <c r="AK34" s="0" t="s">
        <v>359</v>
      </c>
      <c r="AL34" s="0" t="s">
        <v>368</v>
      </c>
      <c r="AM34" s="0" t="s">
        <v>460</v>
      </c>
      <c r="AN34" s="0" t="s">
        <v>461</v>
      </c>
      <c r="AO34" s="0" t="n">
        <v>3.85</v>
      </c>
      <c r="AP34" s="0" t="n">
        <v>1</v>
      </c>
      <c r="AQ34" s="0" t="n">
        <v>13340</v>
      </c>
      <c r="AR34" s="0" t="n">
        <v>13340</v>
      </c>
    </row>
    <row r="35" customFormat="false" ht="102.95" hidden="false" customHeight="false" outlineLevel="0" collapsed="false">
      <c r="K35" s="41" t="s">
        <v>353</v>
      </c>
      <c r="L35" s="41" t="s">
        <v>360</v>
      </c>
      <c r="M35" s="41" t="s">
        <v>396</v>
      </c>
      <c r="N35" s="41" t="s">
        <v>397</v>
      </c>
      <c r="O35" s="33" t="n">
        <v>3.85</v>
      </c>
      <c r="P35" s="33" t="n">
        <v>1</v>
      </c>
      <c r="Q35" s="33" t="n">
        <v>36130</v>
      </c>
      <c r="R35" s="33" t="n">
        <v>36130</v>
      </c>
      <c r="S35" s="41" t="str">
        <f aca="false">IF($B$5="All","Yes",IF($B$6="All",IF(K35=$B$5,"Yes","No"),IF(AND(K35=$B$5,L35=$B$6),"Yes","No")))</f>
        <v>Yes</v>
      </c>
      <c r="T35" s="0" t="s">
        <v>460</v>
      </c>
      <c r="AK35" s="0" t="s">
        <v>359</v>
      </c>
      <c r="AL35" s="0" t="s">
        <v>368</v>
      </c>
      <c r="AM35" s="0" t="s">
        <v>462</v>
      </c>
      <c r="AN35" s="0" t="s">
        <v>463</v>
      </c>
      <c r="AO35" s="0" t="n">
        <v>3.85</v>
      </c>
      <c r="AP35" s="0" t="n">
        <v>1</v>
      </c>
      <c r="AQ35" s="0" t="n">
        <v>13340.05</v>
      </c>
      <c r="AR35" s="0" t="n">
        <v>13340.05</v>
      </c>
    </row>
    <row r="36" customFormat="false" ht="102.95" hidden="false" customHeight="false" outlineLevel="0" collapsed="false">
      <c r="K36" s="41" t="s">
        <v>353</v>
      </c>
      <c r="L36" s="41" t="s">
        <v>360</v>
      </c>
      <c r="M36" s="41" t="s">
        <v>401</v>
      </c>
      <c r="N36" s="41" t="s">
        <v>402</v>
      </c>
      <c r="O36" s="33" t="n">
        <v>3.85</v>
      </c>
      <c r="P36" s="33" t="n">
        <v>1</v>
      </c>
      <c r="Q36" s="33" t="n">
        <v>36130</v>
      </c>
      <c r="R36" s="33" t="n">
        <v>36130</v>
      </c>
      <c r="S36" s="41" t="str">
        <f aca="false">IF($B$5="All","Yes",IF($B$6="All",IF(K36=$B$5,"Yes","No"),IF(AND(K36=$B$5,L36=$B$6),"Yes","No")))</f>
        <v>Yes</v>
      </c>
      <c r="T36" s="0" t="s">
        <v>462</v>
      </c>
      <c r="AK36" s="0" t="s">
        <v>359</v>
      </c>
      <c r="AL36" s="0" t="s">
        <v>368</v>
      </c>
      <c r="AM36" s="0" t="s">
        <v>464</v>
      </c>
      <c r="AN36" s="0" t="s">
        <v>465</v>
      </c>
      <c r="AO36" s="0" t="n">
        <v>3.85</v>
      </c>
      <c r="AP36" s="0" t="n">
        <v>1</v>
      </c>
      <c r="AQ36" s="0" t="n">
        <v>13340.05</v>
      </c>
      <c r="AR36" s="0" t="n">
        <v>13340.05</v>
      </c>
    </row>
    <row r="37" customFormat="false" ht="102.95" hidden="false" customHeight="false" outlineLevel="0" collapsed="false">
      <c r="K37" s="41" t="s">
        <v>353</v>
      </c>
      <c r="L37" s="41" t="s">
        <v>360</v>
      </c>
      <c r="M37" s="41" t="s">
        <v>406</v>
      </c>
      <c r="N37" s="41" t="s">
        <v>407</v>
      </c>
      <c r="O37" s="33" t="n">
        <v>3.85</v>
      </c>
      <c r="P37" s="33" t="n">
        <v>1</v>
      </c>
      <c r="Q37" s="33" t="n">
        <v>36130</v>
      </c>
      <c r="R37" s="33" t="n">
        <v>36130</v>
      </c>
      <c r="S37" s="41" t="str">
        <f aca="false">IF($B$5="All","Yes",IF($B$6="All",IF(K37=$B$5,"Yes","No"),IF(AND(K37=$B$5,L37=$B$6),"Yes","No")))</f>
        <v>Yes</v>
      </c>
      <c r="T37" s="0" t="s">
        <v>464</v>
      </c>
      <c r="AK37" s="0" t="s">
        <v>359</v>
      </c>
      <c r="AL37" s="0" t="s">
        <v>368</v>
      </c>
      <c r="AM37" s="0" t="s">
        <v>466</v>
      </c>
      <c r="AN37" s="0" t="s">
        <v>467</v>
      </c>
      <c r="AO37" s="0" t="n">
        <v>3.85</v>
      </c>
      <c r="AP37" s="0" t="n">
        <v>1</v>
      </c>
      <c r="AQ37" s="0" t="n">
        <v>13340.05</v>
      </c>
      <c r="AR37" s="0" t="n">
        <v>13340.05</v>
      </c>
    </row>
    <row r="38" customFormat="false" ht="64.9" hidden="false" customHeight="false" outlineLevel="0" collapsed="false">
      <c r="K38" s="41" t="s">
        <v>353</v>
      </c>
      <c r="L38" s="41" t="s">
        <v>368</v>
      </c>
      <c r="M38" s="41" t="s">
        <v>409</v>
      </c>
      <c r="N38" s="41" t="s">
        <v>410</v>
      </c>
      <c r="O38" s="33" t="n">
        <v>15.38</v>
      </c>
      <c r="P38" s="33" t="n">
        <v>1</v>
      </c>
      <c r="Q38" s="33" t="n">
        <v>36130</v>
      </c>
      <c r="R38" s="33" t="n">
        <v>36130</v>
      </c>
      <c r="S38" s="41" t="str">
        <f aca="false">IF($B$5="All","Yes",IF($B$6="All",IF(K38=$B$5,"Yes","No"),IF(AND(K38=$B$5,L38=$B$6),"Yes","No")))</f>
        <v>Yes</v>
      </c>
      <c r="T38" s="0" t="s">
        <v>466</v>
      </c>
      <c r="AK38" s="0" t="s">
        <v>359</v>
      </c>
      <c r="AL38" s="0" t="s">
        <v>368</v>
      </c>
      <c r="AM38" s="0" t="s">
        <v>468</v>
      </c>
      <c r="AN38" s="0" t="s">
        <v>469</v>
      </c>
      <c r="AO38" s="0" t="n">
        <v>11.54</v>
      </c>
      <c r="AP38" s="0" t="n">
        <v>1</v>
      </c>
      <c r="AQ38" s="0" t="n">
        <v>13340.05</v>
      </c>
      <c r="AR38" s="0" t="n">
        <v>13340.05</v>
      </c>
    </row>
    <row r="39" customFormat="false" ht="77.6" hidden="false" customHeight="false" outlineLevel="0" collapsed="false">
      <c r="K39" s="41" t="s">
        <v>353</v>
      </c>
      <c r="L39" s="41" t="s">
        <v>368</v>
      </c>
      <c r="M39" s="41" t="s">
        <v>412</v>
      </c>
      <c r="N39" s="41" t="s">
        <v>413</v>
      </c>
      <c r="O39" s="33" t="n">
        <v>15.38</v>
      </c>
      <c r="P39" s="33" t="n">
        <v>1</v>
      </c>
      <c r="Q39" s="33" t="n">
        <v>36130</v>
      </c>
      <c r="R39" s="33" t="n">
        <v>36130</v>
      </c>
      <c r="S39" s="41" t="str">
        <f aca="false">IF($B$5="All","Yes",IF($B$6="All",IF(K39=$B$5,"Yes","No"),IF(AND(K39=$B$5,L39=$B$6),"Yes","No")))</f>
        <v>Yes</v>
      </c>
      <c r="T39" s="0" t="s">
        <v>468</v>
      </c>
      <c r="AK39" s="0" t="s">
        <v>367</v>
      </c>
      <c r="AL39" s="0" t="s">
        <v>385</v>
      </c>
      <c r="AM39" s="0" t="s">
        <v>470</v>
      </c>
      <c r="AN39" s="0" t="s">
        <v>471</v>
      </c>
      <c r="AO39" s="0" t="n">
        <v>3.85</v>
      </c>
      <c r="AP39" s="0" t="n">
        <v>1</v>
      </c>
      <c r="AQ39" s="0" t="n">
        <v>0.02</v>
      </c>
      <c r="AR39" s="0" t="n">
        <v>0.02</v>
      </c>
    </row>
    <row r="40" customFormat="false" ht="90.25" hidden="false" customHeight="false" outlineLevel="0" collapsed="false">
      <c r="K40" s="41" t="s">
        <v>353</v>
      </c>
      <c r="L40" s="41" t="s">
        <v>368</v>
      </c>
      <c r="M40" s="41" t="s">
        <v>415</v>
      </c>
      <c r="N40" s="41" t="s">
        <v>416</v>
      </c>
      <c r="O40" s="33" t="n">
        <v>3.85</v>
      </c>
      <c r="P40" s="33" t="n">
        <v>1</v>
      </c>
      <c r="Q40" s="33" t="n">
        <v>36130</v>
      </c>
      <c r="R40" s="33" t="n">
        <v>36130</v>
      </c>
      <c r="S40" s="41" t="str">
        <f aca="false">IF($B$5="All","Yes",IF($B$6="All",IF(K40=$B$5,"Yes","No"),IF(AND(K40=$B$5,L40=$B$6),"Yes","No")))</f>
        <v>Yes</v>
      </c>
      <c r="T40" s="0" t="s">
        <v>470</v>
      </c>
      <c r="AK40" s="0" t="s">
        <v>367</v>
      </c>
      <c r="AL40" s="0" t="s">
        <v>385</v>
      </c>
      <c r="AM40" s="0" t="s">
        <v>472</v>
      </c>
      <c r="AN40" s="0" t="s">
        <v>473</v>
      </c>
      <c r="AO40" s="0" t="n">
        <v>23.08</v>
      </c>
      <c r="AP40" s="0" t="n">
        <v>1</v>
      </c>
      <c r="AQ40" s="0" t="n">
        <v>0.1</v>
      </c>
      <c r="AR40" s="0" t="n">
        <v>0.1</v>
      </c>
    </row>
    <row r="41" customFormat="false" ht="166.4" hidden="false" customHeight="false" outlineLevel="0" collapsed="false">
      <c r="K41" s="41" t="s">
        <v>353</v>
      </c>
      <c r="L41" s="41" t="s">
        <v>368</v>
      </c>
      <c r="M41" s="41" t="s">
        <v>418</v>
      </c>
      <c r="N41" s="41" t="s">
        <v>419</v>
      </c>
      <c r="O41" s="33" t="n">
        <v>3.85</v>
      </c>
      <c r="P41" s="33" t="n">
        <v>1</v>
      </c>
      <c r="Q41" s="33" t="n">
        <v>36130</v>
      </c>
      <c r="R41" s="33" t="n">
        <v>36130</v>
      </c>
      <c r="S41" s="41" t="str">
        <f aca="false">IF($B$5="All","Yes",IF($B$6="All",IF(K41=$B$5,"Yes","No"),IF(AND(K41=$B$5,L41=$B$6),"Yes","No")))</f>
        <v>Yes</v>
      </c>
      <c r="T41" s="0" t="s">
        <v>472</v>
      </c>
      <c r="AK41" s="0" t="s">
        <v>367</v>
      </c>
      <c r="AL41" s="0" t="s">
        <v>385</v>
      </c>
      <c r="AM41" s="0" t="s">
        <v>474</v>
      </c>
      <c r="AN41" s="0" t="s">
        <v>475</v>
      </c>
      <c r="AO41" s="0" t="n">
        <v>34.62</v>
      </c>
      <c r="AP41" s="0" t="n">
        <v>1</v>
      </c>
      <c r="AQ41" s="0" t="n">
        <v>0.1</v>
      </c>
      <c r="AR41" s="0" t="n">
        <v>0.1</v>
      </c>
    </row>
    <row r="42" customFormat="false" ht="179.1" hidden="false" customHeight="false" outlineLevel="0" collapsed="false">
      <c r="K42" s="41" t="s">
        <v>353</v>
      </c>
      <c r="L42" s="41" t="s">
        <v>368</v>
      </c>
      <c r="M42" s="41" t="s">
        <v>421</v>
      </c>
      <c r="N42" s="41" t="s">
        <v>422</v>
      </c>
      <c r="O42" s="33" t="n">
        <v>7.69</v>
      </c>
      <c r="P42" s="33" t="n">
        <v>1</v>
      </c>
      <c r="Q42" s="33" t="n">
        <v>36130</v>
      </c>
      <c r="R42" s="33" t="n">
        <v>36130</v>
      </c>
      <c r="S42" s="41" t="str">
        <f aca="false">IF($B$5="All","Yes",IF($B$6="All",IF(K42=$B$5,"Yes","No"),IF(AND(K42=$B$5,L42=$B$6),"Yes","No")))</f>
        <v>Yes</v>
      </c>
      <c r="T42" s="0" t="s">
        <v>474</v>
      </c>
      <c r="AK42" s="0" t="s">
        <v>367</v>
      </c>
      <c r="AL42" s="0" t="s">
        <v>390</v>
      </c>
      <c r="AM42" s="0" t="s">
        <v>476</v>
      </c>
      <c r="AN42" s="0" t="s">
        <v>477</v>
      </c>
      <c r="AO42" s="0" t="n">
        <v>38.46</v>
      </c>
      <c r="AP42" s="0" t="n">
        <v>1</v>
      </c>
      <c r="AQ42" s="0" t="n">
        <v>5730</v>
      </c>
      <c r="AR42" s="0" t="n">
        <v>5730</v>
      </c>
    </row>
    <row r="43" customFormat="false" ht="166.4" hidden="false" customHeight="false" outlineLevel="0" collapsed="false">
      <c r="K43" s="41" t="s">
        <v>359</v>
      </c>
      <c r="L43" s="41" t="s">
        <v>354</v>
      </c>
      <c r="M43" s="41" t="s">
        <v>424</v>
      </c>
      <c r="N43" s="41" t="s">
        <v>425</v>
      </c>
      <c r="O43" s="33" t="n">
        <v>3.85</v>
      </c>
      <c r="P43" s="33" t="n">
        <v>1</v>
      </c>
      <c r="Q43" s="33" t="n">
        <v>13344.05</v>
      </c>
      <c r="R43" s="33" t="n">
        <v>13344.05</v>
      </c>
      <c r="S43" s="41" t="str">
        <f aca="false">IF($B$5="All","Yes",IF($B$6="All",IF(K43=$B$5,"Yes","No"),IF(AND(K43=$B$5,L43=$B$6),"Yes","No")))</f>
        <v>Yes</v>
      </c>
      <c r="T43" s="0" t="s">
        <v>476</v>
      </c>
      <c r="AK43" s="0" t="s">
        <v>374</v>
      </c>
      <c r="AL43" s="0" t="s">
        <v>354</v>
      </c>
      <c r="AM43" s="0" t="s">
        <v>478</v>
      </c>
      <c r="AN43" s="0" t="s">
        <v>479</v>
      </c>
      <c r="AO43" s="0" t="n">
        <v>7.69</v>
      </c>
      <c r="AP43" s="0" t="n">
        <v>1</v>
      </c>
      <c r="AQ43" s="0" t="n">
        <v>43628</v>
      </c>
      <c r="AR43" s="0" t="n">
        <v>43628</v>
      </c>
    </row>
    <row r="44" customFormat="false" ht="179.1" hidden="false" customHeight="false" outlineLevel="0" collapsed="false">
      <c r="K44" s="41" t="s">
        <v>359</v>
      </c>
      <c r="L44" s="41" t="s">
        <v>354</v>
      </c>
      <c r="M44" s="41" t="s">
        <v>426</v>
      </c>
      <c r="N44" s="41" t="s">
        <v>427</v>
      </c>
      <c r="O44" s="33" t="n">
        <v>3.85</v>
      </c>
      <c r="P44" s="33" t="n">
        <v>1</v>
      </c>
      <c r="Q44" s="33" t="n">
        <v>13344.01</v>
      </c>
      <c r="R44" s="33" t="n">
        <v>13344.01</v>
      </c>
      <c r="S44" s="41" t="str">
        <f aca="false">IF($B$5="All","Yes",IF($B$6="All",IF(K44=$B$5,"Yes","No"),IF(AND(K44=$B$5,L44=$B$6),"Yes","No")))</f>
        <v>Yes</v>
      </c>
      <c r="T44" s="0" t="s">
        <v>478</v>
      </c>
      <c r="AK44" s="0" t="s">
        <v>374</v>
      </c>
      <c r="AL44" s="0" t="s">
        <v>354</v>
      </c>
      <c r="AM44" s="0" t="s">
        <v>480</v>
      </c>
      <c r="AN44" s="0" t="s">
        <v>481</v>
      </c>
      <c r="AO44" s="0" t="n">
        <v>3.85</v>
      </c>
      <c r="AP44" s="0" t="n">
        <v>1</v>
      </c>
      <c r="AQ44" s="0" t="n">
        <v>23742</v>
      </c>
      <c r="AR44" s="0" t="n">
        <v>23742</v>
      </c>
    </row>
    <row r="45" customFormat="false" ht="179.1" hidden="false" customHeight="false" outlineLevel="0" collapsed="false">
      <c r="K45" s="41" t="s">
        <v>359</v>
      </c>
      <c r="L45" s="41" t="s">
        <v>354</v>
      </c>
      <c r="M45" s="41" t="s">
        <v>428</v>
      </c>
      <c r="N45" s="41" t="s">
        <v>429</v>
      </c>
      <c r="O45" s="33" t="n">
        <v>3.85</v>
      </c>
      <c r="P45" s="33" t="n">
        <v>1</v>
      </c>
      <c r="Q45" s="33" t="n">
        <v>13344.05</v>
      </c>
      <c r="R45" s="33" t="n">
        <v>13344.05</v>
      </c>
      <c r="S45" s="41" t="str">
        <f aca="false">IF($B$5="All","Yes",IF($B$6="All",IF(K45=$B$5,"Yes","No"),IF(AND(K45=$B$5,L45=$B$6),"Yes","No")))</f>
        <v>Yes</v>
      </c>
      <c r="T45" s="0" t="s">
        <v>480</v>
      </c>
      <c r="AK45" s="0" t="s">
        <v>374</v>
      </c>
      <c r="AL45" s="0" t="s">
        <v>354</v>
      </c>
      <c r="AM45" s="0" t="s">
        <v>482</v>
      </c>
      <c r="AN45" s="0" t="s">
        <v>483</v>
      </c>
      <c r="AO45" s="0" t="n">
        <v>3.85</v>
      </c>
      <c r="AP45" s="0" t="n">
        <v>1</v>
      </c>
      <c r="AQ45" s="0" t="n">
        <v>23742</v>
      </c>
      <c r="AR45" s="0" t="n">
        <v>23742</v>
      </c>
    </row>
    <row r="46" customFormat="false" ht="179.1" hidden="false" customHeight="false" outlineLevel="0" collapsed="false">
      <c r="K46" s="41" t="s">
        <v>359</v>
      </c>
      <c r="L46" s="41" t="s">
        <v>354</v>
      </c>
      <c r="M46" s="41" t="s">
        <v>430</v>
      </c>
      <c r="N46" s="41" t="s">
        <v>431</v>
      </c>
      <c r="O46" s="33" t="n">
        <v>3.85</v>
      </c>
      <c r="P46" s="33" t="n">
        <v>1</v>
      </c>
      <c r="Q46" s="33" t="n">
        <v>13344.09</v>
      </c>
      <c r="R46" s="33" t="n">
        <v>13344.09</v>
      </c>
      <c r="S46" s="41" t="str">
        <f aca="false">IF($B$5="All","Yes",IF($B$6="All",IF(K46=$B$5,"Yes","No"),IF(AND(K46=$B$5,L46=$B$6),"Yes","No")))</f>
        <v>Yes</v>
      </c>
      <c r="T46" s="0" t="s">
        <v>482</v>
      </c>
      <c r="AK46" s="0" t="s">
        <v>374</v>
      </c>
      <c r="AL46" s="0" t="s">
        <v>354</v>
      </c>
      <c r="AM46" s="0" t="s">
        <v>484</v>
      </c>
      <c r="AN46" s="0" t="s">
        <v>485</v>
      </c>
      <c r="AO46" s="0" t="n">
        <v>15.38</v>
      </c>
      <c r="AP46" s="0" t="n">
        <v>1</v>
      </c>
      <c r="AQ46" s="0" t="n">
        <v>43628</v>
      </c>
      <c r="AR46" s="0" t="n">
        <v>43628</v>
      </c>
    </row>
    <row r="47" customFormat="false" ht="102.95" hidden="false" customHeight="false" outlineLevel="0" collapsed="false">
      <c r="K47" s="41" t="s">
        <v>359</v>
      </c>
      <c r="L47" s="41" t="s">
        <v>354</v>
      </c>
      <c r="M47" s="41" t="s">
        <v>432</v>
      </c>
      <c r="N47" s="41" t="s">
        <v>433</v>
      </c>
      <c r="O47" s="33" t="n">
        <v>3.85</v>
      </c>
      <c r="P47" s="33" t="n">
        <v>1</v>
      </c>
      <c r="Q47" s="33" t="n">
        <v>13344</v>
      </c>
      <c r="R47" s="33" t="n">
        <v>13344</v>
      </c>
      <c r="S47" s="41" t="str">
        <f aca="false">IF($B$5="All","Yes",IF($B$6="All",IF(K47=$B$5,"Yes","No"),IF(AND(K47=$B$5,L47=$B$6),"Yes","No")))</f>
        <v>Yes</v>
      </c>
      <c r="T47" s="0" t="s">
        <v>484</v>
      </c>
      <c r="AK47" s="0" t="s">
        <v>374</v>
      </c>
      <c r="AL47" s="0" t="s">
        <v>373</v>
      </c>
      <c r="AM47" s="0" t="s">
        <v>486</v>
      </c>
      <c r="AN47" s="0" t="s">
        <v>487</v>
      </c>
      <c r="AO47" s="0" t="n">
        <v>3.85</v>
      </c>
      <c r="AP47" s="0" t="n">
        <v>1</v>
      </c>
      <c r="AQ47" s="0" t="n">
        <v>43628</v>
      </c>
      <c r="AR47" s="0" t="n">
        <v>43628</v>
      </c>
    </row>
    <row r="48" customFormat="false" ht="153.7" hidden="false" customHeight="false" outlineLevel="0" collapsed="false">
      <c r="K48" s="41" t="s">
        <v>359</v>
      </c>
      <c r="L48" s="41" t="s">
        <v>354</v>
      </c>
      <c r="M48" s="41" t="s">
        <v>434</v>
      </c>
      <c r="N48" s="41" t="s">
        <v>435</v>
      </c>
      <c r="O48" s="33" t="n">
        <v>3.85</v>
      </c>
      <c r="P48" s="33" t="n">
        <v>1</v>
      </c>
      <c r="Q48" s="33" t="n">
        <v>13344.05</v>
      </c>
      <c r="R48" s="33" t="n">
        <v>13344.05</v>
      </c>
      <c r="S48" s="41" t="str">
        <f aca="false">IF($B$5="All","Yes",IF($B$6="All",IF(K48=$B$5,"Yes","No"),IF(AND(K48=$B$5,L48=$B$6),"Yes","No")))</f>
        <v>Yes</v>
      </c>
      <c r="T48" s="0" t="s">
        <v>486</v>
      </c>
      <c r="AK48" s="0" t="s">
        <v>374</v>
      </c>
      <c r="AL48" s="0" t="s">
        <v>360</v>
      </c>
      <c r="AM48" s="0" t="s">
        <v>488</v>
      </c>
      <c r="AN48" s="0" t="s">
        <v>489</v>
      </c>
      <c r="AO48" s="0" t="n">
        <v>3.85</v>
      </c>
      <c r="AP48" s="0" t="n">
        <v>1</v>
      </c>
      <c r="AQ48" s="0" t="n">
        <v>33924.98</v>
      </c>
      <c r="AR48" s="0" t="n">
        <v>33924.98</v>
      </c>
    </row>
    <row r="49" customFormat="false" ht="153.7" hidden="false" customHeight="false" outlineLevel="0" collapsed="false">
      <c r="K49" s="41" t="s">
        <v>359</v>
      </c>
      <c r="L49" s="41" t="s">
        <v>354</v>
      </c>
      <c r="M49" s="41" t="s">
        <v>436</v>
      </c>
      <c r="N49" s="41" t="s">
        <v>437</v>
      </c>
      <c r="O49" s="33" t="n">
        <v>3.85</v>
      </c>
      <c r="P49" s="33" t="n">
        <v>1</v>
      </c>
      <c r="Q49" s="33" t="n">
        <v>13344</v>
      </c>
      <c r="R49" s="33" t="n">
        <v>13344</v>
      </c>
      <c r="S49" s="41" t="str">
        <f aca="false">IF($B$5="All","Yes",IF($B$6="All",IF(K49=$B$5,"Yes","No"),IF(AND(K49=$B$5,L49=$B$6),"Yes","No")))</f>
        <v>Yes</v>
      </c>
      <c r="T49" s="0" t="s">
        <v>488</v>
      </c>
      <c r="AK49" s="0" t="s">
        <v>374</v>
      </c>
      <c r="AL49" s="0" t="s">
        <v>360</v>
      </c>
      <c r="AM49" s="0" t="s">
        <v>490</v>
      </c>
      <c r="AN49" s="0" t="s">
        <v>491</v>
      </c>
      <c r="AO49" s="0" t="n">
        <v>3.85</v>
      </c>
      <c r="AP49" s="0" t="n">
        <v>1</v>
      </c>
      <c r="AQ49" s="0" t="n">
        <v>33925</v>
      </c>
      <c r="AR49" s="0" t="n">
        <v>33925</v>
      </c>
    </row>
    <row r="50" customFormat="false" ht="153.7" hidden="false" customHeight="false" outlineLevel="0" collapsed="false">
      <c r="K50" s="41" t="s">
        <v>359</v>
      </c>
      <c r="L50" s="41" t="s">
        <v>354</v>
      </c>
      <c r="M50" s="41" t="s">
        <v>438</v>
      </c>
      <c r="N50" s="41" t="s">
        <v>439</v>
      </c>
      <c r="O50" s="33" t="n">
        <v>3.85</v>
      </c>
      <c r="P50" s="33" t="n">
        <v>1</v>
      </c>
      <c r="Q50" s="33" t="n">
        <v>13344.01</v>
      </c>
      <c r="R50" s="33" t="n">
        <v>13344.01</v>
      </c>
      <c r="S50" s="41" t="str">
        <f aca="false">IF($B$5="All","Yes",IF($B$6="All",IF(K50=$B$5,"Yes","No"),IF(AND(K50=$B$5,L50=$B$6),"Yes","No")))</f>
        <v>Yes</v>
      </c>
      <c r="T50" s="0" t="s">
        <v>490</v>
      </c>
      <c r="AK50" s="0" t="s">
        <v>374</v>
      </c>
      <c r="AL50" s="0" t="s">
        <v>360</v>
      </c>
      <c r="AM50" s="0" t="s">
        <v>492</v>
      </c>
      <c r="AN50" s="0" t="s">
        <v>493</v>
      </c>
      <c r="AO50" s="0" t="n">
        <v>3.85</v>
      </c>
      <c r="AP50" s="0" t="n">
        <v>1</v>
      </c>
      <c r="AQ50" s="0" t="n">
        <v>33925</v>
      </c>
      <c r="AR50" s="0" t="n">
        <v>33925</v>
      </c>
    </row>
    <row r="51" customFormat="false" ht="153.7" hidden="false" customHeight="false" outlineLevel="0" collapsed="false">
      <c r="K51" s="41" t="s">
        <v>359</v>
      </c>
      <c r="L51" s="41" t="s">
        <v>354</v>
      </c>
      <c r="M51" s="41" t="s">
        <v>440</v>
      </c>
      <c r="N51" s="41" t="s">
        <v>441</v>
      </c>
      <c r="O51" s="33" t="n">
        <v>3.85</v>
      </c>
      <c r="P51" s="33" t="n">
        <v>1</v>
      </c>
      <c r="Q51" s="33" t="n">
        <v>13344.01</v>
      </c>
      <c r="R51" s="33" t="n">
        <v>13344.01</v>
      </c>
      <c r="S51" s="41" t="str">
        <f aca="false">IF($B$5="All","Yes",IF($B$6="All",IF(K51=$B$5,"Yes","No"),IF(AND(K51=$B$5,L51=$B$6),"Yes","No")))</f>
        <v>Yes</v>
      </c>
      <c r="T51" s="0" t="s">
        <v>492</v>
      </c>
      <c r="AK51" s="0" t="s">
        <v>374</v>
      </c>
      <c r="AL51" s="0" t="s">
        <v>360</v>
      </c>
      <c r="AM51" s="0" t="s">
        <v>494</v>
      </c>
      <c r="AN51" s="0" t="s">
        <v>495</v>
      </c>
      <c r="AO51" s="0" t="n">
        <v>3.85</v>
      </c>
      <c r="AP51" s="0" t="n">
        <v>1</v>
      </c>
      <c r="AQ51" s="0" t="n">
        <v>33925</v>
      </c>
      <c r="AR51" s="0" t="n">
        <v>33925</v>
      </c>
    </row>
    <row r="52" customFormat="false" ht="153.7" hidden="false" customHeight="false" outlineLevel="0" collapsed="false">
      <c r="K52" s="41" t="s">
        <v>359</v>
      </c>
      <c r="L52" s="41" t="s">
        <v>354</v>
      </c>
      <c r="M52" s="41" t="s">
        <v>443</v>
      </c>
      <c r="N52" s="41" t="s">
        <v>444</v>
      </c>
      <c r="O52" s="33" t="n">
        <v>3.85</v>
      </c>
      <c r="P52" s="33" t="n">
        <v>1</v>
      </c>
      <c r="Q52" s="33" t="n">
        <v>13344</v>
      </c>
      <c r="R52" s="33" t="n">
        <v>13344</v>
      </c>
      <c r="S52" s="41" t="str">
        <f aca="false">IF($B$5="All","Yes",IF($B$6="All",IF(K52=$B$5,"Yes","No"),IF(AND(K52=$B$5,L52=$B$6),"Yes","No")))</f>
        <v>Yes</v>
      </c>
      <c r="T52" s="0" t="s">
        <v>494</v>
      </c>
      <c r="AK52" s="0" t="s">
        <v>374</v>
      </c>
      <c r="AL52" s="0" t="s">
        <v>368</v>
      </c>
      <c r="AM52" s="0" t="s">
        <v>496</v>
      </c>
      <c r="AN52" s="0" t="s">
        <v>497</v>
      </c>
      <c r="AO52" s="0" t="n">
        <v>3.85</v>
      </c>
      <c r="AP52" s="0" t="n">
        <v>1</v>
      </c>
      <c r="AQ52" s="0" t="n">
        <v>23735.05</v>
      </c>
      <c r="AR52" s="0" t="n">
        <v>23735.05</v>
      </c>
    </row>
    <row r="53" customFormat="false" ht="64.9" hidden="false" customHeight="false" outlineLevel="0" collapsed="false">
      <c r="K53" s="41" t="s">
        <v>359</v>
      </c>
      <c r="L53" s="41" t="s">
        <v>360</v>
      </c>
      <c r="M53" s="41" t="s">
        <v>446</v>
      </c>
      <c r="N53" s="41" t="s">
        <v>447</v>
      </c>
      <c r="O53" s="33" t="n">
        <v>3.85</v>
      </c>
      <c r="P53" s="33" t="n">
        <v>2</v>
      </c>
      <c r="Q53" s="33" t="n">
        <v>13340.05</v>
      </c>
      <c r="R53" s="33" t="n">
        <v>26680.1</v>
      </c>
      <c r="S53" s="41" t="str">
        <f aca="false">IF($B$5="All","Yes",IF($B$6="All",IF(K53=$B$5,"Yes","No"),IF(AND(K53=$B$5,L53=$B$6),"Yes","No")))</f>
        <v>Yes</v>
      </c>
      <c r="T53" s="0" t="s">
        <v>496</v>
      </c>
      <c r="AK53" s="0" t="s">
        <v>374</v>
      </c>
      <c r="AL53" s="0" t="s">
        <v>368</v>
      </c>
      <c r="AM53" s="0" t="s">
        <v>498</v>
      </c>
      <c r="AN53" s="0" t="s">
        <v>499</v>
      </c>
      <c r="AO53" s="0" t="n">
        <v>3.85</v>
      </c>
      <c r="AP53" s="0" t="n">
        <v>1</v>
      </c>
      <c r="AQ53" s="0" t="n">
        <v>39660</v>
      </c>
      <c r="AR53" s="0" t="n">
        <v>39660</v>
      </c>
    </row>
    <row r="54" customFormat="false" ht="77.6" hidden="false" customHeight="false" outlineLevel="0" collapsed="false">
      <c r="K54" s="41" t="s">
        <v>359</v>
      </c>
      <c r="L54" s="41" t="s">
        <v>360</v>
      </c>
      <c r="M54" s="41" t="s">
        <v>448</v>
      </c>
      <c r="N54" s="41" t="s">
        <v>449</v>
      </c>
      <c r="O54" s="33" t="n">
        <v>3.85</v>
      </c>
      <c r="P54" s="33" t="n">
        <v>1</v>
      </c>
      <c r="Q54" s="33" t="n">
        <v>13340.05</v>
      </c>
      <c r="R54" s="33" t="n">
        <v>13340.05</v>
      </c>
      <c r="S54" s="41" t="str">
        <f aca="false">IF($B$5="All","Yes",IF($B$6="All",IF(K54=$B$5,"Yes","No"),IF(AND(K54=$B$5,L54=$B$6),"Yes","No")))</f>
        <v>Yes</v>
      </c>
      <c r="T54" s="0" t="s">
        <v>498</v>
      </c>
      <c r="AK54" s="0" t="s">
        <v>374</v>
      </c>
      <c r="AL54" s="0" t="s">
        <v>368</v>
      </c>
      <c r="AM54" s="0" t="s">
        <v>500</v>
      </c>
      <c r="AN54" s="0" t="s">
        <v>501</v>
      </c>
      <c r="AO54" s="0" t="n">
        <v>15.38</v>
      </c>
      <c r="AP54" s="0" t="n">
        <v>1</v>
      </c>
      <c r="AQ54" s="0" t="n">
        <v>39660</v>
      </c>
      <c r="AR54" s="0" t="n">
        <v>39660</v>
      </c>
    </row>
    <row r="55" customFormat="false" ht="102.95" hidden="false" customHeight="false" outlineLevel="0" collapsed="false">
      <c r="K55" s="41" t="s">
        <v>359</v>
      </c>
      <c r="L55" s="41" t="s">
        <v>360</v>
      </c>
      <c r="M55" s="41" t="s">
        <v>450</v>
      </c>
      <c r="N55" s="41" t="s">
        <v>451</v>
      </c>
      <c r="O55" s="33" t="n">
        <v>3.85</v>
      </c>
      <c r="P55" s="33" t="n">
        <v>1</v>
      </c>
      <c r="Q55" s="33" t="n">
        <v>13340.05</v>
      </c>
      <c r="R55" s="33" t="n">
        <v>13340.05</v>
      </c>
      <c r="S55" s="41" t="str">
        <f aca="false">IF($B$5="All","Yes",IF($B$6="All",IF(K55=$B$5,"Yes","No"),IF(AND(K55=$B$5,L55=$B$6),"Yes","No")))</f>
        <v>Yes</v>
      </c>
      <c r="T55" s="0" t="s">
        <v>500</v>
      </c>
      <c r="AK55" s="0" t="s">
        <v>374</v>
      </c>
      <c r="AL55" s="0" t="s">
        <v>368</v>
      </c>
      <c r="AM55" s="0" t="s">
        <v>502</v>
      </c>
      <c r="AN55" s="0" t="s">
        <v>503</v>
      </c>
      <c r="AO55" s="0" t="n">
        <v>15.38</v>
      </c>
      <c r="AP55" s="0" t="n">
        <v>1</v>
      </c>
      <c r="AQ55" s="0" t="n">
        <v>39660</v>
      </c>
      <c r="AR55" s="0" t="n">
        <v>39660</v>
      </c>
    </row>
    <row r="56" customFormat="false" ht="153.7" hidden="false" customHeight="false" outlineLevel="0" collapsed="false">
      <c r="K56" s="41" t="s">
        <v>359</v>
      </c>
      <c r="L56" s="41" t="s">
        <v>360</v>
      </c>
      <c r="M56" s="41" t="s">
        <v>452</v>
      </c>
      <c r="N56" s="41" t="s">
        <v>453</v>
      </c>
      <c r="O56" s="33" t="n">
        <v>3.85</v>
      </c>
      <c r="P56" s="33" t="n">
        <v>1</v>
      </c>
      <c r="Q56" s="33" t="n">
        <v>13339.5</v>
      </c>
      <c r="R56" s="33" t="n">
        <v>13339.5</v>
      </c>
      <c r="S56" s="41" t="str">
        <f aca="false">IF($B$5="All","Yes",IF($B$6="All",IF(K56=$B$5,"Yes","No"),IF(AND(K56=$B$5,L56=$B$6),"Yes","No")))</f>
        <v>Yes</v>
      </c>
      <c r="T56" s="0" t="s">
        <v>502</v>
      </c>
      <c r="AK56" s="0" t="s">
        <v>374</v>
      </c>
      <c r="AL56" s="0" t="s">
        <v>368</v>
      </c>
      <c r="AM56" s="0" t="s">
        <v>504</v>
      </c>
      <c r="AN56" s="0" t="s">
        <v>505</v>
      </c>
      <c r="AO56" s="0" t="n">
        <v>3.85</v>
      </c>
      <c r="AP56" s="0" t="n">
        <v>1</v>
      </c>
      <c r="AQ56" s="0" t="n">
        <v>39660</v>
      </c>
      <c r="AR56" s="0" t="n">
        <v>39660</v>
      </c>
    </row>
    <row r="57" customFormat="false" ht="77.6" hidden="false" customHeight="false" outlineLevel="0" collapsed="false">
      <c r="K57" s="41" t="s">
        <v>359</v>
      </c>
      <c r="L57" s="41" t="s">
        <v>368</v>
      </c>
      <c r="M57" s="41" t="s">
        <v>454</v>
      </c>
      <c r="N57" s="41" t="s">
        <v>455</v>
      </c>
      <c r="O57" s="33" t="n">
        <v>3.85</v>
      </c>
      <c r="P57" s="33" t="n">
        <v>1</v>
      </c>
      <c r="Q57" s="33" t="n">
        <v>13340.05</v>
      </c>
      <c r="R57" s="33" t="n">
        <v>13340.05</v>
      </c>
      <c r="S57" s="41" t="str">
        <f aca="false">IF($B$5="All","Yes",IF($B$6="All",IF(K57=$B$5,"Yes","No"),IF(AND(K57=$B$5,L57=$B$6),"Yes","No")))</f>
        <v>Yes</v>
      </c>
      <c r="T57" s="0" t="s">
        <v>504</v>
      </c>
      <c r="AK57" s="0" t="s">
        <v>374</v>
      </c>
      <c r="AL57" s="0" t="s">
        <v>368</v>
      </c>
      <c r="AM57" s="0" t="s">
        <v>506</v>
      </c>
      <c r="AN57" s="0" t="s">
        <v>507</v>
      </c>
      <c r="AO57" s="0" t="n">
        <v>3.85</v>
      </c>
      <c r="AP57" s="0" t="n">
        <v>1</v>
      </c>
      <c r="AQ57" s="0" t="n">
        <v>23735</v>
      </c>
      <c r="AR57" s="0" t="n">
        <v>23735</v>
      </c>
    </row>
    <row r="58" customFormat="false" ht="77.6" hidden="false" customHeight="false" outlineLevel="0" collapsed="false">
      <c r="K58" s="41" t="s">
        <v>359</v>
      </c>
      <c r="L58" s="41" t="s">
        <v>368</v>
      </c>
      <c r="M58" s="41" t="s">
        <v>456</v>
      </c>
      <c r="N58" s="41" t="s">
        <v>457</v>
      </c>
      <c r="O58" s="33" t="n">
        <v>11.54</v>
      </c>
      <c r="P58" s="33" t="n">
        <v>1</v>
      </c>
      <c r="Q58" s="33" t="n">
        <v>13340.05</v>
      </c>
      <c r="R58" s="33" t="n">
        <v>13340.05</v>
      </c>
      <c r="S58" s="41" t="str">
        <f aca="false">IF($B$5="All","Yes",IF($B$6="All",IF(K58=$B$5,"Yes","No"),IF(AND(K58=$B$5,L58=$B$6),"Yes","No")))</f>
        <v>Yes</v>
      </c>
      <c r="T58" s="0" t="s">
        <v>506</v>
      </c>
      <c r="AK58" s="0" t="s">
        <v>380</v>
      </c>
      <c r="AL58" s="0" t="s">
        <v>354</v>
      </c>
      <c r="AM58" s="0" t="s">
        <v>508</v>
      </c>
      <c r="AN58" s="0" t="s">
        <v>509</v>
      </c>
      <c r="AO58" s="0" t="n">
        <v>3.85</v>
      </c>
      <c r="AP58" s="0" t="n">
        <v>1</v>
      </c>
      <c r="AQ58" s="0" t="n">
        <v>43628</v>
      </c>
      <c r="AR58" s="0" t="n">
        <v>43628</v>
      </c>
    </row>
    <row r="59" customFormat="false" ht="77.6" hidden="false" customHeight="false" outlineLevel="0" collapsed="false">
      <c r="K59" s="41" t="s">
        <v>359</v>
      </c>
      <c r="L59" s="41" t="s">
        <v>368</v>
      </c>
      <c r="M59" s="41" t="s">
        <v>458</v>
      </c>
      <c r="N59" s="41" t="s">
        <v>459</v>
      </c>
      <c r="O59" s="33" t="n">
        <v>3.85</v>
      </c>
      <c r="P59" s="33" t="n">
        <v>1</v>
      </c>
      <c r="Q59" s="33" t="n">
        <v>13340.05</v>
      </c>
      <c r="R59" s="33" t="n">
        <v>13340.05</v>
      </c>
      <c r="S59" s="41" t="str">
        <f aca="false">IF($B$5="All","Yes",IF($B$6="All",IF(K59=$B$5,"Yes","No"),IF(AND(K59=$B$5,L59=$B$6),"Yes","No")))</f>
        <v>Yes</v>
      </c>
      <c r="T59" s="0" t="s">
        <v>508</v>
      </c>
      <c r="AK59" s="0" t="s">
        <v>380</v>
      </c>
      <c r="AL59" s="0" t="s">
        <v>368</v>
      </c>
      <c r="AM59" s="0" t="s">
        <v>510</v>
      </c>
      <c r="AN59" s="0" t="s">
        <v>511</v>
      </c>
      <c r="AO59" s="0" t="n">
        <v>11.54</v>
      </c>
      <c r="AP59" s="0" t="n">
        <v>1</v>
      </c>
      <c r="AQ59" s="0" t="n">
        <v>0.02</v>
      </c>
      <c r="AR59" s="0" t="n">
        <v>0.02</v>
      </c>
    </row>
    <row r="60" customFormat="false" ht="141" hidden="false" customHeight="false" outlineLevel="0" collapsed="false">
      <c r="K60" s="41" t="s">
        <v>359</v>
      </c>
      <c r="L60" s="41" t="s">
        <v>368</v>
      </c>
      <c r="M60" s="41" t="s">
        <v>460</v>
      </c>
      <c r="N60" s="41" t="s">
        <v>461</v>
      </c>
      <c r="O60" s="33" t="n">
        <v>3.85</v>
      </c>
      <c r="P60" s="33" t="n">
        <v>1</v>
      </c>
      <c r="Q60" s="33" t="n">
        <v>13340</v>
      </c>
      <c r="R60" s="33" t="n">
        <v>13340</v>
      </c>
      <c r="S60" s="41" t="str">
        <f aca="false">IF($B$5="All","Yes",IF($B$6="All",IF(K60=$B$5,"Yes","No"),IF(AND(K60=$B$5,L60=$B$6),"Yes","No")))</f>
        <v>Yes</v>
      </c>
      <c r="T60" s="0" t="s">
        <v>510</v>
      </c>
      <c r="AK60" s="0" t="s">
        <v>380</v>
      </c>
      <c r="AL60" s="0" t="s">
        <v>368</v>
      </c>
      <c r="AM60" s="0" t="s">
        <v>512</v>
      </c>
      <c r="AN60" s="0" t="s">
        <v>513</v>
      </c>
      <c r="AO60" s="0" t="n">
        <v>3.85</v>
      </c>
      <c r="AP60" s="0" t="n">
        <v>1</v>
      </c>
      <c r="AQ60" s="0" t="n">
        <v>0.1</v>
      </c>
      <c r="AR60" s="0" t="n">
        <v>0.1</v>
      </c>
    </row>
    <row r="61" customFormat="false" ht="141" hidden="false" customHeight="false" outlineLevel="0" collapsed="false">
      <c r="K61" s="41" t="s">
        <v>359</v>
      </c>
      <c r="L61" s="41" t="s">
        <v>368</v>
      </c>
      <c r="M61" s="41" t="s">
        <v>462</v>
      </c>
      <c r="N61" s="41" t="s">
        <v>463</v>
      </c>
      <c r="O61" s="33" t="n">
        <v>3.85</v>
      </c>
      <c r="P61" s="33" t="n">
        <v>1</v>
      </c>
      <c r="Q61" s="33" t="n">
        <v>13340.05</v>
      </c>
      <c r="R61" s="33" t="n">
        <v>13340.05</v>
      </c>
      <c r="S61" s="41" t="str">
        <f aca="false">IF($B$5="All","Yes",IF($B$6="All",IF(K61=$B$5,"Yes","No"),IF(AND(K61=$B$5,L61=$B$6),"Yes","No")))</f>
        <v>Yes</v>
      </c>
      <c r="T61" s="0" t="s">
        <v>512</v>
      </c>
      <c r="AK61" s="0" t="s">
        <v>386</v>
      </c>
      <c r="AL61" s="0" t="s">
        <v>366</v>
      </c>
      <c r="AM61" s="0" t="s">
        <v>514</v>
      </c>
      <c r="AN61" s="0" t="s">
        <v>515</v>
      </c>
      <c r="AO61" s="0" t="n">
        <v>3.85</v>
      </c>
      <c r="AP61" s="0" t="n">
        <v>1</v>
      </c>
      <c r="AQ61" s="0" t="n">
        <v>227.9</v>
      </c>
      <c r="AR61" s="0" t="n">
        <v>227.9</v>
      </c>
    </row>
    <row r="62" customFormat="false" ht="153.7" hidden="false" customHeight="false" outlineLevel="0" collapsed="false">
      <c r="K62" s="41" t="s">
        <v>359</v>
      </c>
      <c r="L62" s="41" t="s">
        <v>368</v>
      </c>
      <c r="M62" s="41" t="s">
        <v>464</v>
      </c>
      <c r="N62" s="41" t="s">
        <v>465</v>
      </c>
      <c r="O62" s="33" t="n">
        <v>3.85</v>
      </c>
      <c r="P62" s="33" t="n">
        <v>1</v>
      </c>
      <c r="Q62" s="33" t="n">
        <v>13340.05</v>
      </c>
      <c r="R62" s="33" t="n">
        <v>13340.05</v>
      </c>
      <c r="S62" s="41" t="str">
        <f aca="false">IF($B$5="All","Yes",IF($B$6="All",IF(K62=$B$5,"Yes","No"),IF(AND(K62=$B$5,L62=$B$6),"Yes","No")))</f>
        <v>Yes</v>
      </c>
      <c r="T62" s="0" t="s">
        <v>514</v>
      </c>
      <c r="AK62" s="0" t="s">
        <v>386</v>
      </c>
      <c r="AL62" s="0" t="s">
        <v>366</v>
      </c>
      <c r="AM62" s="0" t="s">
        <v>516</v>
      </c>
      <c r="AN62" s="0" t="s">
        <v>517</v>
      </c>
      <c r="AO62" s="0" t="n">
        <v>3.85</v>
      </c>
      <c r="AP62" s="0" t="n">
        <v>1</v>
      </c>
      <c r="AQ62" s="0" t="n">
        <v>565.35</v>
      </c>
      <c r="AR62" s="0" t="n">
        <v>565.35</v>
      </c>
    </row>
    <row r="63" customFormat="false" ht="153.7" hidden="false" customHeight="false" outlineLevel="0" collapsed="false">
      <c r="K63" s="41" t="s">
        <v>359</v>
      </c>
      <c r="L63" s="41" t="s">
        <v>368</v>
      </c>
      <c r="M63" s="41" t="s">
        <v>466</v>
      </c>
      <c r="N63" s="41" t="s">
        <v>467</v>
      </c>
      <c r="O63" s="33" t="n">
        <v>3.85</v>
      </c>
      <c r="P63" s="33" t="n">
        <v>1</v>
      </c>
      <c r="Q63" s="33" t="n">
        <v>13340.05</v>
      </c>
      <c r="R63" s="33" t="n">
        <v>13340.05</v>
      </c>
      <c r="S63" s="41" t="str">
        <f aca="false">IF($B$5="All","Yes",IF($B$6="All",IF(K63=$B$5,"Yes","No"),IF(AND(K63=$B$5,L63=$B$6),"Yes","No")))</f>
        <v>Yes</v>
      </c>
      <c r="T63" s="0" t="s">
        <v>516</v>
      </c>
      <c r="AK63" s="0" t="s">
        <v>391</v>
      </c>
      <c r="AL63" s="0" t="s">
        <v>366</v>
      </c>
      <c r="AM63" s="0" t="s">
        <v>518</v>
      </c>
      <c r="AN63" s="0" t="s">
        <v>519</v>
      </c>
      <c r="AO63" s="0" t="n">
        <v>26.92</v>
      </c>
      <c r="AP63" s="0" t="n">
        <v>1</v>
      </c>
      <c r="AQ63" s="0" t="n">
        <v>1406.25</v>
      </c>
      <c r="AR63" s="0" t="n">
        <v>1406.25</v>
      </c>
    </row>
    <row r="64" customFormat="false" ht="90.25" hidden="false" customHeight="false" outlineLevel="0" collapsed="false">
      <c r="K64" s="41" t="s">
        <v>359</v>
      </c>
      <c r="L64" s="41" t="s">
        <v>368</v>
      </c>
      <c r="M64" s="41" t="s">
        <v>468</v>
      </c>
      <c r="N64" s="41" t="s">
        <v>469</v>
      </c>
      <c r="O64" s="33" t="n">
        <v>11.54</v>
      </c>
      <c r="P64" s="33" t="n">
        <v>1</v>
      </c>
      <c r="Q64" s="33" t="n">
        <v>13340.05</v>
      </c>
      <c r="R64" s="33" t="n">
        <v>13340.05</v>
      </c>
      <c r="S64" s="41" t="str">
        <f aca="false">IF($B$5="All","Yes",IF($B$6="All",IF(K64=$B$5,"Yes","No"),IF(AND(K64=$B$5,L64=$B$6),"Yes","No")))</f>
        <v>Yes</v>
      </c>
      <c r="T64" s="0" t="s">
        <v>518</v>
      </c>
      <c r="AK64" s="0" t="s">
        <v>391</v>
      </c>
      <c r="AL64" s="0" t="s">
        <v>366</v>
      </c>
      <c r="AM64" s="0" t="s">
        <v>520</v>
      </c>
      <c r="AN64" s="0" t="s">
        <v>521</v>
      </c>
      <c r="AO64" s="0" t="n">
        <v>3.85</v>
      </c>
      <c r="AP64" s="0" t="n">
        <v>1</v>
      </c>
      <c r="AQ64" s="0" t="n">
        <v>30768.75</v>
      </c>
      <c r="AR64" s="0" t="n">
        <v>30768.75</v>
      </c>
    </row>
    <row r="65" customFormat="false" ht="64.9" hidden="false" customHeight="false" outlineLevel="0" collapsed="false">
      <c r="K65" s="41" t="s">
        <v>367</v>
      </c>
      <c r="L65" s="41" t="s">
        <v>385</v>
      </c>
      <c r="M65" s="41" t="s">
        <v>470</v>
      </c>
      <c r="N65" s="41" t="s">
        <v>471</v>
      </c>
      <c r="O65" s="33" t="n">
        <v>3.85</v>
      </c>
      <c r="P65" s="33" t="n">
        <v>1</v>
      </c>
      <c r="Q65" s="33" t="n">
        <v>0.02</v>
      </c>
      <c r="R65" s="33" t="n">
        <v>0.02</v>
      </c>
      <c r="S65" s="41" t="str">
        <f aca="false">IF($B$5="All","Yes",IF($B$6="All",IF(K65=$B$5,"Yes","No"),IF(AND(K65=$B$5,L65=$B$6),"Yes","No")))</f>
        <v>Yes</v>
      </c>
      <c r="T65" s="0" t="s">
        <v>520</v>
      </c>
    </row>
    <row r="66" customFormat="false" ht="90.25" hidden="false" customHeight="false" outlineLevel="0" collapsed="false">
      <c r="K66" s="41" t="s">
        <v>367</v>
      </c>
      <c r="L66" s="41" t="s">
        <v>385</v>
      </c>
      <c r="M66" s="41" t="s">
        <v>472</v>
      </c>
      <c r="N66" s="41" t="s">
        <v>473</v>
      </c>
      <c r="O66" s="33" t="n">
        <v>23.08</v>
      </c>
      <c r="P66" s="33" t="n">
        <v>1</v>
      </c>
      <c r="Q66" s="33" t="n">
        <v>0.1</v>
      </c>
      <c r="R66" s="33" t="n">
        <v>0.1</v>
      </c>
      <c r="S66" s="41" t="str">
        <f aca="false">IF($B$5="All","Yes",IF($B$6="All",IF(K66=$B$5,"Yes","No"),IF(AND(K66=$B$5,L66=$B$6),"Yes","No")))</f>
        <v>Yes</v>
      </c>
    </row>
    <row r="67" customFormat="false" ht="77.6" hidden="false" customHeight="false" outlineLevel="0" collapsed="false">
      <c r="K67" s="41" t="s">
        <v>367</v>
      </c>
      <c r="L67" s="41" t="s">
        <v>385</v>
      </c>
      <c r="M67" s="41" t="s">
        <v>474</v>
      </c>
      <c r="N67" s="41" t="s">
        <v>475</v>
      </c>
      <c r="O67" s="33" t="n">
        <v>34.62</v>
      </c>
      <c r="P67" s="33" t="n">
        <v>1</v>
      </c>
      <c r="Q67" s="33" t="n">
        <v>0.1</v>
      </c>
      <c r="R67" s="33" t="n">
        <v>0.1</v>
      </c>
      <c r="S67" s="41" t="str">
        <f aca="false">IF($B$5="All","Yes",IF($B$6="All",IF(K67=$B$5,"Yes","No"),IF(AND(K67=$B$5,L67=$B$6),"Yes","No")))</f>
        <v>Yes</v>
      </c>
    </row>
    <row r="68" customFormat="false" ht="90.25" hidden="false" customHeight="false" outlineLevel="0" collapsed="false">
      <c r="K68" s="41" t="s">
        <v>367</v>
      </c>
      <c r="L68" s="41" t="s">
        <v>390</v>
      </c>
      <c r="M68" s="41" t="s">
        <v>476</v>
      </c>
      <c r="N68" s="41" t="s">
        <v>477</v>
      </c>
      <c r="O68" s="33" t="n">
        <v>38.46</v>
      </c>
      <c r="P68" s="33" t="n">
        <v>1</v>
      </c>
      <c r="Q68" s="33" t="n">
        <v>5730</v>
      </c>
      <c r="R68" s="33" t="n">
        <v>5730</v>
      </c>
      <c r="S68" s="41" t="str">
        <f aca="false">IF($B$5="All","Yes",IF($B$6="All",IF(K68=$B$5,"Yes","No"),IF(AND(K68=$B$5,L68=$B$6),"Yes","No")))</f>
        <v>Yes</v>
      </c>
    </row>
    <row r="69" customFormat="false" ht="153.7" hidden="false" customHeight="false" outlineLevel="0" collapsed="false">
      <c r="K69" s="41" t="s">
        <v>374</v>
      </c>
      <c r="L69" s="41" t="s">
        <v>354</v>
      </c>
      <c r="M69" s="41" t="s">
        <v>478</v>
      </c>
      <c r="N69" s="41" t="s">
        <v>479</v>
      </c>
      <c r="O69" s="33" t="n">
        <v>7.69</v>
      </c>
      <c r="P69" s="33" t="n">
        <v>1</v>
      </c>
      <c r="Q69" s="33" t="n">
        <v>43628</v>
      </c>
      <c r="R69" s="33" t="n">
        <v>43628</v>
      </c>
      <c r="S69" s="41" t="str">
        <f aca="false">IF($B$5="All","Yes",IF($B$6="All",IF(K69=$B$5,"Yes","No"),IF(AND(K69=$B$5,L69=$B$6),"Yes","No")))</f>
        <v>Yes</v>
      </c>
    </row>
    <row r="70" customFormat="false" ht="128.35" hidden="false" customHeight="false" outlineLevel="0" collapsed="false">
      <c r="K70" s="41" t="s">
        <v>374</v>
      </c>
      <c r="L70" s="41" t="s">
        <v>354</v>
      </c>
      <c r="M70" s="41" t="s">
        <v>480</v>
      </c>
      <c r="N70" s="41" t="s">
        <v>481</v>
      </c>
      <c r="O70" s="33" t="n">
        <v>3.85</v>
      </c>
      <c r="P70" s="33" t="n">
        <v>1</v>
      </c>
      <c r="Q70" s="33" t="n">
        <v>23742</v>
      </c>
      <c r="R70" s="33" t="n">
        <v>23742</v>
      </c>
      <c r="S70" s="41" t="str">
        <f aca="false">IF($B$5="All","Yes",IF($B$6="All",IF(K70=$B$5,"Yes","No"),IF(AND(K70=$B$5,L70=$B$6),"Yes","No")))</f>
        <v>Yes</v>
      </c>
    </row>
    <row r="71" customFormat="false" ht="128.35" hidden="false" customHeight="false" outlineLevel="0" collapsed="false">
      <c r="K71" s="41" t="s">
        <v>374</v>
      </c>
      <c r="L71" s="41" t="s">
        <v>354</v>
      </c>
      <c r="M71" s="41" t="s">
        <v>482</v>
      </c>
      <c r="N71" s="41" t="s">
        <v>483</v>
      </c>
      <c r="O71" s="33" t="n">
        <v>3.85</v>
      </c>
      <c r="P71" s="33" t="n">
        <v>1</v>
      </c>
      <c r="Q71" s="33" t="n">
        <v>23742</v>
      </c>
      <c r="R71" s="33" t="n">
        <v>23742</v>
      </c>
      <c r="S71" s="41" t="str">
        <f aca="false">IF($B$5="All","Yes",IF($B$6="All",IF(K71=$B$5,"Yes","No"),IF(AND(K71=$B$5,L71=$B$6),"Yes","No")))</f>
        <v>Yes</v>
      </c>
    </row>
    <row r="72" customFormat="false" ht="153.7" hidden="false" customHeight="false" outlineLevel="0" collapsed="false">
      <c r="K72" s="41" t="s">
        <v>374</v>
      </c>
      <c r="L72" s="41" t="s">
        <v>354</v>
      </c>
      <c r="M72" s="41" t="s">
        <v>484</v>
      </c>
      <c r="N72" s="41" t="s">
        <v>485</v>
      </c>
      <c r="O72" s="33" t="n">
        <v>15.38</v>
      </c>
      <c r="P72" s="33" t="n">
        <v>1</v>
      </c>
      <c r="Q72" s="33" t="n">
        <v>43628</v>
      </c>
      <c r="R72" s="33" t="n">
        <v>43628</v>
      </c>
      <c r="S72" s="41" t="str">
        <f aca="false">IF($B$5="All","Yes",IF($B$6="All",IF(K72=$B$5,"Yes","No"),IF(AND(K72=$B$5,L72=$B$6),"Yes","No")))</f>
        <v>Yes</v>
      </c>
    </row>
    <row r="73" customFormat="false" ht="166.4" hidden="false" customHeight="false" outlineLevel="0" collapsed="false">
      <c r="K73" s="41" t="s">
        <v>374</v>
      </c>
      <c r="L73" s="41" t="s">
        <v>373</v>
      </c>
      <c r="M73" s="41" t="s">
        <v>486</v>
      </c>
      <c r="N73" s="41" t="s">
        <v>487</v>
      </c>
      <c r="O73" s="33" t="n">
        <v>3.85</v>
      </c>
      <c r="P73" s="33" t="n">
        <v>1</v>
      </c>
      <c r="Q73" s="33" t="n">
        <v>43628</v>
      </c>
      <c r="R73" s="33" t="n">
        <v>43628</v>
      </c>
      <c r="S73" s="41" t="str">
        <f aca="false">IF($B$5="All","Yes",IF($B$6="All",IF(K73=$B$5,"Yes","No"),IF(AND(K73=$B$5,L73=$B$6),"Yes","No")))</f>
        <v>Yes</v>
      </c>
    </row>
    <row r="74" customFormat="false" ht="90.25" hidden="false" customHeight="false" outlineLevel="0" collapsed="false">
      <c r="K74" s="41" t="s">
        <v>374</v>
      </c>
      <c r="L74" s="41" t="s">
        <v>360</v>
      </c>
      <c r="M74" s="41" t="s">
        <v>488</v>
      </c>
      <c r="N74" s="41" t="s">
        <v>489</v>
      </c>
      <c r="O74" s="33" t="n">
        <v>3.85</v>
      </c>
      <c r="P74" s="33" t="n">
        <v>1</v>
      </c>
      <c r="Q74" s="33" t="n">
        <v>33924.98</v>
      </c>
      <c r="R74" s="33" t="n">
        <v>33924.98</v>
      </c>
      <c r="S74" s="41" t="str">
        <f aca="false">IF($B$5="All","Yes",IF($B$6="All",IF(K74=$B$5,"Yes","No"),IF(AND(K74=$B$5,L74=$B$6),"Yes","No")))</f>
        <v>Yes</v>
      </c>
    </row>
    <row r="75" customFormat="false" ht="90.25" hidden="false" customHeight="false" outlineLevel="0" collapsed="false">
      <c r="K75" s="41" t="s">
        <v>374</v>
      </c>
      <c r="L75" s="41" t="s">
        <v>360</v>
      </c>
      <c r="M75" s="41" t="s">
        <v>490</v>
      </c>
      <c r="N75" s="41" t="s">
        <v>491</v>
      </c>
      <c r="O75" s="33" t="n">
        <v>3.85</v>
      </c>
      <c r="P75" s="33" t="n">
        <v>1</v>
      </c>
      <c r="Q75" s="33" t="n">
        <v>33925</v>
      </c>
      <c r="R75" s="33" t="n">
        <v>33925</v>
      </c>
      <c r="S75" s="41" t="str">
        <f aca="false">IF($B$5="All","Yes",IF($B$6="All",IF(K75=$B$5,"Yes","No"),IF(AND(K75=$B$5,L75=$B$6),"Yes","No")))</f>
        <v>Yes</v>
      </c>
    </row>
    <row r="76" customFormat="false" ht="90.25" hidden="false" customHeight="false" outlineLevel="0" collapsed="false">
      <c r="K76" s="41" t="s">
        <v>374</v>
      </c>
      <c r="L76" s="41" t="s">
        <v>360</v>
      </c>
      <c r="M76" s="41" t="s">
        <v>492</v>
      </c>
      <c r="N76" s="41" t="s">
        <v>493</v>
      </c>
      <c r="O76" s="33" t="n">
        <v>3.85</v>
      </c>
      <c r="P76" s="33" t="n">
        <v>1</v>
      </c>
      <c r="Q76" s="33" t="n">
        <v>33925</v>
      </c>
      <c r="R76" s="33" t="n">
        <v>33925</v>
      </c>
      <c r="S76" s="41" t="str">
        <f aca="false">IF($B$5="All","Yes",IF($B$6="All",IF(K76=$B$5,"Yes","No"),IF(AND(K76=$B$5,L76=$B$6),"Yes","No")))</f>
        <v>Yes</v>
      </c>
    </row>
    <row r="77" customFormat="false" ht="141" hidden="false" customHeight="false" outlineLevel="0" collapsed="false">
      <c r="K77" s="41" t="s">
        <v>374</v>
      </c>
      <c r="L77" s="41" t="s">
        <v>360</v>
      </c>
      <c r="M77" s="41" t="s">
        <v>494</v>
      </c>
      <c r="N77" s="41" t="s">
        <v>495</v>
      </c>
      <c r="O77" s="33" t="n">
        <v>3.85</v>
      </c>
      <c r="P77" s="33" t="n">
        <v>1</v>
      </c>
      <c r="Q77" s="33" t="n">
        <v>33925</v>
      </c>
      <c r="R77" s="33" t="n">
        <v>33925</v>
      </c>
      <c r="S77" s="41" t="str">
        <f aca="false">IF($B$5="All","Yes",IF($B$6="All",IF(K77=$B$5,"Yes","No"),IF(AND(K77=$B$5,L77=$B$6),"Yes","No")))</f>
        <v>Yes</v>
      </c>
    </row>
    <row r="78" customFormat="false" ht="64.9" hidden="false" customHeight="false" outlineLevel="0" collapsed="false">
      <c r="K78" s="41" t="s">
        <v>374</v>
      </c>
      <c r="L78" s="41" t="s">
        <v>368</v>
      </c>
      <c r="M78" s="41" t="s">
        <v>496</v>
      </c>
      <c r="N78" s="41" t="s">
        <v>497</v>
      </c>
      <c r="O78" s="33" t="n">
        <v>3.85</v>
      </c>
      <c r="P78" s="33" t="n">
        <v>1</v>
      </c>
      <c r="Q78" s="33" t="n">
        <v>23735.05</v>
      </c>
      <c r="R78" s="33" t="n">
        <v>23735.05</v>
      </c>
      <c r="S78" s="41" t="str">
        <f aca="false">IF($B$5="All","Yes",IF($B$6="All",IF(K78=$B$5,"Yes","No"),IF(AND(K78=$B$5,L78=$B$6),"Yes","No")))</f>
        <v>Yes</v>
      </c>
    </row>
    <row r="79" customFormat="false" ht="90.25" hidden="false" customHeight="false" outlineLevel="0" collapsed="false">
      <c r="K79" s="41" t="s">
        <v>374</v>
      </c>
      <c r="L79" s="41" t="s">
        <v>368</v>
      </c>
      <c r="M79" s="41" t="s">
        <v>498</v>
      </c>
      <c r="N79" s="41" t="s">
        <v>499</v>
      </c>
      <c r="O79" s="33" t="n">
        <v>3.85</v>
      </c>
      <c r="P79" s="33" t="n">
        <v>1</v>
      </c>
      <c r="Q79" s="33" t="n">
        <v>39660</v>
      </c>
      <c r="R79" s="33" t="n">
        <v>39660</v>
      </c>
      <c r="S79" s="41" t="str">
        <f aca="false">IF($B$5="All","Yes",IF($B$6="All",IF(K79=$B$5,"Yes","No"),IF(AND(K79=$B$5,L79=$B$6),"Yes","No")))</f>
        <v>Yes</v>
      </c>
    </row>
    <row r="80" customFormat="false" ht="64.9" hidden="false" customHeight="false" outlineLevel="0" collapsed="false">
      <c r="K80" s="41" t="s">
        <v>374</v>
      </c>
      <c r="L80" s="41" t="s">
        <v>368</v>
      </c>
      <c r="M80" s="41" t="s">
        <v>500</v>
      </c>
      <c r="N80" s="41" t="s">
        <v>501</v>
      </c>
      <c r="O80" s="33" t="n">
        <v>15.38</v>
      </c>
      <c r="P80" s="33" t="n">
        <v>1</v>
      </c>
      <c r="Q80" s="33" t="n">
        <v>39660</v>
      </c>
      <c r="R80" s="33" t="n">
        <v>39660</v>
      </c>
      <c r="S80" s="41" t="str">
        <f aca="false">IF($B$5="All","Yes",IF($B$6="All",IF(K80=$B$5,"Yes","No"),IF(AND(K80=$B$5,L80=$B$6),"Yes","No")))</f>
        <v>Yes</v>
      </c>
    </row>
    <row r="81" customFormat="false" ht="64.9" hidden="false" customHeight="false" outlineLevel="0" collapsed="false">
      <c r="K81" s="41" t="s">
        <v>374</v>
      </c>
      <c r="L81" s="41" t="s">
        <v>368</v>
      </c>
      <c r="M81" s="41" t="s">
        <v>502</v>
      </c>
      <c r="N81" s="41" t="s">
        <v>503</v>
      </c>
      <c r="O81" s="33" t="n">
        <v>15.38</v>
      </c>
      <c r="P81" s="33" t="n">
        <v>1</v>
      </c>
      <c r="Q81" s="33" t="n">
        <v>39660</v>
      </c>
      <c r="R81" s="33" t="n">
        <v>39660</v>
      </c>
      <c r="S81" s="41" t="str">
        <f aca="false">IF($B$5="All","Yes",IF($B$6="All",IF(K81=$B$5,"Yes","No"),IF(AND(K81=$B$5,L81=$B$6),"Yes","No")))</f>
        <v>Yes</v>
      </c>
    </row>
    <row r="82" customFormat="false" ht="141" hidden="false" customHeight="false" outlineLevel="0" collapsed="false">
      <c r="K82" s="41" t="s">
        <v>374</v>
      </c>
      <c r="L82" s="41" t="s">
        <v>368</v>
      </c>
      <c r="M82" s="41" t="s">
        <v>504</v>
      </c>
      <c r="N82" s="41" t="s">
        <v>505</v>
      </c>
      <c r="O82" s="33" t="n">
        <v>3.85</v>
      </c>
      <c r="P82" s="33" t="n">
        <v>1</v>
      </c>
      <c r="Q82" s="33" t="n">
        <v>39660</v>
      </c>
      <c r="R82" s="33" t="n">
        <v>39660</v>
      </c>
      <c r="S82" s="41" t="str">
        <f aca="false">IF($B$5="All","Yes",IF($B$6="All",IF(K82=$B$5,"Yes","No"),IF(AND(K82=$B$5,L82=$B$6),"Yes","No")))</f>
        <v>Yes</v>
      </c>
    </row>
    <row r="83" customFormat="false" ht="128.35" hidden="false" customHeight="false" outlineLevel="0" collapsed="false">
      <c r="K83" s="41" t="s">
        <v>374</v>
      </c>
      <c r="L83" s="41" t="s">
        <v>368</v>
      </c>
      <c r="M83" s="41" t="s">
        <v>506</v>
      </c>
      <c r="N83" s="41" t="s">
        <v>507</v>
      </c>
      <c r="O83" s="33" t="n">
        <v>3.85</v>
      </c>
      <c r="P83" s="33" t="n">
        <v>1</v>
      </c>
      <c r="Q83" s="33" t="n">
        <v>23735</v>
      </c>
      <c r="R83" s="33" t="n">
        <v>23735</v>
      </c>
      <c r="S83" s="41" t="str">
        <f aca="false">IF($B$5="All","Yes",IF($B$6="All",IF(K83=$B$5,"Yes","No"),IF(AND(K83=$B$5,L83=$B$6),"Yes","No")))</f>
        <v>Yes</v>
      </c>
    </row>
    <row r="84" customFormat="false" ht="141" hidden="false" customHeight="false" outlineLevel="0" collapsed="false">
      <c r="K84" s="41" t="s">
        <v>380</v>
      </c>
      <c r="L84" s="41" t="s">
        <v>354</v>
      </c>
      <c r="M84" s="41" t="s">
        <v>508</v>
      </c>
      <c r="N84" s="41" t="s">
        <v>509</v>
      </c>
      <c r="O84" s="33" t="n">
        <v>3.85</v>
      </c>
      <c r="P84" s="33" t="n">
        <v>1</v>
      </c>
      <c r="Q84" s="33" t="n">
        <v>43628</v>
      </c>
      <c r="R84" s="33" t="n">
        <v>43628</v>
      </c>
      <c r="S84" s="41" t="str">
        <f aca="false">IF($B$5="All","Yes",IF($B$6="All",IF(K84=$B$5,"Yes","No"),IF(AND(K84=$B$5,L84=$B$6),"Yes","No")))</f>
        <v>Yes</v>
      </c>
    </row>
    <row r="85" customFormat="false" ht="90.25" hidden="false" customHeight="false" outlineLevel="0" collapsed="false">
      <c r="K85" s="41" t="s">
        <v>380</v>
      </c>
      <c r="L85" s="41" t="s">
        <v>368</v>
      </c>
      <c r="M85" s="41" t="s">
        <v>510</v>
      </c>
      <c r="N85" s="41" t="s">
        <v>511</v>
      </c>
      <c r="O85" s="33" t="n">
        <v>11.54</v>
      </c>
      <c r="P85" s="33" t="n">
        <v>1</v>
      </c>
      <c r="Q85" s="33" t="n">
        <v>0.02</v>
      </c>
      <c r="R85" s="33" t="n">
        <v>0.02</v>
      </c>
      <c r="S85" s="41" t="str">
        <f aca="false">IF($B$5="All","Yes",IF($B$6="All",IF(K85=$B$5,"Yes","No"),IF(AND(K85=$B$5,L85=$B$6),"Yes","No")))</f>
        <v>Yes</v>
      </c>
    </row>
    <row r="86" customFormat="false" ht="141" hidden="false" customHeight="false" outlineLevel="0" collapsed="false">
      <c r="K86" s="41" t="s">
        <v>380</v>
      </c>
      <c r="L86" s="41" t="s">
        <v>368</v>
      </c>
      <c r="M86" s="41" t="s">
        <v>512</v>
      </c>
      <c r="N86" s="41" t="s">
        <v>513</v>
      </c>
      <c r="O86" s="33" t="n">
        <v>3.85</v>
      </c>
      <c r="P86" s="33" t="n">
        <v>1</v>
      </c>
      <c r="Q86" s="33" t="n">
        <v>0.1</v>
      </c>
      <c r="R86" s="33" t="n">
        <v>0.1</v>
      </c>
      <c r="S86" s="41" t="str">
        <f aca="false">IF($B$5="All","Yes",IF($B$6="All",IF(K86=$B$5,"Yes","No"),IF(AND(K86=$B$5,L86=$B$6),"Yes","No")))</f>
        <v>Yes</v>
      </c>
    </row>
    <row r="87" customFormat="false" ht="102.95" hidden="false" customHeight="false" outlineLevel="0" collapsed="false">
      <c r="K87" s="41" t="s">
        <v>386</v>
      </c>
      <c r="L87" s="41" t="s">
        <v>366</v>
      </c>
      <c r="M87" s="41" t="s">
        <v>514</v>
      </c>
      <c r="N87" s="41" t="s">
        <v>515</v>
      </c>
      <c r="O87" s="33" t="n">
        <v>3.85</v>
      </c>
      <c r="P87" s="33" t="n">
        <v>1</v>
      </c>
      <c r="Q87" s="33" t="n">
        <v>227.9</v>
      </c>
      <c r="R87" s="33" t="n">
        <v>227.9</v>
      </c>
      <c r="S87" s="41" t="str">
        <f aca="false">IF($B$5="All","Yes",IF($B$6="All",IF(K87=$B$5,"Yes","No"),IF(AND(K87=$B$5,L87=$B$6),"Yes","No")))</f>
        <v>Yes</v>
      </c>
    </row>
    <row r="88" customFormat="false" ht="115.65" hidden="false" customHeight="false" outlineLevel="0" collapsed="false">
      <c r="K88" s="41" t="s">
        <v>386</v>
      </c>
      <c r="L88" s="41" t="s">
        <v>366</v>
      </c>
      <c r="M88" s="41" t="s">
        <v>516</v>
      </c>
      <c r="N88" s="41" t="s">
        <v>517</v>
      </c>
      <c r="O88" s="33" t="n">
        <v>3.85</v>
      </c>
      <c r="P88" s="33" t="n">
        <v>1</v>
      </c>
      <c r="Q88" s="33" t="n">
        <v>565.35</v>
      </c>
      <c r="R88" s="33" t="n">
        <v>565.35</v>
      </c>
      <c r="S88" s="41" t="str">
        <f aca="false">IF($B$5="All","Yes",IF($B$6="All",IF(K88=$B$5,"Yes","No"),IF(AND(K88=$B$5,L88=$B$6),"Yes","No")))</f>
        <v>Yes</v>
      </c>
    </row>
    <row r="89" customFormat="false" ht="64.9" hidden="false" customHeight="false" outlineLevel="0" collapsed="false">
      <c r="K89" s="41" t="s">
        <v>391</v>
      </c>
      <c r="L89" s="41" t="s">
        <v>366</v>
      </c>
      <c r="M89" s="41" t="s">
        <v>518</v>
      </c>
      <c r="N89" s="41" t="s">
        <v>519</v>
      </c>
      <c r="O89" s="33" t="n">
        <v>26.92</v>
      </c>
      <c r="P89" s="33" t="n">
        <v>1</v>
      </c>
      <c r="Q89" s="33" t="n">
        <v>1406.25</v>
      </c>
      <c r="R89" s="33" t="n">
        <v>1406.25</v>
      </c>
      <c r="S89" s="41" t="str">
        <f aca="false">IF($B$5="All","Yes",IF($B$6="All",IF(K89=$B$5,"Yes","No"),IF(AND(K89=$B$5,L89=$B$6),"Yes","No")))</f>
        <v>Yes</v>
      </c>
    </row>
    <row r="90" customFormat="false" ht="64.9" hidden="false" customHeight="false" outlineLevel="0" collapsed="false">
      <c r="K90" s="41" t="s">
        <v>391</v>
      </c>
      <c r="L90" s="41" t="s">
        <v>366</v>
      </c>
      <c r="M90" s="41" t="s">
        <v>520</v>
      </c>
      <c r="N90" s="41" t="s">
        <v>521</v>
      </c>
      <c r="O90" s="33" t="n">
        <v>3.85</v>
      </c>
      <c r="P90" s="33" t="n">
        <v>1</v>
      </c>
      <c r="Q90" s="33" t="n">
        <v>30768.75</v>
      </c>
      <c r="R90" s="33" t="n">
        <v>30768.75</v>
      </c>
      <c r="S90" s="41" t="str">
        <f aca="false">IF($B$5="All","Yes",IF($B$6="All",IF(K90=$B$5,"Yes","No"),IF(AND(K90=$B$5,L90=$B$6),"Yes","No")))</f>
        <v>Yes</v>
      </c>
    </row>
  </sheetData>
  <dataValidations count="4">
    <dataValidation allowBlank="false" errorStyle="stop" operator="between" showDropDown="false" showErrorMessage="false" showInputMessage="false" sqref="B4" type="list">
      <formula1>"Default P50,Family Override,Brand Override,Exact Item Override"</formula1>
      <formula2>0</formula2>
    </dataValidation>
    <dataValidation allowBlank="false" errorStyle="stop" operator="between" showDropDown="false" showErrorMessage="false" showInputMessage="false" sqref="B5" type="list">
      <formula1>'Implant Selection'!$R$2:$R$9</formula1>
      <formula2>0</formula2>
    </dataValidation>
    <dataValidation allowBlank="false" errorStyle="stop" operator="between" showDropDown="false" showErrorMessage="false" showInputMessage="false" sqref="B6" type="list">
      <formula1>'Implant Selection'!$S$2:$S$9</formula1>
      <formula2>0</formula2>
    </dataValidation>
    <dataValidation allowBlank="false" errorStyle="stop" operator="between" showDropDown="false" showErrorMessage="false" showInputMessage="false" sqref="B7" type="list">
      <formula1>'Implant Selection'!$T$2:$T$65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18"/>
    <col collapsed="false" customWidth="true" hidden="false" outlineLevel="0" max="4" min="4" style="0" width="14"/>
    <col collapsed="false" customWidth="true" hidden="false" outlineLevel="0" max="5" min="5" style="0" width="34"/>
    <col collapsed="false" customWidth="true" hidden="false" outlineLevel="0" max="6" min="6" style="0" width="12"/>
    <col collapsed="false" customWidth="true" hidden="false" outlineLevel="0" max="9" min="7" style="0" width="14"/>
    <col collapsed="false" customWidth="true" hidden="false" outlineLevel="0" max="10" min="10" style="0" width="16"/>
  </cols>
  <sheetData>
    <row r="1" customFormat="false" ht="15" hidden="false" customHeight="false" outlineLevel="0" collapsed="false">
      <c r="A1" s="1" t="s">
        <v>522</v>
      </c>
      <c r="B1" s="1"/>
      <c r="C1" s="1"/>
      <c r="D1" s="1"/>
      <c r="E1" s="1"/>
      <c r="F1" s="1"/>
      <c r="G1" s="1"/>
      <c r="H1" s="1"/>
      <c r="I1" s="1"/>
      <c r="J1" s="1"/>
    </row>
    <row r="2" customFormat="false" ht="52.2" hidden="false" customHeight="false" outlineLevel="0" collapsed="false">
      <c r="A2" s="14" t="s">
        <v>523</v>
      </c>
      <c r="B2" s="14"/>
      <c r="C2" s="14"/>
      <c r="D2" s="14"/>
      <c r="E2" s="14"/>
      <c r="F2" s="14"/>
      <c r="G2" s="14"/>
      <c r="H2" s="14"/>
      <c r="I2" s="14"/>
      <c r="J2" s="14"/>
    </row>
    <row r="3" customFormat="false" ht="26.85" hidden="false" customHeight="false" outlineLevel="0" collapsed="false">
      <c r="A3" s="7" t="s">
        <v>524</v>
      </c>
      <c r="B3" s="7" t="s">
        <v>525</v>
      </c>
      <c r="C3" s="7" t="s">
        <v>526</v>
      </c>
      <c r="D3" s="7" t="s">
        <v>527</v>
      </c>
      <c r="E3" s="7" t="s">
        <v>528</v>
      </c>
      <c r="F3" s="7" t="s">
        <v>529</v>
      </c>
      <c r="G3" s="7" t="s">
        <v>530</v>
      </c>
      <c r="H3" s="7" t="s">
        <v>55</v>
      </c>
      <c r="I3" s="7" t="s">
        <v>531</v>
      </c>
      <c r="J3" s="7" t="s">
        <v>312</v>
      </c>
    </row>
    <row r="4" customFormat="false" ht="15" hidden="false" customHeight="false" outlineLevel="0" collapsed="false">
      <c r="A4" s="5" t="s">
        <v>79</v>
      </c>
      <c r="B4" s="5"/>
      <c r="C4" s="5"/>
      <c r="D4" s="5"/>
      <c r="E4" s="5"/>
      <c r="F4" s="5"/>
      <c r="G4" s="49"/>
      <c r="H4" s="49"/>
      <c r="I4" s="49"/>
      <c r="J4" s="49"/>
    </row>
    <row r="5" customFormat="false" ht="15" hidden="false" customHeight="false" outlineLevel="0" collapsed="false">
      <c r="A5" s="14" t="str">
        <f aca="false">'Line Item Detail'!A3</f>
        <v>Nursing - Room</v>
      </c>
      <c r="B5" s="14" t="s">
        <v>79</v>
      </c>
      <c r="C5" s="14" t="str">
        <f aca="false">'Line Item Detail'!C3</f>
        <v>Ward Care</v>
      </c>
      <c r="D5" s="14" t="str">
        <f aca="false">'Line Item Detail'!D3</f>
        <v>Logic</v>
      </c>
      <c r="E5" s="14" t="str">
        <f aca="false">'Line Item Detail'!E3</f>
        <v>Ward days x rate</v>
      </c>
      <c r="F5" s="41" t="str">
        <f aca="false">IF(AND(Builder!E2="Insurance / Org Tariff",IFERROR(INDEX(Reference!$EZ$2:$EZ$1000, MATCH('Line Item Detail'!F3, Reference!$EX$2:$EX$1000, 0)), "No")="Yes"),"Excluded for Insurance",IF('Line Item Detail'!D3="Grouped Residual",IF((IF(Builder!B4="General",'Line Item Detail'!W3,IF(Builder!B4="Twin",'Line Item Detail'!X3,'Line Item Detail'!Y3)))=0,"Excluded","Included"),"Included"))</f>
        <v>Included</v>
      </c>
      <c r="G5" s="33" t="n">
        <f aca="false">IF('Line Item Detail'!D3="Grouped Residual","",'Line Item Detail'!G3)</f>
        <v>1</v>
      </c>
      <c r="H5" s="33" t="str">
        <f aca="false">Builder!B4</f>
        <v>Single</v>
      </c>
      <c r="I5" s="33" t="n">
        <f aca="false">IF('Line Item Detail'!D3="Grouped Residual",IF((IF(Builder!B4="General",'Line Item Detail'!W3,IF(Builder!B4="Twin",'Line Item Detail'!X3,'Line Item Detail'!Y3)))=0,"",IF(Builder!B4="General",'Line Item Detail'!K3,IF(Builder!B4="Twin",'Line Item Detail'!L3,'Line Item Detail'!M3))),IF(Builder!B4="General",'Line Item Detail'!K3,IF(Builder!B4="Twin",'Line Item Detail'!L3,'Line Item Detail'!M3)))</f>
        <v>1200</v>
      </c>
      <c r="J5" s="33" t="n">
        <f aca="false">IF(Builder!B4="General",'Line Item Detail'!W3,IF(Builder!B4="Twin",'Line Item Detail'!X3,'Line Item Detail'!Y3))</f>
        <v>1200</v>
      </c>
    </row>
    <row r="6" customFormat="false" ht="15" hidden="false" customHeight="false" outlineLevel="0" collapsed="false">
      <c r="A6" s="14" t="str">
        <f aca="false">'Line Item Detail'!A4</f>
        <v>Nursing - ICU</v>
      </c>
      <c r="B6" s="14" t="s">
        <v>79</v>
      </c>
      <c r="C6" s="14" t="str">
        <f aca="false">'Line Item Detail'!C4</f>
        <v>Critical Care</v>
      </c>
      <c r="D6" s="14" t="str">
        <f aca="false">'Line Item Detail'!D4</f>
        <v>Logic</v>
      </c>
      <c r="E6" s="14" t="str">
        <f aca="false">'Line Item Detail'!E4</f>
        <v>ICU days x rate</v>
      </c>
      <c r="F6" s="41" t="str">
        <f aca="false">IF(AND(Builder!E2="Insurance / Org Tariff",IFERROR(INDEX(Reference!$EZ$2:$EZ$1000, MATCH('Line Item Detail'!F4, Reference!$EX$2:$EX$1000, 0)), "No")="Yes"),"Excluded for Insurance",IF('Line Item Detail'!D4="Grouped Residual",IF((IF(Builder!B4="General",'Line Item Detail'!W4,IF(Builder!B4="Twin",'Line Item Detail'!X4,'Line Item Detail'!Y4)))=0,"Excluded","Included"),"Included"))</f>
        <v>Included</v>
      </c>
      <c r="G6" s="33" t="n">
        <f aca="false">IF('Line Item Detail'!D4="Grouped Residual","",'Line Item Detail'!G4)</f>
        <v>2</v>
      </c>
      <c r="H6" s="33" t="str">
        <f aca="false">Builder!B4</f>
        <v>Single</v>
      </c>
      <c r="I6" s="33" t="n">
        <f aca="false">IF('Line Item Detail'!D4="Grouped Residual",IF((IF(Builder!B4="General",'Line Item Detail'!W4,IF(Builder!B4="Twin",'Line Item Detail'!X4,'Line Item Detail'!Y4)))=0,"",IF(Builder!B4="General",'Line Item Detail'!K4,IF(Builder!B4="Twin",'Line Item Detail'!L4,'Line Item Detail'!M4))),IF(Builder!B4="General",'Line Item Detail'!K4,IF(Builder!B4="Twin",'Line Item Detail'!L4,'Line Item Detail'!M4)))</f>
        <v>1200</v>
      </c>
      <c r="J6" s="33" t="n">
        <f aca="false">IF(Builder!B4="General",'Line Item Detail'!W4,IF(Builder!B4="Twin",'Line Item Detail'!X4,'Line Item Detail'!Y4))</f>
        <v>2400</v>
      </c>
    </row>
    <row r="7" customFormat="false" ht="15" hidden="false" customHeight="false" outlineLevel="0" collapsed="false">
      <c r="A7" s="14" t="str">
        <f aca="false">'Line Item Detail'!A5</f>
        <v>DMO</v>
      </c>
      <c r="B7" s="14" t="s">
        <v>79</v>
      </c>
      <c r="C7" s="14" t="str">
        <f aca="false">'Line Item Detail'!C5</f>
        <v>Ward Care</v>
      </c>
      <c r="D7" s="14" t="str">
        <f aca="false">'Line Item Detail'!D5</f>
        <v>Logic</v>
      </c>
      <c r="E7" s="14" t="str">
        <f aca="false">'Line Item Detail'!E5</f>
        <v>Ward days x rate</v>
      </c>
      <c r="F7" s="41" t="str">
        <f aca="false">IF(AND(Builder!E2="Insurance / Org Tariff",IFERROR(INDEX(Reference!$EZ$2:$EZ$1000, MATCH('Line Item Detail'!F5, Reference!$EX$2:$EX$1000, 0)), "No")="Yes"),"Excluded for Insurance",IF('Line Item Detail'!D5="Grouped Residual",IF((IF(Builder!B4="General",'Line Item Detail'!W5,IF(Builder!B4="Twin",'Line Item Detail'!X5,'Line Item Detail'!Y5)))=0,"Excluded","Included"),"Included"))</f>
        <v>Included</v>
      </c>
      <c r="G7" s="33" t="n">
        <f aca="false">IF('Line Item Detail'!D5="Grouped Residual","",'Line Item Detail'!G5)</f>
        <v>1</v>
      </c>
      <c r="H7" s="33" t="str">
        <f aca="false">Builder!B4</f>
        <v>Single</v>
      </c>
      <c r="I7" s="33" t="n">
        <f aca="false">IF('Line Item Detail'!D5="Grouped Residual",IF((IF(Builder!B4="General",'Line Item Detail'!W5,IF(Builder!B4="Twin",'Line Item Detail'!X5,'Line Item Detail'!Y5)))=0,"",IF(Builder!B4="General",'Line Item Detail'!K5,IF(Builder!B4="Twin",'Line Item Detail'!L5,'Line Item Detail'!M5))),IF(Builder!B4="General",'Line Item Detail'!K5,IF(Builder!B4="Twin",'Line Item Detail'!L5,'Line Item Detail'!M5)))</f>
        <v>1250</v>
      </c>
      <c r="J7" s="33" t="n">
        <f aca="false">IF(Builder!B4="General",'Line Item Detail'!W5,IF(Builder!B4="Twin",'Line Item Detail'!X5,'Line Item Detail'!Y5))</f>
        <v>1250</v>
      </c>
    </row>
    <row r="8" customFormat="false" ht="15" hidden="false" customHeight="false" outlineLevel="0" collapsed="false">
      <c r="A8" s="14" t="str">
        <f aca="false">'Line Item Detail'!A6</f>
        <v>ICU - Surgical</v>
      </c>
      <c r="B8" s="14" t="s">
        <v>79</v>
      </c>
      <c r="C8" s="14" t="str">
        <f aca="false">'Line Item Detail'!C6</f>
        <v>Critical Care</v>
      </c>
      <c r="D8" s="14" t="str">
        <f aca="false">'Line Item Detail'!D6</f>
        <v>Logic</v>
      </c>
      <c r="E8" s="14" t="str">
        <f aca="false">'Line Item Detail'!E6</f>
        <v>ICU days x rate</v>
      </c>
      <c r="F8" s="41" t="str">
        <f aca="false">IF(AND(Builder!E2="Insurance / Org Tariff",IFERROR(INDEX(Reference!$EZ$2:$EZ$1000, MATCH('Line Item Detail'!F6, Reference!$EX$2:$EX$1000, 0)), "No")="Yes"),"Excluded for Insurance",IF('Line Item Detail'!D6="Grouped Residual",IF((IF(Builder!B4="General",'Line Item Detail'!W6,IF(Builder!B4="Twin",'Line Item Detail'!X6,'Line Item Detail'!Y6)))=0,"Excluded","Included"),"Included"))</f>
        <v>Included</v>
      </c>
      <c r="G8" s="33" t="n">
        <f aca="false">IF('Line Item Detail'!D6="Grouped Residual","",'Line Item Detail'!G6)</f>
        <v>2</v>
      </c>
      <c r="H8" s="33" t="str">
        <f aca="false">Builder!B4</f>
        <v>Single</v>
      </c>
      <c r="I8" s="33" t="n">
        <f aca="false">IF('Line Item Detail'!D6="Grouped Residual",IF((IF(Builder!B4="General",'Line Item Detail'!W6,IF(Builder!B4="Twin",'Line Item Detail'!X6,'Line Item Detail'!Y6)))=0,"",IF(Builder!B4="General",'Line Item Detail'!K6,IF(Builder!B4="Twin",'Line Item Detail'!L6,'Line Item Detail'!M6))),IF(Builder!B4="General",'Line Item Detail'!K6,IF(Builder!B4="Twin",'Line Item Detail'!L6,'Line Item Detail'!M6)))</f>
        <v>10500</v>
      </c>
      <c r="J8" s="33" t="n">
        <f aca="false">IF(Builder!B4="General",'Line Item Detail'!W6,IF(Builder!B4="Twin",'Line Item Detail'!X6,'Line Item Detail'!Y6))</f>
        <v>21000</v>
      </c>
    </row>
    <row r="9" customFormat="false" ht="15" hidden="false" customHeight="false" outlineLevel="0" collapsed="false">
      <c r="A9" s="14" t="str">
        <f aca="false">'Line Item Detail'!A7</f>
        <v>Bed Charges - Ward</v>
      </c>
      <c r="B9" s="14" t="s">
        <v>79</v>
      </c>
      <c r="C9" s="14" t="str">
        <f aca="false">'Line Item Detail'!C7</f>
        <v>Ward Care</v>
      </c>
      <c r="D9" s="14" t="str">
        <f aca="false">'Line Item Detail'!D7</f>
        <v>Logic</v>
      </c>
      <c r="E9" s="14" t="str">
        <f aca="false">'Line Item Detail'!E7</f>
        <v>Ward days x room rate</v>
      </c>
      <c r="F9" s="41" t="str">
        <f aca="false">IF(AND(Builder!E2="Insurance / Org Tariff",IFERROR(INDEX(Reference!$EZ$2:$EZ$1000, MATCH('Line Item Detail'!F7, Reference!$EX$2:$EX$1000, 0)), "No")="Yes"),"Excluded for Insurance",IF('Line Item Detail'!D7="Grouped Residual",IF((IF(Builder!B4="General",'Line Item Detail'!W7,IF(Builder!B4="Twin",'Line Item Detail'!X7,'Line Item Detail'!Y7)))=0,"Excluded","Included"),"Included"))</f>
        <v>Included</v>
      </c>
      <c r="G9" s="33" t="n">
        <f aca="false">IF('Line Item Detail'!D7="Grouped Residual","",'Line Item Detail'!G7)</f>
        <v>1</v>
      </c>
      <c r="H9" s="33" t="str">
        <f aca="false">Builder!B4</f>
        <v>Single</v>
      </c>
      <c r="I9" s="33" t="n">
        <f aca="false">IF('Line Item Detail'!D7="Grouped Residual",IF((IF(Builder!B4="General",'Line Item Detail'!W7,IF(Builder!B4="Twin",'Line Item Detail'!X7,'Line Item Detail'!Y7)))=0,"",IF(Builder!B4="General",'Line Item Detail'!K7,IF(Builder!B4="Twin",'Line Item Detail'!L7,'Line Item Detail'!M7))),IF(Builder!B4="General",'Line Item Detail'!K7,IF(Builder!B4="Twin",'Line Item Detail'!L7,'Line Item Detail'!M7)))</f>
        <v>7680</v>
      </c>
      <c r="J9" s="33" t="n">
        <f aca="false">IF(Builder!B4="General",'Line Item Detail'!W7,IF(Builder!B4="Twin",'Line Item Detail'!X7,'Line Item Detail'!Y7))</f>
        <v>7680</v>
      </c>
    </row>
    <row r="10" customFormat="false" ht="15" hidden="false" customHeight="false" outlineLevel="0" collapsed="false">
      <c r="A10" s="14" t="str">
        <f aca="false">'Line Item Detail'!A19</f>
        <v>Intensivist Per Day</v>
      </c>
      <c r="B10" s="14" t="s">
        <v>79</v>
      </c>
      <c r="C10" s="14" t="str">
        <f aca="false">'Line Item Detail'!C19</f>
        <v>Critical Care</v>
      </c>
      <c r="D10" s="14" t="str">
        <f aca="false">'Line Item Detail'!D19</f>
        <v>Logic</v>
      </c>
      <c r="E10" s="14" t="str">
        <f aca="false">'Line Item Detail'!E19</f>
        <v>ICU days x rate</v>
      </c>
      <c r="F10" s="41" t="str">
        <f aca="false">IF(AND(Builder!E2="Insurance / Org Tariff",IFERROR(INDEX(Reference!$EZ$2:$EZ$1000, MATCH('Line Item Detail'!F19, Reference!$EX$2:$EX$1000, 0)), "No")="Yes"),"Excluded for Insurance",IF('Line Item Detail'!D19="Grouped Residual",IF((IF(Builder!B4="General",'Line Item Detail'!W19,IF(Builder!B4="Twin",'Line Item Detail'!X19,'Line Item Detail'!Y19)))=0,"Excluded","Included"),"Included"))</f>
        <v>Included</v>
      </c>
      <c r="G10" s="33" t="n">
        <f aca="false">IF('Line Item Detail'!D19="Grouped Residual","",'Line Item Detail'!G19)</f>
        <v>2</v>
      </c>
      <c r="H10" s="33" t="str">
        <f aca="false">Builder!B4</f>
        <v>Single</v>
      </c>
      <c r="I10" s="33" t="n">
        <f aca="false">IF('Line Item Detail'!D19="Grouped Residual",IF((IF(Builder!B4="General",'Line Item Detail'!W19,IF(Builder!B4="Twin",'Line Item Detail'!X19,'Line Item Detail'!Y19)))=0,"",IF(Builder!B4="General",'Line Item Detail'!K19,IF(Builder!B4="Twin",'Line Item Detail'!L19,'Line Item Detail'!M19))),IF(Builder!B4="General",'Line Item Detail'!K19,IF(Builder!B4="Twin",'Line Item Detail'!L19,'Line Item Detail'!M19)))</f>
        <v>3000</v>
      </c>
      <c r="J10" s="33" t="n">
        <f aca="false">IF(Builder!B4="General",'Line Item Detail'!W19,IF(Builder!B4="Twin",'Line Item Detail'!X19,'Line Item Detail'!Y19))</f>
        <v>6000</v>
      </c>
    </row>
    <row r="11" customFormat="false" ht="15" hidden="false" customHeight="false" outlineLevel="0" collapsed="false">
      <c r="A11" s="14" t="str">
        <f aca="false">'Line Item Detail'!A20</f>
        <v>Assistant Intensivist Per Day</v>
      </c>
      <c r="B11" s="14" t="s">
        <v>79</v>
      </c>
      <c r="C11" s="14" t="str">
        <f aca="false">'Line Item Detail'!C20</f>
        <v>Critical Care</v>
      </c>
      <c r="D11" s="14" t="str">
        <f aca="false">'Line Item Detail'!D20</f>
        <v>Logic</v>
      </c>
      <c r="E11" s="14" t="str">
        <f aca="false">'Line Item Detail'!E20</f>
        <v>ICU days x rate</v>
      </c>
      <c r="F11" s="41" t="str">
        <f aca="false">IF(AND(Builder!E2="Insurance / Org Tariff",IFERROR(INDEX(Reference!$EZ$2:$EZ$1000, MATCH('Line Item Detail'!F20, Reference!$EX$2:$EX$1000, 0)), "No")="Yes"),"Excluded for Insurance",IF('Line Item Detail'!D20="Grouped Residual",IF((IF(Builder!B4="General",'Line Item Detail'!W20,IF(Builder!B4="Twin",'Line Item Detail'!X20,'Line Item Detail'!Y20)))=0,"Excluded","Included"),"Included"))</f>
        <v>Included</v>
      </c>
      <c r="G11" s="33" t="n">
        <f aca="false">IF('Line Item Detail'!D20="Grouped Residual","",'Line Item Detail'!G20)</f>
        <v>2</v>
      </c>
      <c r="H11" s="33" t="str">
        <f aca="false">Builder!B4</f>
        <v>Single</v>
      </c>
      <c r="I11" s="33" t="n">
        <f aca="false">IF('Line Item Detail'!D20="Grouped Residual",IF((IF(Builder!B4="General",'Line Item Detail'!W20,IF(Builder!B4="Twin",'Line Item Detail'!X20,'Line Item Detail'!Y20)))=0,"",IF(Builder!B4="General",'Line Item Detail'!K20,IF(Builder!B4="Twin",'Line Item Detail'!L20,'Line Item Detail'!M20))),IF(Builder!B4="General",'Line Item Detail'!K20,IF(Builder!B4="Twin",'Line Item Detail'!L20,'Line Item Detail'!M20)))</f>
        <v>1500</v>
      </c>
      <c r="J11" s="33" t="n">
        <f aca="false">IF(Builder!B4="General",'Line Item Detail'!W20,IF(Builder!B4="Twin",'Line Item Detail'!X20,'Line Item Detail'!Y20))</f>
        <v>3000</v>
      </c>
    </row>
    <row r="12" customFormat="false" ht="15" hidden="false" customHeight="false" outlineLevel="0" collapsed="false">
      <c r="A12" s="14" t="str">
        <f aca="false">'Line Item Detail'!A21</f>
        <v>Ward Consumables</v>
      </c>
      <c r="B12" s="14" t="s">
        <v>79</v>
      </c>
      <c r="C12" s="14" t="str">
        <f aca="false">'Line Item Detail'!C21</f>
        <v>Ward Care</v>
      </c>
      <c r="D12" s="14" t="str">
        <f aca="false">'Line Item Detail'!D21</f>
        <v>Logic</v>
      </c>
      <c r="E12" s="14" t="str">
        <f aca="false">'Line Item Detail'!E21</f>
        <v>LOS days x rate</v>
      </c>
      <c r="F12" s="41" t="str">
        <f aca="false">IF(AND(Builder!E2="Insurance / Org Tariff",IFERROR(INDEX(Reference!$EZ$2:$EZ$1000, MATCH('Line Item Detail'!F21, Reference!$EX$2:$EX$1000, 0)), "No")="Yes"),"Excluded for Insurance",IF('Line Item Detail'!D21="Grouped Residual",IF((IF(Builder!B4="General",'Line Item Detail'!W21,IF(Builder!B4="Twin",'Line Item Detail'!X21,'Line Item Detail'!Y21)))=0,"Excluded","Included"),"Included"))</f>
        <v>Included</v>
      </c>
      <c r="G12" s="33" t="n">
        <f aca="false">IF('Line Item Detail'!D21="Grouped Residual","",'Line Item Detail'!G21)</f>
        <v>3</v>
      </c>
      <c r="H12" s="33" t="str">
        <f aca="false">Builder!B4</f>
        <v>Single</v>
      </c>
      <c r="I12" s="33" t="n">
        <f aca="false">IF('Line Item Detail'!D21="Grouped Residual",IF((IF(Builder!B4="General",'Line Item Detail'!W21,IF(Builder!B4="Twin",'Line Item Detail'!X21,'Line Item Detail'!Y21)))=0,"",IF(Builder!B4="General",'Line Item Detail'!K21,IF(Builder!B4="Twin",'Line Item Detail'!L21,'Line Item Detail'!M21))),IF(Builder!B4="General",'Line Item Detail'!K21,IF(Builder!B4="Twin",'Line Item Detail'!L21,'Line Item Detail'!M21)))</f>
        <v>350</v>
      </c>
      <c r="J12" s="33" t="n">
        <f aca="false">IF(Builder!B4="General",'Line Item Detail'!W21,IF(Builder!B4="Twin",'Line Item Detail'!X21,'Line Item Detail'!Y21))</f>
        <v>1050</v>
      </c>
    </row>
    <row r="13" customFormat="false" ht="15" hidden="false" customHeight="false" outlineLevel="0" collapsed="false">
      <c r="A13" s="14" t="str">
        <f aca="false">'Line Item Detail'!A23</f>
        <v>Monitor Per Day</v>
      </c>
      <c r="B13" s="14" t="s">
        <v>79</v>
      </c>
      <c r="C13" s="14" t="str">
        <f aca="false">'Line Item Detail'!C23</f>
        <v>Critical Care</v>
      </c>
      <c r="D13" s="14" t="str">
        <f aca="false">'Line Item Detail'!D23</f>
        <v>Logic</v>
      </c>
      <c r="E13" s="14" t="str">
        <f aca="false">'Line Item Detail'!E23</f>
        <v>ICU days x rate</v>
      </c>
      <c r="F13" s="41" t="str">
        <f aca="false">IF(AND(Builder!E2="Insurance / Org Tariff",IFERROR(INDEX(Reference!$EZ$2:$EZ$1000, MATCH('Line Item Detail'!F23, Reference!$EX$2:$EX$1000, 0)), "No")="Yes"),"Excluded for Insurance",IF('Line Item Detail'!D23="Grouped Residual",IF((IF(Builder!B4="General",'Line Item Detail'!W23,IF(Builder!B4="Twin",'Line Item Detail'!X23,'Line Item Detail'!Y23)))=0,"Excluded","Included"),"Included"))</f>
        <v>Included</v>
      </c>
      <c r="G13" s="33" t="n">
        <f aca="false">IF('Line Item Detail'!D23="Grouped Residual","",'Line Item Detail'!G23)</f>
        <v>2</v>
      </c>
      <c r="H13" s="33" t="str">
        <f aca="false">Builder!B4</f>
        <v>Single</v>
      </c>
      <c r="I13" s="33" t="n">
        <f aca="false">IF('Line Item Detail'!D23="Grouped Residual",IF((IF(Builder!B4="General",'Line Item Detail'!W23,IF(Builder!B4="Twin",'Line Item Detail'!X23,'Line Item Detail'!Y23)))=0,"",IF(Builder!B4="General",'Line Item Detail'!K23,IF(Builder!B4="Twin",'Line Item Detail'!L23,'Line Item Detail'!M23))),IF(Builder!B4="General",'Line Item Detail'!K23,IF(Builder!B4="Twin",'Line Item Detail'!L23,'Line Item Detail'!M23)))</f>
        <v>850</v>
      </c>
      <c r="J13" s="33" t="n">
        <f aca="false">IF(Builder!B4="General",'Line Item Detail'!W23,IF(Builder!B4="Twin",'Line Item Detail'!X23,'Line Item Detail'!Y23))</f>
        <v>1700</v>
      </c>
    </row>
    <row r="14" customFormat="false" ht="15" hidden="false" customHeight="false" outlineLevel="0" collapsed="false">
      <c r="A14" s="14"/>
      <c r="B14" s="14"/>
      <c r="C14" s="14"/>
      <c r="D14" s="14"/>
      <c r="E14" s="14"/>
      <c r="F14" s="41"/>
      <c r="G14" s="33"/>
      <c r="H14" s="33"/>
      <c r="I14" s="33"/>
      <c r="J14" s="33"/>
    </row>
    <row r="15" customFormat="false" ht="15" hidden="false" customHeight="false" outlineLevel="0" collapsed="false">
      <c r="A15" s="5" t="s">
        <v>81</v>
      </c>
      <c r="B15" s="5"/>
      <c r="C15" s="5"/>
      <c r="D15" s="5"/>
      <c r="E15" s="5"/>
      <c r="F15" s="5"/>
      <c r="G15" s="49"/>
      <c r="H15" s="49"/>
      <c r="I15" s="49"/>
      <c r="J15" s="49"/>
    </row>
    <row r="16" customFormat="false" ht="26.85" hidden="false" customHeight="false" outlineLevel="0" collapsed="false">
      <c r="A16" s="14" t="str">
        <f aca="false">'Line Item Detail'!A2</f>
        <v>X-RAY KNEE JOINT AP &amp; LATERAL VIEW (BEDSIDE)</v>
      </c>
      <c r="B16" s="14" t="s">
        <v>81</v>
      </c>
      <c r="C16" s="14" t="str">
        <f aca="false">'Line Item Detail'!C2</f>
        <v>Investigations</v>
      </c>
      <c r="D16" s="14" t="str">
        <f aca="false">'Line Item Detail'!D2</f>
        <v>Template</v>
      </c>
      <c r="E16" s="14" t="str">
        <f aca="false">'Line Item Detail'!E2</f>
        <v>Auto-Included</v>
      </c>
      <c r="F16" s="41" t="str">
        <f aca="false">IF(AND(Builder!E2="Insurance / Org Tariff",IFERROR(INDEX(Reference!$EZ$2:$EZ$1000, MATCH('Line Item Detail'!F2, Reference!$EX$2:$EX$1000, 0)), "No")="Yes"),"Excluded for Insurance",IF('Line Item Detail'!D2="Grouped Residual",IF((IF(Builder!B4="General",'Line Item Detail'!W2,IF(Builder!B4="Twin",'Line Item Detail'!X2,'Line Item Detail'!Y2)))=0,"Excluded","Included"),"Included"))</f>
        <v>Included</v>
      </c>
      <c r="G16" s="33" t="n">
        <f aca="false">IF('Line Item Detail'!D2="Grouped Residual","",'Line Item Detail'!G2)</f>
        <v>1</v>
      </c>
      <c r="H16" s="33" t="str">
        <f aca="false">Builder!B4</f>
        <v>Single</v>
      </c>
      <c r="I16" s="33" t="n">
        <f aca="false">IF('Line Item Detail'!D2="Grouped Residual",IF((IF(Builder!B4="General",'Line Item Detail'!W2,IF(Builder!B4="Twin",'Line Item Detail'!X2,'Line Item Detail'!Y2)))=0,"",IF(Builder!B4="General",'Line Item Detail'!K2,IF(Builder!B4="Twin",'Line Item Detail'!L2,'Line Item Detail'!M2))),IF(Builder!B4="General",'Line Item Detail'!K2,IF(Builder!B4="Twin",'Line Item Detail'!L2,'Line Item Detail'!M2)))</f>
        <v>1990</v>
      </c>
      <c r="J16" s="33" t="n">
        <f aca="false">IF(Builder!B4="General",'Line Item Detail'!W2,IF(Builder!B4="Twin",'Line Item Detail'!X2,'Line Item Detail'!Y2))</f>
        <v>1990</v>
      </c>
    </row>
    <row r="17" customFormat="false" ht="15" hidden="false" customHeight="false" outlineLevel="0" collapsed="false">
      <c r="A17" s="14" t="str">
        <f aca="false">'Line Item Detail'!A11</f>
        <v>HAEMOGLOBIN</v>
      </c>
      <c r="B17" s="14" t="s">
        <v>81</v>
      </c>
      <c r="C17" s="14" t="str">
        <f aca="false">'Line Item Detail'!C11</f>
        <v>Investigations</v>
      </c>
      <c r="D17" s="14" t="str">
        <f aca="false">'Line Item Detail'!D11</f>
        <v>Template</v>
      </c>
      <c r="E17" s="14" t="str">
        <f aca="false">'Line Item Detail'!E11</f>
        <v>Auto-Included</v>
      </c>
      <c r="F17" s="41" t="str">
        <f aca="false">IF(AND(Builder!E2="Insurance / Org Tariff",IFERROR(INDEX(Reference!$EZ$2:$EZ$1000, MATCH('Line Item Detail'!F11, Reference!$EX$2:$EX$1000, 0)), "No")="Yes"),"Excluded for Insurance",IF('Line Item Detail'!D11="Grouped Residual",IF((IF(Builder!B4="General",'Line Item Detail'!W11,IF(Builder!B4="Twin",'Line Item Detail'!X11,'Line Item Detail'!Y11)))=0,"Excluded","Included"),"Included"))</f>
        <v>Included</v>
      </c>
      <c r="G17" s="33" t="n">
        <f aca="false">IF('Line Item Detail'!D11="Grouped Residual","",'Line Item Detail'!G11)</f>
        <v>1</v>
      </c>
      <c r="H17" s="33" t="str">
        <f aca="false">Builder!B4</f>
        <v>Single</v>
      </c>
      <c r="I17" s="33" t="n">
        <f aca="false">IF('Line Item Detail'!D11="Grouped Residual",IF((IF(Builder!B4="General",'Line Item Detail'!W11,IF(Builder!B4="Twin",'Line Item Detail'!X11,'Line Item Detail'!Y11)))=0,"",IF(Builder!B4="General",'Line Item Detail'!K11,IF(Builder!B4="Twin",'Line Item Detail'!L11,'Line Item Detail'!M11))),IF(Builder!B4="General",'Line Item Detail'!K11,IF(Builder!B4="Twin",'Line Item Detail'!L11,'Line Item Detail'!M11)))</f>
        <v>460</v>
      </c>
      <c r="J17" s="33" t="n">
        <f aca="false">IF(Builder!B4="General",'Line Item Detail'!W11,IF(Builder!B4="Twin",'Line Item Detail'!X11,'Line Item Detail'!Y11))</f>
        <v>460</v>
      </c>
    </row>
    <row r="18" customFormat="false" ht="15" hidden="false" customHeight="false" outlineLevel="0" collapsed="false">
      <c r="A18" s="14" t="str">
        <f aca="false">'Line Item Detail'!A12</f>
        <v>CBP (COMPLETE BLOOD PICTURE)</v>
      </c>
      <c r="B18" s="14" t="s">
        <v>81</v>
      </c>
      <c r="C18" s="14" t="str">
        <f aca="false">'Line Item Detail'!C12</f>
        <v>Investigations</v>
      </c>
      <c r="D18" s="14" t="str">
        <f aca="false">'Line Item Detail'!D12</f>
        <v>Template</v>
      </c>
      <c r="E18" s="14" t="str">
        <f aca="false">'Line Item Detail'!E12</f>
        <v>Auto-Included</v>
      </c>
      <c r="F18" s="41" t="str">
        <f aca="false">IF(AND(Builder!E2="Insurance / Org Tariff",IFERROR(INDEX(Reference!$EZ$2:$EZ$1000, MATCH('Line Item Detail'!F12, Reference!$EX$2:$EX$1000, 0)), "No")="Yes"),"Excluded for Insurance",IF('Line Item Detail'!D12="Grouped Residual",IF((IF(Builder!B4="General",'Line Item Detail'!W12,IF(Builder!B4="Twin",'Line Item Detail'!X12,'Line Item Detail'!Y12)))=0,"Excluded","Included"),"Included"))</f>
        <v>Included</v>
      </c>
      <c r="G18" s="33" t="n">
        <f aca="false">IF('Line Item Detail'!D12="Grouped Residual","",'Line Item Detail'!G12)</f>
        <v>1</v>
      </c>
      <c r="H18" s="33" t="str">
        <f aca="false">Builder!B4</f>
        <v>Single</v>
      </c>
      <c r="I18" s="33" t="n">
        <f aca="false">IF('Line Item Detail'!D12="Grouped Residual",IF((IF(Builder!B4="General",'Line Item Detail'!W12,IF(Builder!B4="Twin",'Line Item Detail'!X12,'Line Item Detail'!Y12)))=0,"",IF(Builder!B4="General",'Line Item Detail'!K12,IF(Builder!B4="Twin",'Line Item Detail'!L12,'Line Item Detail'!M12))),IF(Builder!B4="General",'Line Item Detail'!K12,IF(Builder!B4="Twin",'Line Item Detail'!L12,'Line Item Detail'!M12)))</f>
        <v>1250</v>
      </c>
      <c r="J18" s="33" t="n">
        <f aca="false">IF(Builder!B4="General",'Line Item Detail'!W12,IF(Builder!B4="Twin",'Line Item Detail'!X12,'Line Item Detail'!Y12))</f>
        <v>1250</v>
      </c>
    </row>
    <row r="19" customFormat="false" ht="15" hidden="false" customHeight="false" outlineLevel="0" collapsed="false">
      <c r="A19" s="14" t="str">
        <f aca="false">'Line Item Detail'!A28</f>
        <v>Albumin</v>
      </c>
      <c r="B19" s="14" t="s">
        <v>81</v>
      </c>
      <c r="C19" s="14" t="str">
        <f aca="false">'Line Item Detail'!C28</f>
        <v>Investigations</v>
      </c>
      <c r="D19" s="14" t="str">
        <f aca="false">'Line Item Detail'!D28</f>
        <v>Template</v>
      </c>
      <c r="E19" s="14" t="str">
        <f aca="false">'Line Item Detail'!E28</f>
        <v>Auto-Included</v>
      </c>
      <c r="F19" s="41" t="str">
        <f aca="false">IF(AND(Builder!E2="Insurance / Org Tariff",IFERROR(INDEX(Reference!$EZ$2:$EZ$1000, MATCH('Line Item Detail'!F28, Reference!$EX$2:$EX$1000, 0)), "No")="Yes"),"Excluded for Insurance",IF('Line Item Detail'!D28="Grouped Residual",IF((IF(Builder!B4="General",'Line Item Detail'!W28,IF(Builder!B4="Twin",'Line Item Detail'!X28,'Line Item Detail'!Y28)))=0,"Excluded","Included"),"Included"))</f>
        <v>Included</v>
      </c>
      <c r="G19" s="33" t="n">
        <f aca="false">IF('Line Item Detail'!D28="Grouped Residual","",'Line Item Detail'!G28)</f>
        <v>1</v>
      </c>
      <c r="H19" s="33" t="str">
        <f aca="false">Builder!B4</f>
        <v>Single</v>
      </c>
      <c r="I19" s="33" t="n">
        <f aca="false">IF('Line Item Detail'!D28="Grouped Residual",IF((IF(Builder!B4="General",'Line Item Detail'!W28,IF(Builder!B4="Twin",'Line Item Detail'!X28,'Line Item Detail'!Y28)))=0,"",IF(Builder!B4="General",'Line Item Detail'!K28,IF(Builder!B4="Twin",'Line Item Detail'!L28,'Line Item Detail'!M28))),IF(Builder!B4="General",'Line Item Detail'!K28,IF(Builder!B4="Twin",'Line Item Detail'!L28,'Line Item Detail'!M28)))</f>
        <v>430</v>
      </c>
      <c r="J19" s="33" t="n">
        <f aca="false">IF(Builder!B4="General",'Line Item Detail'!W28,IF(Builder!B4="Twin",'Line Item Detail'!X28,'Line Item Detail'!Y28))</f>
        <v>430</v>
      </c>
    </row>
    <row r="20" customFormat="false" ht="15" hidden="false" customHeight="false" outlineLevel="0" collapsed="false">
      <c r="A20" s="14" t="str">
        <f aca="false">'Line Item Detail'!A29</f>
        <v>Sodium</v>
      </c>
      <c r="B20" s="14" t="s">
        <v>81</v>
      </c>
      <c r="C20" s="14" t="str">
        <f aca="false">'Line Item Detail'!C29</f>
        <v>Investigations</v>
      </c>
      <c r="D20" s="14" t="str">
        <f aca="false">'Line Item Detail'!D29</f>
        <v>Template</v>
      </c>
      <c r="E20" s="14" t="str">
        <f aca="false">'Line Item Detail'!E29</f>
        <v>Auto-Included</v>
      </c>
      <c r="F20" s="41" t="str">
        <f aca="false">IF(AND(Builder!E2="Insurance / Org Tariff",IFERROR(INDEX(Reference!$EZ$2:$EZ$1000, MATCH('Line Item Detail'!F29, Reference!$EX$2:$EX$1000, 0)), "No")="Yes"),"Excluded for Insurance",IF('Line Item Detail'!D29="Grouped Residual",IF((IF(Builder!B4="General",'Line Item Detail'!W29,IF(Builder!B4="Twin",'Line Item Detail'!X29,'Line Item Detail'!Y29)))=0,"Excluded","Included"),"Included"))</f>
        <v>Included</v>
      </c>
      <c r="G20" s="33" t="n">
        <f aca="false">IF('Line Item Detail'!D29="Grouped Residual","",'Line Item Detail'!G29)</f>
        <v>1</v>
      </c>
      <c r="H20" s="33" t="str">
        <f aca="false">Builder!B4</f>
        <v>Single</v>
      </c>
      <c r="I20" s="33" t="n">
        <f aca="false">IF('Line Item Detail'!D29="Grouped Residual",IF((IF(Builder!B4="General",'Line Item Detail'!W29,IF(Builder!B4="Twin",'Line Item Detail'!X29,'Line Item Detail'!Y29)))=0,"",IF(Builder!B4="General",'Line Item Detail'!K29,IF(Builder!B4="Twin",'Line Item Detail'!L29,'Line Item Detail'!M29))),IF(Builder!B4="General",'Line Item Detail'!K29,IF(Builder!B4="Twin",'Line Item Detail'!L29,'Line Item Detail'!M29)))</f>
        <v>870</v>
      </c>
      <c r="J20" s="33" t="n">
        <f aca="false">IF(Builder!B4="General",'Line Item Detail'!W29,IF(Builder!B4="Twin",'Line Item Detail'!X29,'Line Item Detail'!Y29))</f>
        <v>870</v>
      </c>
    </row>
    <row r="21" customFormat="false" ht="15" hidden="false" customHeight="false" outlineLevel="0" collapsed="false">
      <c r="A21" s="14" t="str">
        <f aca="false">'Line Item Detail'!A30</f>
        <v>Electrolytes</v>
      </c>
      <c r="B21" s="14" t="s">
        <v>81</v>
      </c>
      <c r="C21" s="14" t="str">
        <f aca="false">'Line Item Detail'!C30</f>
        <v>Investigations</v>
      </c>
      <c r="D21" s="14" t="str">
        <f aca="false">'Line Item Detail'!D30</f>
        <v>Template</v>
      </c>
      <c r="E21" s="14" t="str">
        <f aca="false">'Line Item Detail'!E30</f>
        <v>Auto-Included</v>
      </c>
      <c r="F21" s="41" t="str">
        <f aca="false">IF(AND(Builder!E2="Insurance / Org Tariff",IFERROR(INDEX(Reference!$EZ$2:$EZ$1000, MATCH('Line Item Detail'!F30, Reference!$EX$2:$EX$1000, 0)), "No")="Yes"),"Excluded for Insurance",IF('Line Item Detail'!D30="Grouped Residual",IF((IF(Builder!B4="General",'Line Item Detail'!W30,IF(Builder!B4="Twin",'Line Item Detail'!X30,'Line Item Detail'!Y30)))=0,"Excluded","Included"),"Included"))</f>
        <v>Included</v>
      </c>
      <c r="G21" s="33" t="n">
        <f aca="false">IF('Line Item Detail'!D30="Grouped Residual","",'Line Item Detail'!G30)</f>
        <v>1</v>
      </c>
      <c r="H21" s="33" t="str">
        <f aca="false">Builder!B4</f>
        <v>Single</v>
      </c>
      <c r="I21" s="33" t="n">
        <f aca="false">IF('Line Item Detail'!D30="Grouped Residual",IF((IF(Builder!B4="General",'Line Item Detail'!W30,IF(Builder!B4="Twin",'Line Item Detail'!X30,'Line Item Detail'!Y30)))=0,"",IF(Builder!B4="General",'Line Item Detail'!K30,IF(Builder!B4="Twin",'Line Item Detail'!L30,'Line Item Detail'!M30))),IF(Builder!B4="General",'Line Item Detail'!K30,IF(Builder!B4="Twin",'Line Item Detail'!L30,'Line Item Detail'!M30)))</f>
        <v>1470</v>
      </c>
      <c r="J21" s="33" t="n">
        <f aca="false">IF(Builder!B4="General",'Line Item Detail'!W30,IF(Builder!B4="Twin",'Line Item Detail'!X30,'Line Item Detail'!Y30))</f>
        <v>1470</v>
      </c>
    </row>
    <row r="22" customFormat="false" ht="15" hidden="false" customHeight="false" outlineLevel="0" collapsed="false">
      <c r="A22" s="14" t="str">
        <f aca="false">'Line Item Detail'!A31</f>
        <v>Creatinine</v>
      </c>
      <c r="B22" s="14" t="s">
        <v>81</v>
      </c>
      <c r="C22" s="14" t="str">
        <f aca="false">'Line Item Detail'!C31</f>
        <v>Investigations</v>
      </c>
      <c r="D22" s="14" t="str">
        <f aca="false">'Line Item Detail'!D31</f>
        <v>Template</v>
      </c>
      <c r="E22" s="14" t="str">
        <f aca="false">'Line Item Detail'!E31</f>
        <v>Auto-Included</v>
      </c>
      <c r="F22" s="41" t="str">
        <f aca="false">IF(AND(Builder!E2="Insurance / Org Tariff",IFERROR(INDEX(Reference!$EZ$2:$EZ$1000, MATCH('Line Item Detail'!F31, Reference!$EX$2:$EX$1000, 0)), "No")="Yes"),"Excluded for Insurance",IF('Line Item Detail'!D31="Grouped Residual",IF((IF(Builder!B4="General",'Line Item Detail'!W31,IF(Builder!B4="Twin",'Line Item Detail'!X31,'Line Item Detail'!Y31)))=0,"Excluded","Included"),"Included"))</f>
        <v>Included</v>
      </c>
      <c r="G22" s="33" t="n">
        <f aca="false">IF('Line Item Detail'!D31="Grouped Residual","",'Line Item Detail'!G31)</f>
        <v>1</v>
      </c>
      <c r="H22" s="33" t="str">
        <f aca="false">Builder!B4</f>
        <v>Single</v>
      </c>
      <c r="I22" s="33" t="n">
        <f aca="false">IF('Line Item Detail'!D31="Grouped Residual",IF((IF(Builder!B4="General",'Line Item Detail'!W31,IF(Builder!B4="Twin",'Line Item Detail'!X31,'Line Item Detail'!Y31)))=0,"",IF(Builder!B4="General",'Line Item Detail'!K31,IF(Builder!B4="Twin",'Line Item Detail'!L31,'Line Item Detail'!M31))),IF(Builder!B4="General",'Line Item Detail'!K31,IF(Builder!B4="Twin",'Line Item Detail'!L31,'Line Item Detail'!M31)))</f>
        <v>760</v>
      </c>
      <c r="J22" s="33" t="n">
        <f aca="false">IF(Builder!B4="General",'Line Item Detail'!W31,IF(Builder!B4="Twin",'Line Item Detail'!X31,'Line Item Detail'!Y31))</f>
        <v>760</v>
      </c>
    </row>
    <row r="23" customFormat="false" ht="15" hidden="false" customHeight="false" outlineLevel="0" collapsed="false">
      <c r="A23" s="14" t="str">
        <f aca="false">'Line Item Detail'!A32</f>
        <v>Urea</v>
      </c>
      <c r="B23" s="14" t="s">
        <v>81</v>
      </c>
      <c r="C23" s="14" t="str">
        <f aca="false">'Line Item Detail'!C32</f>
        <v>Investigations</v>
      </c>
      <c r="D23" s="14" t="str">
        <f aca="false">'Line Item Detail'!D32</f>
        <v>Template</v>
      </c>
      <c r="E23" s="14" t="str">
        <f aca="false">'Line Item Detail'!E32</f>
        <v>Auto-Included</v>
      </c>
      <c r="F23" s="41" t="str">
        <f aca="false">IF(AND(Builder!E2="Insurance / Org Tariff",IFERROR(INDEX(Reference!$EZ$2:$EZ$1000, MATCH('Line Item Detail'!F32, Reference!$EX$2:$EX$1000, 0)), "No")="Yes"),"Excluded for Insurance",IF('Line Item Detail'!D32="Grouped Residual",IF((IF(Builder!B4="General",'Line Item Detail'!W32,IF(Builder!B4="Twin",'Line Item Detail'!X32,'Line Item Detail'!Y32)))=0,"Excluded","Included"),"Included"))</f>
        <v>Included</v>
      </c>
      <c r="G23" s="33" t="n">
        <f aca="false">IF('Line Item Detail'!D32="Grouped Residual","",'Line Item Detail'!G32)</f>
        <v>1</v>
      </c>
      <c r="H23" s="33" t="str">
        <f aca="false">Builder!B4</f>
        <v>Single</v>
      </c>
      <c r="I23" s="33" t="n">
        <f aca="false">IF('Line Item Detail'!D32="Grouped Residual",IF((IF(Builder!B4="General",'Line Item Detail'!W32,IF(Builder!B4="Twin",'Line Item Detail'!X32,'Line Item Detail'!Y32)))=0,"",IF(Builder!B4="General",'Line Item Detail'!K32,IF(Builder!B4="Twin",'Line Item Detail'!L32,'Line Item Detail'!M32))),IF(Builder!B4="General",'Line Item Detail'!K32,IF(Builder!B4="Twin",'Line Item Detail'!L32,'Line Item Detail'!M32)))</f>
        <v>430</v>
      </c>
      <c r="J23" s="33" t="n">
        <f aca="false">IF(Builder!B4="General",'Line Item Detail'!W32,IF(Builder!B4="Twin",'Line Item Detail'!X32,'Line Item Detail'!Y32))</f>
        <v>430</v>
      </c>
    </row>
    <row r="24" customFormat="false" ht="39.55" hidden="false" customHeight="false" outlineLevel="0" collapsed="false">
      <c r="A24" s="14" t="str">
        <f aca="false">'Line Item Detail'!A71</f>
        <v>Coagulation Tests Residual</v>
      </c>
      <c r="B24" s="14" t="s">
        <v>81</v>
      </c>
      <c r="C24" s="14" t="str">
        <f aca="false">'Line Item Detail'!C71</f>
        <v>Coagulation Tests</v>
      </c>
      <c r="D24" s="14" t="str">
        <f aca="false">'Line Item Detail'!D71</f>
        <v>Grouped Residual</v>
      </c>
      <c r="E24" s="14" t="str">
        <f aca="false">'Line Item Detail'!E71</f>
        <v>Mode-aware grouped residual net of selected child add-ons from same grouping</v>
      </c>
      <c r="F24" s="41" t="str">
        <f aca="false">IF(AND(Builder!E2="Insurance / Org Tariff",IFERROR(INDEX(Reference!$EZ$2:$EZ$1000, MATCH('Line Item Detail'!F71, Reference!$EX$2:$EX$1000, 0)), "No")="Yes"),"Excluded for Insurance",IF('Line Item Detail'!D71="Grouped Residual",IF((IF(Builder!B4="General",'Line Item Detail'!W71,IF(Builder!B4="Twin",'Line Item Detail'!X71,'Line Item Detail'!Y71)))=0,"Excluded","Included"),"Included"))</f>
        <v>Included</v>
      </c>
      <c r="G24" s="33" t="str">
        <f aca="false">IF('Line Item Detail'!D71="Grouped Residual","",'Line Item Detail'!G71)</f>
        <v/>
      </c>
      <c r="H24" s="33" t="str">
        <f aca="false">Builder!B4</f>
        <v>Single</v>
      </c>
      <c r="I24" s="33" t="n">
        <f aca="false">IF('Line Item Detail'!D71="Grouped Residual",IF((IF(Builder!B4="General",'Line Item Detail'!W71,IF(Builder!B4="Twin",'Line Item Detail'!X71,'Line Item Detail'!Y71)))=0,"",IF(Builder!B4="General",'Line Item Detail'!K71,IF(Builder!B4="Twin",'Line Item Detail'!L71,'Line Item Detail'!M71))),IF(Builder!B4="General",'Line Item Detail'!K71,IF(Builder!B4="Twin",'Line Item Detail'!L71,'Line Item Detail'!M71)))</f>
        <v>5590</v>
      </c>
      <c r="J24" s="33" t="n">
        <f aca="false">IF(Builder!B4="General",'Line Item Detail'!W71,IF(Builder!B4="Twin",'Line Item Detail'!X71,'Line Item Detail'!Y71))</f>
        <v>5590</v>
      </c>
    </row>
    <row r="25" customFormat="false" ht="39.55" hidden="false" customHeight="false" outlineLevel="0" collapsed="false">
      <c r="A25" s="14" t="str">
        <f aca="false">'Line Item Detail'!A72</f>
        <v>Inflammatory Marker Tests Residual</v>
      </c>
      <c r="B25" s="14" t="s">
        <v>81</v>
      </c>
      <c r="C25" s="14" t="str">
        <f aca="false">'Line Item Detail'!C72</f>
        <v>Inflammatory Marker Tests</v>
      </c>
      <c r="D25" s="14" t="str">
        <f aca="false">'Line Item Detail'!D72</f>
        <v>Grouped Residual</v>
      </c>
      <c r="E25" s="14" t="str">
        <f aca="false">'Line Item Detail'!E72</f>
        <v>Mode-aware grouped residual net of selected child add-ons from same grouping</v>
      </c>
      <c r="F25" s="41" t="str">
        <f aca="false">IF(AND(Builder!E2="Insurance / Org Tariff",IFERROR(INDEX(Reference!$EZ$2:$EZ$1000, MATCH('Line Item Detail'!F72, Reference!$EX$2:$EX$1000, 0)), "No")="Yes"),"Excluded for Insurance",IF('Line Item Detail'!D72="Grouped Residual",IF((IF(Builder!B4="General",'Line Item Detail'!W72,IF(Builder!B4="Twin",'Line Item Detail'!X72,'Line Item Detail'!Y72)))=0,"Excluded","Included"),"Included"))</f>
        <v>Included</v>
      </c>
      <c r="G25" s="33" t="str">
        <f aca="false">IF('Line Item Detail'!D72="Grouped Residual","",'Line Item Detail'!G72)</f>
        <v/>
      </c>
      <c r="H25" s="33" t="str">
        <f aca="false">Builder!B4</f>
        <v>Single</v>
      </c>
      <c r="I25" s="33" t="n">
        <f aca="false">IF('Line Item Detail'!D72="Grouped Residual",IF((IF(Builder!B4="General",'Line Item Detail'!W72,IF(Builder!B4="Twin",'Line Item Detail'!X72,'Line Item Detail'!Y72)))=0,"",IF(Builder!B4="General",'Line Item Detail'!K72,IF(Builder!B4="Twin",'Line Item Detail'!L72,'Line Item Detail'!M72))),IF(Builder!B4="General",'Line Item Detail'!K72,IF(Builder!B4="Twin",'Line Item Detail'!L72,'Line Item Detail'!M72)))</f>
        <v>1320</v>
      </c>
      <c r="J25" s="33" t="n">
        <f aca="false">IF(Builder!B4="General",'Line Item Detail'!W72,IF(Builder!B4="Twin",'Line Item Detail'!X72,'Line Item Detail'!Y72))</f>
        <v>1320</v>
      </c>
    </row>
    <row r="26" customFormat="false" ht="39.55" hidden="false" customHeight="false" outlineLevel="0" collapsed="false">
      <c r="A26" s="14" t="str">
        <f aca="false">'Line Item Detail'!A73</f>
        <v>Haematology Counts Residual</v>
      </c>
      <c r="B26" s="14" t="s">
        <v>81</v>
      </c>
      <c r="C26" s="14" t="str">
        <f aca="false">'Line Item Detail'!C73</f>
        <v>Haematology Counts</v>
      </c>
      <c r="D26" s="14" t="str">
        <f aca="false">'Line Item Detail'!D73</f>
        <v>Grouped Residual</v>
      </c>
      <c r="E26" s="14" t="str">
        <f aca="false">'Line Item Detail'!E73</f>
        <v>Mode-aware grouped residual net of selected child add-ons from same grouping</v>
      </c>
      <c r="F26" s="41" t="str">
        <f aca="false">IF(AND(Builder!E2="Insurance / Org Tariff",IFERROR(INDEX(Reference!$EZ$2:$EZ$1000, MATCH('Line Item Detail'!F73, Reference!$EX$2:$EX$1000, 0)), "No")="Yes"),"Excluded for Insurance",IF('Line Item Detail'!D73="Grouped Residual",IF((IF(Builder!B4="General",'Line Item Detail'!W73,IF(Builder!B4="Twin",'Line Item Detail'!X73,'Line Item Detail'!Y73)))=0,"Excluded","Included"),"Included"))</f>
        <v>Included</v>
      </c>
      <c r="G26" s="33" t="str">
        <f aca="false">IF('Line Item Detail'!D73="Grouped Residual","",'Line Item Detail'!G73)</f>
        <v/>
      </c>
      <c r="H26" s="33" t="str">
        <f aca="false">Builder!B4</f>
        <v>Single</v>
      </c>
      <c r="I26" s="33" t="n">
        <f aca="false">IF('Line Item Detail'!D73="Grouped Residual",IF((IF(Builder!B4="General",'Line Item Detail'!W73,IF(Builder!B4="Twin",'Line Item Detail'!X73,'Line Item Detail'!Y73)))=0,"",IF(Builder!B4="General",'Line Item Detail'!K73,IF(Builder!B4="Twin",'Line Item Detail'!L73,'Line Item Detail'!M73))),IF(Builder!B4="General",'Line Item Detail'!K73,IF(Builder!B4="Twin",'Line Item Detail'!L73,'Line Item Detail'!M73)))</f>
        <v>370</v>
      </c>
      <c r="J26" s="33" t="n">
        <f aca="false">IF(Builder!B4="General",'Line Item Detail'!W73,IF(Builder!B4="Twin",'Line Item Detail'!X73,'Line Item Detail'!Y73))</f>
        <v>370</v>
      </c>
    </row>
    <row r="27" customFormat="false" ht="15" hidden="false" customHeight="false" outlineLevel="0" collapsed="false">
      <c r="A27" s="14"/>
      <c r="B27" s="14"/>
      <c r="C27" s="14"/>
      <c r="D27" s="14"/>
      <c r="E27" s="14"/>
      <c r="F27" s="41"/>
      <c r="G27" s="33"/>
      <c r="H27" s="33"/>
      <c r="I27" s="33"/>
      <c r="J27" s="33"/>
    </row>
    <row r="28" customFormat="false" ht="15" hidden="false" customHeight="false" outlineLevel="0" collapsed="false">
      <c r="A28" s="5" t="s">
        <v>88</v>
      </c>
      <c r="B28" s="5"/>
      <c r="C28" s="5"/>
      <c r="D28" s="5"/>
      <c r="E28" s="5"/>
      <c r="F28" s="5"/>
      <c r="G28" s="49"/>
      <c r="H28" s="49"/>
      <c r="I28" s="49"/>
      <c r="J28" s="49"/>
    </row>
    <row r="29" customFormat="false" ht="15" hidden="false" customHeight="false" outlineLevel="0" collapsed="false">
      <c r="A29" s="14" t="str">
        <f aca="false">'Line Item Detail'!A8</f>
        <v>CSSD CHARGES FOR GA</v>
      </c>
      <c r="B29" s="14" t="s">
        <v>88</v>
      </c>
      <c r="C29" s="14" t="str">
        <f aca="false">'Line Item Detail'!C8</f>
        <v>OT Charges</v>
      </c>
      <c r="D29" s="14" t="str">
        <f aca="false">'Line Item Detail'!D8</f>
        <v>Template</v>
      </c>
      <c r="E29" s="14" t="str">
        <f aca="false">'Line Item Detail'!E8</f>
        <v>Auto-Included</v>
      </c>
      <c r="F29" s="41" t="str">
        <f aca="false">IF(AND(Builder!E2="Insurance / Org Tariff",IFERROR(INDEX(Reference!$EZ$2:$EZ$1000, MATCH('Line Item Detail'!F8, Reference!$EX$2:$EX$1000, 0)), "No")="Yes"),"Excluded for Insurance",IF('Line Item Detail'!D8="Grouped Residual",IF((IF(Builder!B4="General",'Line Item Detail'!W8,IF(Builder!B4="Twin",'Line Item Detail'!X8,'Line Item Detail'!Y8)))=0,"Excluded","Included"),"Included"))</f>
        <v>Included</v>
      </c>
      <c r="G29" s="33" t="n">
        <f aca="false">IF('Line Item Detail'!D8="Grouped Residual","",'Line Item Detail'!G8)</f>
        <v>1</v>
      </c>
      <c r="H29" s="33" t="str">
        <f aca="false">Builder!B4</f>
        <v>Single</v>
      </c>
      <c r="I29" s="33" t="n">
        <f aca="false">IF('Line Item Detail'!D8="Grouped Residual",IF((IF(Builder!B4="General",'Line Item Detail'!W8,IF(Builder!B4="Twin",'Line Item Detail'!X8,'Line Item Detail'!Y8)))=0,"",IF(Builder!B4="General",'Line Item Detail'!K8,IF(Builder!B4="Twin",'Line Item Detail'!L8,'Line Item Detail'!M8))),IF(Builder!B4="General",'Line Item Detail'!K8,IF(Builder!B4="Twin",'Line Item Detail'!L8,'Line Item Detail'!M8)))</f>
        <v>2000</v>
      </c>
      <c r="J29" s="33" t="n">
        <f aca="false">IF(Builder!B4="General",'Line Item Detail'!W8,IF(Builder!B4="Twin",'Line Item Detail'!X8,'Line Item Detail'!Y8))</f>
        <v>2000</v>
      </c>
    </row>
    <row r="30" customFormat="false" ht="15" hidden="false" customHeight="false" outlineLevel="0" collapsed="false">
      <c r="A30" s="14" t="str">
        <f aca="false">'Line Item Detail'!A10</f>
        <v>PHYSIOTHERAPY PACKAGE 5 VISITS</v>
      </c>
      <c r="B30" s="14" t="s">
        <v>88</v>
      </c>
      <c r="C30" s="14" t="str">
        <f aca="false">'Line Item Detail'!C10</f>
        <v>Physiotherapy</v>
      </c>
      <c r="D30" s="14" t="str">
        <f aca="false">'Line Item Detail'!D10</f>
        <v>Template</v>
      </c>
      <c r="E30" s="14" t="str">
        <f aca="false">'Line Item Detail'!E10</f>
        <v>Auto-Included</v>
      </c>
      <c r="F30" s="41" t="str">
        <f aca="false">IF(AND(Builder!E2="Insurance / Org Tariff",IFERROR(INDEX(Reference!$EZ$2:$EZ$1000, MATCH('Line Item Detail'!F10, Reference!$EX$2:$EX$1000, 0)), "No")="Yes"),"Excluded for Insurance",IF('Line Item Detail'!D10="Grouped Residual",IF((IF(Builder!B4="General",'Line Item Detail'!W10,IF(Builder!B4="Twin",'Line Item Detail'!X10,'Line Item Detail'!Y10)))=0,"Excluded","Included"),"Included"))</f>
        <v>Included</v>
      </c>
      <c r="G30" s="33" t="n">
        <f aca="false">IF('Line Item Detail'!D10="Grouped Residual","",'Line Item Detail'!G10)</f>
        <v>1</v>
      </c>
      <c r="H30" s="33" t="str">
        <f aca="false">Builder!B4</f>
        <v>Single</v>
      </c>
      <c r="I30" s="33" t="n">
        <f aca="false">IF('Line Item Detail'!D10="Grouped Residual",IF((IF(Builder!B4="General",'Line Item Detail'!W10,IF(Builder!B4="Twin",'Line Item Detail'!X10,'Line Item Detail'!Y10)))=0,"",IF(Builder!B4="General",'Line Item Detail'!K10,IF(Builder!B4="Twin",'Line Item Detail'!L10,'Line Item Detail'!M10))),IF(Builder!B4="General",'Line Item Detail'!K10,IF(Builder!B4="Twin",'Line Item Detail'!L10,'Line Item Detail'!M10)))</f>
        <v>2380</v>
      </c>
      <c r="J30" s="33" t="n">
        <f aca="false">IF(Builder!B4="General",'Line Item Detail'!W10,IF(Builder!B4="Twin",'Line Item Detail'!X10,'Line Item Detail'!Y10))</f>
        <v>2380</v>
      </c>
    </row>
    <row r="31" customFormat="false" ht="15" hidden="false" customHeight="false" outlineLevel="0" collapsed="false">
      <c r="A31" s="14" t="str">
        <f aca="false">'Line Item Detail'!A13</f>
        <v>ROBO (TKR) - UNILATERAL</v>
      </c>
      <c r="B31" s="14" t="s">
        <v>88</v>
      </c>
      <c r="C31" s="14" t="str">
        <f aca="false">'Line Item Detail'!C13</f>
        <v>OT Charges</v>
      </c>
      <c r="D31" s="14" t="str">
        <f aca="false">'Line Item Detail'!D13</f>
        <v>Template</v>
      </c>
      <c r="E31" s="14" t="str">
        <f aca="false">'Line Item Detail'!E13</f>
        <v>Auto-Included</v>
      </c>
      <c r="F31" s="41" t="str">
        <f aca="false">IF(AND(Builder!E2="Insurance / Org Tariff",IFERROR(INDEX(Reference!$EZ$2:$EZ$1000, MATCH('Line Item Detail'!F13, Reference!$EX$2:$EX$1000, 0)), "No")="Yes"),"Excluded for Insurance",IF('Line Item Detail'!D13="Grouped Residual",IF((IF(Builder!B4="General",'Line Item Detail'!W13,IF(Builder!B4="Twin",'Line Item Detail'!X13,'Line Item Detail'!Y13)))=0,"Excluded","Included"),"Included"))</f>
        <v>Included</v>
      </c>
      <c r="G31" s="33" t="n">
        <f aca="false">IF('Line Item Detail'!D13="Grouped Residual","",'Line Item Detail'!G13)</f>
        <v>1</v>
      </c>
      <c r="H31" s="33" t="str">
        <f aca="false">Builder!B4</f>
        <v>Single</v>
      </c>
      <c r="I31" s="33" t="n">
        <f aca="false">IF('Line Item Detail'!D13="Grouped Residual",IF((IF(Builder!B4="General",'Line Item Detail'!W13,IF(Builder!B4="Twin",'Line Item Detail'!X13,'Line Item Detail'!Y13)))=0,"",IF(Builder!B4="General",'Line Item Detail'!K13,IF(Builder!B4="Twin",'Line Item Detail'!L13,'Line Item Detail'!M13))),IF(Builder!B4="General",'Line Item Detail'!K13,IF(Builder!B4="Twin",'Line Item Detail'!L13,'Line Item Detail'!M13)))</f>
        <v>100000</v>
      </c>
      <c r="J31" s="33" t="n">
        <f aca="false">IF(Builder!B4="General",'Line Item Detail'!W13,IF(Builder!B4="Twin",'Line Item Detail'!X13,'Line Item Detail'!Y13))</f>
        <v>100000</v>
      </c>
    </row>
    <row r="32" customFormat="false" ht="15" hidden="false" customHeight="false" outlineLevel="0" collapsed="false">
      <c r="A32" s="14" t="str">
        <f aca="false">'Line Item Detail'!A14</f>
        <v>Instrument Charges (Major)</v>
      </c>
      <c r="B32" s="14" t="s">
        <v>88</v>
      </c>
      <c r="C32" s="14" t="str">
        <f aca="false">'Line Item Detail'!C14</f>
        <v>OT Charges</v>
      </c>
      <c r="D32" s="14" t="str">
        <f aca="false">'Line Item Detail'!D14</f>
        <v>Logic</v>
      </c>
      <c r="E32" s="14" t="str">
        <f aca="false">'Line Item Detail'!E14</f>
        <v>Fixed 1</v>
      </c>
      <c r="F32" s="41" t="str">
        <f aca="false">IF(AND(Builder!E2="Insurance / Org Tariff",IFERROR(INDEX(Reference!$EZ$2:$EZ$1000, MATCH('Line Item Detail'!F14, Reference!$EX$2:$EX$1000, 0)), "No")="Yes"),"Excluded for Insurance",IF('Line Item Detail'!D14="Grouped Residual",IF((IF(Builder!B4="General",'Line Item Detail'!W14,IF(Builder!B4="Twin",'Line Item Detail'!X14,'Line Item Detail'!Y14)))=0,"Excluded","Included"),"Included"))</f>
        <v>Included</v>
      </c>
      <c r="G32" s="33" t="n">
        <f aca="false">IF('Line Item Detail'!D14="Grouped Residual","",'Line Item Detail'!G14)</f>
        <v>1</v>
      </c>
      <c r="H32" s="33" t="str">
        <f aca="false">Builder!B4</f>
        <v>Single</v>
      </c>
      <c r="I32" s="33" t="n">
        <f aca="false">IF('Line Item Detail'!D14="Grouped Residual",IF((IF(Builder!B4="General",'Line Item Detail'!W14,IF(Builder!B4="Twin",'Line Item Detail'!X14,'Line Item Detail'!Y14)))=0,"",IF(Builder!B4="General",'Line Item Detail'!K14,IF(Builder!B4="Twin",'Line Item Detail'!L14,'Line Item Detail'!M14))),IF(Builder!B4="General",'Line Item Detail'!K14,IF(Builder!B4="Twin",'Line Item Detail'!L14,'Line Item Detail'!M14)))</f>
        <v>10480</v>
      </c>
      <c r="J32" s="33" t="n">
        <f aca="false">IF(Builder!B4="General",'Line Item Detail'!W14,IF(Builder!B4="Twin",'Line Item Detail'!X14,'Line Item Detail'!Y14))</f>
        <v>10480</v>
      </c>
    </row>
    <row r="33" customFormat="false" ht="15" hidden="false" customHeight="false" outlineLevel="0" collapsed="false">
      <c r="A33" s="14" t="str">
        <f aca="false">'Line Item Detail'!A15</f>
        <v>OT Disinfection Charges</v>
      </c>
      <c r="B33" s="14" t="s">
        <v>88</v>
      </c>
      <c r="C33" s="14" t="str">
        <f aca="false">'Line Item Detail'!C15</f>
        <v>OT Charges</v>
      </c>
      <c r="D33" s="14" t="str">
        <f aca="false">'Line Item Detail'!D15</f>
        <v>Logic</v>
      </c>
      <c r="E33" s="14" t="str">
        <f aca="false">'Line Item Detail'!E15</f>
        <v>Fixed 1</v>
      </c>
      <c r="F33" s="41" t="str">
        <f aca="false">IF(AND(Builder!E2="Insurance / Org Tariff",IFERROR(INDEX(Reference!$EZ$2:$EZ$1000, MATCH('Line Item Detail'!F15, Reference!$EX$2:$EX$1000, 0)), "No")="Yes"),"Excluded for Insurance",IF('Line Item Detail'!D15="Grouped Residual",IF((IF(Builder!B4="General",'Line Item Detail'!W15,IF(Builder!B4="Twin",'Line Item Detail'!X15,'Line Item Detail'!Y15)))=0,"Excluded","Included"),"Included"))</f>
        <v>Included</v>
      </c>
      <c r="G33" s="33" t="n">
        <f aca="false">IF('Line Item Detail'!D15="Grouped Residual","",'Line Item Detail'!G15)</f>
        <v>1</v>
      </c>
      <c r="H33" s="33" t="str">
        <f aca="false">Builder!B4</f>
        <v>Single</v>
      </c>
      <c r="I33" s="33" t="n">
        <f aca="false">IF('Line Item Detail'!D15="Grouped Residual",IF((IF(Builder!B4="General",'Line Item Detail'!W15,IF(Builder!B4="Twin",'Line Item Detail'!X15,'Line Item Detail'!Y15)))=0,"",IF(Builder!B4="General",'Line Item Detail'!K15,IF(Builder!B4="Twin",'Line Item Detail'!L15,'Line Item Detail'!M15))),IF(Builder!B4="General",'Line Item Detail'!K15,IF(Builder!B4="Twin",'Line Item Detail'!L15,'Line Item Detail'!M15)))</f>
        <v>2470</v>
      </c>
      <c r="J33" s="33" t="n">
        <f aca="false">IF(Builder!B4="General",'Line Item Detail'!W15,IF(Builder!B4="Twin",'Line Item Detail'!X15,'Line Item Detail'!Y15))</f>
        <v>2470</v>
      </c>
    </row>
    <row r="34" customFormat="false" ht="15" hidden="false" customHeight="false" outlineLevel="0" collapsed="false">
      <c r="A34" s="14" t="str">
        <f aca="false">'Line Item Detail'!A16</f>
        <v>Post Surgery Recovery Charges</v>
      </c>
      <c r="B34" s="14" t="s">
        <v>88</v>
      </c>
      <c r="C34" s="14" t="str">
        <f aca="false">'Line Item Detail'!C16</f>
        <v>OT Charges</v>
      </c>
      <c r="D34" s="14" t="str">
        <f aca="false">'Line Item Detail'!D16</f>
        <v>Logic</v>
      </c>
      <c r="E34" s="14" t="str">
        <f aca="false">'Line Item Detail'!E16</f>
        <v>Fixed 1</v>
      </c>
      <c r="F34" s="41" t="str">
        <f aca="false">IF(AND(Builder!E2="Insurance / Org Tariff",IFERROR(INDEX(Reference!$EZ$2:$EZ$1000, MATCH('Line Item Detail'!F16, Reference!$EX$2:$EX$1000, 0)), "No")="Yes"),"Excluded for Insurance",IF('Line Item Detail'!D16="Grouped Residual",IF((IF(Builder!B4="General",'Line Item Detail'!W16,IF(Builder!B4="Twin",'Line Item Detail'!X16,'Line Item Detail'!Y16)))=0,"Excluded","Included"),"Included"))</f>
        <v>Included</v>
      </c>
      <c r="G34" s="33" t="n">
        <f aca="false">IF('Line Item Detail'!D16="Grouped Residual","",'Line Item Detail'!G16)</f>
        <v>1</v>
      </c>
      <c r="H34" s="33" t="str">
        <f aca="false">Builder!B4</f>
        <v>Single</v>
      </c>
      <c r="I34" s="33" t="n">
        <f aca="false">IF('Line Item Detail'!D16="Grouped Residual",IF((IF(Builder!B4="General",'Line Item Detail'!W16,IF(Builder!B4="Twin",'Line Item Detail'!X16,'Line Item Detail'!Y16)))=0,"",IF(Builder!B4="General",'Line Item Detail'!K16,IF(Builder!B4="Twin",'Line Item Detail'!L16,'Line Item Detail'!M16))),IF(Builder!B4="General",'Line Item Detail'!K16,IF(Builder!B4="Twin",'Line Item Detail'!L16,'Line Item Detail'!M16)))</f>
        <v>3020</v>
      </c>
      <c r="J34" s="33" t="n">
        <f aca="false">IF(Builder!B4="General",'Line Item Detail'!W16,IF(Builder!B4="Twin",'Line Item Detail'!X16,'Line Item Detail'!Y16))</f>
        <v>3020</v>
      </c>
    </row>
    <row r="35" customFormat="false" ht="39.55" hidden="false" customHeight="false" outlineLevel="0" collapsed="false">
      <c r="A35" s="14" t="str">
        <f aca="false">'Line Item Detail'!A17</f>
        <v>OT Charges</v>
      </c>
      <c r="B35" s="14" t="s">
        <v>88</v>
      </c>
      <c r="C35" s="14" t="str">
        <f aca="false">'Line Item Detail'!C17</f>
        <v>OT Charges</v>
      </c>
      <c r="D35" s="14" t="str">
        <f aca="false">'Line Item Detail'!D17</f>
        <v>Logic</v>
      </c>
      <c r="E35" s="14" t="str">
        <f aca="false">'Line Item Detail'!E17</f>
        <v>Selected OT duration snapped to the nearest supported tariff OT slot using the normal or emergency ladder</v>
      </c>
      <c r="F35" s="41" t="str">
        <f aca="false">IF(AND(Builder!E2="Insurance / Org Tariff",IFERROR(INDEX(Reference!$EZ$2:$EZ$1000, MATCH('Line Item Detail'!F17, Reference!$EX$2:$EX$1000, 0)), "No")="Yes"),"Excluded for Insurance",IF('Line Item Detail'!D17="Grouped Residual",IF((IF(Builder!B4="General",'Line Item Detail'!W17,IF(Builder!B4="Twin",'Line Item Detail'!X17,'Line Item Detail'!Y17)))=0,"Excluded","Included"),"Included"))</f>
        <v>Included</v>
      </c>
      <c r="G35" s="33" t="n">
        <f aca="false">IF('Line Item Detail'!D17="Grouped Residual","",'Line Item Detail'!G17)</f>
        <v>3</v>
      </c>
      <c r="H35" s="33" t="str">
        <f aca="false">Builder!B4</f>
        <v>Single</v>
      </c>
      <c r="I35" s="33" t="n">
        <f aca="false">IF('Line Item Detail'!D17="Grouped Residual",IF((IF(Builder!B4="General",'Line Item Detail'!W17,IF(Builder!B4="Twin",'Line Item Detail'!X17,'Line Item Detail'!Y17)))=0,"",IF(Builder!B4="General",'Line Item Detail'!K17,IF(Builder!B4="Twin",'Line Item Detail'!L17,'Line Item Detail'!M17))),IF(Builder!B4="General",'Line Item Detail'!K17,IF(Builder!B4="Twin",'Line Item Detail'!L17,'Line Item Detail'!M17)))</f>
        <v>38310</v>
      </c>
      <c r="J35" s="33" t="n">
        <f aca="false">IF(Builder!B4="General",'Line Item Detail'!W17,IF(Builder!B4="Twin",'Line Item Detail'!X17,'Line Item Detail'!Y17))</f>
        <v>38310</v>
      </c>
    </row>
    <row r="36" customFormat="false" ht="39.55" hidden="false" customHeight="false" outlineLevel="0" collapsed="false">
      <c r="A36" s="14" t="str">
        <f aca="false">'Line Item Detail'!A18</f>
        <v>Cath Lab Charges</v>
      </c>
      <c r="B36" s="14" t="s">
        <v>88</v>
      </c>
      <c r="C36" s="14" t="str">
        <f aca="false">'Line Item Detail'!C18</f>
        <v>Cath Lab Hours</v>
      </c>
      <c r="D36" s="14" t="str">
        <f aca="false">'Line Item Detail'!D18</f>
        <v>Historical Cath Lab Family</v>
      </c>
      <c r="E36" s="14" t="str">
        <f aca="false">'Line Item Detail'!E18</f>
        <v>Actual billed cath-lab slot-family P25 / P50 / P75 from the selected historical payer basis.</v>
      </c>
      <c r="F36" s="41" t="str">
        <f aca="false">IF(AND(Builder!E2="Insurance / Org Tariff",IFERROR(INDEX(Reference!$EZ$2:$EZ$1000, MATCH('Line Item Detail'!F18, Reference!$EX$2:$EX$1000, 0)), "No")="Yes"),"Excluded for Insurance",IF('Line Item Detail'!D18="Grouped Residual",IF((IF(Builder!B4="General",'Line Item Detail'!W18,IF(Builder!B4="Twin",'Line Item Detail'!X18,'Line Item Detail'!Y18)))=0,"Excluded","Included"),"Included"))</f>
        <v>Included</v>
      </c>
      <c r="G36" s="33" t="n">
        <f aca="false">IF('Line Item Detail'!D18="Grouped Residual","",'Line Item Detail'!G18)</f>
        <v>1</v>
      </c>
      <c r="H36" s="33" t="str">
        <f aca="false">Builder!B4</f>
        <v>Single</v>
      </c>
      <c r="I36" s="33" t="n">
        <f aca="false">IF('Line Item Detail'!D18="Grouped Residual",IF((IF(Builder!B4="General",'Line Item Detail'!W18,IF(Builder!B4="Twin",'Line Item Detail'!X18,'Line Item Detail'!Y18)))=0,"",IF(Builder!B4="General",'Line Item Detail'!K18,IF(Builder!B4="Twin",'Line Item Detail'!L18,'Line Item Detail'!M18))),IF(Builder!B4="General",'Line Item Detail'!K18,IF(Builder!B4="Twin",'Line Item Detail'!L18,'Line Item Detail'!M18)))</f>
        <v>0</v>
      </c>
      <c r="J36" s="33" t="n">
        <f aca="false">IF(Builder!B4="General",'Line Item Detail'!W18,IF(Builder!B4="Twin",'Line Item Detail'!X18,'Line Item Detail'!Y18))</f>
        <v>0</v>
      </c>
    </row>
    <row r="37" customFormat="false" ht="15" hidden="false" customHeight="false" outlineLevel="0" collapsed="false">
      <c r="A37" s="14"/>
      <c r="B37" s="14"/>
      <c r="C37" s="14"/>
      <c r="D37" s="14"/>
      <c r="E37" s="14"/>
      <c r="F37" s="41"/>
      <c r="G37" s="33"/>
      <c r="H37" s="33"/>
      <c r="I37" s="33"/>
      <c r="J37" s="33"/>
    </row>
    <row r="38" customFormat="false" ht="15" hidden="false" customHeight="false" outlineLevel="0" collapsed="false">
      <c r="A38" s="5" t="s">
        <v>90</v>
      </c>
      <c r="B38" s="5"/>
      <c r="C38" s="5"/>
      <c r="D38" s="5"/>
      <c r="E38" s="5"/>
      <c r="F38" s="5"/>
      <c r="G38" s="49"/>
      <c r="H38" s="49"/>
      <c r="I38" s="49"/>
      <c r="J38" s="49"/>
    </row>
    <row r="39" customFormat="false" ht="15" hidden="false" customHeight="false" outlineLevel="0" collapsed="false">
      <c r="A39" s="14" t="str">
        <f aca="false">'Line Item Detail'!A9</f>
        <v>Medical Records</v>
      </c>
      <c r="B39" s="14" t="s">
        <v>90</v>
      </c>
      <c r="C39" s="14" t="str">
        <f aca="false">'Line Item Detail'!C9</f>
        <v>Administrative</v>
      </c>
      <c r="D39" s="14" t="str">
        <f aca="false">'Line Item Detail'!D9</f>
        <v>Logic</v>
      </c>
      <c r="E39" s="14" t="str">
        <f aca="false">'Line Item Detail'!E9</f>
        <v>Fixed 1</v>
      </c>
      <c r="F39" s="41" t="str">
        <f aca="false">IF(AND(Builder!E2="Insurance / Org Tariff",IFERROR(INDEX(Reference!$EZ$2:$EZ$1000, MATCH('Line Item Detail'!F9, Reference!$EX$2:$EX$1000, 0)), "No")="Yes"),"Excluded for Insurance",IF('Line Item Detail'!D9="Grouped Residual",IF((IF(Builder!B4="General",'Line Item Detail'!W9,IF(Builder!B4="Twin",'Line Item Detail'!X9,'Line Item Detail'!Y9)))=0,"Excluded","Included"),"Included"))</f>
        <v>Included</v>
      </c>
      <c r="G39" s="33" t="n">
        <f aca="false">IF('Line Item Detail'!D9="Grouped Residual","",'Line Item Detail'!G9)</f>
        <v>1</v>
      </c>
      <c r="H39" s="33" t="str">
        <f aca="false">Builder!B4</f>
        <v>Single</v>
      </c>
      <c r="I39" s="33" t="n">
        <f aca="false">IF('Line Item Detail'!D9="Grouped Residual",IF((IF(Builder!B4="General",'Line Item Detail'!W9,IF(Builder!B4="Twin",'Line Item Detail'!X9,'Line Item Detail'!Y9)))=0,"",IF(Builder!B4="General",'Line Item Detail'!K9,IF(Builder!B4="Twin",'Line Item Detail'!L9,'Line Item Detail'!M9))),IF(Builder!B4="General",'Line Item Detail'!K9,IF(Builder!B4="Twin",'Line Item Detail'!L9,'Line Item Detail'!M9)))</f>
        <v>1300</v>
      </c>
      <c r="J39" s="33" t="n">
        <f aca="false">IF(Builder!B4="General",'Line Item Detail'!W9,IF(Builder!B4="Twin",'Line Item Detail'!X9,'Line Item Detail'!Y9))</f>
        <v>1300</v>
      </c>
    </row>
    <row r="40" customFormat="false" ht="15" hidden="false" customHeight="false" outlineLevel="0" collapsed="false">
      <c r="A40" s="14" t="str">
        <f aca="false">'Line Item Detail'!A22</f>
        <v>Warmer</v>
      </c>
      <c r="B40" s="14" t="s">
        <v>90</v>
      </c>
      <c r="C40" s="14" t="str">
        <f aca="false">'Line Item Detail'!C22</f>
        <v>Bedside</v>
      </c>
      <c r="D40" s="14" t="str">
        <f aca="false">'Line Item Detail'!D22</f>
        <v>Template</v>
      </c>
      <c r="E40" s="14" t="str">
        <f aca="false">'Line Item Detail'!E22</f>
        <v>Auto-Included</v>
      </c>
      <c r="F40" s="41" t="str">
        <f aca="false">IF(AND(Builder!E2="Insurance / Org Tariff",IFERROR(INDEX(Reference!$EZ$2:$EZ$1000, MATCH('Line Item Detail'!F22, Reference!$EX$2:$EX$1000, 0)), "No")="Yes"),"Excluded for Insurance",IF('Line Item Detail'!D22="Grouped Residual",IF((IF(Builder!B4="General",'Line Item Detail'!W22,IF(Builder!B4="Twin",'Line Item Detail'!X22,'Line Item Detail'!Y22)))=0,"Excluded","Included"),"Included"))</f>
        <v>Included</v>
      </c>
      <c r="G40" s="33" t="n">
        <f aca="false">IF('Line Item Detail'!D22="Grouped Residual","",'Line Item Detail'!G22)</f>
        <v>1</v>
      </c>
      <c r="H40" s="33" t="str">
        <f aca="false">Builder!B4</f>
        <v>Single</v>
      </c>
      <c r="I40" s="33" t="n">
        <f aca="false">IF('Line Item Detail'!D22="Grouped Residual",IF((IF(Builder!B4="General",'Line Item Detail'!W22,IF(Builder!B4="Twin",'Line Item Detail'!X22,'Line Item Detail'!Y22)))=0,"",IF(Builder!B4="General",'Line Item Detail'!K22,IF(Builder!B4="Twin",'Line Item Detail'!L22,'Line Item Detail'!M22))),IF(Builder!B4="General",'Line Item Detail'!K22,IF(Builder!B4="Twin",'Line Item Detail'!L22,'Line Item Detail'!M22)))</f>
        <v>930</v>
      </c>
      <c r="J40" s="33" t="n">
        <f aca="false">IF(Builder!B4="General",'Line Item Detail'!W22,IF(Builder!B4="Twin",'Line Item Detail'!X22,'Line Item Detail'!Y22))</f>
        <v>930</v>
      </c>
    </row>
    <row r="41" customFormat="false" ht="15" hidden="false" customHeight="false" outlineLevel="0" collapsed="false">
      <c r="A41" s="14" t="str">
        <f aca="false">'Line Item Detail'!A24</f>
        <v>Oxygen Per Hour</v>
      </c>
      <c r="B41" s="14" t="s">
        <v>90</v>
      </c>
      <c r="C41" s="14" t="str">
        <f aca="false">'Line Item Detail'!C24</f>
        <v>Bedside</v>
      </c>
      <c r="D41" s="14" t="str">
        <f aca="false">'Line Item Detail'!D24</f>
        <v>Template</v>
      </c>
      <c r="E41" s="14" t="str">
        <f aca="false">'Line Item Detail'!E24</f>
        <v>Auto-Included</v>
      </c>
      <c r="F41" s="41" t="str">
        <f aca="false">IF(AND(Builder!E2="Insurance / Org Tariff",IFERROR(INDEX(Reference!$EZ$2:$EZ$1000, MATCH('Line Item Detail'!F24, Reference!$EX$2:$EX$1000, 0)), "No")="Yes"),"Excluded for Insurance",IF('Line Item Detail'!D24="Grouped Residual",IF((IF(Builder!B4="General",'Line Item Detail'!W24,IF(Builder!B4="Twin",'Line Item Detail'!X24,'Line Item Detail'!Y24)))=0,"Excluded","Included"),"Included"))</f>
        <v>Included</v>
      </c>
      <c r="G41" s="33" t="n">
        <f aca="false">IF('Line Item Detail'!D24="Grouped Residual","",'Line Item Detail'!G24)</f>
        <v>1</v>
      </c>
      <c r="H41" s="33" t="str">
        <f aca="false">Builder!B4</f>
        <v>Single</v>
      </c>
      <c r="I41" s="33" t="n">
        <f aca="false">IF('Line Item Detail'!D24="Grouped Residual",IF((IF(Builder!B4="General",'Line Item Detail'!W24,IF(Builder!B4="Twin",'Line Item Detail'!X24,'Line Item Detail'!Y24)))=0,"",IF(Builder!B4="General",'Line Item Detail'!K24,IF(Builder!B4="Twin",'Line Item Detail'!L24,'Line Item Detail'!M24))),IF(Builder!B4="General",'Line Item Detail'!K24,IF(Builder!B4="Twin",'Line Item Detail'!L24,'Line Item Detail'!M24)))</f>
        <v>350</v>
      </c>
      <c r="J41" s="33" t="n">
        <f aca="false">IF(Builder!B4="General",'Line Item Detail'!W24,IF(Builder!B4="Twin",'Line Item Detail'!X24,'Line Item Detail'!Y24))</f>
        <v>350</v>
      </c>
    </row>
    <row r="42" customFormat="false" ht="15" hidden="false" customHeight="false" outlineLevel="0" collapsed="false">
      <c r="A42" s="14" t="str">
        <f aca="false">'Line Item Detail'!A25</f>
        <v>Diet Consultation</v>
      </c>
      <c r="B42" s="14" t="s">
        <v>90</v>
      </c>
      <c r="C42" s="14" t="str">
        <f aca="false">'Line Item Detail'!C25</f>
        <v>Consultation</v>
      </c>
      <c r="D42" s="14" t="str">
        <f aca="false">'Line Item Detail'!D25</f>
        <v>Template</v>
      </c>
      <c r="E42" s="14" t="str">
        <f aca="false">'Line Item Detail'!E25</f>
        <v>Auto-Included</v>
      </c>
      <c r="F42" s="41" t="str">
        <f aca="false">IF(AND(Builder!E2="Insurance / Org Tariff",IFERROR(INDEX(Reference!$EZ$2:$EZ$1000, MATCH('Line Item Detail'!F25, Reference!$EX$2:$EX$1000, 0)), "No")="Yes"),"Excluded for Insurance",IF('Line Item Detail'!D25="Grouped Residual",IF((IF(Builder!B4="General",'Line Item Detail'!W25,IF(Builder!B4="Twin",'Line Item Detail'!X25,'Line Item Detail'!Y25)))=0,"Excluded","Included"),"Included"))</f>
        <v>Included</v>
      </c>
      <c r="G42" s="33" t="n">
        <f aca="false">IF('Line Item Detail'!D25="Grouped Residual","",'Line Item Detail'!G25)</f>
        <v>1</v>
      </c>
      <c r="H42" s="33" t="str">
        <f aca="false">Builder!B4</f>
        <v>Single</v>
      </c>
      <c r="I42" s="33" t="n">
        <f aca="false">IF('Line Item Detail'!D25="Grouped Residual",IF((IF(Builder!B4="General",'Line Item Detail'!W25,IF(Builder!B4="Twin",'Line Item Detail'!X25,'Line Item Detail'!Y25)))=0,"",IF(Builder!B4="General",'Line Item Detail'!K25,IF(Builder!B4="Twin",'Line Item Detail'!L25,'Line Item Detail'!M25))),IF(Builder!B4="General",'Line Item Detail'!K25,IF(Builder!B4="Twin",'Line Item Detail'!L25,'Line Item Detail'!M25)))</f>
        <v>880</v>
      </c>
      <c r="J42" s="33" t="n">
        <f aca="false">IF(Builder!B4="General",'Line Item Detail'!W25,IF(Builder!B4="Twin",'Line Item Detail'!X25,'Line Item Detail'!Y25))</f>
        <v>880</v>
      </c>
    </row>
    <row r="43" customFormat="false" ht="15" hidden="false" customHeight="false" outlineLevel="0" collapsed="false">
      <c r="A43" s="14" t="str">
        <f aca="false">'Line Item Detail'!A26</f>
        <v>Dressing - Minor</v>
      </c>
      <c r="B43" s="14" t="s">
        <v>90</v>
      </c>
      <c r="C43" s="14" t="str">
        <f aca="false">'Line Item Detail'!C26</f>
        <v>Bedside</v>
      </c>
      <c r="D43" s="14" t="str">
        <f aca="false">'Line Item Detail'!D26</f>
        <v>Template</v>
      </c>
      <c r="E43" s="14" t="str">
        <f aca="false">'Line Item Detail'!E26</f>
        <v>Auto-Included</v>
      </c>
      <c r="F43" s="41" t="str">
        <f aca="false">IF(AND(Builder!E2="Insurance / Org Tariff",IFERROR(INDEX(Reference!$EZ$2:$EZ$1000, MATCH('Line Item Detail'!F26, Reference!$EX$2:$EX$1000, 0)), "No")="Yes"),"Excluded for Insurance",IF('Line Item Detail'!D26="Grouped Residual",IF((IF(Builder!B4="General",'Line Item Detail'!W26,IF(Builder!B4="Twin",'Line Item Detail'!X26,'Line Item Detail'!Y26)))=0,"Excluded","Included"),"Included"))</f>
        <v>Included</v>
      </c>
      <c r="G43" s="33" t="n">
        <f aca="false">IF('Line Item Detail'!D26="Grouped Residual","",'Line Item Detail'!G26)</f>
        <v>1</v>
      </c>
      <c r="H43" s="33" t="str">
        <f aca="false">Builder!B4</f>
        <v>Single</v>
      </c>
      <c r="I43" s="33" t="n">
        <f aca="false">IF('Line Item Detail'!D26="Grouped Residual",IF((IF(Builder!B4="General",'Line Item Detail'!W26,IF(Builder!B4="Twin",'Line Item Detail'!X26,'Line Item Detail'!Y26)))=0,"",IF(Builder!B4="General",'Line Item Detail'!K26,IF(Builder!B4="Twin",'Line Item Detail'!L26,'Line Item Detail'!M26))),IF(Builder!B4="General",'Line Item Detail'!K26,IF(Builder!B4="Twin",'Line Item Detail'!L26,'Line Item Detail'!M26)))</f>
        <v>1170</v>
      </c>
      <c r="J43" s="33" t="n">
        <f aca="false">IF(Builder!B4="General",'Line Item Detail'!W26,IF(Builder!B4="Twin",'Line Item Detail'!X26,'Line Item Detail'!Y26))</f>
        <v>1170</v>
      </c>
    </row>
    <row r="44" customFormat="false" ht="15" hidden="false" customHeight="false" outlineLevel="0" collapsed="false">
      <c r="A44" s="14" t="str">
        <f aca="false">'Line Item Detail'!A27</f>
        <v>Bedside ECG</v>
      </c>
      <c r="B44" s="14" t="s">
        <v>90</v>
      </c>
      <c r="C44" s="14" t="str">
        <f aca="false">'Line Item Detail'!C27</f>
        <v>Bedside</v>
      </c>
      <c r="D44" s="14" t="str">
        <f aca="false">'Line Item Detail'!D27</f>
        <v>Template</v>
      </c>
      <c r="E44" s="14" t="str">
        <f aca="false">'Line Item Detail'!E27</f>
        <v>Auto-Included</v>
      </c>
      <c r="F44" s="41" t="str">
        <f aca="false">IF(AND(Builder!E2="Insurance / Org Tariff",IFERROR(INDEX(Reference!$EZ$2:$EZ$1000, MATCH('Line Item Detail'!F27, Reference!$EX$2:$EX$1000, 0)), "No")="Yes"),"Excluded for Insurance",IF('Line Item Detail'!D27="Grouped Residual",IF((IF(Builder!B4="General",'Line Item Detail'!W27,IF(Builder!B4="Twin",'Line Item Detail'!X27,'Line Item Detail'!Y27)))=0,"Excluded","Included"),"Included"))</f>
        <v>Included</v>
      </c>
      <c r="G44" s="33" t="n">
        <f aca="false">IF('Line Item Detail'!D27="Grouped Residual","",'Line Item Detail'!G27)</f>
        <v>1</v>
      </c>
      <c r="H44" s="33" t="str">
        <f aca="false">Builder!B4</f>
        <v>Single</v>
      </c>
      <c r="I44" s="33" t="n">
        <f aca="false">IF('Line Item Detail'!D27="Grouped Residual",IF((IF(Builder!B4="General",'Line Item Detail'!W27,IF(Builder!B4="Twin",'Line Item Detail'!X27,'Line Item Detail'!Y27)))=0,"",IF(Builder!B4="General",'Line Item Detail'!K27,IF(Builder!B4="Twin",'Line Item Detail'!L27,'Line Item Detail'!M27))),IF(Builder!B4="General",'Line Item Detail'!K27,IF(Builder!B4="Twin",'Line Item Detail'!L27,'Line Item Detail'!M27)))</f>
        <v>570</v>
      </c>
      <c r="J44" s="33" t="n">
        <f aca="false">IF(Builder!B4="General",'Line Item Detail'!W27,IF(Builder!B4="Twin",'Line Item Detail'!X27,'Line Item Detail'!Y27))</f>
        <v>570</v>
      </c>
    </row>
    <row r="45" customFormat="false" ht="15" hidden="false" customHeight="false" outlineLevel="0" collapsed="false">
      <c r="A45" s="14" t="str">
        <f aca="false">'Line Item Detail'!A33</f>
        <v>MLC Charges</v>
      </c>
      <c r="B45" s="14" t="s">
        <v>90</v>
      </c>
      <c r="C45" s="14" t="str">
        <f aca="false">'Line Item Detail'!C33</f>
        <v>Administrative</v>
      </c>
      <c r="D45" s="14" t="str">
        <f aca="false">'Line Item Detail'!D33</f>
        <v>Logic</v>
      </c>
      <c r="E45" s="14" t="str">
        <f aca="false">'Line Item Detail'!E33</f>
        <v>Applied only when MLC input is Yes</v>
      </c>
      <c r="F45" s="41" t="str">
        <f aca="false">IF(AND(Builder!E2="Insurance / Org Tariff",IFERROR(INDEX(Reference!$EZ$2:$EZ$1000, MATCH('Line Item Detail'!F33, Reference!$EX$2:$EX$1000, 0)), "No")="Yes"),"Excluded for Insurance",IF('Line Item Detail'!D33="Grouped Residual",IF((IF(Builder!B4="General",'Line Item Detail'!W33,IF(Builder!B4="Twin",'Line Item Detail'!X33,'Line Item Detail'!Y33)))=0,"Excluded","Included"),"Included"))</f>
        <v>Included</v>
      </c>
      <c r="G45" s="33" t="n">
        <f aca="false">IF('Line Item Detail'!D33="Grouped Residual","",'Line Item Detail'!G33)</f>
        <v>0</v>
      </c>
      <c r="H45" s="33" t="str">
        <f aca="false">Builder!B4</f>
        <v>Single</v>
      </c>
      <c r="I45" s="33" t="n">
        <f aca="false">IF('Line Item Detail'!D33="Grouped Residual",IF((IF(Builder!B4="General",'Line Item Detail'!W33,IF(Builder!B4="Twin",'Line Item Detail'!X33,'Line Item Detail'!Y33)))=0,"",IF(Builder!B4="General",'Line Item Detail'!K33,IF(Builder!B4="Twin",'Line Item Detail'!L33,'Line Item Detail'!M33))),IF(Builder!B4="General",'Line Item Detail'!K33,IF(Builder!B4="Twin",'Line Item Detail'!L33,'Line Item Detail'!M33)))</f>
        <v>1200</v>
      </c>
      <c r="J45" s="33" t="n">
        <f aca="false">IF(Builder!B4="General",'Line Item Detail'!W33,IF(Builder!B4="Twin",'Line Item Detail'!X33,'Line Item Detail'!Y33))</f>
        <v>0</v>
      </c>
    </row>
    <row r="46" customFormat="false" ht="15" hidden="false" customHeight="false" outlineLevel="0" collapsed="false">
      <c r="A46" s="14"/>
      <c r="B46" s="14"/>
      <c r="C46" s="14"/>
      <c r="D46" s="14"/>
      <c r="E46" s="14"/>
      <c r="F46" s="41"/>
      <c r="G46" s="33"/>
      <c r="H46" s="33"/>
      <c r="I46" s="33"/>
      <c r="J46" s="33"/>
    </row>
    <row r="47" customFormat="false" ht="15" hidden="false" customHeight="false" outlineLevel="0" collapsed="false">
      <c r="A47" s="5" t="s">
        <v>96</v>
      </c>
      <c r="B47" s="5"/>
      <c r="C47" s="5"/>
      <c r="D47" s="5"/>
      <c r="E47" s="5"/>
      <c r="F47" s="5"/>
      <c r="G47" s="49"/>
      <c r="H47" s="49"/>
      <c r="I47" s="49"/>
      <c r="J47" s="49"/>
    </row>
    <row r="48" customFormat="false" ht="26.85" hidden="false" customHeight="false" outlineLevel="0" collapsed="false">
      <c r="A48" s="14" t="str">
        <f aca="false">'Line Item Detail'!A34</f>
        <v>Drug Administration Charges</v>
      </c>
      <c r="B48" s="14" t="s">
        <v>96</v>
      </c>
      <c r="C48" s="14" t="str">
        <f aca="false">'Line Item Detail'!C34</f>
        <v>Pharmacy Related</v>
      </c>
      <c r="D48" s="14" t="str">
        <f aca="false">'Line Item Detail'!D34</f>
        <v>Logic</v>
      </c>
      <c r="E48" s="14" t="str">
        <f aca="false">'Line Item Detail'!E34</f>
        <v>12.5% of pharmacy total</v>
      </c>
      <c r="F48" s="41" t="str">
        <f aca="false">IF(AND(Builder!E2="Insurance / Org Tariff",IFERROR(INDEX(Reference!$EZ$2:$EZ$1000, MATCH('Line Item Detail'!F34, Reference!$EX$2:$EX$1000, 0)), "No")="Yes"),"Excluded for Insurance",IF('Line Item Detail'!D34="Grouped Residual",IF((IF(Builder!B4="General",'Line Item Detail'!W34,IF(Builder!B4="Twin",'Line Item Detail'!X34,'Line Item Detail'!Y34)))=0,"Excluded","Included"),"Included"))</f>
        <v>Included</v>
      </c>
      <c r="G48" s="33" t="n">
        <f aca="false">IF('Line Item Detail'!D34="Grouped Residual","",'Line Item Detail'!G34)</f>
        <v>0</v>
      </c>
      <c r="H48" s="33" t="str">
        <f aca="false">Builder!B4</f>
        <v>Single</v>
      </c>
      <c r="I48" s="33" t="n">
        <f aca="false">IF('Line Item Detail'!D34="Grouped Residual",IF((IF(Builder!B4="General",'Line Item Detail'!W34,IF(Builder!B4="Twin",'Line Item Detail'!X34,'Line Item Detail'!Y34)))=0,"",IF(Builder!B4="General",'Line Item Detail'!K34,IF(Builder!B4="Twin",'Line Item Detail'!L34,'Line Item Detail'!M34))),IF(Builder!B4="General",'Line Item Detail'!K34,IF(Builder!B4="Twin",'Line Item Detail'!L34,'Line Item Detail'!M34)))</f>
        <v>0</v>
      </c>
      <c r="J48" s="33" t="n">
        <f aca="false">IF(Builder!B4="General",'Line Item Detail'!W34,IF(Builder!B4="Twin",'Line Item Detail'!X34,'Line Item Detail'!Y34))</f>
        <v>23725.62953125</v>
      </c>
    </row>
    <row r="49" customFormat="false" ht="15" hidden="false" customHeight="false" outlineLevel="0" collapsed="false">
      <c r="A49" s="14"/>
      <c r="B49" s="14"/>
      <c r="C49" s="14"/>
      <c r="D49" s="14"/>
      <c r="E49" s="14"/>
      <c r="F49" s="41"/>
      <c r="G49" s="33"/>
      <c r="H49" s="33"/>
      <c r="I49" s="33"/>
      <c r="J49" s="33"/>
    </row>
    <row r="50" customFormat="false" ht="15" hidden="false" customHeight="false" outlineLevel="0" collapsed="false">
      <c r="A50" s="5" t="s">
        <v>93</v>
      </c>
      <c r="B50" s="5"/>
      <c r="C50" s="5"/>
      <c r="D50" s="5"/>
      <c r="E50" s="5"/>
      <c r="F50" s="5"/>
      <c r="G50" s="49"/>
      <c r="H50" s="49"/>
      <c r="I50" s="49"/>
      <c r="J50" s="49"/>
    </row>
    <row r="51" customFormat="false" ht="26.85" hidden="false" customHeight="false" outlineLevel="0" collapsed="false">
      <c r="A51" s="14" t="str">
        <f aca="false">'Line Item Detail'!A39</f>
        <v>IP Drugs &amp; Medications</v>
      </c>
      <c r="B51" s="14" t="s">
        <v>93</v>
      </c>
      <c r="C51" s="14" t="str">
        <f aca="false">'Line Item Detail'!C39</f>
        <v>IP Pharmacy</v>
      </c>
      <c r="D51" s="14" t="str">
        <f aca="false">'Line Item Detail'!D39</f>
        <v>History</v>
      </c>
      <c r="E51" s="14" t="str">
        <f aca="false">'Line Item Detail'!E39</f>
        <v>Historic per-LOS-day percentile x selected LOS</v>
      </c>
      <c r="F51" s="41" t="str">
        <f aca="false">IF(AND(Builder!E2="Insurance / Org Tariff",IFERROR(INDEX(Reference!$EZ$2:$EZ$1000, MATCH('Line Item Detail'!F39, Reference!$EX$2:$EX$1000, 0)), "No")="Yes"),"Excluded for Insurance",IF('Line Item Detail'!D39="Grouped Residual",IF((IF(Builder!B4="General",'Line Item Detail'!W39,IF(Builder!B4="Twin",'Line Item Detail'!X39,'Line Item Detail'!Y39)))=0,"Excluded","Included"),"Included"))</f>
        <v>Included</v>
      </c>
      <c r="G51" s="33" t="n">
        <f aca="false">IF('Line Item Detail'!D39="Grouped Residual","",'Line Item Detail'!G39)</f>
        <v>3</v>
      </c>
      <c r="H51" s="33" t="str">
        <f aca="false">Builder!B4</f>
        <v>Single</v>
      </c>
      <c r="I51" s="33" t="n">
        <f aca="false">IF('Line Item Detail'!D39="Grouped Residual",IF((IF(Builder!B4="General",'Line Item Detail'!W39,IF(Builder!B4="Twin",'Line Item Detail'!X39,'Line Item Detail'!Y39)))=0,"",IF(Builder!B4="General",'Line Item Detail'!K39,IF(Builder!B4="Twin",'Line Item Detail'!L39,'Line Item Detail'!M39))),IF(Builder!B4="General",'Line Item Detail'!K39,IF(Builder!B4="Twin",'Line Item Detail'!L39,'Line Item Detail'!M39)))</f>
        <v>2855.31875</v>
      </c>
      <c r="J51" s="33" t="n">
        <f aca="false">IF(Builder!B4="General",'Line Item Detail'!W39,IF(Builder!B4="Twin",'Line Item Detail'!X39,'Line Item Detail'!Y39))</f>
        <v>8565.95625</v>
      </c>
    </row>
    <row r="52" customFormat="false" ht="26.85" hidden="false" customHeight="false" outlineLevel="0" collapsed="false">
      <c r="A52" s="14" t="str">
        <f aca="false">'Line Item Detail'!A40</f>
        <v>IP Consumables</v>
      </c>
      <c r="B52" s="14" t="s">
        <v>93</v>
      </c>
      <c r="C52" s="14" t="str">
        <f aca="false">'Line Item Detail'!C40</f>
        <v>IP Pharmacy</v>
      </c>
      <c r="D52" s="14" t="str">
        <f aca="false">'Line Item Detail'!D40</f>
        <v>History</v>
      </c>
      <c r="E52" s="14" t="str">
        <f aca="false">'Line Item Detail'!E40</f>
        <v>Historic per-LOS-day percentile x selected LOS</v>
      </c>
      <c r="F52" s="41" t="str">
        <f aca="false">IF(AND(Builder!E2="Insurance / Org Tariff",IFERROR(INDEX(Reference!$EZ$2:$EZ$1000, MATCH('Line Item Detail'!F40, Reference!$EX$2:$EX$1000, 0)), "No")="Yes"),"Excluded for Insurance",IF('Line Item Detail'!D40="Grouped Residual",IF((IF(Builder!B4="General",'Line Item Detail'!W40,IF(Builder!B4="Twin",'Line Item Detail'!X40,'Line Item Detail'!Y40)))=0,"Excluded","Included"),"Included"))</f>
        <v>Included</v>
      </c>
      <c r="G52" s="33" t="n">
        <f aca="false">IF('Line Item Detail'!D40="Grouped Residual","",'Line Item Detail'!G40)</f>
        <v>3</v>
      </c>
      <c r="H52" s="33" t="str">
        <f aca="false">Builder!B4</f>
        <v>Single</v>
      </c>
      <c r="I52" s="33" t="n">
        <f aca="false">IF('Line Item Detail'!D40="Grouped Residual",IF((IF(Builder!B4="General",'Line Item Detail'!W40,IF(Builder!B4="Twin",'Line Item Detail'!X40,'Line Item Detail'!Y40)))=0,"",IF(Builder!B4="General",'Line Item Detail'!K40,IF(Builder!B4="Twin",'Line Item Detail'!L40,'Line Item Detail'!M40))),IF(Builder!B4="General",'Line Item Detail'!K40,IF(Builder!B4="Twin",'Line Item Detail'!L40,'Line Item Detail'!M40)))</f>
        <v>3428.82833333333</v>
      </c>
      <c r="J52" s="33" t="n">
        <f aca="false">IF(Builder!B4="General",'Line Item Detail'!W40,IF(Builder!B4="Twin",'Line Item Detail'!X40,'Line Item Detail'!Y40))</f>
        <v>10286.485</v>
      </c>
    </row>
    <row r="53" customFormat="false" ht="15" hidden="false" customHeight="false" outlineLevel="0" collapsed="false">
      <c r="A53" s="14" t="str">
        <f aca="false">'Line Item Detail'!A41</f>
        <v>OT Drugs &amp; Medications</v>
      </c>
      <c r="B53" s="14" t="s">
        <v>93</v>
      </c>
      <c r="C53" s="14" t="str">
        <f aca="false">'Line Item Detail'!C41</f>
        <v>OT Pharmacy</v>
      </c>
      <c r="D53" s="14" t="str">
        <f aca="false">'Line Item Detail'!D41</f>
        <v>History</v>
      </c>
      <c r="E53" s="14" t="str">
        <f aca="false">'Line Item Detail'!E41</f>
        <v>Bucket quartiles</v>
      </c>
      <c r="F53" s="41" t="str">
        <f aca="false">IF(AND(Builder!E2="Insurance / Org Tariff",IFERROR(INDEX(Reference!$EZ$2:$EZ$1000, MATCH('Line Item Detail'!F41, Reference!$EX$2:$EX$1000, 0)), "No")="Yes"),"Excluded for Insurance",IF('Line Item Detail'!D41="Grouped Residual",IF((IF(Builder!B4="General",'Line Item Detail'!W41,IF(Builder!B4="Twin",'Line Item Detail'!X41,'Line Item Detail'!Y41)))=0,"Excluded","Included"),"Included"))</f>
        <v>Included</v>
      </c>
      <c r="G53" s="33" t="n">
        <f aca="false">IF('Line Item Detail'!D41="Grouped Residual","",'Line Item Detail'!G41)</f>
        <v>0</v>
      </c>
      <c r="H53" s="33" t="str">
        <f aca="false">Builder!B4</f>
        <v>Single</v>
      </c>
      <c r="I53" s="33" t="n">
        <f aca="false">IF('Line Item Detail'!D41="Grouped Residual",IF((IF(Builder!B4="General",'Line Item Detail'!W41,IF(Builder!B4="Twin",'Line Item Detail'!X41,'Line Item Detail'!Y41)))=0,"",IF(Builder!B4="General",'Line Item Detail'!K41,IF(Builder!B4="Twin",'Line Item Detail'!L41,'Line Item Detail'!M41))),IF(Builder!B4="General",'Line Item Detail'!K41,IF(Builder!B4="Twin",'Line Item Detail'!L41,'Line Item Detail'!M41)))</f>
        <v>0</v>
      </c>
      <c r="J53" s="33" t="n">
        <f aca="false">IF(Builder!B4="General",'Line Item Detail'!W41,IF(Builder!B4="Twin",'Line Item Detail'!X41,'Line Item Detail'!Y41))</f>
        <v>9439.535</v>
      </c>
    </row>
    <row r="54" customFormat="false" ht="15" hidden="false" customHeight="false" outlineLevel="0" collapsed="false">
      <c r="A54" s="14" t="str">
        <f aca="false">'Line Item Detail'!A42</f>
        <v>OT Consumables</v>
      </c>
      <c r="B54" s="14" t="s">
        <v>93</v>
      </c>
      <c r="C54" s="14" t="str">
        <f aca="false">'Line Item Detail'!C42</f>
        <v>OT Pharmacy</v>
      </c>
      <c r="D54" s="14" t="str">
        <f aca="false">'Line Item Detail'!D42</f>
        <v>Advanced</v>
      </c>
      <c r="E54" s="14" t="str">
        <f aca="false">'Line Item Detail'!E42</f>
        <v>OT consumables variance controls</v>
      </c>
      <c r="F54" s="41" t="str">
        <f aca="false">IF(AND(Builder!E2="Insurance / Org Tariff",IFERROR(INDEX(Reference!$EZ$2:$EZ$1000, MATCH('Line Item Detail'!F42, Reference!$EX$2:$EX$1000, 0)), "No")="Yes"),"Excluded for Insurance",IF('Line Item Detail'!D42="Grouped Residual",IF((IF(Builder!B4="General",'Line Item Detail'!W42,IF(Builder!B4="Twin",'Line Item Detail'!X42,'Line Item Detail'!Y42)))=0,"Excluded","Included"),"Included"))</f>
        <v>Included</v>
      </c>
      <c r="G54" s="33" t="n">
        <f aca="false">IF('Line Item Detail'!D42="Grouped Residual","",'Line Item Detail'!G42)</f>
        <v>0</v>
      </c>
      <c r="H54" s="33" t="str">
        <f aca="false">Builder!B4</f>
        <v>Single</v>
      </c>
      <c r="I54" s="33" t="n">
        <f aca="false">IF('Line Item Detail'!D42="Grouped Residual",IF((IF(Builder!B4="General",'Line Item Detail'!W42,IF(Builder!B4="Twin",'Line Item Detail'!X42,'Line Item Detail'!Y42)))=0,"",IF(Builder!B4="General",'Line Item Detail'!K42,IF(Builder!B4="Twin",'Line Item Detail'!L42,'Line Item Detail'!M42))),IF(Builder!B4="General",'Line Item Detail'!K42,IF(Builder!B4="Twin",'Line Item Detail'!L42,'Line Item Detail'!M42)))</f>
        <v>0</v>
      </c>
      <c r="J54" s="33" t="n">
        <f aca="false">IF(Builder!B4="General",'Line Item Detail'!W42,IF(Builder!B4="Twin",'Line Item Detail'!X42,'Line Item Detail'!Y42))</f>
        <v>72382.9</v>
      </c>
    </row>
    <row r="55" customFormat="false" ht="15" hidden="false" customHeight="false" outlineLevel="0" collapsed="false">
      <c r="A55" s="14" t="str">
        <f aca="false">'Line Item Detail'!A43</f>
        <v>Implants</v>
      </c>
      <c r="B55" s="14" t="s">
        <v>93</v>
      </c>
      <c r="C55" s="14" t="str">
        <f aca="false">'Line Item Detail'!C43</f>
        <v>Implants</v>
      </c>
      <c r="D55" s="14" t="str">
        <f aca="false">'Line Item Detail'!D43</f>
        <v>Advanced</v>
      </c>
      <c r="E55" s="14" t="str">
        <f aca="false">'Line Item Detail'!E43</f>
        <v>Implant variance controls</v>
      </c>
      <c r="F55" s="41" t="str">
        <f aca="false">IF(AND(Builder!E2="Insurance / Org Tariff",IFERROR(INDEX(Reference!$EZ$2:$EZ$1000, MATCH('Line Item Detail'!F43, Reference!$EX$2:$EX$1000, 0)), "No")="Yes"),"Excluded for Insurance",IF('Line Item Detail'!D43="Grouped Residual",IF((IF(Builder!B4="General",'Line Item Detail'!W43,IF(Builder!B4="Twin",'Line Item Detail'!X43,'Line Item Detail'!Y43)))=0,"Excluded","Included"),"Included"))</f>
        <v>Included</v>
      </c>
      <c r="G55" s="33" t="n">
        <f aca="false">IF('Line Item Detail'!D43="Grouped Residual","",'Line Item Detail'!G43)</f>
        <v>0</v>
      </c>
      <c r="H55" s="33" t="str">
        <f aca="false">Builder!B4</f>
        <v>Single</v>
      </c>
      <c r="I55" s="33" t="n">
        <f aca="false">IF('Line Item Detail'!D43="Grouped Residual",IF((IF(Builder!B4="General",'Line Item Detail'!W43,IF(Builder!B4="Twin",'Line Item Detail'!X43,'Line Item Detail'!Y43)))=0,"",IF(Builder!B4="General",'Line Item Detail'!K43,IF(Builder!B4="Twin",'Line Item Detail'!L43,'Line Item Detail'!M43))),IF(Builder!B4="General",'Line Item Detail'!K43,IF(Builder!B4="Twin",'Line Item Detail'!L43,'Line Item Detail'!M43)))</f>
        <v>0</v>
      </c>
      <c r="J55" s="33" t="n">
        <f aca="false">IF(Builder!B4="General",'Line Item Detail'!W43,IF(Builder!B4="Twin",'Line Item Detail'!X43,'Line Item Detail'!Y43))</f>
        <v>89130.16</v>
      </c>
    </row>
    <row r="56" customFormat="false" ht="15" hidden="false" customHeight="false" outlineLevel="0" collapsed="false">
      <c r="A56" s="14"/>
      <c r="B56" s="14"/>
      <c r="C56" s="14"/>
      <c r="D56" s="14"/>
      <c r="E56" s="14"/>
      <c r="F56" s="41"/>
      <c r="G56" s="33"/>
      <c r="H56" s="33"/>
      <c r="I56" s="33"/>
      <c r="J56" s="33"/>
    </row>
    <row r="57" customFormat="false" ht="15" hidden="false" customHeight="false" outlineLevel="0" collapsed="false">
      <c r="A57" s="5" t="s">
        <v>99</v>
      </c>
      <c r="B57" s="5"/>
      <c r="C57" s="5"/>
      <c r="D57" s="5"/>
      <c r="E57" s="5"/>
      <c r="F57" s="5"/>
      <c r="G57" s="49"/>
      <c r="H57" s="49"/>
      <c r="I57" s="49"/>
      <c r="J57" s="49"/>
    </row>
    <row r="58" customFormat="false" ht="15" hidden="false" customHeight="false" outlineLevel="0" collapsed="false">
      <c r="A58" s="14" t="str">
        <f aca="false">'Line Item Detail'!A35</f>
        <v>Surgeon</v>
      </c>
      <c r="B58" s="14" t="s">
        <v>99</v>
      </c>
      <c r="C58" s="14" t="str">
        <f aca="false">'Line Item Detail'!C35</f>
        <v>Professional Fees</v>
      </c>
      <c r="D58" s="14" t="str">
        <f aca="false">'Line Item Detail'!D35</f>
        <v>Logic</v>
      </c>
      <c r="E58" s="14" t="str">
        <f aca="false">'Line Item Detail'!E35</f>
        <v>Cash PF % of pre-PF subtotal</v>
      </c>
      <c r="F58" s="41" t="str">
        <f aca="false">IF(AND(Builder!E2="Insurance / Org Tariff",IFERROR(INDEX(Reference!$EZ$2:$EZ$1000, MATCH('Line Item Detail'!F35, Reference!$EX$2:$EX$1000, 0)), "No")="Yes"),"Excluded for Insurance",IF('Line Item Detail'!D35="Grouped Residual",IF((IF(Builder!B4="General",'Line Item Detail'!W35,IF(Builder!B4="Twin",'Line Item Detail'!X35,'Line Item Detail'!Y35)))=0,"Excluded","Included"),"Included"))</f>
        <v>Included</v>
      </c>
      <c r="G58" s="33" t="n">
        <f aca="false">IF('Line Item Detail'!D35="Grouped Residual","",'Line Item Detail'!G35)</f>
        <v>0</v>
      </c>
      <c r="H58" s="33" t="str">
        <f aca="false">Builder!B4</f>
        <v>Single</v>
      </c>
      <c r="I58" s="33" t="n">
        <f aca="false">IF('Line Item Detail'!D35="Grouped Residual",IF((IF(Builder!B4="General",'Line Item Detail'!W35,IF(Builder!B4="Twin",'Line Item Detail'!X35,'Line Item Detail'!Y35)))=0,"",IF(Builder!B4="General",'Line Item Detail'!K35,IF(Builder!B4="Twin",'Line Item Detail'!L35,'Line Item Detail'!M35))),IF(Builder!B4="General",'Line Item Detail'!K35,IF(Builder!B4="Twin",'Line Item Detail'!L35,'Line Item Detail'!M35)))</f>
        <v>0</v>
      </c>
      <c r="J58" s="33" t="n">
        <f aca="false">IF(Builder!B4="General",'Line Item Detail'!W35,IF(Builder!B4="Twin",'Line Item Detail'!X35,'Line Item Detail'!Y35))</f>
        <v>109402.666445313</v>
      </c>
    </row>
    <row r="59" customFormat="false" ht="15" hidden="false" customHeight="false" outlineLevel="0" collapsed="false">
      <c r="A59" s="14" t="str">
        <f aca="false">'Line Item Detail'!A36</f>
        <v>Assistant Surgeon</v>
      </c>
      <c r="B59" s="14" t="s">
        <v>99</v>
      </c>
      <c r="C59" s="14" t="str">
        <f aca="false">'Line Item Detail'!C36</f>
        <v>Professional Fees</v>
      </c>
      <c r="D59" s="14" t="str">
        <f aca="false">'Line Item Detail'!D36</f>
        <v>Logic</v>
      </c>
      <c r="E59" s="14" t="str">
        <f aca="false">'Line Item Detail'!E36</f>
        <v>Cash PF % of surgeon fee</v>
      </c>
      <c r="F59" s="41" t="str">
        <f aca="false">IF(AND(Builder!E2="Insurance / Org Tariff",IFERROR(INDEX(Reference!$EZ$2:$EZ$1000, MATCH('Line Item Detail'!F36, Reference!$EX$2:$EX$1000, 0)), "No")="Yes"),"Excluded for Insurance",IF('Line Item Detail'!D36="Grouped Residual",IF((IF(Builder!B4="General",'Line Item Detail'!W36,IF(Builder!B4="Twin",'Line Item Detail'!X36,'Line Item Detail'!Y36)))=0,"Excluded","Included"),"Included"))</f>
        <v>Included</v>
      </c>
      <c r="G59" s="33" t="n">
        <f aca="false">IF('Line Item Detail'!D36="Grouped Residual","",'Line Item Detail'!G36)</f>
        <v>0</v>
      </c>
      <c r="H59" s="33" t="str">
        <f aca="false">Builder!B4</f>
        <v>Single</v>
      </c>
      <c r="I59" s="33" t="n">
        <f aca="false">IF('Line Item Detail'!D36="Grouped Residual",IF((IF(Builder!B4="General",'Line Item Detail'!W36,IF(Builder!B4="Twin",'Line Item Detail'!X36,'Line Item Detail'!Y36)))=0,"",IF(Builder!B4="General",'Line Item Detail'!K36,IF(Builder!B4="Twin",'Line Item Detail'!L36,'Line Item Detail'!M36))),IF(Builder!B4="General",'Line Item Detail'!K36,IF(Builder!B4="Twin",'Line Item Detail'!L36,'Line Item Detail'!M36)))</f>
        <v>0</v>
      </c>
      <c r="J59" s="33" t="n">
        <f aca="false">IF(Builder!B4="General",'Line Item Detail'!W36,IF(Builder!B4="Twin",'Line Item Detail'!X36,'Line Item Detail'!Y36))</f>
        <v>16410.3999667969</v>
      </c>
    </row>
    <row r="60" customFormat="false" ht="15" hidden="false" customHeight="false" outlineLevel="0" collapsed="false">
      <c r="A60" s="14" t="str">
        <f aca="false">'Line Item Detail'!A37</f>
        <v>Anesthetist</v>
      </c>
      <c r="B60" s="14" t="s">
        <v>99</v>
      </c>
      <c r="C60" s="14" t="str">
        <f aca="false">'Line Item Detail'!C37</f>
        <v>Professional Fees</v>
      </c>
      <c r="D60" s="14" t="str">
        <f aca="false">'Line Item Detail'!D37</f>
        <v>Logic</v>
      </c>
      <c r="E60" s="14" t="str">
        <f aca="false">'Line Item Detail'!E37</f>
        <v>Cash PF % of surgeon fee</v>
      </c>
      <c r="F60" s="41" t="str">
        <f aca="false">IF(AND(Builder!E2="Insurance / Org Tariff",IFERROR(INDEX(Reference!$EZ$2:$EZ$1000, MATCH('Line Item Detail'!F37, Reference!$EX$2:$EX$1000, 0)), "No")="Yes"),"Excluded for Insurance",IF('Line Item Detail'!D37="Grouped Residual",IF((IF(Builder!B4="General",'Line Item Detail'!W37,IF(Builder!B4="Twin",'Line Item Detail'!X37,'Line Item Detail'!Y37)))=0,"Excluded","Included"),"Included"))</f>
        <v>Included</v>
      </c>
      <c r="G60" s="33" t="n">
        <f aca="false">IF('Line Item Detail'!D37="Grouped Residual","",'Line Item Detail'!G37)</f>
        <v>0</v>
      </c>
      <c r="H60" s="33" t="str">
        <f aca="false">Builder!B4</f>
        <v>Single</v>
      </c>
      <c r="I60" s="33" t="n">
        <f aca="false">IF('Line Item Detail'!D37="Grouped Residual",IF((IF(Builder!B4="General",'Line Item Detail'!W37,IF(Builder!B4="Twin",'Line Item Detail'!X37,'Line Item Detail'!Y37)))=0,"",IF(Builder!B4="General",'Line Item Detail'!K37,IF(Builder!B4="Twin",'Line Item Detail'!L37,'Line Item Detail'!M37))),IF(Builder!B4="General",'Line Item Detail'!K37,IF(Builder!B4="Twin",'Line Item Detail'!L37,'Line Item Detail'!M37)))</f>
        <v>0</v>
      </c>
      <c r="J60" s="33" t="n">
        <f aca="false">IF(Builder!B4="General",'Line Item Detail'!W37,IF(Builder!B4="Twin",'Line Item Detail'!X37,'Line Item Detail'!Y37))</f>
        <v>27350.6666113281</v>
      </c>
    </row>
    <row r="61" customFormat="false" ht="15" hidden="false" customHeight="false" outlineLevel="0" collapsed="false">
      <c r="A61" s="14" t="str">
        <f aca="false">'Line Item Detail'!A38</f>
        <v>Assistant Anesthetist</v>
      </c>
      <c r="B61" s="14" t="s">
        <v>99</v>
      </c>
      <c r="C61" s="14" t="str">
        <f aca="false">'Line Item Detail'!C38</f>
        <v>Professional Fees</v>
      </c>
      <c r="D61" s="14" t="str">
        <f aca="false">'Line Item Detail'!D38</f>
        <v>Logic</v>
      </c>
      <c r="E61" s="14" t="str">
        <f aca="false">'Line Item Detail'!E38</f>
        <v>Cash PF % of anesthetist fee</v>
      </c>
      <c r="F61" s="41" t="str">
        <f aca="false">IF(AND(Builder!E2="Insurance / Org Tariff",IFERROR(INDEX(Reference!$EZ$2:$EZ$1000, MATCH('Line Item Detail'!F38, Reference!$EX$2:$EX$1000, 0)), "No")="Yes"),"Excluded for Insurance",IF('Line Item Detail'!D38="Grouped Residual",IF((IF(Builder!B4="General",'Line Item Detail'!W38,IF(Builder!B4="Twin",'Line Item Detail'!X38,'Line Item Detail'!Y38)))=0,"Excluded","Included"),"Included"))</f>
        <v>Included</v>
      </c>
      <c r="G61" s="33" t="n">
        <f aca="false">IF('Line Item Detail'!D38="Grouped Residual","",'Line Item Detail'!G38)</f>
        <v>0</v>
      </c>
      <c r="H61" s="33" t="str">
        <f aca="false">Builder!B4</f>
        <v>Single</v>
      </c>
      <c r="I61" s="33" t="n">
        <f aca="false">IF('Line Item Detail'!D38="Grouped Residual",IF((IF(Builder!B4="General",'Line Item Detail'!W38,IF(Builder!B4="Twin",'Line Item Detail'!X38,'Line Item Detail'!Y38)))=0,"",IF(Builder!B4="General",'Line Item Detail'!K38,IF(Builder!B4="Twin",'Line Item Detail'!L38,'Line Item Detail'!M38))),IF(Builder!B4="General",'Line Item Detail'!K38,IF(Builder!B4="Twin",'Line Item Detail'!L38,'Line Item Detail'!M38)))</f>
        <v>0</v>
      </c>
      <c r="J61" s="33" t="n">
        <f aca="false">IF(Builder!B4="General",'Line Item Detail'!W38,IF(Builder!B4="Twin",'Line Item Detail'!X38,'Line Item Detail'!Y38))</f>
        <v>6837.66665283203</v>
      </c>
    </row>
    <row r="62" customFormat="false" ht="15" hidden="false" customHeight="false" outlineLevel="0" collapsed="false">
      <c r="A62" s="14"/>
      <c r="B62" s="14"/>
      <c r="C62" s="14"/>
      <c r="D62" s="14"/>
      <c r="E62" s="14"/>
      <c r="F62" s="41"/>
      <c r="G62" s="33"/>
      <c r="H62" s="33"/>
      <c r="I62" s="33"/>
      <c r="J62" s="33"/>
    </row>
    <row r="63" customFormat="false" ht="15" hidden="false" customHeight="false" outlineLevel="0" collapsed="false">
      <c r="A63" s="5" t="s">
        <v>102</v>
      </c>
      <c r="B63" s="5"/>
      <c r="C63" s="5"/>
      <c r="D63" s="5"/>
      <c r="E63" s="5"/>
      <c r="F63" s="5"/>
      <c r="G63" s="49"/>
      <c r="H63" s="49"/>
      <c r="I63" s="49"/>
      <c r="J63" s="49"/>
    </row>
    <row r="64" customFormat="false" ht="15" hidden="false" customHeight="false" outlineLevel="0" collapsed="false">
      <c r="A64" s="14" t="str">
        <f aca="false">'Line Item Detail'!A44</f>
        <v>FIBRINOGEN</v>
      </c>
      <c r="B64" s="14" t="s">
        <v>102</v>
      </c>
      <c r="C64" s="14" t="str">
        <f aca="false">'Line Item Detail'!C44</f>
        <v>Coagulation Tests</v>
      </c>
      <c r="D64" s="14" t="str">
        <f aca="false">'Line Item Detail'!D44</f>
        <v>Advanced</v>
      </c>
      <c r="E64" s="14" t="str">
        <f aca="false">'Line Item Detail'!E44</f>
        <v>Include / Exclude selection</v>
      </c>
      <c r="F64" s="41" t="str">
        <f aca="false">IF(AND(Builder!E2="Insurance / Org Tariff",IFERROR(INDEX(Reference!$EZ$2:$EZ$1000, MATCH('Line Item Detail'!F44, Reference!$EX$2:$EX$1000, 0)), "No")="Yes"),"Excluded for Insurance",IF((IF(Builder!B4="General",'Line Item Detail'!W44,IF(Builder!B4="Twin",'Line Item Detail'!X44,'Line Item Detail'!Y44)))=0,"Excluded","Included"))</f>
        <v>Excluded</v>
      </c>
      <c r="G64" s="33" t="str">
        <f aca="false">IF((IF(Builder!B4="General",'Line Item Detail'!W44,IF(Builder!B4="Twin",'Line Item Detail'!X44,'Line Item Detail'!Y44)))=0,"",'Line Item Detail'!G44)</f>
        <v/>
      </c>
      <c r="H64" s="33" t="str">
        <f aca="false">Builder!B4</f>
        <v>Single</v>
      </c>
      <c r="I64" s="33" t="str">
        <f aca="false">IF((IF(Builder!B4="General",'Line Item Detail'!W44,IF(Builder!B4="Twin",'Line Item Detail'!X44,'Line Item Detail'!Y44)))=0,"",IF(Builder!B4="General",'Line Item Detail'!K44,IF(Builder!B4="Twin",'Line Item Detail'!L44,'Line Item Detail'!M44)))</f>
        <v/>
      </c>
      <c r="J64" s="33" t="n">
        <f aca="false">IF(Builder!B4="General",'Line Item Detail'!W44,IF(Builder!B4="Twin",'Line Item Detail'!X44,'Line Item Detail'!Y44))</f>
        <v>0</v>
      </c>
    </row>
    <row r="65" customFormat="false" ht="15" hidden="false" customHeight="false" outlineLevel="0" collapsed="false">
      <c r="A65" s="14" t="str">
        <f aca="false">'Line Item Detail'!A45</f>
        <v>CORTISOL</v>
      </c>
      <c r="B65" s="14" t="s">
        <v>102</v>
      </c>
      <c r="C65" s="14" t="str">
        <f aca="false">'Line Item Detail'!C45</f>
        <v>Hormone Tests</v>
      </c>
      <c r="D65" s="14" t="str">
        <f aca="false">'Line Item Detail'!D45</f>
        <v>Advanced</v>
      </c>
      <c r="E65" s="14" t="str">
        <f aca="false">'Line Item Detail'!E45</f>
        <v>Include / Exclude selection</v>
      </c>
      <c r="F65" s="41" t="str">
        <f aca="false">IF(AND(Builder!E2="Insurance / Org Tariff",IFERROR(INDEX(Reference!$EZ$2:$EZ$1000, MATCH('Line Item Detail'!F45, Reference!$EX$2:$EX$1000, 0)), "No")="Yes"),"Excluded for Insurance",IF((IF(Builder!B4="General",'Line Item Detail'!W45,IF(Builder!B4="Twin",'Line Item Detail'!X45,'Line Item Detail'!Y45)))=0,"Excluded","Included"))</f>
        <v>Excluded</v>
      </c>
      <c r="G65" s="33" t="str">
        <f aca="false">IF((IF(Builder!B4="General",'Line Item Detail'!W45,IF(Builder!B4="Twin",'Line Item Detail'!X45,'Line Item Detail'!Y45)))=0,"",'Line Item Detail'!G45)</f>
        <v/>
      </c>
      <c r="H65" s="33" t="str">
        <f aca="false">Builder!B4</f>
        <v>Single</v>
      </c>
      <c r="I65" s="33" t="str">
        <f aca="false">IF((IF(Builder!B4="General",'Line Item Detail'!W45,IF(Builder!B4="Twin",'Line Item Detail'!X45,'Line Item Detail'!Y45)))=0,"",IF(Builder!B4="General",'Line Item Detail'!K45,IF(Builder!B4="Twin",'Line Item Detail'!L45,'Line Item Detail'!M45)))</f>
        <v/>
      </c>
      <c r="J65" s="33" t="n">
        <f aca="false">IF(Builder!B4="General",'Line Item Detail'!W45,IF(Builder!B4="Twin",'Line Item Detail'!X45,'Line Item Detail'!Y45))</f>
        <v>0</v>
      </c>
    </row>
    <row r="66" customFormat="false" ht="15" hidden="false" customHeight="false" outlineLevel="0" collapsed="false">
      <c r="A66" s="14" t="str">
        <f aca="false">'Line Item Detail'!A46</f>
        <v>GRBS</v>
      </c>
      <c r="B66" s="14" t="s">
        <v>102</v>
      </c>
      <c r="C66" s="14" t="str">
        <f aca="false">'Line Item Detail'!C46</f>
        <v>GRBS Monitoring</v>
      </c>
      <c r="D66" s="14" t="str">
        <f aca="false">'Line Item Detail'!D46</f>
        <v>Advanced</v>
      </c>
      <c r="E66" s="14" t="str">
        <f aca="false">'Line Item Detail'!E46</f>
        <v>Include / Exclude selection</v>
      </c>
      <c r="F66" s="41" t="str">
        <f aca="false">IF(AND(Builder!E2="Insurance / Org Tariff",IFERROR(INDEX(Reference!$EZ$2:$EZ$1000, MATCH('Line Item Detail'!F46, Reference!$EX$2:$EX$1000, 0)), "No")="Yes"),"Excluded for Insurance",IF((IF(Builder!B4="General",'Line Item Detail'!W46,IF(Builder!B4="Twin",'Line Item Detail'!X46,'Line Item Detail'!Y46)))=0,"Excluded","Included"))</f>
        <v>Excluded</v>
      </c>
      <c r="G66" s="33" t="str">
        <f aca="false">IF((IF(Builder!B4="General",'Line Item Detail'!W46,IF(Builder!B4="Twin",'Line Item Detail'!X46,'Line Item Detail'!Y46)))=0,"",'Line Item Detail'!G46)</f>
        <v/>
      </c>
      <c r="H66" s="33" t="str">
        <f aca="false">Builder!B4</f>
        <v>Single</v>
      </c>
      <c r="I66" s="33" t="str">
        <f aca="false">IF((IF(Builder!B4="General",'Line Item Detail'!W46,IF(Builder!B4="Twin",'Line Item Detail'!X46,'Line Item Detail'!Y46)))=0,"",IF(Builder!B4="General",'Line Item Detail'!K46,IF(Builder!B4="Twin",'Line Item Detail'!L46,'Line Item Detail'!M46)))</f>
        <v/>
      </c>
      <c r="J66" s="33" t="n">
        <f aca="false">IF(Builder!B4="General",'Line Item Detail'!W46,IF(Builder!B4="Twin",'Line Item Detail'!X46,'Line Item Detail'!Y46))</f>
        <v>0</v>
      </c>
    </row>
    <row r="67" customFormat="false" ht="26.85" hidden="false" customHeight="false" outlineLevel="0" collapsed="false">
      <c r="A67" s="14" t="str">
        <f aca="false">'Line Item Detail'!A47</f>
        <v>CRP</v>
      </c>
      <c r="B67" s="14" t="s">
        <v>102</v>
      </c>
      <c r="C67" s="14" t="str">
        <f aca="false">'Line Item Detail'!C47</f>
        <v>Inflammatory Marker Tests</v>
      </c>
      <c r="D67" s="14" t="str">
        <f aca="false">'Line Item Detail'!D47</f>
        <v>Advanced</v>
      </c>
      <c r="E67" s="14" t="str">
        <f aca="false">'Line Item Detail'!E47</f>
        <v>Include / Exclude selection</v>
      </c>
      <c r="F67" s="41" t="str">
        <f aca="false">IF(AND(Builder!E2="Insurance / Org Tariff",IFERROR(INDEX(Reference!$EZ$2:$EZ$1000, MATCH('Line Item Detail'!F47, Reference!$EX$2:$EX$1000, 0)), "No")="Yes"),"Excluded for Insurance",IF((IF(Builder!B4="General",'Line Item Detail'!W47,IF(Builder!B4="Twin",'Line Item Detail'!X47,'Line Item Detail'!Y47)))=0,"Excluded","Included"))</f>
        <v>Excluded</v>
      </c>
      <c r="G67" s="33" t="str">
        <f aca="false">IF((IF(Builder!B4="General",'Line Item Detail'!W47,IF(Builder!B4="Twin",'Line Item Detail'!X47,'Line Item Detail'!Y47)))=0,"",'Line Item Detail'!G47)</f>
        <v/>
      </c>
      <c r="H67" s="33" t="str">
        <f aca="false">Builder!B4</f>
        <v>Single</v>
      </c>
      <c r="I67" s="33" t="str">
        <f aca="false">IF((IF(Builder!B4="General",'Line Item Detail'!W47,IF(Builder!B4="Twin",'Line Item Detail'!X47,'Line Item Detail'!Y47)))=0,"",IF(Builder!B4="General",'Line Item Detail'!K47,IF(Builder!B4="Twin",'Line Item Detail'!L47,'Line Item Detail'!M47)))</f>
        <v/>
      </c>
      <c r="J67" s="33" t="n">
        <f aca="false">IF(Builder!B4="General",'Line Item Detail'!W47,IF(Builder!B4="Twin",'Line Item Detail'!X47,'Line Item Detail'!Y47))</f>
        <v>0</v>
      </c>
    </row>
    <row r="68" customFormat="false" ht="26.85" hidden="false" customHeight="false" outlineLevel="0" collapsed="false">
      <c r="A68" s="14" t="str">
        <f aca="false">'Line Item Detail'!A48</f>
        <v>PACKED RED BLOOD CELLS</v>
      </c>
      <c r="B68" s="14" t="s">
        <v>102</v>
      </c>
      <c r="C68" s="14" t="str">
        <f aca="false">'Line Item Detail'!C48</f>
        <v>Blood Bank Services</v>
      </c>
      <c r="D68" s="14" t="str">
        <f aca="false">'Line Item Detail'!D48</f>
        <v>Advanced</v>
      </c>
      <c r="E68" s="14" t="str">
        <f aca="false">'Line Item Detail'!E48</f>
        <v>Include / Exclude selection</v>
      </c>
      <c r="F68" s="41" t="str">
        <f aca="false">IF(AND(Builder!E2="Insurance / Org Tariff",IFERROR(INDEX(Reference!$EZ$2:$EZ$1000, MATCH('Line Item Detail'!F48, Reference!$EX$2:$EX$1000, 0)), "No")="Yes"),"Excluded for Insurance",IF((IF(Builder!B4="General",'Line Item Detail'!W48,IF(Builder!B4="Twin",'Line Item Detail'!X48,'Line Item Detail'!Y48)))=0,"Excluded","Included"))</f>
        <v>Excluded</v>
      </c>
      <c r="G68" s="33" t="str">
        <f aca="false">IF((IF(Builder!B4="General",'Line Item Detail'!W48,IF(Builder!B4="Twin",'Line Item Detail'!X48,'Line Item Detail'!Y48)))=0,"",'Line Item Detail'!G48)</f>
        <v/>
      </c>
      <c r="H68" s="33" t="str">
        <f aca="false">Builder!B4</f>
        <v>Single</v>
      </c>
      <c r="I68" s="33" t="str">
        <f aca="false">IF((IF(Builder!B4="General",'Line Item Detail'!W48,IF(Builder!B4="Twin",'Line Item Detail'!X48,'Line Item Detail'!Y48)))=0,"",IF(Builder!B4="General",'Line Item Detail'!K48,IF(Builder!B4="Twin",'Line Item Detail'!L48,'Line Item Detail'!M48)))</f>
        <v/>
      </c>
      <c r="J68" s="33" t="n">
        <f aca="false">IF(Builder!B4="General",'Line Item Detail'!W48,IF(Builder!B4="Twin",'Line Item Detail'!X48,'Line Item Detail'!Y48))</f>
        <v>0</v>
      </c>
    </row>
    <row r="69" customFormat="false" ht="26.85" hidden="false" customHeight="false" outlineLevel="0" collapsed="false">
      <c r="A69" s="14" t="str">
        <f aca="false">'Line Item Detail'!A49</f>
        <v>OXYGEN PER DAY</v>
      </c>
      <c r="B69" s="14" t="s">
        <v>102</v>
      </c>
      <c r="C69" s="14" t="str">
        <f aca="false">'Line Item Detail'!C49</f>
        <v>Oxygen / HFNT Charges</v>
      </c>
      <c r="D69" s="14" t="str">
        <f aca="false">'Line Item Detail'!D49</f>
        <v>Advanced</v>
      </c>
      <c r="E69" s="14" t="str">
        <f aca="false">'Line Item Detail'!E49</f>
        <v>Include / Exclude selection</v>
      </c>
      <c r="F69" s="41" t="str">
        <f aca="false">IF(AND(Builder!E2="Insurance / Org Tariff",IFERROR(INDEX(Reference!$EZ$2:$EZ$1000, MATCH('Line Item Detail'!F49, Reference!$EX$2:$EX$1000, 0)), "No")="Yes"),"Excluded for Insurance",IF((IF(Builder!B4="General",'Line Item Detail'!W49,IF(Builder!B4="Twin",'Line Item Detail'!X49,'Line Item Detail'!Y49)))=0,"Excluded","Included"))</f>
        <v>Excluded</v>
      </c>
      <c r="G69" s="33" t="str">
        <f aca="false">IF((IF(Builder!B4="General",'Line Item Detail'!W49,IF(Builder!B4="Twin",'Line Item Detail'!X49,'Line Item Detail'!Y49)))=0,"",'Line Item Detail'!G49)</f>
        <v/>
      </c>
      <c r="H69" s="33" t="str">
        <f aca="false">Builder!B4</f>
        <v>Single</v>
      </c>
      <c r="I69" s="33" t="str">
        <f aca="false">IF((IF(Builder!B4="General",'Line Item Detail'!W49,IF(Builder!B4="Twin",'Line Item Detail'!X49,'Line Item Detail'!Y49)))=0,"",IF(Builder!B4="General",'Line Item Detail'!K49,IF(Builder!B4="Twin",'Line Item Detail'!L49,'Line Item Detail'!M49)))</f>
        <v/>
      </c>
      <c r="J69" s="33" t="n">
        <f aca="false">IF(Builder!B4="General",'Line Item Detail'!W49,IF(Builder!B4="Twin",'Line Item Detail'!X49,'Line Item Detail'!Y49))</f>
        <v>0</v>
      </c>
    </row>
    <row r="70" customFormat="false" ht="26.85" hidden="false" customHeight="false" outlineLevel="0" collapsed="false">
      <c r="A70" s="14" t="str">
        <f aca="false">'Line Item Detail'!A50</f>
        <v>EVMS - ENHANCED VITALS MONITORING SYSTEM (DOZEE)</v>
      </c>
      <c r="B70" s="14" t="s">
        <v>102</v>
      </c>
      <c r="C70" s="14" t="str">
        <f aca="false">'Line Item Detail'!C50</f>
        <v>Patient Monitoring</v>
      </c>
      <c r="D70" s="14" t="str">
        <f aca="false">'Line Item Detail'!D50</f>
        <v>Advanced</v>
      </c>
      <c r="E70" s="14" t="str">
        <f aca="false">'Line Item Detail'!E50</f>
        <v>Include / Exclude selection</v>
      </c>
      <c r="F70" s="41" t="str">
        <f aca="false">IF(AND(Builder!E2="Insurance / Org Tariff",IFERROR(INDEX(Reference!$EZ$2:$EZ$1000, MATCH('Line Item Detail'!F50, Reference!$EX$2:$EX$1000, 0)), "No")="Yes"),"Excluded for Insurance",IF((IF(Builder!B4="General",'Line Item Detail'!W50,IF(Builder!B4="Twin",'Line Item Detail'!X50,'Line Item Detail'!Y50)))=0,"Excluded","Included"))</f>
        <v>Excluded</v>
      </c>
      <c r="G70" s="33" t="str">
        <f aca="false">IF((IF(Builder!B4="General",'Line Item Detail'!W50,IF(Builder!B4="Twin",'Line Item Detail'!X50,'Line Item Detail'!Y50)))=0,"",'Line Item Detail'!G50)</f>
        <v/>
      </c>
      <c r="H70" s="33" t="str">
        <f aca="false">Builder!B4</f>
        <v>Single</v>
      </c>
      <c r="I70" s="33" t="str">
        <f aca="false">IF((IF(Builder!B4="General",'Line Item Detail'!W50,IF(Builder!B4="Twin",'Line Item Detail'!X50,'Line Item Detail'!Y50)))=0,"",IF(Builder!B4="General",'Line Item Detail'!K50,IF(Builder!B4="Twin",'Line Item Detail'!L50,'Line Item Detail'!M50)))</f>
        <v/>
      </c>
      <c r="J70" s="33" t="n">
        <f aca="false">IF(Builder!B4="General",'Line Item Detail'!W50,IF(Builder!B4="Twin",'Line Item Detail'!X50,'Line Item Detail'!Y50))</f>
        <v>0</v>
      </c>
    </row>
    <row r="71" customFormat="false" ht="26.85" hidden="false" customHeight="false" outlineLevel="0" collapsed="false">
      <c r="A71" s="14" t="str">
        <f aca="false">'Line Item Detail'!A51</f>
        <v>NEBULIZATION PER DAY</v>
      </c>
      <c r="B71" s="14" t="s">
        <v>102</v>
      </c>
      <c r="C71" s="14" t="str">
        <f aca="false">'Line Item Detail'!C51</f>
        <v>Nebulization Charges</v>
      </c>
      <c r="D71" s="14" t="str">
        <f aca="false">'Line Item Detail'!D51</f>
        <v>Advanced</v>
      </c>
      <c r="E71" s="14" t="str">
        <f aca="false">'Line Item Detail'!E51</f>
        <v>Include / Exclude selection</v>
      </c>
      <c r="F71" s="41" t="str">
        <f aca="false">IF(AND(Builder!E2="Insurance / Org Tariff",IFERROR(INDEX(Reference!$EZ$2:$EZ$1000, MATCH('Line Item Detail'!F51, Reference!$EX$2:$EX$1000, 0)), "No")="Yes"),"Excluded for Insurance",IF((IF(Builder!B4="General",'Line Item Detail'!W51,IF(Builder!B4="Twin",'Line Item Detail'!X51,'Line Item Detail'!Y51)))=0,"Excluded","Included"))</f>
        <v>Excluded</v>
      </c>
      <c r="G71" s="33" t="str">
        <f aca="false">IF((IF(Builder!B4="General",'Line Item Detail'!W51,IF(Builder!B4="Twin",'Line Item Detail'!X51,'Line Item Detail'!Y51)))=0,"",'Line Item Detail'!G51)</f>
        <v/>
      </c>
      <c r="H71" s="33" t="str">
        <f aca="false">Builder!B4</f>
        <v>Single</v>
      </c>
      <c r="I71" s="33" t="str">
        <f aca="false">IF((IF(Builder!B4="General",'Line Item Detail'!W51,IF(Builder!B4="Twin",'Line Item Detail'!X51,'Line Item Detail'!Y51)))=0,"",IF(Builder!B4="General",'Line Item Detail'!K51,IF(Builder!B4="Twin",'Line Item Detail'!L51,'Line Item Detail'!M51)))</f>
        <v/>
      </c>
      <c r="J71" s="33" t="n">
        <f aca="false">IF(Builder!B4="General",'Line Item Detail'!W51,IF(Builder!B4="Twin",'Line Item Detail'!X51,'Line Item Detail'!Y51))</f>
        <v>0</v>
      </c>
    </row>
    <row r="72" customFormat="false" ht="26.85" hidden="false" customHeight="false" outlineLevel="0" collapsed="false">
      <c r="A72" s="14" t="str">
        <f aca="false">'Line Item Detail'!A52</f>
        <v>ESR</v>
      </c>
      <c r="B72" s="14" t="s">
        <v>102</v>
      </c>
      <c r="C72" s="14" t="str">
        <f aca="false">'Line Item Detail'!C52</f>
        <v>Haematology Counts</v>
      </c>
      <c r="D72" s="14" t="str">
        <f aca="false">'Line Item Detail'!D52</f>
        <v>Advanced</v>
      </c>
      <c r="E72" s="14" t="str">
        <f aca="false">'Line Item Detail'!E52</f>
        <v>Include / Exclude selection</v>
      </c>
      <c r="F72" s="41" t="str">
        <f aca="false">IF(AND(Builder!E2="Insurance / Org Tariff",IFERROR(INDEX(Reference!$EZ$2:$EZ$1000, MATCH('Line Item Detail'!F52, Reference!$EX$2:$EX$1000, 0)), "No")="Yes"),"Excluded for Insurance",IF((IF(Builder!B4="General",'Line Item Detail'!W52,IF(Builder!B4="Twin",'Line Item Detail'!X52,'Line Item Detail'!Y52)))=0,"Excluded","Included"))</f>
        <v>Excluded</v>
      </c>
      <c r="G72" s="33" t="str">
        <f aca="false">IF((IF(Builder!B4="General",'Line Item Detail'!W52,IF(Builder!B4="Twin",'Line Item Detail'!X52,'Line Item Detail'!Y52)))=0,"",'Line Item Detail'!G52)</f>
        <v/>
      </c>
      <c r="H72" s="33" t="str">
        <f aca="false">Builder!B4</f>
        <v>Single</v>
      </c>
      <c r="I72" s="33" t="str">
        <f aca="false">IF((IF(Builder!B4="General",'Line Item Detail'!W52,IF(Builder!B4="Twin",'Line Item Detail'!X52,'Line Item Detail'!Y52)))=0,"",IF(Builder!B4="General",'Line Item Detail'!K52,IF(Builder!B4="Twin",'Line Item Detail'!L52,'Line Item Detail'!M52)))</f>
        <v/>
      </c>
      <c r="J72" s="33" t="n">
        <f aca="false">IF(Builder!B4="General",'Line Item Detail'!W52,IF(Builder!B4="Twin",'Line Item Detail'!X52,'Line Item Detail'!Y52))</f>
        <v>0</v>
      </c>
    </row>
    <row r="73" customFormat="false" ht="26.85" hidden="false" customHeight="false" outlineLevel="0" collapsed="false">
      <c r="A73" s="14" t="str">
        <f aca="false">'Line Item Detail'!A53</f>
        <v>SYRINGE PUMP PER DAY</v>
      </c>
      <c r="B73" s="14" t="s">
        <v>102</v>
      </c>
      <c r="C73" s="14" t="str">
        <f aca="false">'Line Item Detail'!C53</f>
        <v>Syringe Pump Charges</v>
      </c>
      <c r="D73" s="14" t="str">
        <f aca="false">'Line Item Detail'!D53</f>
        <v>Advanced</v>
      </c>
      <c r="E73" s="14" t="str">
        <f aca="false">'Line Item Detail'!E53</f>
        <v>Include / Exclude selection</v>
      </c>
      <c r="F73" s="41" t="str">
        <f aca="false">IF(AND(Builder!E2="Insurance / Org Tariff",IFERROR(INDEX(Reference!$EZ$2:$EZ$1000, MATCH('Line Item Detail'!F53, Reference!$EX$2:$EX$1000, 0)), "No")="Yes"),"Excluded for Insurance",IF((IF(Builder!B4="General",'Line Item Detail'!W53,IF(Builder!B4="Twin",'Line Item Detail'!X53,'Line Item Detail'!Y53)))=0,"Excluded","Included"))</f>
        <v>Excluded</v>
      </c>
      <c r="G73" s="33" t="str">
        <f aca="false">IF((IF(Builder!B4="General",'Line Item Detail'!W53,IF(Builder!B4="Twin",'Line Item Detail'!X53,'Line Item Detail'!Y53)))=0,"",'Line Item Detail'!G53)</f>
        <v/>
      </c>
      <c r="H73" s="33" t="str">
        <f aca="false">Builder!B4</f>
        <v>Single</v>
      </c>
      <c r="I73" s="33" t="str">
        <f aca="false">IF((IF(Builder!B4="General",'Line Item Detail'!W53,IF(Builder!B4="Twin",'Line Item Detail'!X53,'Line Item Detail'!Y53)))=0,"",IF(Builder!B4="General",'Line Item Detail'!K53,IF(Builder!B4="Twin",'Line Item Detail'!L53,'Line Item Detail'!M53)))</f>
        <v/>
      </c>
      <c r="J73" s="33" t="n">
        <f aca="false">IF(Builder!B4="General",'Line Item Detail'!W53,IF(Builder!B4="Twin",'Line Item Detail'!X53,'Line Item Detail'!Y53))</f>
        <v>0</v>
      </c>
    </row>
    <row r="74" customFormat="false" ht="26.85" hidden="false" customHeight="false" outlineLevel="0" collapsed="false">
      <c r="A74" s="14" t="str">
        <f aca="false">'Line Item Detail'!A54</f>
        <v>FOLEY'S CATHETERIZATION</v>
      </c>
      <c r="B74" s="14" t="s">
        <v>102</v>
      </c>
      <c r="C74" s="14" t="str">
        <f aca="false">'Line Item Detail'!C54</f>
        <v>Catheterization / Cannulation</v>
      </c>
      <c r="D74" s="14" t="str">
        <f aca="false">'Line Item Detail'!D54</f>
        <v>Advanced</v>
      </c>
      <c r="E74" s="14" t="str">
        <f aca="false">'Line Item Detail'!E54</f>
        <v>Include / Exclude selection</v>
      </c>
      <c r="F74" s="41" t="str">
        <f aca="false">IF(AND(Builder!E2="Insurance / Org Tariff",IFERROR(INDEX(Reference!$EZ$2:$EZ$1000, MATCH('Line Item Detail'!F54, Reference!$EX$2:$EX$1000, 0)), "No")="Yes"),"Excluded for Insurance",IF((IF(Builder!B4="General",'Line Item Detail'!W54,IF(Builder!B4="Twin",'Line Item Detail'!X54,'Line Item Detail'!Y54)))=0,"Excluded","Included"))</f>
        <v>Excluded</v>
      </c>
      <c r="G74" s="33" t="str">
        <f aca="false">IF((IF(Builder!B4="General",'Line Item Detail'!W54,IF(Builder!B4="Twin",'Line Item Detail'!X54,'Line Item Detail'!Y54)))=0,"",'Line Item Detail'!G54)</f>
        <v/>
      </c>
      <c r="H74" s="33" t="str">
        <f aca="false">Builder!B4</f>
        <v>Single</v>
      </c>
      <c r="I74" s="33" t="str">
        <f aca="false">IF((IF(Builder!B4="General",'Line Item Detail'!W54,IF(Builder!B4="Twin",'Line Item Detail'!X54,'Line Item Detail'!Y54)))=0,"",IF(Builder!B4="General",'Line Item Detail'!K54,IF(Builder!B4="Twin",'Line Item Detail'!L54,'Line Item Detail'!M54)))</f>
        <v/>
      </c>
      <c r="J74" s="33" t="n">
        <f aca="false">IF(Builder!B4="General",'Line Item Detail'!W54,IF(Builder!B4="Twin",'Line Item Detail'!X54,'Line Item Detail'!Y54))</f>
        <v>0</v>
      </c>
    </row>
    <row r="75" customFormat="false" ht="26.85" hidden="false" customHeight="false" outlineLevel="0" collapsed="false">
      <c r="A75" s="14" t="str">
        <f aca="false">'Line Item Detail'!A55</f>
        <v>TROPONIN-I</v>
      </c>
      <c r="B75" s="14" t="s">
        <v>102</v>
      </c>
      <c r="C75" s="14" t="str">
        <f aca="false">'Line Item Detail'!C55</f>
        <v>Cardiac Marker Tests</v>
      </c>
      <c r="D75" s="14" t="str">
        <f aca="false">'Line Item Detail'!D55</f>
        <v>Advanced</v>
      </c>
      <c r="E75" s="14" t="str">
        <f aca="false">'Line Item Detail'!E55</f>
        <v>Include / Exclude selection</v>
      </c>
      <c r="F75" s="41" t="str">
        <f aca="false">IF(AND(Builder!E2="Insurance / Org Tariff",IFERROR(INDEX(Reference!$EZ$2:$EZ$1000, MATCH('Line Item Detail'!F55, Reference!$EX$2:$EX$1000, 0)), "No")="Yes"),"Excluded for Insurance",IF((IF(Builder!B4="General",'Line Item Detail'!W55,IF(Builder!B4="Twin",'Line Item Detail'!X55,'Line Item Detail'!Y55)))=0,"Excluded","Included"))</f>
        <v>Excluded</v>
      </c>
      <c r="G75" s="33" t="str">
        <f aca="false">IF((IF(Builder!B4="General",'Line Item Detail'!W55,IF(Builder!B4="Twin",'Line Item Detail'!X55,'Line Item Detail'!Y55)))=0,"",'Line Item Detail'!G55)</f>
        <v/>
      </c>
      <c r="H75" s="33" t="str">
        <f aca="false">Builder!B4</f>
        <v>Single</v>
      </c>
      <c r="I75" s="33" t="str">
        <f aca="false">IF((IF(Builder!B4="General",'Line Item Detail'!W55,IF(Builder!B4="Twin",'Line Item Detail'!X55,'Line Item Detail'!Y55)))=0,"",IF(Builder!B4="General",'Line Item Detail'!K55,IF(Builder!B4="Twin",'Line Item Detail'!L55,'Line Item Detail'!M55)))</f>
        <v/>
      </c>
      <c r="J75" s="33" t="n">
        <f aca="false">IF(Builder!B4="General",'Line Item Detail'!W55,IF(Builder!B4="Twin",'Line Item Detail'!X55,'Line Item Detail'!Y55))</f>
        <v>0</v>
      </c>
    </row>
    <row r="76" customFormat="false" ht="15" hidden="false" customHeight="false" outlineLevel="0" collapsed="false">
      <c r="A76" s="14" t="str">
        <f aca="false">'Line Item Detail'!A56</f>
        <v>TRANSFUSION</v>
      </c>
      <c r="B76" s="14" t="s">
        <v>102</v>
      </c>
      <c r="C76" s="14" t="str">
        <f aca="false">'Line Item Detail'!C56</f>
        <v>Blood Transfusion</v>
      </c>
      <c r="D76" s="14" t="str">
        <f aca="false">'Line Item Detail'!D56</f>
        <v>Advanced</v>
      </c>
      <c r="E76" s="14" t="str">
        <f aca="false">'Line Item Detail'!E56</f>
        <v>Include / Exclude selection</v>
      </c>
      <c r="F76" s="41" t="str">
        <f aca="false">IF(AND(Builder!E2="Insurance / Org Tariff",IFERROR(INDEX(Reference!$EZ$2:$EZ$1000, MATCH('Line Item Detail'!F56, Reference!$EX$2:$EX$1000, 0)), "No")="Yes"),"Excluded for Insurance",IF((IF(Builder!B4="General",'Line Item Detail'!W56,IF(Builder!B4="Twin",'Line Item Detail'!X56,'Line Item Detail'!Y56)))=0,"Excluded","Included"))</f>
        <v>Excluded</v>
      </c>
      <c r="G76" s="33" t="str">
        <f aca="false">IF((IF(Builder!B4="General",'Line Item Detail'!W56,IF(Builder!B4="Twin",'Line Item Detail'!X56,'Line Item Detail'!Y56)))=0,"",'Line Item Detail'!G56)</f>
        <v/>
      </c>
      <c r="H76" s="33" t="str">
        <f aca="false">Builder!B4</f>
        <v>Single</v>
      </c>
      <c r="I76" s="33" t="str">
        <f aca="false">IF((IF(Builder!B4="General",'Line Item Detail'!W56,IF(Builder!B4="Twin",'Line Item Detail'!X56,'Line Item Detail'!Y56)))=0,"",IF(Builder!B4="General",'Line Item Detail'!K56,IF(Builder!B4="Twin",'Line Item Detail'!L56,'Line Item Detail'!M56)))</f>
        <v/>
      </c>
      <c r="J76" s="33" t="n">
        <f aca="false">IF(Builder!B4="General",'Line Item Detail'!W56,IF(Builder!B4="Twin",'Line Item Detail'!X56,'Line Item Detail'!Y56))</f>
        <v>0</v>
      </c>
    </row>
    <row r="77" customFormat="false" ht="26.85" hidden="false" customHeight="false" outlineLevel="0" collapsed="false">
      <c r="A77" s="14" t="str">
        <f aca="false">'Line Item Detail'!A57</f>
        <v>PRE ANAESTHETIST CHECK</v>
      </c>
      <c r="B77" s="14" t="s">
        <v>102</v>
      </c>
      <c r="C77" s="14" t="str">
        <f aca="false">'Line Item Detail'!C57</f>
        <v>Pre-Anaesthesia Check</v>
      </c>
      <c r="D77" s="14" t="str">
        <f aca="false">'Line Item Detail'!D57</f>
        <v>Advanced</v>
      </c>
      <c r="E77" s="14" t="str">
        <f aca="false">'Line Item Detail'!E57</f>
        <v>Include / Exclude selection</v>
      </c>
      <c r="F77" s="41" t="str">
        <f aca="false">IF(AND(Builder!E2="Insurance / Org Tariff",IFERROR(INDEX(Reference!$EZ$2:$EZ$1000, MATCH('Line Item Detail'!F57, Reference!$EX$2:$EX$1000, 0)), "No")="Yes"),"Excluded for Insurance",IF((IF(Builder!B4="General",'Line Item Detail'!W57,IF(Builder!B4="Twin",'Line Item Detail'!X57,'Line Item Detail'!Y57)))=0,"Excluded","Included"))</f>
        <v>Excluded</v>
      </c>
      <c r="G77" s="33" t="str">
        <f aca="false">IF((IF(Builder!B4="General",'Line Item Detail'!W57,IF(Builder!B4="Twin",'Line Item Detail'!X57,'Line Item Detail'!Y57)))=0,"",'Line Item Detail'!G57)</f>
        <v/>
      </c>
      <c r="H77" s="33" t="str">
        <f aca="false">Builder!B4</f>
        <v>Single</v>
      </c>
      <c r="I77" s="33" t="str">
        <f aca="false">IF((IF(Builder!B4="General",'Line Item Detail'!W57,IF(Builder!B4="Twin",'Line Item Detail'!X57,'Line Item Detail'!Y57)))=0,"",IF(Builder!B4="General",'Line Item Detail'!K57,IF(Builder!B4="Twin",'Line Item Detail'!L57,'Line Item Detail'!M57)))</f>
        <v/>
      </c>
      <c r="J77" s="33" t="n">
        <f aca="false">IF(Builder!B4="General",'Line Item Detail'!W57,IF(Builder!B4="Twin",'Line Item Detail'!X57,'Line Item Detail'!Y57))</f>
        <v>0</v>
      </c>
    </row>
    <row r="78" customFormat="false" ht="15" hidden="false" customHeight="false" outlineLevel="0" collapsed="false">
      <c r="A78" s="14" t="str">
        <f aca="false">'Line Item Detail'!A58</f>
        <v>THYROID PROFILE</v>
      </c>
      <c r="B78" s="14" t="s">
        <v>102</v>
      </c>
      <c r="C78" s="14" t="str">
        <f aca="false">'Line Item Detail'!C58</f>
        <v>Thyroid Tests</v>
      </c>
      <c r="D78" s="14" t="str">
        <f aca="false">'Line Item Detail'!D58</f>
        <v>Advanced</v>
      </c>
      <c r="E78" s="14" t="str">
        <f aca="false">'Line Item Detail'!E58</f>
        <v>Include / Exclude selection</v>
      </c>
      <c r="F78" s="41" t="str">
        <f aca="false">IF(AND(Builder!E2="Insurance / Org Tariff",IFERROR(INDEX(Reference!$EZ$2:$EZ$1000, MATCH('Line Item Detail'!F58, Reference!$EX$2:$EX$1000, 0)), "No")="Yes"),"Excluded for Insurance",IF((IF(Builder!B4="General",'Line Item Detail'!W58,IF(Builder!B4="Twin",'Line Item Detail'!X58,'Line Item Detail'!Y58)))=0,"Excluded","Included"))</f>
        <v>Excluded</v>
      </c>
      <c r="G78" s="33" t="str">
        <f aca="false">IF((IF(Builder!B4="General",'Line Item Detail'!W58,IF(Builder!B4="Twin",'Line Item Detail'!X58,'Line Item Detail'!Y58)))=0,"",'Line Item Detail'!G58)</f>
        <v/>
      </c>
      <c r="H78" s="33" t="str">
        <f aca="false">Builder!B4</f>
        <v>Single</v>
      </c>
      <c r="I78" s="33" t="str">
        <f aca="false">IF((IF(Builder!B4="General",'Line Item Detail'!W58,IF(Builder!B4="Twin",'Line Item Detail'!X58,'Line Item Detail'!Y58)))=0,"",IF(Builder!B4="General",'Line Item Detail'!K58,IF(Builder!B4="Twin",'Line Item Detail'!L58,'Line Item Detail'!M58)))</f>
        <v/>
      </c>
      <c r="J78" s="33" t="n">
        <f aca="false">IF(Builder!B4="General",'Line Item Detail'!W58,IF(Builder!B4="Twin",'Line Item Detail'!X58,'Line Item Detail'!Y58))</f>
        <v>0</v>
      </c>
    </row>
    <row r="79" customFormat="false" ht="26.85" hidden="false" customHeight="false" outlineLevel="0" collapsed="false">
      <c r="A79" s="14" t="str">
        <f aca="false">'Line Item Detail'!A59</f>
        <v>CROSS MATCHING</v>
      </c>
      <c r="B79" s="14" t="s">
        <v>102</v>
      </c>
      <c r="C79" s="14" t="str">
        <f aca="false">'Line Item Detail'!C59</f>
        <v>Blood Bank Services</v>
      </c>
      <c r="D79" s="14" t="str">
        <f aca="false">'Line Item Detail'!D59</f>
        <v>Advanced</v>
      </c>
      <c r="E79" s="14" t="str">
        <f aca="false">'Line Item Detail'!E59</f>
        <v>Include / Exclude selection</v>
      </c>
      <c r="F79" s="41" t="str">
        <f aca="false">IF(AND(Builder!E2="Insurance / Org Tariff",IFERROR(INDEX(Reference!$EZ$2:$EZ$1000, MATCH('Line Item Detail'!F59, Reference!$EX$2:$EX$1000, 0)), "No")="Yes"),"Excluded for Insurance",IF((IF(Builder!B4="General",'Line Item Detail'!W59,IF(Builder!B4="Twin",'Line Item Detail'!X59,'Line Item Detail'!Y59)))=0,"Excluded","Included"))</f>
        <v>Excluded</v>
      </c>
      <c r="G79" s="33" t="str">
        <f aca="false">IF((IF(Builder!B4="General",'Line Item Detail'!W59,IF(Builder!B4="Twin",'Line Item Detail'!X59,'Line Item Detail'!Y59)))=0,"",'Line Item Detail'!G59)</f>
        <v/>
      </c>
      <c r="H79" s="33" t="str">
        <f aca="false">Builder!B4</f>
        <v>Single</v>
      </c>
      <c r="I79" s="33" t="str">
        <f aca="false">IF((IF(Builder!B4="General",'Line Item Detail'!W59,IF(Builder!B4="Twin",'Line Item Detail'!X59,'Line Item Detail'!Y59)))=0,"",IF(Builder!B4="General",'Line Item Detail'!K59,IF(Builder!B4="Twin",'Line Item Detail'!L59,'Line Item Detail'!M59)))</f>
        <v/>
      </c>
      <c r="J79" s="33" t="n">
        <f aca="false">IF(Builder!B4="General",'Line Item Detail'!W59,IF(Builder!B4="Twin",'Line Item Detail'!X59,'Line Item Detail'!Y59))</f>
        <v>0</v>
      </c>
    </row>
    <row r="80" customFormat="false" ht="15" hidden="false" customHeight="false" outlineLevel="0" collapsed="false">
      <c r="A80" s="14" t="str">
        <f aca="false">'Line Item Detail'!A60</f>
        <v>ABG (ARTERIAL BLOOD GASES)</v>
      </c>
      <c r="B80" s="14" t="s">
        <v>102</v>
      </c>
      <c r="C80" s="14" t="str">
        <f aca="false">'Line Item Detail'!C60</f>
        <v>Blood Gas Analysis</v>
      </c>
      <c r="D80" s="14" t="str">
        <f aca="false">'Line Item Detail'!D60</f>
        <v>Advanced</v>
      </c>
      <c r="E80" s="14" t="str">
        <f aca="false">'Line Item Detail'!E60</f>
        <v>Include / Exclude selection</v>
      </c>
      <c r="F80" s="41" t="str">
        <f aca="false">IF(AND(Builder!E2="Insurance / Org Tariff",IFERROR(INDEX(Reference!$EZ$2:$EZ$1000, MATCH('Line Item Detail'!F60, Reference!$EX$2:$EX$1000, 0)), "No")="Yes"),"Excluded for Insurance",IF((IF(Builder!B4="General",'Line Item Detail'!W60,IF(Builder!B4="Twin",'Line Item Detail'!X60,'Line Item Detail'!Y60)))=0,"Excluded","Included"))</f>
        <v>Excluded</v>
      </c>
      <c r="G80" s="33" t="str">
        <f aca="false">IF((IF(Builder!B4="General",'Line Item Detail'!W60,IF(Builder!B4="Twin",'Line Item Detail'!X60,'Line Item Detail'!Y60)))=0,"",'Line Item Detail'!G60)</f>
        <v/>
      </c>
      <c r="H80" s="33" t="str">
        <f aca="false">Builder!B4</f>
        <v>Single</v>
      </c>
      <c r="I80" s="33" t="str">
        <f aca="false">IF((IF(Builder!B4="General",'Line Item Detail'!W60,IF(Builder!B4="Twin",'Line Item Detail'!X60,'Line Item Detail'!Y60)))=0,"",IF(Builder!B4="General",'Line Item Detail'!K60,IF(Builder!B4="Twin",'Line Item Detail'!L60,'Line Item Detail'!M60)))</f>
        <v/>
      </c>
      <c r="J80" s="33" t="n">
        <f aca="false">IF(Builder!B4="General",'Line Item Detail'!W60,IF(Builder!B4="Twin",'Line Item Detail'!X60,'Line Item Detail'!Y60))</f>
        <v>0</v>
      </c>
    </row>
    <row r="81" customFormat="false" ht="26.85" hidden="false" customHeight="false" outlineLevel="0" collapsed="false">
      <c r="A81" s="14" t="str">
        <f aca="false">'Line Item Detail'!A61</f>
        <v>X-RAY AP VIEW (BEDSIDE)</v>
      </c>
      <c r="B81" s="14" t="s">
        <v>102</v>
      </c>
      <c r="C81" s="14" t="str">
        <f aca="false">'Line Item Detail'!C61</f>
        <v>X-Ray / Fluoroscopy</v>
      </c>
      <c r="D81" s="14" t="str">
        <f aca="false">'Line Item Detail'!D61</f>
        <v>Advanced</v>
      </c>
      <c r="E81" s="14" t="str">
        <f aca="false">'Line Item Detail'!E61</f>
        <v>Include / Exclude selection</v>
      </c>
      <c r="F81" s="41" t="str">
        <f aca="false">IF(AND(Builder!E2="Insurance / Org Tariff",IFERROR(INDEX(Reference!$EZ$2:$EZ$1000, MATCH('Line Item Detail'!F61, Reference!$EX$2:$EX$1000, 0)), "No")="Yes"),"Excluded for Insurance",IF((IF(Builder!B4="General",'Line Item Detail'!W61,IF(Builder!B4="Twin",'Line Item Detail'!X61,'Line Item Detail'!Y61)))=0,"Excluded","Included"))</f>
        <v>Excluded</v>
      </c>
      <c r="G81" s="33" t="str">
        <f aca="false">IF((IF(Builder!B4="General",'Line Item Detail'!W61,IF(Builder!B4="Twin",'Line Item Detail'!X61,'Line Item Detail'!Y61)))=0,"",'Line Item Detail'!G61)</f>
        <v/>
      </c>
      <c r="H81" s="33" t="str">
        <f aca="false">Builder!B4</f>
        <v>Single</v>
      </c>
      <c r="I81" s="33" t="str">
        <f aca="false">IF((IF(Builder!B4="General",'Line Item Detail'!W61,IF(Builder!B4="Twin",'Line Item Detail'!X61,'Line Item Detail'!Y61)))=0,"",IF(Builder!B4="General",'Line Item Detail'!K61,IF(Builder!B4="Twin",'Line Item Detail'!L61,'Line Item Detail'!M61)))</f>
        <v/>
      </c>
      <c r="J81" s="33" t="n">
        <f aca="false">IF(Builder!B4="General",'Line Item Detail'!W61,IF(Builder!B4="Twin",'Line Item Detail'!X61,'Line Item Detail'!Y61))</f>
        <v>0</v>
      </c>
    </row>
    <row r="82" customFormat="false" ht="26.85" hidden="false" customHeight="false" outlineLevel="0" collapsed="false">
      <c r="A82" s="14" t="str">
        <f aca="false">'Line Item Detail'!A62</f>
        <v>PHYSIOTHERAPY CONSULTATION</v>
      </c>
      <c r="B82" s="14" t="s">
        <v>102</v>
      </c>
      <c r="C82" s="14" t="str">
        <f aca="false">'Line Item Detail'!C62</f>
        <v>Consultation Charges</v>
      </c>
      <c r="D82" s="14" t="str">
        <f aca="false">'Line Item Detail'!D62</f>
        <v>Advanced</v>
      </c>
      <c r="E82" s="14" t="str">
        <f aca="false">'Line Item Detail'!E62</f>
        <v>Include / Exclude selection</v>
      </c>
      <c r="F82" s="41" t="str">
        <f aca="false">IF(AND(Builder!E2="Insurance / Org Tariff",IFERROR(INDEX(Reference!$EZ$2:$EZ$1000, MATCH('Line Item Detail'!F62, Reference!$EX$2:$EX$1000, 0)), "No")="Yes"),"Excluded for Insurance",IF((IF(Builder!B4="General",'Line Item Detail'!W62,IF(Builder!B4="Twin",'Line Item Detail'!X62,'Line Item Detail'!Y62)))=0,"Excluded","Included"))</f>
        <v>Excluded</v>
      </c>
      <c r="G82" s="33" t="str">
        <f aca="false">IF((IF(Builder!B4="General",'Line Item Detail'!W62,IF(Builder!B4="Twin",'Line Item Detail'!X62,'Line Item Detail'!Y62)))=0,"",'Line Item Detail'!G62)</f>
        <v/>
      </c>
      <c r="H82" s="33" t="str">
        <f aca="false">Builder!B4</f>
        <v>Single</v>
      </c>
      <c r="I82" s="33" t="str">
        <f aca="false">IF((IF(Builder!B4="General",'Line Item Detail'!W62,IF(Builder!B4="Twin",'Line Item Detail'!X62,'Line Item Detail'!Y62)))=0,"",IF(Builder!B4="General",'Line Item Detail'!K62,IF(Builder!B4="Twin",'Line Item Detail'!L62,'Line Item Detail'!M62)))</f>
        <v/>
      </c>
      <c r="J82" s="33" t="n">
        <f aca="false">IF(Builder!B4="General",'Line Item Detail'!W62,IF(Builder!B4="Twin",'Line Item Detail'!X62,'Line Item Detail'!Y62))</f>
        <v>0</v>
      </c>
    </row>
    <row r="83" customFormat="false" ht="26.85" hidden="false" customHeight="false" outlineLevel="0" collapsed="false">
      <c r="A83" s="14" t="str">
        <f aca="false">'Line Item Detail'!A63</f>
        <v>CBC (COMPLETE BLOOD COUNT)</v>
      </c>
      <c r="B83" s="14" t="s">
        <v>102</v>
      </c>
      <c r="C83" s="14" t="str">
        <f aca="false">'Line Item Detail'!C63</f>
        <v>Haematology Counts</v>
      </c>
      <c r="D83" s="14" t="str">
        <f aca="false">'Line Item Detail'!D63</f>
        <v>Advanced</v>
      </c>
      <c r="E83" s="14" t="str">
        <f aca="false">'Line Item Detail'!E63</f>
        <v>Include / Exclude selection</v>
      </c>
      <c r="F83" s="41" t="str">
        <f aca="false">IF(AND(Builder!E2="Insurance / Org Tariff",IFERROR(INDEX(Reference!$EZ$2:$EZ$1000, MATCH('Line Item Detail'!F63, Reference!$EX$2:$EX$1000, 0)), "No")="Yes"),"Excluded for Insurance",IF((IF(Builder!B4="General",'Line Item Detail'!W63,IF(Builder!B4="Twin",'Line Item Detail'!X63,'Line Item Detail'!Y63)))=0,"Excluded","Included"))</f>
        <v>Excluded</v>
      </c>
      <c r="G83" s="33" t="str">
        <f aca="false">IF((IF(Builder!B4="General",'Line Item Detail'!W63,IF(Builder!B4="Twin",'Line Item Detail'!X63,'Line Item Detail'!Y63)))=0,"",'Line Item Detail'!G63)</f>
        <v/>
      </c>
      <c r="H83" s="33" t="str">
        <f aca="false">Builder!B4</f>
        <v>Single</v>
      </c>
      <c r="I83" s="33" t="str">
        <f aca="false">IF((IF(Builder!B4="General",'Line Item Detail'!W63,IF(Builder!B4="Twin",'Line Item Detail'!X63,'Line Item Detail'!Y63)))=0,"",IF(Builder!B4="General",'Line Item Detail'!K63,IF(Builder!B4="Twin",'Line Item Detail'!L63,'Line Item Detail'!M63)))</f>
        <v/>
      </c>
      <c r="J83" s="33" t="n">
        <f aca="false">IF(Builder!B4="General",'Line Item Detail'!W63,IF(Builder!B4="Twin",'Line Item Detail'!X63,'Line Item Detail'!Y63))</f>
        <v>0</v>
      </c>
    </row>
    <row r="84" customFormat="false" ht="26.85" hidden="false" customHeight="false" outlineLevel="0" collapsed="false">
      <c r="A84" s="14" t="str">
        <f aca="false">'Line Item Detail'!A64</f>
        <v>FBS (FASTING PLASMA GLUCOSE)</v>
      </c>
      <c r="B84" s="14" t="s">
        <v>102</v>
      </c>
      <c r="C84" s="14" t="str">
        <f aca="false">'Line Item Detail'!C64</f>
        <v>Diabetes / Glucose Tests</v>
      </c>
      <c r="D84" s="14" t="str">
        <f aca="false">'Line Item Detail'!D64</f>
        <v>Advanced</v>
      </c>
      <c r="E84" s="14" t="str">
        <f aca="false">'Line Item Detail'!E64</f>
        <v>Include / Exclude selection</v>
      </c>
      <c r="F84" s="41" t="str">
        <f aca="false">IF(AND(Builder!E2="Insurance / Org Tariff",IFERROR(INDEX(Reference!$EZ$2:$EZ$1000, MATCH('Line Item Detail'!F64, Reference!$EX$2:$EX$1000, 0)), "No")="Yes"),"Excluded for Insurance",IF((IF(Builder!B4="General",'Line Item Detail'!W64,IF(Builder!B4="Twin",'Line Item Detail'!X64,'Line Item Detail'!Y64)))=0,"Excluded","Included"))</f>
        <v>Excluded</v>
      </c>
      <c r="G84" s="33" t="str">
        <f aca="false">IF((IF(Builder!B4="General",'Line Item Detail'!W64,IF(Builder!B4="Twin",'Line Item Detail'!X64,'Line Item Detail'!Y64)))=0,"",'Line Item Detail'!G64)</f>
        <v/>
      </c>
      <c r="H84" s="33" t="str">
        <f aca="false">Builder!B4</f>
        <v>Single</v>
      </c>
      <c r="I84" s="33" t="str">
        <f aca="false">IF((IF(Builder!B4="General",'Line Item Detail'!W64,IF(Builder!B4="Twin",'Line Item Detail'!X64,'Line Item Detail'!Y64)))=0,"",IF(Builder!B4="General",'Line Item Detail'!K64,IF(Builder!B4="Twin",'Line Item Detail'!L64,'Line Item Detail'!M64)))</f>
        <v/>
      </c>
      <c r="J84" s="33" t="n">
        <f aca="false">IF(Builder!B4="General",'Line Item Detail'!W64,IF(Builder!B4="Twin",'Line Item Detail'!X64,'Line Item Detail'!Y64))</f>
        <v>0</v>
      </c>
    </row>
    <row r="85" customFormat="false" ht="26.85" hidden="false" customHeight="false" outlineLevel="0" collapsed="false">
      <c r="A85" s="14" t="str">
        <f aca="false">'Line Item Detail'!A65</f>
        <v>POTASSIUM</v>
      </c>
      <c r="B85" s="14" t="s">
        <v>102</v>
      </c>
      <c r="C85" s="14" t="str">
        <f aca="false">'Line Item Detail'!C65</f>
        <v>Renal Function / Electrolytes</v>
      </c>
      <c r="D85" s="14" t="str">
        <f aca="false">'Line Item Detail'!D65</f>
        <v>Advanced</v>
      </c>
      <c r="E85" s="14" t="str">
        <f aca="false">'Line Item Detail'!E65</f>
        <v>Include / Exclude selection</v>
      </c>
      <c r="F85" s="41" t="str">
        <f aca="false">IF(AND(Builder!E2="Insurance / Org Tariff",IFERROR(INDEX(Reference!$EZ$2:$EZ$1000, MATCH('Line Item Detail'!F65, Reference!$EX$2:$EX$1000, 0)), "No")="Yes"),"Excluded for Insurance",IF((IF(Builder!B4="General",'Line Item Detail'!W65,IF(Builder!B4="Twin",'Line Item Detail'!X65,'Line Item Detail'!Y65)))=0,"Excluded","Included"))</f>
        <v>Excluded</v>
      </c>
      <c r="G85" s="33" t="str">
        <f aca="false">IF((IF(Builder!B4="General",'Line Item Detail'!W65,IF(Builder!B4="Twin",'Line Item Detail'!X65,'Line Item Detail'!Y65)))=0,"",'Line Item Detail'!G65)</f>
        <v/>
      </c>
      <c r="H85" s="33" t="str">
        <f aca="false">Builder!B4</f>
        <v>Single</v>
      </c>
      <c r="I85" s="33" t="str">
        <f aca="false">IF((IF(Builder!B4="General",'Line Item Detail'!W65,IF(Builder!B4="Twin",'Line Item Detail'!X65,'Line Item Detail'!Y65)))=0,"",IF(Builder!B4="General",'Line Item Detail'!K65,IF(Builder!B4="Twin",'Line Item Detail'!L65,'Line Item Detail'!M65)))</f>
        <v/>
      </c>
      <c r="J85" s="33" t="n">
        <f aca="false">IF(Builder!B4="General",'Line Item Detail'!W65,IF(Builder!B4="Twin",'Line Item Detail'!X65,'Line Item Detail'!Y65))</f>
        <v>0</v>
      </c>
    </row>
    <row r="86" customFormat="false" ht="26.85" hidden="false" customHeight="false" outlineLevel="0" collapsed="false">
      <c r="A86" s="14" t="str">
        <f aca="false">'Line Item Detail'!A66</f>
        <v>BLOOD GROUP AND RH (D) TYPING</v>
      </c>
      <c r="B86" s="14" t="s">
        <v>102</v>
      </c>
      <c r="C86" s="14" t="str">
        <f aca="false">'Line Item Detail'!C66</f>
        <v>Blood Bank Services</v>
      </c>
      <c r="D86" s="14" t="str">
        <f aca="false">'Line Item Detail'!D66</f>
        <v>Advanced</v>
      </c>
      <c r="E86" s="14" t="str">
        <f aca="false">'Line Item Detail'!E66</f>
        <v>Include / Exclude selection</v>
      </c>
      <c r="F86" s="41" t="str">
        <f aca="false">IF(AND(Builder!E2="Insurance / Org Tariff",IFERROR(INDEX(Reference!$EZ$2:$EZ$1000, MATCH('Line Item Detail'!F66, Reference!$EX$2:$EX$1000, 0)), "No")="Yes"),"Excluded for Insurance",IF((IF(Builder!B4="General",'Line Item Detail'!W66,IF(Builder!B4="Twin",'Line Item Detail'!X66,'Line Item Detail'!Y66)))=0,"Excluded","Included"))</f>
        <v>Excluded</v>
      </c>
      <c r="G86" s="33" t="str">
        <f aca="false">IF((IF(Builder!B4="General",'Line Item Detail'!W66,IF(Builder!B4="Twin",'Line Item Detail'!X66,'Line Item Detail'!Y66)))=0,"",'Line Item Detail'!G66)</f>
        <v/>
      </c>
      <c r="H86" s="33" t="str">
        <f aca="false">Builder!B4</f>
        <v>Single</v>
      </c>
      <c r="I86" s="33" t="str">
        <f aca="false">IF((IF(Builder!B4="General",'Line Item Detail'!W66,IF(Builder!B4="Twin",'Line Item Detail'!X66,'Line Item Detail'!Y66)))=0,"",IF(Builder!B4="General",'Line Item Detail'!K66,IF(Builder!B4="Twin",'Line Item Detail'!L66,'Line Item Detail'!M66)))</f>
        <v/>
      </c>
      <c r="J86" s="33" t="n">
        <f aca="false">IF(Builder!B4="General",'Line Item Detail'!W66,IF(Builder!B4="Twin",'Line Item Detail'!X66,'Line Item Detail'!Y66))</f>
        <v>0</v>
      </c>
    </row>
    <row r="87" customFormat="false" ht="15" hidden="false" customHeight="false" outlineLevel="0" collapsed="false">
      <c r="A87" s="14" t="str">
        <f aca="false">'Line Item Detail'!A67</f>
        <v>ECG</v>
      </c>
      <c r="B87" s="14" t="s">
        <v>102</v>
      </c>
      <c r="C87" s="14" t="str">
        <f aca="false">'Line Item Detail'!C67</f>
        <v>ECG</v>
      </c>
      <c r="D87" s="14" t="str">
        <f aca="false">'Line Item Detail'!D67</f>
        <v>Advanced</v>
      </c>
      <c r="E87" s="14" t="str">
        <f aca="false">'Line Item Detail'!E67</f>
        <v>Include / Exclude selection</v>
      </c>
      <c r="F87" s="41" t="str">
        <f aca="false">IF(AND(Builder!E2="Insurance / Org Tariff",IFERROR(INDEX(Reference!$EZ$2:$EZ$1000, MATCH('Line Item Detail'!F67, Reference!$EX$2:$EX$1000, 0)), "No")="Yes"),"Excluded for Insurance",IF((IF(Builder!B4="General",'Line Item Detail'!W67,IF(Builder!B4="Twin",'Line Item Detail'!X67,'Line Item Detail'!Y67)))=0,"Excluded","Included"))</f>
        <v>Excluded</v>
      </c>
      <c r="G87" s="33" t="str">
        <f aca="false">IF((IF(Builder!B4="General",'Line Item Detail'!W67,IF(Builder!B4="Twin",'Line Item Detail'!X67,'Line Item Detail'!Y67)))=0,"",'Line Item Detail'!G67)</f>
        <v/>
      </c>
      <c r="H87" s="33" t="str">
        <f aca="false">Builder!B4</f>
        <v>Single</v>
      </c>
      <c r="I87" s="33" t="str">
        <f aca="false">IF((IF(Builder!B4="General",'Line Item Detail'!W67,IF(Builder!B4="Twin",'Line Item Detail'!X67,'Line Item Detail'!Y67)))=0,"",IF(Builder!B4="General",'Line Item Detail'!K67,IF(Builder!B4="Twin",'Line Item Detail'!L67,'Line Item Detail'!M67)))</f>
        <v/>
      </c>
      <c r="J87" s="33" t="n">
        <f aca="false">IF(Builder!B4="General",'Line Item Detail'!W67,IF(Builder!B4="Twin",'Line Item Detail'!X67,'Line Item Detail'!Y67))</f>
        <v>0</v>
      </c>
    </row>
    <row r="88" customFormat="false" ht="26.85" hidden="false" customHeight="false" outlineLevel="0" collapsed="false">
      <c r="A88" s="14" t="str">
        <f aca="false">'Line Item Detail'!A68</f>
        <v>CUE (COMPLETE URINE EXAMINATION)</v>
      </c>
      <c r="B88" s="14" t="s">
        <v>102</v>
      </c>
      <c r="C88" s="14" t="str">
        <f aca="false">'Line Item Detail'!C68</f>
        <v>Urine Tests</v>
      </c>
      <c r="D88" s="14" t="str">
        <f aca="false">'Line Item Detail'!D68</f>
        <v>Advanced</v>
      </c>
      <c r="E88" s="14" t="str">
        <f aca="false">'Line Item Detail'!E68</f>
        <v>Include / Exclude selection</v>
      </c>
      <c r="F88" s="41" t="str">
        <f aca="false">IF(AND(Builder!E2="Insurance / Org Tariff",IFERROR(INDEX(Reference!$EZ$2:$EZ$1000, MATCH('Line Item Detail'!F68, Reference!$EX$2:$EX$1000, 0)), "No")="Yes"),"Excluded for Insurance",IF((IF(Builder!B4="General",'Line Item Detail'!W68,IF(Builder!B4="Twin",'Line Item Detail'!X68,'Line Item Detail'!Y68)))=0,"Excluded","Included"))</f>
        <v>Excluded</v>
      </c>
      <c r="G88" s="33" t="str">
        <f aca="false">IF((IF(Builder!B4="General",'Line Item Detail'!W68,IF(Builder!B4="Twin",'Line Item Detail'!X68,'Line Item Detail'!Y68)))=0,"",'Line Item Detail'!G68)</f>
        <v/>
      </c>
      <c r="H88" s="33" t="str">
        <f aca="false">Builder!B4</f>
        <v>Single</v>
      </c>
      <c r="I88" s="33" t="str">
        <f aca="false">IF((IF(Builder!B4="General",'Line Item Detail'!W68,IF(Builder!B4="Twin",'Line Item Detail'!X68,'Line Item Detail'!Y68)))=0,"",IF(Builder!B4="General",'Line Item Detail'!K68,IF(Builder!B4="Twin",'Line Item Detail'!L68,'Line Item Detail'!M68)))</f>
        <v/>
      </c>
      <c r="J88" s="33" t="n">
        <f aca="false">IF(Builder!B4="General",'Line Item Detail'!W68,IF(Builder!B4="Twin",'Line Item Detail'!X68,'Line Item Detail'!Y68))</f>
        <v>0</v>
      </c>
    </row>
    <row r="89" customFormat="false" ht="26.85" hidden="false" customHeight="false" outlineLevel="0" collapsed="false">
      <c r="A89" s="14" t="str">
        <f aca="false">'Line Item Detail'!A69</f>
        <v>PSYCHOLOGIST COUNSELLING</v>
      </c>
      <c r="B89" s="14" t="s">
        <v>102</v>
      </c>
      <c r="C89" s="14" t="str">
        <f aca="false">'Line Item Detail'!C69</f>
        <v>Psychology / Counselling</v>
      </c>
      <c r="D89" s="14" t="str">
        <f aca="false">'Line Item Detail'!D69</f>
        <v>Advanced</v>
      </c>
      <c r="E89" s="14" t="str">
        <f aca="false">'Line Item Detail'!E69</f>
        <v>Include / Exclude selection</v>
      </c>
      <c r="F89" s="41" t="str">
        <f aca="false">IF(AND(Builder!E2="Insurance / Org Tariff",IFERROR(INDEX(Reference!$EZ$2:$EZ$1000, MATCH('Line Item Detail'!F69, Reference!$EX$2:$EX$1000, 0)), "No")="Yes"),"Excluded for Insurance",IF((IF(Builder!B4="General",'Line Item Detail'!W69,IF(Builder!B4="Twin",'Line Item Detail'!X69,'Line Item Detail'!Y69)))=0,"Excluded","Included"))</f>
        <v>Excluded</v>
      </c>
      <c r="G89" s="33" t="str">
        <f aca="false">IF((IF(Builder!B4="General",'Line Item Detail'!W69,IF(Builder!B4="Twin",'Line Item Detail'!X69,'Line Item Detail'!Y69)))=0,"",'Line Item Detail'!G69)</f>
        <v/>
      </c>
      <c r="H89" s="33" t="str">
        <f aca="false">Builder!B4</f>
        <v>Single</v>
      </c>
      <c r="I89" s="33" t="str">
        <f aca="false">IF((IF(Builder!B4="General",'Line Item Detail'!W69,IF(Builder!B4="Twin",'Line Item Detail'!X69,'Line Item Detail'!Y69)))=0,"",IF(Builder!B4="General",'Line Item Detail'!K69,IF(Builder!B4="Twin",'Line Item Detail'!L69,'Line Item Detail'!M69)))</f>
        <v/>
      </c>
      <c r="J89" s="33" t="n">
        <f aca="false">IF(Builder!B4="General",'Line Item Detail'!W69,IF(Builder!B4="Twin",'Line Item Detail'!X69,'Line Item Detail'!Y69))</f>
        <v>0</v>
      </c>
    </row>
    <row r="90" customFormat="false" ht="26.85" hidden="false" customHeight="false" outlineLevel="0" collapsed="false">
      <c r="A90" s="14" t="str">
        <f aca="false">'Line Item Detail'!A70</f>
        <v>X-RAY SCANOGRAM (ACADEMIC CASES)</v>
      </c>
      <c r="B90" s="14" t="s">
        <v>102</v>
      </c>
      <c r="C90" s="14" t="str">
        <f aca="false">'Line Item Detail'!C70</f>
        <v>X-Ray / Fluoroscopy</v>
      </c>
      <c r="D90" s="14" t="str">
        <f aca="false">'Line Item Detail'!D70</f>
        <v>Advanced</v>
      </c>
      <c r="E90" s="14" t="str">
        <f aca="false">'Line Item Detail'!E70</f>
        <v>Include / Exclude selection</v>
      </c>
      <c r="F90" s="41" t="str">
        <f aca="false">IF(AND(Builder!E2="Insurance / Org Tariff",IFERROR(INDEX(Reference!$EZ$2:$EZ$1000, MATCH('Line Item Detail'!F70, Reference!$EX$2:$EX$1000, 0)), "No")="Yes"),"Excluded for Insurance",IF((IF(Builder!B4="General",'Line Item Detail'!W70,IF(Builder!B4="Twin",'Line Item Detail'!X70,'Line Item Detail'!Y70)))=0,"Excluded","Included"))</f>
        <v>Excluded</v>
      </c>
      <c r="G90" s="33" t="str">
        <f aca="false">IF((IF(Builder!B4="General",'Line Item Detail'!W70,IF(Builder!B4="Twin",'Line Item Detail'!X70,'Line Item Detail'!Y70)))=0,"",'Line Item Detail'!G70)</f>
        <v/>
      </c>
      <c r="H90" s="33" t="str">
        <f aca="false">Builder!B4</f>
        <v>Single</v>
      </c>
      <c r="I90" s="33" t="str">
        <f aca="false">IF((IF(Builder!B4="General",'Line Item Detail'!W70,IF(Builder!B4="Twin",'Line Item Detail'!X70,'Line Item Detail'!Y70)))=0,"",IF(Builder!B4="General",'Line Item Detail'!K70,IF(Builder!B4="Twin",'Line Item Detail'!L70,'Line Item Detail'!M70)))</f>
        <v/>
      </c>
      <c r="J90" s="33" t="n">
        <f aca="false">IF(Builder!B4="General",'Line Item Detail'!W70,IF(Builder!B4="Twin",'Line Item Detail'!X70,'Line Item Detail'!Y70))</f>
        <v>0</v>
      </c>
    </row>
  </sheetData>
  <autoFilter ref="A3:J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18"/>
    <col collapsed="false" customWidth="true" hidden="false" outlineLevel="0" max="4" min="4" style="0" width="14"/>
    <col collapsed="false" customWidth="true" hidden="false" outlineLevel="0" max="5" min="5" style="0" width="24"/>
    <col collapsed="false" customWidth="true" hidden="true" outlineLevel="0" max="6" min="6" style="0" width="12"/>
    <col collapsed="false" customWidth="true" hidden="false" outlineLevel="0" max="7" min="7" style="0" width="12"/>
    <col collapsed="false" customWidth="true" hidden="false" outlineLevel="0" max="10" min="8" style="0" width="10"/>
    <col collapsed="false" customWidth="true" hidden="false" outlineLevel="0" max="22" min="11" style="0" width="12"/>
    <col collapsed="false" customWidth="true" hidden="false" outlineLevel="0" max="25" min="23" style="0" width="14"/>
  </cols>
  <sheetData>
    <row r="1" customFormat="false" ht="26.85" hidden="false" customHeight="false" outlineLevel="0" collapsed="false">
      <c r="A1" s="51" t="s">
        <v>524</v>
      </c>
      <c r="B1" s="51" t="s">
        <v>532</v>
      </c>
      <c r="C1" s="51" t="s">
        <v>526</v>
      </c>
      <c r="D1" s="51" t="s">
        <v>533</v>
      </c>
      <c r="E1" s="51" t="s">
        <v>534</v>
      </c>
      <c r="F1" s="51" t="s">
        <v>326</v>
      </c>
      <c r="G1" s="51" t="s">
        <v>535</v>
      </c>
      <c r="H1" s="51" t="s">
        <v>536</v>
      </c>
      <c r="I1" s="51" t="s">
        <v>537</v>
      </c>
      <c r="J1" s="51" t="s">
        <v>538</v>
      </c>
      <c r="K1" s="51" t="s">
        <v>539</v>
      </c>
      <c r="L1" s="51" t="s">
        <v>540</v>
      </c>
      <c r="M1" s="51" t="s">
        <v>541</v>
      </c>
      <c r="N1" s="51" t="s">
        <v>542</v>
      </c>
      <c r="O1" s="51" t="s">
        <v>543</v>
      </c>
      <c r="P1" s="51" t="s">
        <v>544</v>
      </c>
      <c r="Q1" s="51" t="s">
        <v>545</v>
      </c>
      <c r="R1" s="51" t="s">
        <v>546</v>
      </c>
      <c r="S1" s="51" t="s">
        <v>547</v>
      </c>
      <c r="T1" s="51" t="s">
        <v>548</v>
      </c>
      <c r="U1" s="51" t="s">
        <v>549</v>
      </c>
      <c r="V1" s="51" t="s">
        <v>550</v>
      </c>
      <c r="W1" s="51" t="s">
        <v>551</v>
      </c>
      <c r="X1" s="51" t="s">
        <v>552</v>
      </c>
      <c r="Y1" s="51" t="s">
        <v>553</v>
      </c>
    </row>
    <row r="2" customFormat="false" ht="26.85" hidden="false" customHeight="false" outlineLevel="0" collapsed="false">
      <c r="A2" s="14" t="s">
        <v>554</v>
      </c>
      <c r="B2" s="41" t="s">
        <v>81</v>
      </c>
      <c r="C2" s="14" t="s">
        <v>81</v>
      </c>
      <c r="D2" s="14" t="s">
        <v>555</v>
      </c>
      <c r="E2" s="14" t="s">
        <v>556</v>
      </c>
      <c r="F2" s="41" t="s">
        <v>557</v>
      </c>
      <c r="G2" s="33" t="n">
        <f aca="false">IF(Builder!B5="Low",H2,IF(Builder!B5="Typical",I2,J2))</f>
        <v>1</v>
      </c>
      <c r="H2" s="33" t="n">
        <f aca="false">IFERROR(INDEX(Reference!$CX$2:$CX$4000, MATCH(Builder!G6&amp;"|"&amp;F2, Reference!$CQ$2:$CQ$4000, 0)), 1)</f>
        <v>1</v>
      </c>
      <c r="I2" s="33" t="n">
        <f aca="false">IFERROR(INDEX(Reference!$CY$2:$CY$4000, MATCH(Builder!G6&amp;"|"&amp;F2, Reference!$CQ$2:$CQ$4000, 0)), 1)</f>
        <v>1</v>
      </c>
      <c r="J2" s="33" t="n">
        <f aca="false">IFERROR(INDEX(Reference!$CZ$2:$CZ$4000, MATCH(Builder!G6&amp;"|"&amp;F2, Reference!$CQ$2:$CQ$4000, 0)), 1)</f>
        <v>1</v>
      </c>
      <c r="K2" s="33" t="n">
        <f aca="false">0+IFERROR(INDEX(Reference!$EG$2:$EG$8000, MATCH(Builder!E5&amp;"|"&amp;F2, Reference!$EB$2:$EB$8000, 0)), 1670)</f>
        <v>1670</v>
      </c>
      <c r="L2" s="33" t="n">
        <f aca="false">0+IFERROR(INDEX(Reference!$EH$2:$EH$8000, MATCH(Builder!E5&amp;"|"&amp;F2, Reference!$EB$2:$EB$8000, 0)), 1850)</f>
        <v>1850</v>
      </c>
      <c r="M2" s="33" t="n">
        <f aca="false">0+IFERROR(INDEX(Reference!$EI$2:$EI$8000, MATCH(Builder!E5&amp;"|"&amp;F2, Reference!$EB$2:$EB$8000, 0)), 1990)</f>
        <v>1990</v>
      </c>
      <c r="N2" s="33" t="n">
        <f aca="false">IF(AND(Builder!E2="Insurance / Org Tariff",IFERROR(INDEX(Reference!$EZ$2:$EZ$1000, MATCH(F2, Reference!$EX$2:$EX$1000, 0)), "No")="Yes"),0,H2*K2)</f>
        <v>1670</v>
      </c>
      <c r="O2" s="33" t="n">
        <f aca="false">IF(AND(Builder!E2="Insurance / Org Tariff",IFERROR(INDEX(Reference!$EZ$2:$EZ$1000, MATCH(F2, Reference!$EX$2:$EX$1000, 0)), "No")="Yes"),0,I2*K2)</f>
        <v>1670</v>
      </c>
      <c r="P2" s="33" t="n">
        <f aca="false">IF(AND(Builder!E2="Insurance / Org Tariff",IFERROR(INDEX(Reference!$EZ$2:$EZ$1000, MATCH(F2, Reference!$EX$2:$EX$1000, 0)), "No")="Yes"),0,J2*K2)</f>
        <v>1670</v>
      </c>
      <c r="Q2" s="33" t="n">
        <f aca="false">IF(AND(Builder!E2="Insurance / Org Tariff",IFERROR(INDEX(Reference!$EZ$2:$EZ$1000, MATCH(F2, Reference!$EX$2:$EX$1000, 0)), "No")="Yes"),0,H2*L2)</f>
        <v>1850</v>
      </c>
      <c r="R2" s="33" t="n">
        <f aca="false">IF(AND(Builder!E2="Insurance / Org Tariff",IFERROR(INDEX(Reference!$EZ$2:$EZ$1000, MATCH(F2, Reference!$EX$2:$EX$1000, 0)), "No")="Yes"),0,I2*L2)</f>
        <v>1850</v>
      </c>
      <c r="S2" s="33" t="n">
        <f aca="false">IF(AND(Builder!E2="Insurance / Org Tariff",IFERROR(INDEX(Reference!$EZ$2:$EZ$1000, MATCH(F2, Reference!$EX$2:$EX$1000, 0)), "No")="Yes"),0,J2*L2)</f>
        <v>1850</v>
      </c>
      <c r="T2" s="33" t="n">
        <f aca="false">IF(AND(Builder!E2="Insurance / Org Tariff",IFERROR(INDEX(Reference!$EZ$2:$EZ$1000, MATCH(F2, Reference!$EX$2:$EX$1000, 0)), "No")="Yes"),0,H2*M2)</f>
        <v>1990</v>
      </c>
      <c r="U2" s="33" t="n">
        <f aca="false">IF(AND(Builder!E2="Insurance / Org Tariff",IFERROR(INDEX(Reference!$EZ$2:$EZ$1000, MATCH(F2, Reference!$EX$2:$EX$1000, 0)), "No")="Yes"),0,I2*M2)</f>
        <v>1990</v>
      </c>
      <c r="V2" s="33" t="n">
        <f aca="false">IF(AND(Builder!E2="Insurance / Org Tariff",IFERROR(INDEX(Reference!$EZ$2:$EZ$1000, MATCH(F2, Reference!$EX$2:$EX$1000, 0)), "No")="Yes"),0,J2*M2)</f>
        <v>1990</v>
      </c>
      <c r="W2" s="33" t="n">
        <f aca="false">IF(Builder!B5="Low",N2,IF(Builder!B5="Typical",O2,P2))</f>
        <v>1670</v>
      </c>
      <c r="X2" s="33" t="n">
        <f aca="false">IF(Builder!B5="Low",Q2,IF(Builder!B5="Typical",R2,S2))</f>
        <v>1850</v>
      </c>
      <c r="Y2" s="33" t="n">
        <f aca="false">IF(Builder!B5="Low",T2,IF(Builder!B5="Typical",U2,V2))</f>
        <v>1990</v>
      </c>
    </row>
    <row r="3" customFormat="false" ht="15" hidden="false" customHeight="false" outlineLevel="0" collapsed="false">
      <c r="A3" s="14" t="s">
        <v>558</v>
      </c>
      <c r="B3" s="41" t="s">
        <v>79</v>
      </c>
      <c r="C3" s="14" t="s">
        <v>559</v>
      </c>
      <c r="D3" s="14" t="s">
        <v>560</v>
      </c>
      <c r="E3" s="14" t="s">
        <v>561</v>
      </c>
      <c r="F3" s="41" t="s">
        <v>562</v>
      </c>
      <c r="G3" s="33" t="n">
        <f aca="false">Builder!G12</f>
        <v>1</v>
      </c>
      <c r="H3" s="33" t="n">
        <f aca="false">Builder!B12</f>
        <v>0</v>
      </c>
      <c r="I3" s="33" t="n">
        <f aca="false">Builder!C12</f>
        <v>1</v>
      </c>
      <c r="J3" s="33" t="n">
        <f aca="false">Builder!D12</f>
        <v>2</v>
      </c>
      <c r="K3" s="33" t="n">
        <f aca="false">0+IFERROR(INDEX(Reference!$EG$2:$EG$8000, MATCH(Builder!E5&amp;"|"&amp;F3, Reference!$EB$2:$EB$8000, 0)), 550)</f>
        <v>550</v>
      </c>
      <c r="L3" s="33" t="n">
        <f aca="false">0+IFERROR(INDEX(Reference!$EH$2:$EH$8000, MATCH(Builder!E5&amp;"|"&amp;F3, Reference!$EB$2:$EB$8000, 0)), 850)</f>
        <v>850</v>
      </c>
      <c r="M3" s="33" t="n">
        <f aca="false">0+IFERROR(INDEX(Reference!$EI$2:$EI$8000, MATCH(Builder!E5&amp;"|"&amp;F3, Reference!$EB$2:$EB$8000, 0)), 1200)</f>
        <v>1200</v>
      </c>
      <c r="N3" s="33" t="n">
        <f aca="false">IF(AND(Builder!E2="Insurance / Org Tariff",IFERROR(INDEX(Reference!$EZ$2:$EZ$1000, MATCH(F3, Reference!$EX$2:$EX$1000, 0)), "No")="Yes"),0,H3*K3)</f>
        <v>0</v>
      </c>
      <c r="O3" s="33" t="n">
        <f aca="false">IF(AND(Builder!E2="Insurance / Org Tariff",IFERROR(INDEX(Reference!$EZ$2:$EZ$1000, MATCH(F3, Reference!$EX$2:$EX$1000, 0)), "No")="Yes"),0,I3*K3)</f>
        <v>550</v>
      </c>
      <c r="P3" s="33" t="n">
        <f aca="false">IF(AND(Builder!E2="Insurance / Org Tariff",IFERROR(INDEX(Reference!$EZ$2:$EZ$1000, MATCH(F3, Reference!$EX$2:$EX$1000, 0)), "No")="Yes"),0,J3*K3)</f>
        <v>1100</v>
      </c>
      <c r="Q3" s="33" t="n">
        <f aca="false">IF(AND(Builder!E2="Insurance / Org Tariff",IFERROR(INDEX(Reference!$EZ$2:$EZ$1000, MATCH(F3, Reference!$EX$2:$EX$1000, 0)), "No")="Yes"),0,H3*L3)</f>
        <v>0</v>
      </c>
      <c r="R3" s="33" t="n">
        <f aca="false">IF(AND(Builder!E2="Insurance / Org Tariff",IFERROR(INDEX(Reference!$EZ$2:$EZ$1000, MATCH(F3, Reference!$EX$2:$EX$1000, 0)), "No")="Yes"),0,I3*L3)</f>
        <v>850</v>
      </c>
      <c r="S3" s="33" t="n">
        <f aca="false">IF(AND(Builder!E2="Insurance / Org Tariff",IFERROR(INDEX(Reference!$EZ$2:$EZ$1000, MATCH(F3, Reference!$EX$2:$EX$1000, 0)), "No")="Yes"),0,J3*L3)</f>
        <v>1700</v>
      </c>
      <c r="T3" s="33" t="n">
        <f aca="false">IF(AND(Builder!E2="Insurance / Org Tariff",IFERROR(INDEX(Reference!$EZ$2:$EZ$1000, MATCH(F3, Reference!$EX$2:$EX$1000, 0)), "No")="Yes"),0,H3*M3)</f>
        <v>0</v>
      </c>
      <c r="U3" s="33" t="n">
        <f aca="false">IF(AND(Builder!E2="Insurance / Org Tariff",IFERROR(INDEX(Reference!$EZ$2:$EZ$1000, MATCH(F3, Reference!$EX$2:$EX$1000, 0)), "No")="Yes"),0,I3*M3)</f>
        <v>1200</v>
      </c>
      <c r="V3" s="33" t="n">
        <f aca="false">IF(AND(Builder!E2="Insurance / Org Tariff",IFERROR(INDEX(Reference!$EZ$2:$EZ$1000, MATCH(F3, Reference!$EX$2:$EX$1000, 0)), "No")="Yes"),0,J3*M3)</f>
        <v>2400</v>
      </c>
      <c r="W3" s="33" t="n">
        <f aca="false">IF(AND(Builder!E2="Insurance / Org Tariff",IFERROR(INDEX(Reference!$EZ$2:$EZ$1000, MATCH(F3, Reference!$EX$2:$EX$1000, 0)), "No")="Yes"),0,G3*K3)</f>
        <v>550</v>
      </c>
      <c r="X3" s="33" t="n">
        <f aca="false">IF(AND(Builder!E2="Insurance / Org Tariff",IFERROR(INDEX(Reference!$EZ$2:$EZ$1000, MATCH(F3, Reference!$EX$2:$EX$1000, 0)), "No")="Yes"),0,G3*L3)</f>
        <v>850</v>
      </c>
      <c r="Y3" s="33" t="n">
        <f aca="false">IF(AND(Builder!E2="Insurance / Org Tariff",IFERROR(INDEX(Reference!$EZ$2:$EZ$1000, MATCH(F3, Reference!$EX$2:$EX$1000, 0)), "No")="Yes"),0,G3*M3)</f>
        <v>1200</v>
      </c>
    </row>
    <row r="4" customFormat="false" ht="15" hidden="false" customHeight="false" outlineLevel="0" collapsed="false">
      <c r="A4" s="14" t="s">
        <v>563</v>
      </c>
      <c r="B4" s="41" t="s">
        <v>79</v>
      </c>
      <c r="C4" s="14" t="s">
        <v>564</v>
      </c>
      <c r="D4" s="14" t="s">
        <v>560</v>
      </c>
      <c r="E4" s="14" t="s">
        <v>565</v>
      </c>
      <c r="F4" s="41" t="s">
        <v>562</v>
      </c>
      <c r="G4" s="33" t="n">
        <f aca="false">Builder!G11</f>
        <v>2</v>
      </c>
      <c r="H4" s="33" t="n">
        <f aca="false">Builder!B11</f>
        <v>2</v>
      </c>
      <c r="I4" s="33" t="n">
        <f aca="false">Builder!C11</f>
        <v>2</v>
      </c>
      <c r="J4" s="33" t="n">
        <f aca="false">Builder!D11</f>
        <v>3</v>
      </c>
      <c r="K4" s="33" t="n">
        <f aca="false">0+IFERROR(INDEX(Reference!$EJ$2:$EJ$8000, MATCH(Builder!E5&amp;"|"&amp;F4, Reference!$EB$2:$EB$8000, 0)), 1200)</f>
        <v>1200</v>
      </c>
      <c r="L4" s="33" t="n">
        <f aca="false">0+IFERROR(INDEX(Reference!$EJ$2:$EJ$8000, MATCH(Builder!E5&amp;"|"&amp;F4, Reference!$EB$2:$EB$8000, 0)), 1200)</f>
        <v>1200</v>
      </c>
      <c r="M4" s="33" t="n">
        <f aca="false">0+IFERROR(INDEX(Reference!$EJ$2:$EJ$8000, MATCH(Builder!E5&amp;"|"&amp;F4, Reference!$EB$2:$EB$8000, 0)), 1200)</f>
        <v>1200</v>
      </c>
      <c r="N4" s="33" t="n">
        <f aca="false">IF(AND(Builder!E2="Insurance / Org Tariff",IFERROR(INDEX(Reference!$EZ$2:$EZ$1000, MATCH(F4, Reference!$EX$2:$EX$1000, 0)), "No")="Yes"),0,H4*K4)</f>
        <v>2400</v>
      </c>
      <c r="O4" s="33" t="n">
        <f aca="false">IF(AND(Builder!E2="Insurance / Org Tariff",IFERROR(INDEX(Reference!$EZ$2:$EZ$1000, MATCH(F4, Reference!$EX$2:$EX$1000, 0)), "No")="Yes"),0,I4*K4)</f>
        <v>2400</v>
      </c>
      <c r="P4" s="33" t="n">
        <f aca="false">IF(AND(Builder!E2="Insurance / Org Tariff",IFERROR(INDEX(Reference!$EZ$2:$EZ$1000, MATCH(F4, Reference!$EX$2:$EX$1000, 0)), "No")="Yes"),0,J4*K4)</f>
        <v>3600</v>
      </c>
      <c r="Q4" s="33" t="n">
        <f aca="false">IF(AND(Builder!E2="Insurance / Org Tariff",IFERROR(INDEX(Reference!$EZ$2:$EZ$1000, MATCH(F4, Reference!$EX$2:$EX$1000, 0)), "No")="Yes"),0,H4*L4)</f>
        <v>2400</v>
      </c>
      <c r="R4" s="33" t="n">
        <f aca="false">IF(AND(Builder!E2="Insurance / Org Tariff",IFERROR(INDEX(Reference!$EZ$2:$EZ$1000, MATCH(F4, Reference!$EX$2:$EX$1000, 0)), "No")="Yes"),0,I4*L4)</f>
        <v>2400</v>
      </c>
      <c r="S4" s="33" t="n">
        <f aca="false">IF(AND(Builder!E2="Insurance / Org Tariff",IFERROR(INDEX(Reference!$EZ$2:$EZ$1000, MATCH(F4, Reference!$EX$2:$EX$1000, 0)), "No")="Yes"),0,J4*L4)</f>
        <v>3600</v>
      </c>
      <c r="T4" s="33" t="n">
        <f aca="false">IF(AND(Builder!E2="Insurance / Org Tariff",IFERROR(INDEX(Reference!$EZ$2:$EZ$1000, MATCH(F4, Reference!$EX$2:$EX$1000, 0)), "No")="Yes"),0,H4*M4)</f>
        <v>2400</v>
      </c>
      <c r="U4" s="33" t="n">
        <f aca="false">IF(AND(Builder!E2="Insurance / Org Tariff",IFERROR(INDEX(Reference!$EZ$2:$EZ$1000, MATCH(F4, Reference!$EX$2:$EX$1000, 0)), "No")="Yes"),0,I4*M4)</f>
        <v>2400</v>
      </c>
      <c r="V4" s="33" t="n">
        <f aca="false">IF(AND(Builder!E2="Insurance / Org Tariff",IFERROR(INDEX(Reference!$EZ$2:$EZ$1000, MATCH(F4, Reference!$EX$2:$EX$1000, 0)), "No")="Yes"),0,J4*M4)</f>
        <v>3600</v>
      </c>
      <c r="W4" s="33" t="n">
        <f aca="false">IF(AND(Builder!E2="Insurance / Org Tariff",IFERROR(INDEX(Reference!$EZ$2:$EZ$1000, MATCH(F4, Reference!$EX$2:$EX$1000, 0)), "No")="Yes"),0,G4*K4)</f>
        <v>2400</v>
      </c>
      <c r="X4" s="33" t="n">
        <f aca="false">IF(AND(Builder!E2="Insurance / Org Tariff",IFERROR(INDEX(Reference!$EZ$2:$EZ$1000, MATCH(F4, Reference!$EX$2:$EX$1000, 0)), "No")="Yes"),0,G4*L4)</f>
        <v>2400</v>
      </c>
      <c r="Y4" s="33" t="n">
        <f aca="false">IF(AND(Builder!E2="Insurance / Org Tariff",IFERROR(INDEX(Reference!$EZ$2:$EZ$1000, MATCH(F4, Reference!$EX$2:$EX$1000, 0)), "No")="Yes"),0,G4*M4)</f>
        <v>2400</v>
      </c>
    </row>
    <row r="5" customFormat="false" ht="15" hidden="false" customHeight="false" outlineLevel="0" collapsed="false">
      <c r="A5" s="14" t="s">
        <v>566</v>
      </c>
      <c r="B5" s="41" t="s">
        <v>79</v>
      </c>
      <c r="C5" s="14" t="s">
        <v>559</v>
      </c>
      <c r="D5" s="14" t="s">
        <v>560</v>
      </c>
      <c r="E5" s="14" t="s">
        <v>561</v>
      </c>
      <c r="F5" s="41" t="s">
        <v>567</v>
      </c>
      <c r="G5" s="33" t="n">
        <f aca="false">Builder!G12</f>
        <v>1</v>
      </c>
      <c r="H5" s="33" t="n">
        <f aca="false">Builder!B12</f>
        <v>0</v>
      </c>
      <c r="I5" s="33" t="n">
        <f aca="false">Builder!C12</f>
        <v>1</v>
      </c>
      <c r="J5" s="33" t="n">
        <f aca="false">Builder!D12</f>
        <v>2</v>
      </c>
      <c r="K5" s="33" t="n">
        <f aca="false">0+IFERROR(INDEX(Reference!$EG$2:$EG$8000, MATCH(Builder!E5&amp;"|"&amp;F5, Reference!$EB$2:$EB$8000, 0)), 1250)</f>
        <v>1250</v>
      </c>
      <c r="L5" s="33" t="n">
        <f aca="false">0+IFERROR(INDEX(Reference!$EH$2:$EH$8000, MATCH(Builder!E5&amp;"|"&amp;F5, Reference!$EB$2:$EB$8000, 0)), 1250)</f>
        <v>1250</v>
      </c>
      <c r="M5" s="33" t="n">
        <f aca="false">0+IFERROR(INDEX(Reference!$EI$2:$EI$8000, MATCH(Builder!E5&amp;"|"&amp;F5, Reference!$EB$2:$EB$8000, 0)), 1250)</f>
        <v>1250</v>
      </c>
      <c r="N5" s="33" t="n">
        <f aca="false">IF(AND(Builder!E2="Insurance / Org Tariff",IFERROR(INDEX(Reference!$EZ$2:$EZ$1000, MATCH(F5, Reference!$EX$2:$EX$1000, 0)), "No")="Yes"),0,H5*K5)</f>
        <v>0</v>
      </c>
      <c r="O5" s="33" t="n">
        <f aca="false">IF(AND(Builder!E2="Insurance / Org Tariff",IFERROR(INDEX(Reference!$EZ$2:$EZ$1000, MATCH(F5, Reference!$EX$2:$EX$1000, 0)), "No")="Yes"),0,I5*K5)</f>
        <v>1250</v>
      </c>
      <c r="P5" s="33" t="n">
        <f aca="false">IF(AND(Builder!E2="Insurance / Org Tariff",IFERROR(INDEX(Reference!$EZ$2:$EZ$1000, MATCH(F5, Reference!$EX$2:$EX$1000, 0)), "No")="Yes"),0,J5*K5)</f>
        <v>2500</v>
      </c>
      <c r="Q5" s="33" t="n">
        <f aca="false">IF(AND(Builder!E2="Insurance / Org Tariff",IFERROR(INDEX(Reference!$EZ$2:$EZ$1000, MATCH(F5, Reference!$EX$2:$EX$1000, 0)), "No")="Yes"),0,H5*L5)</f>
        <v>0</v>
      </c>
      <c r="R5" s="33" t="n">
        <f aca="false">IF(AND(Builder!E2="Insurance / Org Tariff",IFERROR(INDEX(Reference!$EZ$2:$EZ$1000, MATCH(F5, Reference!$EX$2:$EX$1000, 0)), "No")="Yes"),0,I5*L5)</f>
        <v>1250</v>
      </c>
      <c r="S5" s="33" t="n">
        <f aca="false">IF(AND(Builder!E2="Insurance / Org Tariff",IFERROR(INDEX(Reference!$EZ$2:$EZ$1000, MATCH(F5, Reference!$EX$2:$EX$1000, 0)), "No")="Yes"),0,J5*L5)</f>
        <v>2500</v>
      </c>
      <c r="T5" s="33" t="n">
        <f aca="false">IF(AND(Builder!E2="Insurance / Org Tariff",IFERROR(INDEX(Reference!$EZ$2:$EZ$1000, MATCH(F5, Reference!$EX$2:$EX$1000, 0)), "No")="Yes"),0,H5*M5)</f>
        <v>0</v>
      </c>
      <c r="U5" s="33" t="n">
        <f aca="false">IF(AND(Builder!E2="Insurance / Org Tariff",IFERROR(INDEX(Reference!$EZ$2:$EZ$1000, MATCH(F5, Reference!$EX$2:$EX$1000, 0)), "No")="Yes"),0,I5*M5)</f>
        <v>1250</v>
      </c>
      <c r="V5" s="33" t="n">
        <f aca="false">IF(AND(Builder!E2="Insurance / Org Tariff",IFERROR(INDEX(Reference!$EZ$2:$EZ$1000, MATCH(F5, Reference!$EX$2:$EX$1000, 0)), "No")="Yes"),0,J5*M5)</f>
        <v>2500</v>
      </c>
      <c r="W5" s="33" t="n">
        <f aca="false">IF(AND(Builder!E2="Insurance / Org Tariff",IFERROR(INDEX(Reference!$EZ$2:$EZ$1000, MATCH(F5, Reference!$EX$2:$EX$1000, 0)), "No")="Yes"),0,G5*K5)</f>
        <v>1250</v>
      </c>
      <c r="X5" s="33" t="n">
        <f aca="false">IF(AND(Builder!E2="Insurance / Org Tariff",IFERROR(INDEX(Reference!$EZ$2:$EZ$1000, MATCH(F5, Reference!$EX$2:$EX$1000, 0)), "No")="Yes"),0,G5*L5)</f>
        <v>1250</v>
      </c>
      <c r="Y5" s="33" t="n">
        <f aca="false">IF(AND(Builder!E2="Insurance / Org Tariff",IFERROR(INDEX(Reference!$EZ$2:$EZ$1000, MATCH(F5, Reference!$EX$2:$EX$1000, 0)), "No")="Yes"),0,G5*M5)</f>
        <v>1250</v>
      </c>
    </row>
    <row r="6" customFormat="false" ht="15" hidden="false" customHeight="false" outlineLevel="0" collapsed="false">
      <c r="A6" s="14" t="s">
        <v>568</v>
      </c>
      <c r="B6" s="41" t="s">
        <v>79</v>
      </c>
      <c r="C6" s="14" t="s">
        <v>564</v>
      </c>
      <c r="D6" s="14" t="s">
        <v>560</v>
      </c>
      <c r="E6" s="14" t="s">
        <v>565</v>
      </c>
      <c r="F6" s="41" t="s">
        <v>569</v>
      </c>
      <c r="G6" s="33" t="n">
        <f aca="false">Builder!G11</f>
        <v>2</v>
      </c>
      <c r="H6" s="33" t="n">
        <f aca="false">Builder!B11</f>
        <v>2</v>
      </c>
      <c r="I6" s="33" t="n">
        <f aca="false">Builder!C11</f>
        <v>2</v>
      </c>
      <c r="J6" s="33" t="n">
        <f aca="false">Builder!D11</f>
        <v>3</v>
      </c>
      <c r="K6" s="33" t="n">
        <f aca="false">0+IFERROR(INDEX(Reference!$EJ$2:$EJ$8000, MATCH(Builder!E5&amp;"|"&amp;F6, Reference!$EB$2:$EB$8000, 0)), 10500)</f>
        <v>10500</v>
      </c>
      <c r="L6" s="33" t="n">
        <f aca="false">0+IFERROR(INDEX(Reference!$EJ$2:$EJ$8000, MATCH(Builder!E5&amp;"|"&amp;F6, Reference!$EB$2:$EB$8000, 0)), 10500)</f>
        <v>10500</v>
      </c>
      <c r="M6" s="33" t="n">
        <f aca="false">0+IFERROR(INDEX(Reference!$EJ$2:$EJ$8000, MATCH(Builder!E5&amp;"|"&amp;F6, Reference!$EB$2:$EB$8000, 0)), 10500)</f>
        <v>10500</v>
      </c>
      <c r="N6" s="33" t="n">
        <f aca="false">IF(AND(Builder!E2="Insurance / Org Tariff",IFERROR(INDEX(Reference!$EZ$2:$EZ$1000, MATCH(F6, Reference!$EX$2:$EX$1000, 0)), "No")="Yes"),0,H6*K6)</f>
        <v>21000</v>
      </c>
      <c r="O6" s="33" t="n">
        <f aca="false">IF(AND(Builder!E2="Insurance / Org Tariff",IFERROR(INDEX(Reference!$EZ$2:$EZ$1000, MATCH(F6, Reference!$EX$2:$EX$1000, 0)), "No")="Yes"),0,I6*K6)</f>
        <v>21000</v>
      </c>
      <c r="P6" s="33" t="n">
        <f aca="false">IF(AND(Builder!E2="Insurance / Org Tariff",IFERROR(INDEX(Reference!$EZ$2:$EZ$1000, MATCH(F6, Reference!$EX$2:$EX$1000, 0)), "No")="Yes"),0,J6*K6)</f>
        <v>31500</v>
      </c>
      <c r="Q6" s="33" t="n">
        <f aca="false">IF(AND(Builder!E2="Insurance / Org Tariff",IFERROR(INDEX(Reference!$EZ$2:$EZ$1000, MATCH(F6, Reference!$EX$2:$EX$1000, 0)), "No")="Yes"),0,H6*L6)</f>
        <v>21000</v>
      </c>
      <c r="R6" s="33" t="n">
        <f aca="false">IF(AND(Builder!E2="Insurance / Org Tariff",IFERROR(INDEX(Reference!$EZ$2:$EZ$1000, MATCH(F6, Reference!$EX$2:$EX$1000, 0)), "No")="Yes"),0,I6*L6)</f>
        <v>21000</v>
      </c>
      <c r="S6" s="33" t="n">
        <f aca="false">IF(AND(Builder!E2="Insurance / Org Tariff",IFERROR(INDEX(Reference!$EZ$2:$EZ$1000, MATCH(F6, Reference!$EX$2:$EX$1000, 0)), "No")="Yes"),0,J6*L6)</f>
        <v>31500</v>
      </c>
      <c r="T6" s="33" t="n">
        <f aca="false">IF(AND(Builder!E2="Insurance / Org Tariff",IFERROR(INDEX(Reference!$EZ$2:$EZ$1000, MATCH(F6, Reference!$EX$2:$EX$1000, 0)), "No")="Yes"),0,H6*M6)</f>
        <v>21000</v>
      </c>
      <c r="U6" s="33" t="n">
        <f aca="false">IF(AND(Builder!E2="Insurance / Org Tariff",IFERROR(INDEX(Reference!$EZ$2:$EZ$1000, MATCH(F6, Reference!$EX$2:$EX$1000, 0)), "No")="Yes"),0,I6*M6)</f>
        <v>21000</v>
      </c>
      <c r="V6" s="33" t="n">
        <f aca="false">IF(AND(Builder!E2="Insurance / Org Tariff",IFERROR(INDEX(Reference!$EZ$2:$EZ$1000, MATCH(F6, Reference!$EX$2:$EX$1000, 0)), "No")="Yes"),0,J6*M6)</f>
        <v>31500</v>
      </c>
      <c r="W6" s="33" t="n">
        <f aca="false">IF(AND(Builder!E2="Insurance / Org Tariff",IFERROR(INDEX(Reference!$EZ$2:$EZ$1000, MATCH(F6, Reference!$EX$2:$EX$1000, 0)), "No")="Yes"),0,G6*K6)</f>
        <v>21000</v>
      </c>
      <c r="X6" s="33" t="n">
        <f aca="false">IF(AND(Builder!E2="Insurance / Org Tariff",IFERROR(INDEX(Reference!$EZ$2:$EZ$1000, MATCH(F6, Reference!$EX$2:$EX$1000, 0)), "No")="Yes"),0,G6*L6)</f>
        <v>21000</v>
      </c>
      <c r="Y6" s="33" t="n">
        <f aca="false">IF(AND(Builder!E2="Insurance / Org Tariff",IFERROR(INDEX(Reference!$EZ$2:$EZ$1000, MATCH(F6, Reference!$EX$2:$EX$1000, 0)), "No")="Yes"),0,G6*M6)</f>
        <v>21000</v>
      </c>
    </row>
    <row r="7" customFormat="false" ht="15" hidden="false" customHeight="false" outlineLevel="0" collapsed="false">
      <c r="A7" s="14" t="s">
        <v>570</v>
      </c>
      <c r="B7" s="41" t="s">
        <v>79</v>
      </c>
      <c r="C7" s="14" t="s">
        <v>559</v>
      </c>
      <c r="D7" s="14" t="s">
        <v>560</v>
      </c>
      <c r="E7" s="14" t="s">
        <v>571</v>
      </c>
      <c r="F7" s="41" t="s">
        <v>572</v>
      </c>
      <c r="G7" s="33" t="n">
        <f aca="false">Builder!G12</f>
        <v>1</v>
      </c>
      <c r="H7" s="33" t="n">
        <f aca="false">Builder!B12</f>
        <v>0</v>
      </c>
      <c r="I7" s="33" t="n">
        <f aca="false">Builder!C12</f>
        <v>1</v>
      </c>
      <c r="J7" s="33" t="n">
        <f aca="false">Builder!D12</f>
        <v>2</v>
      </c>
      <c r="K7" s="33" t="n">
        <f aca="false">0+IFERROR(INDEX(Reference!$EG$2:$EG$8000, MATCH(Builder!E5&amp;"|"&amp;"ROM0001", Reference!$EB$2:$EB$8000, 0)), 3320)</f>
        <v>3320</v>
      </c>
      <c r="L7" s="33" t="n">
        <f aca="false">0+IFERROR(INDEX(Reference!$EG$2:$EG$8000, MATCH(Builder!E5&amp;"|"&amp;"ROM0024", Reference!$EB$2:$EB$8000, 0)), 4660)</f>
        <v>4660</v>
      </c>
      <c r="M7" s="33" t="n">
        <f aca="false">0+IFERROR(INDEX(Reference!$EG$2:$EG$8000, MATCH(Builder!E5&amp;"|"&amp;"ROM0036", Reference!$EB$2:$EB$8000, 0)), 7680)</f>
        <v>7680</v>
      </c>
      <c r="N7" s="33" t="n">
        <f aca="false">H7*K7</f>
        <v>0</v>
      </c>
      <c r="O7" s="33" t="n">
        <f aca="false">I7*K7</f>
        <v>3320</v>
      </c>
      <c r="P7" s="33" t="n">
        <f aca="false">J7*K7</f>
        <v>6640</v>
      </c>
      <c r="Q7" s="33" t="n">
        <f aca="false">H7*L7</f>
        <v>0</v>
      </c>
      <c r="R7" s="33" t="n">
        <f aca="false">I7*L7</f>
        <v>4660</v>
      </c>
      <c r="S7" s="33" t="n">
        <f aca="false">J7*L7</f>
        <v>9320</v>
      </c>
      <c r="T7" s="33" t="n">
        <f aca="false">H7*M7</f>
        <v>0</v>
      </c>
      <c r="U7" s="33" t="n">
        <f aca="false">I7*M7</f>
        <v>7680</v>
      </c>
      <c r="V7" s="33" t="n">
        <f aca="false">J7*M7</f>
        <v>15360</v>
      </c>
      <c r="W7" s="33" t="n">
        <f aca="false">G7*K7</f>
        <v>3320</v>
      </c>
      <c r="X7" s="33" t="n">
        <f aca="false">G7*L7</f>
        <v>4660</v>
      </c>
      <c r="Y7" s="33" t="n">
        <f aca="false">G7*M7</f>
        <v>7680</v>
      </c>
    </row>
    <row r="8" customFormat="false" ht="26.85" hidden="false" customHeight="false" outlineLevel="0" collapsed="false">
      <c r="A8" s="14" t="s">
        <v>573</v>
      </c>
      <c r="B8" s="41" t="s">
        <v>88</v>
      </c>
      <c r="C8" s="14" t="s">
        <v>574</v>
      </c>
      <c r="D8" s="14" t="s">
        <v>555</v>
      </c>
      <c r="E8" s="14" t="s">
        <v>556</v>
      </c>
      <c r="F8" s="41" t="s">
        <v>575</v>
      </c>
      <c r="G8" s="33" t="n">
        <f aca="false">IF(Builder!B5="Low",H8,IF(Builder!B5="Typical",I8,J8))</f>
        <v>1</v>
      </c>
      <c r="H8" s="33" t="n">
        <f aca="false">IFERROR(INDEX(Reference!$CX$2:$CX$4000, MATCH(Builder!G6&amp;"|"&amp;F8, Reference!$CQ$2:$CQ$4000, 0)), 1)</f>
        <v>1</v>
      </c>
      <c r="I8" s="33" t="n">
        <f aca="false">IFERROR(INDEX(Reference!$CY$2:$CY$4000, MATCH(Builder!G6&amp;"|"&amp;F8, Reference!$CQ$2:$CQ$4000, 0)), 1)</f>
        <v>1</v>
      </c>
      <c r="J8" s="33" t="n">
        <f aca="false">IFERROR(INDEX(Reference!$CZ$2:$CZ$4000, MATCH(Builder!G6&amp;"|"&amp;F8, Reference!$CQ$2:$CQ$4000, 0)), 1)</f>
        <v>1</v>
      </c>
      <c r="K8" s="33" t="n">
        <f aca="false">0+IFERROR(INDEX(Reference!$EG$2:$EG$8000, MATCH(Builder!E5&amp;"|"&amp;F8, Reference!$EB$2:$EB$8000, 0)), 2000)</f>
        <v>2000</v>
      </c>
      <c r="L8" s="33" t="n">
        <f aca="false">0+IFERROR(INDEX(Reference!$EH$2:$EH$8000, MATCH(Builder!E5&amp;"|"&amp;F8, Reference!$EB$2:$EB$8000, 0)), 2000)</f>
        <v>2000</v>
      </c>
      <c r="M8" s="33" t="n">
        <f aca="false">0+IFERROR(INDEX(Reference!$EI$2:$EI$8000, MATCH(Builder!E5&amp;"|"&amp;F8, Reference!$EB$2:$EB$8000, 0)), 2000)</f>
        <v>2000</v>
      </c>
      <c r="N8" s="33" t="n">
        <f aca="false">IF(AND(Builder!E2="Insurance / Org Tariff",IFERROR(INDEX(Reference!$EZ$2:$EZ$1000, MATCH(F8, Reference!$EX$2:$EX$1000, 0)), "No")="Yes"),0,H8*K8)</f>
        <v>2000</v>
      </c>
      <c r="O8" s="33" t="n">
        <f aca="false">IF(AND(Builder!E2="Insurance / Org Tariff",IFERROR(INDEX(Reference!$EZ$2:$EZ$1000, MATCH(F8, Reference!$EX$2:$EX$1000, 0)), "No")="Yes"),0,I8*K8)</f>
        <v>2000</v>
      </c>
      <c r="P8" s="33" t="n">
        <f aca="false">IF(AND(Builder!E2="Insurance / Org Tariff",IFERROR(INDEX(Reference!$EZ$2:$EZ$1000, MATCH(F8, Reference!$EX$2:$EX$1000, 0)), "No")="Yes"),0,J8*K8)</f>
        <v>2000</v>
      </c>
      <c r="Q8" s="33" t="n">
        <f aca="false">IF(AND(Builder!E2="Insurance / Org Tariff",IFERROR(INDEX(Reference!$EZ$2:$EZ$1000, MATCH(F8, Reference!$EX$2:$EX$1000, 0)), "No")="Yes"),0,H8*L8)</f>
        <v>2000</v>
      </c>
      <c r="R8" s="33" t="n">
        <f aca="false">IF(AND(Builder!E2="Insurance / Org Tariff",IFERROR(INDEX(Reference!$EZ$2:$EZ$1000, MATCH(F8, Reference!$EX$2:$EX$1000, 0)), "No")="Yes"),0,I8*L8)</f>
        <v>2000</v>
      </c>
      <c r="S8" s="33" t="n">
        <f aca="false">IF(AND(Builder!E2="Insurance / Org Tariff",IFERROR(INDEX(Reference!$EZ$2:$EZ$1000, MATCH(F8, Reference!$EX$2:$EX$1000, 0)), "No")="Yes"),0,J8*L8)</f>
        <v>2000</v>
      </c>
      <c r="T8" s="33" t="n">
        <f aca="false">IF(AND(Builder!E2="Insurance / Org Tariff",IFERROR(INDEX(Reference!$EZ$2:$EZ$1000, MATCH(F8, Reference!$EX$2:$EX$1000, 0)), "No")="Yes"),0,H8*M8)</f>
        <v>2000</v>
      </c>
      <c r="U8" s="33" t="n">
        <f aca="false">IF(AND(Builder!E2="Insurance / Org Tariff",IFERROR(INDEX(Reference!$EZ$2:$EZ$1000, MATCH(F8, Reference!$EX$2:$EX$1000, 0)), "No")="Yes"),0,I8*M8)</f>
        <v>2000</v>
      </c>
      <c r="V8" s="33" t="n">
        <f aca="false">IF(AND(Builder!E2="Insurance / Org Tariff",IFERROR(INDEX(Reference!$EZ$2:$EZ$1000, MATCH(F8, Reference!$EX$2:$EX$1000, 0)), "No")="Yes"),0,J8*M8)</f>
        <v>2000</v>
      </c>
      <c r="W8" s="33" t="n">
        <f aca="false">IF(Builder!B5="Low",N8,IF(Builder!B5="Typical",O8,P8))</f>
        <v>2000</v>
      </c>
      <c r="X8" s="33" t="n">
        <f aca="false">IF(Builder!B5="Low",Q8,IF(Builder!B5="Typical",R8,S8))</f>
        <v>2000</v>
      </c>
      <c r="Y8" s="33" t="n">
        <f aca="false">IF(Builder!B5="Low",T8,IF(Builder!B5="Typical",U8,V8))</f>
        <v>2000</v>
      </c>
    </row>
    <row r="9" customFormat="false" ht="15" hidden="false" customHeight="false" outlineLevel="0" collapsed="false">
      <c r="A9" s="14" t="s">
        <v>576</v>
      </c>
      <c r="B9" s="41" t="s">
        <v>90</v>
      </c>
      <c r="C9" s="14" t="s">
        <v>577</v>
      </c>
      <c r="D9" s="14" t="s">
        <v>560</v>
      </c>
      <c r="E9" s="14" t="s">
        <v>578</v>
      </c>
      <c r="F9" s="41" t="s">
        <v>579</v>
      </c>
      <c r="G9" s="33" t="n">
        <v>1</v>
      </c>
      <c r="H9" s="33" t="n">
        <v>1</v>
      </c>
      <c r="I9" s="33" t="n">
        <v>1</v>
      </c>
      <c r="J9" s="33" t="n">
        <v>1</v>
      </c>
      <c r="K9" s="33" t="n">
        <f aca="false">0+IFERROR(INDEX(Reference!$EG$2:$EG$8000, MATCH(Builder!E5&amp;"|"&amp;F9, Reference!$EB$2:$EB$8000, 0)), 1300)</f>
        <v>1300</v>
      </c>
      <c r="L9" s="33" t="n">
        <f aca="false">0+IFERROR(INDEX(Reference!$EH$2:$EH$8000, MATCH(Builder!E5&amp;"|"&amp;F9, Reference!$EB$2:$EB$8000, 0)), 1300)</f>
        <v>1300</v>
      </c>
      <c r="M9" s="33" t="n">
        <f aca="false">0+IFERROR(INDEX(Reference!$EI$2:$EI$8000, MATCH(Builder!E5&amp;"|"&amp;F9, Reference!$EB$2:$EB$8000, 0)), 1300)</f>
        <v>1300</v>
      </c>
      <c r="N9" s="33" t="n">
        <f aca="false">IF(AND(Builder!E2="Insurance / Org Tariff",IFERROR(INDEX(Reference!$EZ$2:$EZ$1000, MATCH(F9, Reference!$EX$2:$EX$1000, 0)), "No")="Yes"),0,K9)</f>
        <v>1300</v>
      </c>
      <c r="O9" s="33" t="n">
        <f aca="false">IF(AND(Builder!E2="Insurance / Org Tariff",IFERROR(INDEX(Reference!$EZ$2:$EZ$1000, MATCH(F9, Reference!$EX$2:$EX$1000, 0)), "No")="Yes"),0,K9)</f>
        <v>1300</v>
      </c>
      <c r="P9" s="33" t="n">
        <f aca="false">IF(AND(Builder!E2="Insurance / Org Tariff",IFERROR(INDEX(Reference!$EZ$2:$EZ$1000, MATCH(F9, Reference!$EX$2:$EX$1000, 0)), "No")="Yes"),0,K9)</f>
        <v>1300</v>
      </c>
      <c r="Q9" s="33" t="n">
        <f aca="false">IF(AND(Builder!E2="Insurance / Org Tariff",IFERROR(INDEX(Reference!$EZ$2:$EZ$1000, MATCH(F9, Reference!$EX$2:$EX$1000, 0)), "No")="Yes"),0,L9)</f>
        <v>1300</v>
      </c>
      <c r="R9" s="33" t="n">
        <f aca="false">IF(AND(Builder!E2="Insurance / Org Tariff",IFERROR(INDEX(Reference!$EZ$2:$EZ$1000, MATCH(F9, Reference!$EX$2:$EX$1000, 0)), "No")="Yes"),0,L9)</f>
        <v>1300</v>
      </c>
      <c r="S9" s="33" t="n">
        <f aca="false">IF(AND(Builder!E2="Insurance / Org Tariff",IFERROR(INDEX(Reference!$EZ$2:$EZ$1000, MATCH(F9, Reference!$EX$2:$EX$1000, 0)), "No")="Yes"),0,L9)</f>
        <v>1300</v>
      </c>
      <c r="T9" s="33" t="n">
        <f aca="false">IF(AND(Builder!E2="Insurance / Org Tariff",IFERROR(INDEX(Reference!$EZ$2:$EZ$1000, MATCH(F9, Reference!$EX$2:$EX$1000, 0)), "No")="Yes"),0,M9)</f>
        <v>1300</v>
      </c>
      <c r="U9" s="33" t="n">
        <f aca="false">IF(AND(Builder!E2="Insurance / Org Tariff",IFERROR(INDEX(Reference!$EZ$2:$EZ$1000, MATCH(F9, Reference!$EX$2:$EX$1000, 0)), "No")="Yes"),0,M9)</f>
        <v>1300</v>
      </c>
      <c r="V9" s="33" t="n">
        <f aca="false">IF(AND(Builder!E2="Insurance / Org Tariff",IFERROR(INDEX(Reference!$EZ$2:$EZ$1000, MATCH(F9, Reference!$EX$2:$EX$1000, 0)), "No")="Yes"),0,M9)</f>
        <v>1300</v>
      </c>
      <c r="W9" s="33" t="n">
        <f aca="false">IF(AND(Builder!E2="Insurance / Org Tariff",IFERROR(INDEX(Reference!$EZ$2:$EZ$1000, MATCH(F9, Reference!$EX$2:$EX$1000, 0)), "No")="Yes"),0,K9)</f>
        <v>1300</v>
      </c>
      <c r="X9" s="33" t="n">
        <f aca="false">IF(AND(Builder!E2="Insurance / Org Tariff",IFERROR(INDEX(Reference!$EZ$2:$EZ$1000, MATCH(F9, Reference!$EX$2:$EX$1000, 0)), "No")="Yes"),0,L9)</f>
        <v>1300</v>
      </c>
      <c r="Y9" s="33" t="n">
        <f aca="false">IF(AND(Builder!E2="Insurance / Org Tariff",IFERROR(INDEX(Reference!$EZ$2:$EZ$1000, MATCH(F9, Reference!$EX$2:$EX$1000, 0)), "No")="Yes"),0,M9)</f>
        <v>1300</v>
      </c>
    </row>
    <row r="10" customFormat="false" ht="26.85" hidden="false" customHeight="false" outlineLevel="0" collapsed="false">
      <c r="A10" s="14" t="s">
        <v>580</v>
      </c>
      <c r="B10" s="41" t="s">
        <v>88</v>
      </c>
      <c r="C10" s="14" t="s">
        <v>581</v>
      </c>
      <c r="D10" s="14" t="s">
        <v>555</v>
      </c>
      <c r="E10" s="14" t="s">
        <v>556</v>
      </c>
      <c r="F10" s="41" t="s">
        <v>582</v>
      </c>
      <c r="G10" s="33" t="n">
        <f aca="false">IF(Builder!B5="Low",H10,IF(Builder!B5="Typical",I10,J10))</f>
        <v>1</v>
      </c>
      <c r="H10" s="33" t="n">
        <f aca="false">IFERROR(INDEX(Reference!$CX$2:$CX$4000, MATCH(Builder!G6&amp;"|"&amp;F10, Reference!$CQ$2:$CQ$4000, 0)), 1)</f>
        <v>1</v>
      </c>
      <c r="I10" s="33" t="n">
        <f aca="false">IFERROR(INDEX(Reference!$CY$2:$CY$4000, MATCH(Builder!G6&amp;"|"&amp;F10, Reference!$CQ$2:$CQ$4000, 0)), 1)</f>
        <v>1</v>
      </c>
      <c r="J10" s="33" t="n">
        <f aca="false">IFERROR(INDEX(Reference!$CZ$2:$CZ$4000, MATCH(Builder!G6&amp;"|"&amp;F10, Reference!$CQ$2:$CQ$4000, 0)), 1)</f>
        <v>1</v>
      </c>
      <c r="K10" s="33" t="n">
        <f aca="false">0+IFERROR(INDEX(Reference!$EG$2:$EG$8000, MATCH(Builder!E5&amp;"|"&amp;F10, Reference!$EB$2:$EB$8000, 0)), 2030)</f>
        <v>2030</v>
      </c>
      <c r="L10" s="33" t="n">
        <f aca="false">0+IFERROR(INDEX(Reference!$EH$2:$EH$8000, MATCH(Builder!E5&amp;"|"&amp;F10, Reference!$EB$2:$EB$8000, 0)), 2210)</f>
        <v>2210</v>
      </c>
      <c r="M10" s="33" t="n">
        <f aca="false">0+IFERROR(INDEX(Reference!$EI$2:$EI$8000, MATCH(Builder!E5&amp;"|"&amp;F10, Reference!$EB$2:$EB$8000, 0)), 2380)</f>
        <v>2380</v>
      </c>
      <c r="N10" s="33" t="n">
        <f aca="false">IF(AND(Builder!E2="Insurance / Org Tariff",IFERROR(INDEX(Reference!$EZ$2:$EZ$1000, MATCH(F10, Reference!$EX$2:$EX$1000, 0)), "No")="Yes"),0,H10*K10)</f>
        <v>2030</v>
      </c>
      <c r="O10" s="33" t="n">
        <f aca="false">IF(AND(Builder!E2="Insurance / Org Tariff",IFERROR(INDEX(Reference!$EZ$2:$EZ$1000, MATCH(F10, Reference!$EX$2:$EX$1000, 0)), "No")="Yes"),0,I10*K10)</f>
        <v>2030</v>
      </c>
      <c r="P10" s="33" t="n">
        <f aca="false">IF(AND(Builder!E2="Insurance / Org Tariff",IFERROR(INDEX(Reference!$EZ$2:$EZ$1000, MATCH(F10, Reference!$EX$2:$EX$1000, 0)), "No")="Yes"),0,J10*K10)</f>
        <v>2030</v>
      </c>
      <c r="Q10" s="33" t="n">
        <f aca="false">IF(AND(Builder!E2="Insurance / Org Tariff",IFERROR(INDEX(Reference!$EZ$2:$EZ$1000, MATCH(F10, Reference!$EX$2:$EX$1000, 0)), "No")="Yes"),0,H10*L10)</f>
        <v>2210</v>
      </c>
      <c r="R10" s="33" t="n">
        <f aca="false">IF(AND(Builder!E2="Insurance / Org Tariff",IFERROR(INDEX(Reference!$EZ$2:$EZ$1000, MATCH(F10, Reference!$EX$2:$EX$1000, 0)), "No")="Yes"),0,I10*L10)</f>
        <v>2210</v>
      </c>
      <c r="S10" s="33" t="n">
        <f aca="false">IF(AND(Builder!E2="Insurance / Org Tariff",IFERROR(INDEX(Reference!$EZ$2:$EZ$1000, MATCH(F10, Reference!$EX$2:$EX$1000, 0)), "No")="Yes"),0,J10*L10)</f>
        <v>2210</v>
      </c>
      <c r="T10" s="33" t="n">
        <f aca="false">IF(AND(Builder!E2="Insurance / Org Tariff",IFERROR(INDEX(Reference!$EZ$2:$EZ$1000, MATCH(F10, Reference!$EX$2:$EX$1000, 0)), "No")="Yes"),0,H10*M10)</f>
        <v>2380</v>
      </c>
      <c r="U10" s="33" t="n">
        <f aca="false">IF(AND(Builder!E2="Insurance / Org Tariff",IFERROR(INDEX(Reference!$EZ$2:$EZ$1000, MATCH(F10, Reference!$EX$2:$EX$1000, 0)), "No")="Yes"),0,I10*M10)</f>
        <v>2380</v>
      </c>
      <c r="V10" s="33" t="n">
        <f aca="false">IF(AND(Builder!E2="Insurance / Org Tariff",IFERROR(INDEX(Reference!$EZ$2:$EZ$1000, MATCH(F10, Reference!$EX$2:$EX$1000, 0)), "No")="Yes"),0,J10*M10)</f>
        <v>2380</v>
      </c>
      <c r="W10" s="33" t="n">
        <f aca="false">IF(Builder!B5="Low",N10,IF(Builder!B5="Typical",O10,P10))</f>
        <v>2030</v>
      </c>
      <c r="X10" s="33" t="n">
        <f aca="false">IF(Builder!B5="Low",Q10,IF(Builder!B5="Typical",R10,S10))</f>
        <v>2210</v>
      </c>
      <c r="Y10" s="33" t="n">
        <f aca="false">IF(Builder!B5="Low",T10,IF(Builder!B5="Typical",U10,V10))</f>
        <v>2380</v>
      </c>
    </row>
    <row r="11" customFormat="false" ht="15" hidden="false" customHeight="false" outlineLevel="0" collapsed="false">
      <c r="A11" s="14" t="s">
        <v>335</v>
      </c>
      <c r="B11" s="41" t="s">
        <v>81</v>
      </c>
      <c r="C11" s="14" t="s">
        <v>81</v>
      </c>
      <c r="D11" s="14" t="s">
        <v>555</v>
      </c>
      <c r="E11" s="14" t="s">
        <v>556</v>
      </c>
      <c r="F11" s="41" t="s">
        <v>334</v>
      </c>
      <c r="G11" s="33" t="n">
        <f aca="false">IF(Builder!B5="Low",H11,IF(Builder!B5="Typical",I11,J11))</f>
        <v>1</v>
      </c>
      <c r="H11" s="33" t="n">
        <f aca="false">IFERROR(INDEX(Reference!$CX$2:$CX$4000, MATCH(Builder!G6&amp;"|"&amp;F11, Reference!$CQ$2:$CQ$4000, 0)), 1)</f>
        <v>1</v>
      </c>
      <c r="I11" s="33" t="n">
        <f aca="false">IFERROR(INDEX(Reference!$CY$2:$CY$4000, MATCH(Builder!G6&amp;"|"&amp;F11, Reference!$CQ$2:$CQ$4000, 0)), 1)</f>
        <v>1</v>
      </c>
      <c r="J11" s="33" t="n">
        <f aca="false">IFERROR(INDEX(Reference!$CZ$2:$CZ$4000, MATCH(Builder!G6&amp;"|"&amp;F11, Reference!$CQ$2:$CQ$4000, 0)), 1)</f>
        <v>1</v>
      </c>
      <c r="K11" s="33" t="n">
        <f aca="false">0+IFERROR(INDEX(Reference!$EG$2:$EG$8000, MATCH(Builder!E5&amp;"|"&amp;F11, Reference!$EB$2:$EB$8000, 0)), 380)</f>
        <v>380</v>
      </c>
      <c r="L11" s="33" t="n">
        <f aca="false">0+IFERROR(INDEX(Reference!$EH$2:$EH$8000, MATCH(Builder!E5&amp;"|"&amp;F11, Reference!$EB$2:$EB$8000, 0)), 420)</f>
        <v>420</v>
      </c>
      <c r="M11" s="33" t="n">
        <f aca="false">0+IFERROR(INDEX(Reference!$EI$2:$EI$8000, MATCH(Builder!E5&amp;"|"&amp;F11, Reference!$EB$2:$EB$8000, 0)), 460)</f>
        <v>460</v>
      </c>
      <c r="N11" s="33" t="n">
        <f aca="false">IF(AND(Builder!E2="Insurance / Org Tariff",IFERROR(INDEX(Reference!$EZ$2:$EZ$1000, MATCH(F11, Reference!$EX$2:$EX$1000, 0)), "No")="Yes"),0,H11*K11)</f>
        <v>380</v>
      </c>
      <c r="O11" s="33" t="n">
        <f aca="false">IF(AND(Builder!E2="Insurance / Org Tariff",IFERROR(INDEX(Reference!$EZ$2:$EZ$1000, MATCH(F11, Reference!$EX$2:$EX$1000, 0)), "No")="Yes"),0,I11*K11)</f>
        <v>380</v>
      </c>
      <c r="P11" s="33" t="n">
        <f aca="false">IF(AND(Builder!E2="Insurance / Org Tariff",IFERROR(INDEX(Reference!$EZ$2:$EZ$1000, MATCH(F11, Reference!$EX$2:$EX$1000, 0)), "No")="Yes"),0,J11*K11)</f>
        <v>380</v>
      </c>
      <c r="Q11" s="33" t="n">
        <f aca="false">IF(AND(Builder!E2="Insurance / Org Tariff",IFERROR(INDEX(Reference!$EZ$2:$EZ$1000, MATCH(F11, Reference!$EX$2:$EX$1000, 0)), "No")="Yes"),0,H11*L11)</f>
        <v>420</v>
      </c>
      <c r="R11" s="33" t="n">
        <f aca="false">IF(AND(Builder!E2="Insurance / Org Tariff",IFERROR(INDEX(Reference!$EZ$2:$EZ$1000, MATCH(F11, Reference!$EX$2:$EX$1000, 0)), "No")="Yes"),0,I11*L11)</f>
        <v>420</v>
      </c>
      <c r="S11" s="33" t="n">
        <f aca="false">IF(AND(Builder!E2="Insurance / Org Tariff",IFERROR(INDEX(Reference!$EZ$2:$EZ$1000, MATCH(F11, Reference!$EX$2:$EX$1000, 0)), "No")="Yes"),0,J11*L11)</f>
        <v>420</v>
      </c>
      <c r="T11" s="33" t="n">
        <f aca="false">IF(AND(Builder!E2="Insurance / Org Tariff",IFERROR(INDEX(Reference!$EZ$2:$EZ$1000, MATCH(F11, Reference!$EX$2:$EX$1000, 0)), "No")="Yes"),0,H11*M11)</f>
        <v>460</v>
      </c>
      <c r="U11" s="33" t="n">
        <f aca="false">IF(AND(Builder!E2="Insurance / Org Tariff",IFERROR(INDEX(Reference!$EZ$2:$EZ$1000, MATCH(F11, Reference!$EX$2:$EX$1000, 0)), "No")="Yes"),0,I11*M11)</f>
        <v>460</v>
      </c>
      <c r="V11" s="33" t="n">
        <f aca="false">IF(AND(Builder!E2="Insurance / Org Tariff",IFERROR(INDEX(Reference!$EZ$2:$EZ$1000, MATCH(F11, Reference!$EX$2:$EX$1000, 0)), "No")="Yes"),0,J11*M11)</f>
        <v>460</v>
      </c>
      <c r="W11" s="33" t="n">
        <f aca="false">IF(Builder!B5="Low",N11,IF(Builder!B5="Typical",O11,P11))</f>
        <v>380</v>
      </c>
      <c r="X11" s="33" t="n">
        <f aca="false">IF(Builder!B5="Low",Q11,IF(Builder!B5="Typical",R11,S11))</f>
        <v>420</v>
      </c>
      <c r="Y11" s="33" t="n">
        <f aca="false">IF(Builder!B5="Low",T11,IF(Builder!B5="Typical",U11,V11))</f>
        <v>460</v>
      </c>
    </row>
    <row r="12" customFormat="false" ht="15" hidden="false" customHeight="false" outlineLevel="0" collapsed="false">
      <c r="A12" s="14" t="s">
        <v>331</v>
      </c>
      <c r="B12" s="41" t="s">
        <v>81</v>
      </c>
      <c r="C12" s="14" t="s">
        <v>81</v>
      </c>
      <c r="D12" s="14" t="s">
        <v>555</v>
      </c>
      <c r="E12" s="14" t="s">
        <v>556</v>
      </c>
      <c r="F12" s="41" t="s">
        <v>330</v>
      </c>
      <c r="G12" s="33" t="n">
        <f aca="false">IF(Builder!B5="Low",H12,IF(Builder!B5="Typical",I12,J12))</f>
        <v>1</v>
      </c>
      <c r="H12" s="33" t="n">
        <f aca="false">IFERROR(INDEX(Reference!$CX$2:$CX$4000, MATCH(Builder!G6&amp;"|"&amp;F12, Reference!$CQ$2:$CQ$4000, 0)), 1)</f>
        <v>1</v>
      </c>
      <c r="I12" s="33" t="n">
        <f aca="false">IFERROR(INDEX(Reference!$CY$2:$CY$4000, MATCH(Builder!G6&amp;"|"&amp;F12, Reference!$CQ$2:$CQ$4000, 0)), 1)</f>
        <v>1</v>
      </c>
      <c r="J12" s="33" t="n">
        <f aca="false">IFERROR(INDEX(Reference!$CZ$2:$CZ$4000, MATCH(Builder!G6&amp;"|"&amp;F12, Reference!$CQ$2:$CQ$4000, 0)), 1)</f>
        <v>1</v>
      </c>
      <c r="K12" s="33" t="n">
        <f aca="false">0+IFERROR(INDEX(Reference!$EG$2:$EG$8000, MATCH(Builder!E5&amp;"|"&amp;F12, Reference!$EB$2:$EB$8000, 0)), 1050)</f>
        <v>1050</v>
      </c>
      <c r="L12" s="33" t="n">
        <f aca="false">0+IFERROR(INDEX(Reference!$EH$2:$EH$8000, MATCH(Builder!E5&amp;"|"&amp;F12, Reference!$EB$2:$EB$8000, 0)), 1160)</f>
        <v>1160</v>
      </c>
      <c r="M12" s="33" t="n">
        <f aca="false">0+IFERROR(INDEX(Reference!$EI$2:$EI$8000, MATCH(Builder!E5&amp;"|"&amp;F12, Reference!$EB$2:$EB$8000, 0)), 1250)</f>
        <v>1250</v>
      </c>
      <c r="N12" s="33" t="n">
        <f aca="false">IF(AND(Builder!E2="Insurance / Org Tariff",IFERROR(INDEX(Reference!$EZ$2:$EZ$1000, MATCH(F12, Reference!$EX$2:$EX$1000, 0)), "No")="Yes"),0,H12*K12)</f>
        <v>1050</v>
      </c>
      <c r="O12" s="33" t="n">
        <f aca="false">IF(AND(Builder!E2="Insurance / Org Tariff",IFERROR(INDEX(Reference!$EZ$2:$EZ$1000, MATCH(F12, Reference!$EX$2:$EX$1000, 0)), "No")="Yes"),0,I12*K12)</f>
        <v>1050</v>
      </c>
      <c r="P12" s="33" t="n">
        <f aca="false">IF(AND(Builder!E2="Insurance / Org Tariff",IFERROR(INDEX(Reference!$EZ$2:$EZ$1000, MATCH(F12, Reference!$EX$2:$EX$1000, 0)), "No")="Yes"),0,J12*K12)</f>
        <v>1050</v>
      </c>
      <c r="Q12" s="33" t="n">
        <f aca="false">IF(AND(Builder!E2="Insurance / Org Tariff",IFERROR(INDEX(Reference!$EZ$2:$EZ$1000, MATCH(F12, Reference!$EX$2:$EX$1000, 0)), "No")="Yes"),0,H12*L12)</f>
        <v>1160</v>
      </c>
      <c r="R12" s="33" t="n">
        <f aca="false">IF(AND(Builder!E2="Insurance / Org Tariff",IFERROR(INDEX(Reference!$EZ$2:$EZ$1000, MATCH(F12, Reference!$EX$2:$EX$1000, 0)), "No")="Yes"),0,I12*L12)</f>
        <v>1160</v>
      </c>
      <c r="S12" s="33" t="n">
        <f aca="false">IF(AND(Builder!E2="Insurance / Org Tariff",IFERROR(INDEX(Reference!$EZ$2:$EZ$1000, MATCH(F12, Reference!$EX$2:$EX$1000, 0)), "No")="Yes"),0,J12*L12)</f>
        <v>1160</v>
      </c>
      <c r="T12" s="33" t="n">
        <f aca="false">IF(AND(Builder!E2="Insurance / Org Tariff",IFERROR(INDEX(Reference!$EZ$2:$EZ$1000, MATCH(F12, Reference!$EX$2:$EX$1000, 0)), "No")="Yes"),0,H12*M12)</f>
        <v>1250</v>
      </c>
      <c r="U12" s="33" t="n">
        <f aca="false">IF(AND(Builder!E2="Insurance / Org Tariff",IFERROR(INDEX(Reference!$EZ$2:$EZ$1000, MATCH(F12, Reference!$EX$2:$EX$1000, 0)), "No")="Yes"),0,I12*M12)</f>
        <v>1250</v>
      </c>
      <c r="V12" s="33" t="n">
        <f aca="false">IF(AND(Builder!E2="Insurance / Org Tariff",IFERROR(INDEX(Reference!$EZ$2:$EZ$1000, MATCH(F12, Reference!$EX$2:$EX$1000, 0)), "No")="Yes"),0,J12*M12)</f>
        <v>1250</v>
      </c>
      <c r="W12" s="33" t="n">
        <f aca="false">IF(Builder!B5="Low",N12,IF(Builder!B5="Typical",O12,P12))</f>
        <v>1050</v>
      </c>
      <c r="X12" s="33" t="n">
        <f aca="false">IF(Builder!B5="Low",Q12,IF(Builder!B5="Typical",R12,S12))</f>
        <v>1160</v>
      </c>
      <c r="Y12" s="33" t="n">
        <f aca="false">IF(Builder!B5="Low",T12,IF(Builder!B5="Typical",U12,V12))</f>
        <v>1250</v>
      </c>
    </row>
    <row r="13" customFormat="false" ht="26.85" hidden="false" customHeight="false" outlineLevel="0" collapsed="false">
      <c r="A13" s="14" t="s">
        <v>583</v>
      </c>
      <c r="B13" s="41" t="s">
        <v>88</v>
      </c>
      <c r="C13" s="14" t="s">
        <v>574</v>
      </c>
      <c r="D13" s="14" t="s">
        <v>555</v>
      </c>
      <c r="E13" s="14" t="s">
        <v>556</v>
      </c>
      <c r="F13" s="41" t="s">
        <v>584</v>
      </c>
      <c r="G13" s="33" t="n">
        <f aca="false">IF(Builder!B5="Low",H13,IF(Builder!B5="Typical",I13,J13))</f>
        <v>1</v>
      </c>
      <c r="H13" s="33" t="n">
        <f aca="false">IFERROR(INDEX(Reference!$CX$2:$CX$4000, MATCH(Builder!G6&amp;"|"&amp;F13, Reference!$CQ$2:$CQ$4000, 0)), 1)</f>
        <v>1</v>
      </c>
      <c r="I13" s="33" t="n">
        <f aca="false">IFERROR(INDEX(Reference!$CY$2:$CY$4000, MATCH(Builder!G6&amp;"|"&amp;F13, Reference!$CQ$2:$CQ$4000, 0)), 1)</f>
        <v>1</v>
      </c>
      <c r="J13" s="33" t="n">
        <f aca="false">IFERROR(INDEX(Reference!$CZ$2:$CZ$4000, MATCH(Builder!G6&amp;"|"&amp;F13, Reference!$CQ$2:$CQ$4000, 0)), 1)</f>
        <v>1</v>
      </c>
      <c r="K13" s="33" t="n">
        <f aca="false">0+IFERROR(INDEX(Reference!$EG$2:$EG$8000, MATCH(Builder!E5&amp;"|"&amp;F13, Reference!$EB$2:$EB$8000, 0)), 100000)</f>
        <v>100000</v>
      </c>
      <c r="L13" s="33" t="n">
        <f aca="false">0+IFERROR(INDEX(Reference!$EH$2:$EH$8000, MATCH(Builder!E5&amp;"|"&amp;F13, Reference!$EB$2:$EB$8000, 0)), 100000)</f>
        <v>100000</v>
      </c>
      <c r="M13" s="33" t="n">
        <f aca="false">0+IFERROR(INDEX(Reference!$EI$2:$EI$8000, MATCH(Builder!E5&amp;"|"&amp;F13, Reference!$EB$2:$EB$8000, 0)), 100000)</f>
        <v>100000</v>
      </c>
      <c r="N13" s="33" t="n">
        <f aca="false">IF(AND(Builder!E2="Insurance / Org Tariff",IFERROR(INDEX(Reference!$EZ$2:$EZ$1000, MATCH(F13, Reference!$EX$2:$EX$1000, 0)), "No")="Yes"),0,IF(Builder!B8="Yes",H13*K13,0))</f>
        <v>100000</v>
      </c>
      <c r="O13" s="33" t="n">
        <f aca="false">IF(AND(Builder!E2="Insurance / Org Tariff",IFERROR(INDEX(Reference!$EZ$2:$EZ$1000, MATCH(F13, Reference!$EX$2:$EX$1000, 0)), "No")="Yes"),0,IF(Builder!B8="Yes",I13*K13,0))</f>
        <v>100000</v>
      </c>
      <c r="P13" s="33" t="n">
        <f aca="false">IF(AND(Builder!E2="Insurance / Org Tariff",IFERROR(INDEX(Reference!$EZ$2:$EZ$1000, MATCH(F13, Reference!$EX$2:$EX$1000, 0)), "No")="Yes"),0,IF(Builder!B8="Yes",J13*K13,0))</f>
        <v>100000</v>
      </c>
      <c r="Q13" s="33" t="n">
        <f aca="false">IF(AND(Builder!E2="Insurance / Org Tariff",IFERROR(INDEX(Reference!$EZ$2:$EZ$1000, MATCH(F13, Reference!$EX$2:$EX$1000, 0)), "No")="Yes"),0,IF(Builder!B8="Yes",H13*L13,0))</f>
        <v>100000</v>
      </c>
      <c r="R13" s="33" t="n">
        <f aca="false">IF(AND(Builder!E2="Insurance / Org Tariff",IFERROR(INDEX(Reference!$EZ$2:$EZ$1000, MATCH(F13, Reference!$EX$2:$EX$1000, 0)), "No")="Yes"),0,IF(Builder!B8="Yes",I13*L13,0))</f>
        <v>100000</v>
      </c>
      <c r="S13" s="33" t="n">
        <f aca="false">IF(AND(Builder!E2="Insurance / Org Tariff",IFERROR(INDEX(Reference!$EZ$2:$EZ$1000, MATCH(F13, Reference!$EX$2:$EX$1000, 0)), "No")="Yes"),0,IF(Builder!B8="Yes",J13*L13,0))</f>
        <v>100000</v>
      </c>
      <c r="T13" s="33" t="n">
        <f aca="false">IF(AND(Builder!E2="Insurance / Org Tariff",IFERROR(INDEX(Reference!$EZ$2:$EZ$1000, MATCH(F13, Reference!$EX$2:$EX$1000, 0)), "No")="Yes"),0,IF(Builder!B8="Yes",H13*M13,0))</f>
        <v>100000</v>
      </c>
      <c r="U13" s="33" t="n">
        <f aca="false">IF(AND(Builder!E2="Insurance / Org Tariff",IFERROR(INDEX(Reference!$EZ$2:$EZ$1000, MATCH(F13, Reference!$EX$2:$EX$1000, 0)), "No")="Yes"),0,IF(Builder!B8="Yes",I13*M13,0))</f>
        <v>100000</v>
      </c>
      <c r="V13" s="33" t="n">
        <f aca="false">IF(AND(Builder!E2="Insurance / Org Tariff",IFERROR(INDEX(Reference!$EZ$2:$EZ$1000, MATCH(F13, Reference!$EX$2:$EX$1000, 0)), "No")="Yes"),0,IF(Builder!B8="Yes",J13*M13,0))</f>
        <v>100000</v>
      </c>
      <c r="W13" s="33" t="n">
        <f aca="false">IF(Builder!B5="Low",N13,IF(Builder!B5="Typical",O13,P13))</f>
        <v>100000</v>
      </c>
      <c r="X13" s="33" t="n">
        <f aca="false">IF(Builder!B5="Low",Q13,IF(Builder!B5="Typical",R13,S13))</f>
        <v>100000</v>
      </c>
      <c r="Y13" s="33" t="n">
        <f aca="false">IF(Builder!B5="Low",T13,IF(Builder!B5="Typical",U13,V13))</f>
        <v>100000</v>
      </c>
    </row>
    <row r="14" customFormat="false" ht="26.85" hidden="false" customHeight="false" outlineLevel="0" collapsed="false">
      <c r="A14" s="14" t="s">
        <v>585</v>
      </c>
      <c r="B14" s="41" t="s">
        <v>88</v>
      </c>
      <c r="C14" s="14" t="s">
        <v>574</v>
      </c>
      <c r="D14" s="14" t="s">
        <v>560</v>
      </c>
      <c r="E14" s="14" t="s">
        <v>578</v>
      </c>
      <c r="F14" s="41" t="s">
        <v>586</v>
      </c>
      <c r="G14" s="33" t="n">
        <v>1</v>
      </c>
      <c r="H14" s="33" t="n">
        <v>1</v>
      </c>
      <c r="I14" s="33" t="n">
        <v>1</v>
      </c>
      <c r="J14" s="33" t="n">
        <v>1</v>
      </c>
      <c r="K14" s="33" t="n">
        <f aca="false">0+IFERROR(INDEX(Reference!$EG$2:$EG$8000, MATCH(Builder!E5&amp;"|"&amp;F14, Reference!$EB$2:$EB$8000, 0)), 10480)</f>
        <v>10480</v>
      </c>
      <c r="L14" s="33" t="n">
        <f aca="false">0+IFERROR(INDEX(Reference!$EH$2:$EH$8000, MATCH(Builder!E5&amp;"|"&amp;F14, Reference!$EB$2:$EB$8000, 0)), 10480)</f>
        <v>10480</v>
      </c>
      <c r="M14" s="33" t="n">
        <f aca="false">0+IFERROR(INDEX(Reference!$EI$2:$EI$8000, MATCH(Builder!E5&amp;"|"&amp;F14, Reference!$EB$2:$EB$8000, 0)), 10480)</f>
        <v>10480</v>
      </c>
      <c r="N14" s="33" t="n">
        <f aca="false">IF(AND(Builder!E2="Insurance / Org Tariff",IFERROR(INDEX(Reference!$EZ$2:$EZ$1000, MATCH(F14, Reference!$EX$2:$EX$1000, 0)), "No")="Yes"),0,K14)</f>
        <v>10480</v>
      </c>
      <c r="O14" s="33" t="n">
        <f aca="false">IF(AND(Builder!E2="Insurance / Org Tariff",IFERROR(INDEX(Reference!$EZ$2:$EZ$1000, MATCH(F14, Reference!$EX$2:$EX$1000, 0)), "No")="Yes"),0,K14)</f>
        <v>10480</v>
      </c>
      <c r="P14" s="33" t="n">
        <f aca="false">IF(AND(Builder!E2="Insurance / Org Tariff",IFERROR(INDEX(Reference!$EZ$2:$EZ$1000, MATCH(F14, Reference!$EX$2:$EX$1000, 0)), "No")="Yes"),0,K14)</f>
        <v>10480</v>
      </c>
      <c r="Q14" s="33" t="n">
        <f aca="false">IF(AND(Builder!E2="Insurance / Org Tariff",IFERROR(INDEX(Reference!$EZ$2:$EZ$1000, MATCH(F14, Reference!$EX$2:$EX$1000, 0)), "No")="Yes"),0,L14)</f>
        <v>10480</v>
      </c>
      <c r="R14" s="33" t="n">
        <f aca="false">IF(AND(Builder!E2="Insurance / Org Tariff",IFERROR(INDEX(Reference!$EZ$2:$EZ$1000, MATCH(F14, Reference!$EX$2:$EX$1000, 0)), "No")="Yes"),0,L14)</f>
        <v>10480</v>
      </c>
      <c r="S14" s="33" t="n">
        <f aca="false">IF(AND(Builder!E2="Insurance / Org Tariff",IFERROR(INDEX(Reference!$EZ$2:$EZ$1000, MATCH(F14, Reference!$EX$2:$EX$1000, 0)), "No")="Yes"),0,L14)</f>
        <v>10480</v>
      </c>
      <c r="T14" s="33" t="n">
        <f aca="false">IF(AND(Builder!E2="Insurance / Org Tariff",IFERROR(INDEX(Reference!$EZ$2:$EZ$1000, MATCH(F14, Reference!$EX$2:$EX$1000, 0)), "No")="Yes"),0,M14)</f>
        <v>10480</v>
      </c>
      <c r="U14" s="33" t="n">
        <f aca="false">IF(AND(Builder!E2="Insurance / Org Tariff",IFERROR(INDEX(Reference!$EZ$2:$EZ$1000, MATCH(F14, Reference!$EX$2:$EX$1000, 0)), "No")="Yes"),0,M14)</f>
        <v>10480</v>
      </c>
      <c r="V14" s="33" t="n">
        <f aca="false">IF(AND(Builder!E2="Insurance / Org Tariff",IFERROR(INDEX(Reference!$EZ$2:$EZ$1000, MATCH(F14, Reference!$EX$2:$EX$1000, 0)), "No")="Yes"),0,M14)</f>
        <v>10480</v>
      </c>
      <c r="W14" s="33" t="n">
        <f aca="false">IF(AND(Builder!E2="Insurance / Org Tariff",IFERROR(INDEX(Reference!$EZ$2:$EZ$1000, MATCH(F14, Reference!$EX$2:$EX$1000, 0)), "No")="Yes"),0,K14)</f>
        <v>10480</v>
      </c>
      <c r="X14" s="33" t="n">
        <f aca="false">IF(AND(Builder!E2="Insurance / Org Tariff",IFERROR(INDEX(Reference!$EZ$2:$EZ$1000, MATCH(F14, Reference!$EX$2:$EX$1000, 0)), "No")="Yes"),0,L14)</f>
        <v>10480</v>
      </c>
      <c r="Y14" s="33" t="n">
        <f aca="false">IF(AND(Builder!E2="Insurance / Org Tariff",IFERROR(INDEX(Reference!$EZ$2:$EZ$1000, MATCH(F14, Reference!$EX$2:$EX$1000, 0)), "No")="Yes"),0,M14)</f>
        <v>10480</v>
      </c>
    </row>
    <row r="15" customFormat="false" ht="26.85" hidden="false" customHeight="false" outlineLevel="0" collapsed="false">
      <c r="A15" s="14" t="s">
        <v>587</v>
      </c>
      <c r="B15" s="41" t="s">
        <v>88</v>
      </c>
      <c r="C15" s="14" t="s">
        <v>574</v>
      </c>
      <c r="D15" s="14" t="s">
        <v>560</v>
      </c>
      <c r="E15" s="14" t="s">
        <v>578</v>
      </c>
      <c r="F15" s="41" t="s">
        <v>588</v>
      </c>
      <c r="G15" s="33" t="n">
        <v>1</v>
      </c>
      <c r="H15" s="33" t="n">
        <v>1</v>
      </c>
      <c r="I15" s="33" t="n">
        <v>1</v>
      </c>
      <c r="J15" s="33" t="n">
        <v>1</v>
      </c>
      <c r="K15" s="33" t="n">
        <f aca="false">0+IFERROR(INDEX(Reference!$EG$2:$EG$8000, MATCH(Builder!E5&amp;"|"&amp;F15, Reference!$EB$2:$EB$8000, 0)), 2470)</f>
        <v>2470</v>
      </c>
      <c r="L15" s="33" t="n">
        <f aca="false">0+IFERROR(INDEX(Reference!$EH$2:$EH$8000, MATCH(Builder!E5&amp;"|"&amp;F15, Reference!$EB$2:$EB$8000, 0)), 2470)</f>
        <v>2470</v>
      </c>
      <c r="M15" s="33" t="n">
        <f aca="false">0+IFERROR(INDEX(Reference!$EI$2:$EI$8000, MATCH(Builder!E5&amp;"|"&amp;F15, Reference!$EB$2:$EB$8000, 0)), 2470)</f>
        <v>2470</v>
      </c>
      <c r="N15" s="33" t="n">
        <f aca="false">IF(AND(Builder!E2="Insurance / Org Tariff",IFERROR(INDEX(Reference!$EZ$2:$EZ$1000, MATCH(F15, Reference!$EX$2:$EX$1000, 0)), "No")="Yes"),0,K15)</f>
        <v>2470</v>
      </c>
      <c r="O15" s="33" t="n">
        <f aca="false">IF(AND(Builder!E2="Insurance / Org Tariff",IFERROR(INDEX(Reference!$EZ$2:$EZ$1000, MATCH(F15, Reference!$EX$2:$EX$1000, 0)), "No")="Yes"),0,K15)</f>
        <v>2470</v>
      </c>
      <c r="P15" s="33" t="n">
        <f aca="false">IF(AND(Builder!E2="Insurance / Org Tariff",IFERROR(INDEX(Reference!$EZ$2:$EZ$1000, MATCH(F15, Reference!$EX$2:$EX$1000, 0)), "No")="Yes"),0,K15)</f>
        <v>2470</v>
      </c>
      <c r="Q15" s="33" t="n">
        <f aca="false">IF(AND(Builder!E2="Insurance / Org Tariff",IFERROR(INDEX(Reference!$EZ$2:$EZ$1000, MATCH(F15, Reference!$EX$2:$EX$1000, 0)), "No")="Yes"),0,L15)</f>
        <v>2470</v>
      </c>
      <c r="R15" s="33" t="n">
        <f aca="false">IF(AND(Builder!E2="Insurance / Org Tariff",IFERROR(INDEX(Reference!$EZ$2:$EZ$1000, MATCH(F15, Reference!$EX$2:$EX$1000, 0)), "No")="Yes"),0,L15)</f>
        <v>2470</v>
      </c>
      <c r="S15" s="33" t="n">
        <f aca="false">IF(AND(Builder!E2="Insurance / Org Tariff",IFERROR(INDEX(Reference!$EZ$2:$EZ$1000, MATCH(F15, Reference!$EX$2:$EX$1000, 0)), "No")="Yes"),0,L15)</f>
        <v>2470</v>
      </c>
      <c r="T15" s="33" t="n">
        <f aca="false">IF(AND(Builder!E2="Insurance / Org Tariff",IFERROR(INDEX(Reference!$EZ$2:$EZ$1000, MATCH(F15, Reference!$EX$2:$EX$1000, 0)), "No")="Yes"),0,M15)</f>
        <v>2470</v>
      </c>
      <c r="U15" s="33" t="n">
        <f aca="false">IF(AND(Builder!E2="Insurance / Org Tariff",IFERROR(INDEX(Reference!$EZ$2:$EZ$1000, MATCH(F15, Reference!$EX$2:$EX$1000, 0)), "No")="Yes"),0,M15)</f>
        <v>2470</v>
      </c>
      <c r="V15" s="33" t="n">
        <f aca="false">IF(AND(Builder!E2="Insurance / Org Tariff",IFERROR(INDEX(Reference!$EZ$2:$EZ$1000, MATCH(F15, Reference!$EX$2:$EX$1000, 0)), "No")="Yes"),0,M15)</f>
        <v>2470</v>
      </c>
      <c r="W15" s="33" t="n">
        <f aca="false">IF(AND(Builder!E2="Insurance / Org Tariff",IFERROR(INDEX(Reference!$EZ$2:$EZ$1000, MATCH(F15, Reference!$EX$2:$EX$1000, 0)), "No")="Yes"),0,K15)</f>
        <v>2470</v>
      </c>
      <c r="X15" s="33" t="n">
        <f aca="false">IF(AND(Builder!E2="Insurance / Org Tariff",IFERROR(INDEX(Reference!$EZ$2:$EZ$1000, MATCH(F15, Reference!$EX$2:$EX$1000, 0)), "No")="Yes"),0,L15)</f>
        <v>2470</v>
      </c>
      <c r="Y15" s="33" t="n">
        <f aca="false">IF(AND(Builder!E2="Insurance / Org Tariff",IFERROR(INDEX(Reference!$EZ$2:$EZ$1000, MATCH(F15, Reference!$EX$2:$EX$1000, 0)), "No")="Yes"),0,M15)</f>
        <v>2470</v>
      </c>
    </row>
    <row r="16" customFormat="false" ht="26.85" hidden="false" customHeight="false" outlineLevel="0" collapsed="false">
      <c r="A16" s="14" t="s">
        <v>589</v>
      </c>
      <c r="B16" s="41" t="s">
        <v>88</v>
      </c>
      <c r="C16" s="14" t="s">
        <v>574</v>
      </c>
      <c r="D16" s="14" t="s">
        <v>560</v>
      </c>
      <c r="E16" s="14" t="s">
        <v>578</v>
      </c>
      <c r="F16" s="41" t="s">
        <v>590</v>
      </c>
      <c r="G16" s="33" t="n">
        <v>1</v>
      </c>
      <c r="H16" s="33" t="n">
        <v>1</v>
      </c>
      <c r="I16" s="33" t="n">
        <v>1</v>
      </c>
      <c r="J16" s="33" t="n">
        <v>1</v>
      </c>
      <c r="K16" s="33" t="n">
        <f aca="false">0+IFERROR(INDEX(Reference!$EG$2:$EG$8000, MATCH(Builder!E5&amp;"|"&amp;F16, Reference!$EB$2:$EB$8000, 0)), 3020)</f>
        <v>3020</v>
      </c>
      <c r="L16" s="33" t="n">
        <f aca="false">0+IFERROR(INDEX(Reference!$EH$2:$EH$8000, MATCH(Builder!E5&amp;"|"&amp;F16, Reference!$EB$2:$EB$8000, 0)), 3020)</f>
        <v>3020</v>
      </c>
      <c r="M16" s="33" t="n">
        <f aca="false">0+IFERROR(INDEX(Reference!$EI$2:$EI$8000, MATCH(Builder!E5&amp;"|"&amp;F16, Reference!$EB$2:$EB$8000, 0)), 3020)</f>
        <v>3020</v>
      </c>
      <c r="N16" s="33" t="n">
        <f aca="false">IF(AND(Builder!E2="Insurance / Org Tariff",IFERROR(INDEX(Reference!$EZ$2:$EZ$1000, MATCH(F16, Reference!$EX$2:$EX$1000, 0)), "No")="Yes"),0,K16)</f>
        <v>3020</v>
      </c>
      <c r="O16" s="33" t="n">
        <f aca="false">IF(AND(Builder!E2="Insurance / Org Tariff",IFERROR(INDEX(Reference!$EZ$2:$EZ$1000, MATCH(F16, Reference!$EX$2:$EX$1000, 0)), "No")="Yes"),0,K16)</f>
        <v>3020</v>
      </c>
      <c r="P16" s="33" t="n">
        <f aca="false">IF(AND(Builder!E2="Insurance / Org Tariff",IFERROR(INDEX(Reference!$EZ$2:$EZ$1000, MATCH(F16, Reference!$EX$2:$EX$1000, 0)), "No")="Yes"),0,K16)</f>
        <v>3020</v>
      </c>
      <c r="Q16" s="33" t="n">
        <f aca="false">IF(AND(Builder!E2="Insurance / Org Tariff",IFERROR(INDEX(Reference!$EZ$2:$EZ$1000, MATCH(F16, Reference!$EX$2:$EX$1000, 0)), "No")="Yes"),0,L16)</f>
        <v>3020</v>
      </c>
      <c r="R16" s="33" t="n">
        <f aca="false">IF(AND(Builder!E2="Insurance / Org Tariff",IFERROR(INDEX(Reference!$EZ$2:$EZ$1000, MATCH(F16, Reference!$EX$2:$EX$1000, 0)), "No")="Yes"),0,L16)</f>
        <v>3020</v>
      </c>
      <c r="S16" s="33" t="n">
        <f aca="false">IF(AND(Builder!E2="Insurance / Org Tariff",IFERROR(INDEX(Reference!$EZ$2:$EZ$1000, MATCH(F16, Reference!$EX$2:$EX$1000, 0)), "No")="Yes"),0,L16)</f>
        <v>3020</v>
      </c>
      <c r="T16" s="33" t="n">
        <f aca="false">IF(AND(Builder!E2="Insurance / Org Tariff",IFERROR(INDEX(Reference!$EZ$2:$EZ$1000, MATCH(F16, Reference!$EX$2:$EX$1000, 0)), "No")="Yes"),0,M16)</f>
        <v>3020</v>
      </c>
      <c r="U16" s="33" t="n">
        <f aca="false">IF(AND(Builder!E2="Insurance / Org Tariff",IFERROR(INDEX(Reference!$EZ$2:$EZ$1000, MATCH(F16, Reference!$EX$2:$EX$1000, 0)), "No")="Yes"),0,M16)</f>
        <v>3020</v>
      </c>
      <c r="V16" s="33" t="n">
        <f aca="false">IF(AND(Builder!E2="Insurance / Org Tariff",IFERROR(INDEX(Reference!$EZ$2:$EZ$1000, MATCH(F16, Reference!$EX$2:$EX$1000, 0)), "No")="Yes"),0,M16)</f>
        <v>3020</v>
      </c>
      <c r="W16" s="33" t="n">
        <f aca="false">IF(AND(Builder!E2="Insurance / Org Tariff",IFERROR(INDEX(Reference!$EZ$2:$EZ$1000, MATCH(F16, Reference!$EX$2:$EX$1000, 0)), "No")="Yes"),0,K16)</f>
        <v>3020</v>
      </c>
      <c r="X16" s="33" t="n">
        <f aca="false">IF(AND(Builder!E2="Insurance / Org Tariff",IFERROR(INDEX(Reference!$EZ$2:$EZ$1000, MATCH(F16, Reference!$EX$2:$EX$1000, 0)), "No")="Yes"),0,L16)</f>
        <v>3020</v>
      </c>
      <c r="Y16" s="33" t="n">
        <f aca="false">IF(AND(Builder!E2="Insurance / Org Tariff",IFERROR(INDEX(Reference!$EZ$2:$EZ$1000, MATCH(F16, Reference!$EX$2:$EX$1000, 0)), "No")="Yes"),0,M16)</f>
        <v>3020</v>
      </c>
    </row>
    <row r="17" customFormat="false" ht="64.9" hidden="false" customHeight="false" outlineLevel="0" collapsed="false">
      <c r="A17" s="14" t="s">
        <v>574</v>
      </c>
      <c r="B17" s="41" t="s">
        <v>88</v>
      </c>
      <c r="C17" s="14" t="s">
        <v>574</v>
      </c>
      <c r="D17" s="14" t="s">
        <v>560</v>
      </c>
      <c r="E17" s="14" t="s">
        <v>591</v>
      </c>
      <c r="F17" s="41" t="str">
        <f aca="false">Builder!B15</f>
        <v>OTC0010</v>
      </c>
      <c r="G17" s="33" t="n">
        <f aca="false">Builder!G13</f>
        <v>3</v>
      </c>
      <c r="H17" s="33" t="n">
        <f aca="false">Builder!G13</f>
        <v>3</v>
      </c>
      <c r="I17" s="33" t="n">
        <f aca="false">Builder!G13</f>
        <v>3</v>
      </c>
      <c r="J17" s="33" t="n">
        <f aca="false">Builder!G13</f>
        <v>3</v>
      </c>
      <c r="K17" s="33" t="n">
        <f aca="false">0+IFERROR(INDEX(Reference!$EG$2:$EG$8000, MATCH(Builder!E5&amp;"|"&amp;Builder!B15, Reference!$EB$2:$EB$8000, 0)), 0)</f>
        <v>32090</v>
      </c>
      <c r="L17" s="33" t="n">
        <f aca="false">0+IFERROR(INDEX(Reference!$EH$2:$EH$8000, MATCH(Builder!E5&amp;"|"&amp;Builder!B15, Reference!$EB$2:$EB$8000, 0)), 0)</f>
        <v>35440</v>
      </c>
      <c r="M17" s="33" t="n">
        <f aca="false">0+IFERROR(INDEX(Reference!$EI$2:$EI$8000, MATCH(Builder!E5&amp;"|"&amp;Builder!B15, Reference!$EB$2:$EB$8000, 0)), 0)</f>
        <v>38310</v>
      </c>
      <c r="N17" s="33" t="n">
        <f aca="false">K17</f>
        <v>32090</v>
      </c>
      <c r="O17" s="33" t="n">
        <f aca="false">K17</f>
        <v>32090</v>
      </c>
      <c r="P17" s="33" t="n">
        <f aca="false">K17</f>
        <v>32090</v>
      </c>
      <c r="Q17" s="33" t="n">
        <f aca="false">L17</f>
        <v>35440</v>
      </c>
      <c r="R17" s="33" t="n">
        <f aca="false">L17</f>
        <v>35440</v>
      </c>
      <c r="S17" s="33" t="n">
        <f aca="false">L17</f>
        <v>35440</v>
      </c>
      <c r="T17" s="33" t="n">
        <f aca="false">M17</f>
        <v>38310</v>
      </c>
      <c r="U17" s="33" t="n">
        <f aca="false">M17</f>
        <v>38310</v>
      </c>
      <c r="V17" s="33" t="n">
        <f aca="false">M17</f>
        <v>38310</v>
      </c>
      <c r="W17" s="33" t="n">
        <f aca="false">K17</f>
        <v>32090</v>
      </c>
      <c r="X17" s="33" t="n">
        <f aca="false">L17</f>
        <v>35440</v>
      </c>
      <c r="Y17" s="33" t="n">
        <f aca="false">M17</f>
        <v>38310</v>
      </c>
    </row>
    <row r="18" customFormat="false" ht="52.2" hidden="false" customHeight="false" outlineLevel="0" collapsed="false">
      <c r="A18" s="14" t="s">
        <v>592</v>
      </c>
      <c r="B18" s="41" t="s">
        <v>88</v>
      </c>
      <c r="C18" s="14" t="s">
        <v>593</v>
      </c>
      <c r="D18" s="14" t="s">
        <v>594</v>
      </c>
      <c r="E18" s="14" t="s">
        <v>595</v>
      </c>
      <c r="F18" s="41"/>
      <c r="G18" s="33" t="n">
        <v>1</v>
      </c>
      <c r="H18" s="33" t="n">
        <v>1</v>
      </c>
      <c r="I18" s="33" t="n">
        <v>1</v>
      </c>
      <c r="J18" s="33" t="n">
        <v>1</v>
      </c>
      <c r="K18" s="33"/>
      <c r="L18" s="33"/>
      <c r="M18" s="33"/>
      <c r="N18" s="33" t="n">
        <f aca="false">Reference!T4</f>
        <v>0</v>
      </c>
      <c r="O18" s="33" t="n">
        <f aca="false">Reference!U4</f>
        <v>0</v>
      </c>
      <c r="P18" s="33" t="n">
        <f aca="false">Reference!V4</f>
        <v>0</v>
      </c>
      <c r="Q18" s="33" t="n">
        <f aca="false">N18</f>
        <v>0</v>
      </c>
      <c r="R18" s="33" t="n">
        <f aca="false">O18</f>
        <v>0</v>
      </c>
      <c r="S18" s="33" t="n">
        <f aca="false">P18</f>
        <v>0</v>
      </c>
      <c r="T18" s="33" t="n">
        <f aca="false">N18</f>
        <v>0</v>
      </c>
      <c r="U18" s="33" t="n">
        <f aca="false">O18</f>
        <v>0</v>
      </c>
      <c r="V18" s="33" t="n">
        <f aca="false">P18</f>
        <v>0</v>
      </c>
      <c r="W18" s="33" t="n">
        <f aca="false">IF(Builder!B5="Low",N18,IF(Builder!B5="Typical",O18,P18))</f>
        <v>0</v>
      </c>
      <c r="X18" s="33" t="n">
        <f aca="false">W18</f>
        <v>0</v>
      </c>
      <c r="Y18" s="33" t="n">
        <f aca="false">W18</f>
        <v>0</v>
      </c>
    </row>
    <row r="19" customFormat="false" ht="15" hidden="false" customHeight="false" outlineLevel="0" collapsed="false">
      <c r="A19" s="14" t="s">
        <v>596</v>
      </c>
      <c r="B19" s="41" t="s">
        <v>79</v>
      </c>
      <c r="C19" s="14" t="s">
        <v>564</v>
      </c>
      <c r="D19" s="14" t="s">
        <v>560</v>
      </c>
      <c r="E19" s="14" t="s">
        <v>565</v>
      </c>
      <c r="F19" s="41" t="s">
        <v>597</v>
      </c>
      <c r="G19" s="33" t="n">
        <f aca="false">Builder!G11</f>
        <v>2</v>
      </c>
      <c r="H19" s="33" t="n">
        <f aca="false">Builder!B11</f>
        <v>2</v>
      </c>
      <c r="I19" s="33" t="n">
        <f aca="false">Builder!C11</f>
        <v>2</v>
      </c>
      <c r="J19" s="33" t="n">
        <f aca="false">Builder!D11</f>
        <v>3</v>
      </c>
      <c r="K19" s="33" t="n">
        <f aca="false">0+IFERROR(INDEX(Reference!$EJ$2:$EJ$8000, MATCH(Builder!E5&amp;"|"&amp;F19, Reference!$EB$2:$EB$8000, 0)), 3000)</f>
        <v>3000</v>
      </c>
      <c r="L19" s="33" t="n">
        <f aca="false">0+IFERROR(INDEX(Reference!$EJ$2:$EJ$8000, MATCH(Builder!E5&amp;"|"&amp;F19, Reference!$EB$2:$EB$8000, 0)), 3000)</f>
        <v>3000</v>
      </c>
      <c r="M19" s="33" t="n">
        <f aca="false">0+IFERROR(INDEX(Reference!$EJ$2:$EJ$8000, MATCH(Builder!E5&amp;"|"&amp;F19, Reference!$EB$2:$EB$8000, 0)), 3000)</f>
        <v>3000</v>
      </c>
      <c r="N19" s="33" t="n">
        <f aca="false">IF(AND(Builder!E2="Insurance / Org Tariff",IFERROR(INDEX(Reference!$EZ$2:$EZ$1000, MATCH(F19, Reference!$EX$2:$EX$1000, 0)), "No")="Yes"),0,H19*K19)</f>
        <v>6000</v>
      </c>
      <c r="O19" s="33" t="n">
        <f aca="false">IF(AND(Builder!E2="Insurance / Org Tariff",IFERROR(INDEX(Reference!$EZ$2:$EZ$1000, MATCH(F19, Reference!$EX$2:$EX$1000, 0)), "No")="Yes"),0,I19*K19)</f>
        <v>6000</v>
      </c>
      <c r="P19" s="33" t="n">
        <f aca="false">IF(AND(Builder!E2="Insurance / Org Tariff",IFERROR(INDEX(Reference!$EZ$2:$EZ$1000, MATCH(F19, Reference!$EX$2:$EX$1000, 0)), "No")="Yes"),0,J19*K19)</f>
        <v>9000</v>
      </c>
      <c r="Q19" s="33" t="n">
        <f aca="false">IF(AND(Builder!E2="Insurance / Org Tariff",IFERROR(INDEX(Reference!$EZ$2:$EZ$1000, MATCH(F19, Reference!$EX$2:$EX$1000, 0)), "No")="Yes"),0,H19*L19)</f>
        <v>6000</v>
      </c>
      <c r="R19" s="33" t="n">
        <f aca="false">IF(AND(Builder!E2="Insurance / Org Tariff",IFERROR(INDEX(Reference!$EZ$2:$EZ$1000, MATCH(F19, Reference!$EX$2:$EX$1000, 0)), "No")="Yes"),0,I19*L19)</f>
        <v>6000</v>
      </c>
      <c r="S19" s="33" t="n">
        <f aca="false">IF(AND(Builder!E2="Insurance / Org Tariff",IFERROR(INDEX(Reference!$EZ$2:$EZ$1000, MATCH(F19, Reference!$EX$2:$EX$1000, 0)), "No")="Yes"),0,J19*L19)</f>
        <v>9000</v>
      </c>
      <c r="T19" s="33" t="n">
        <f aca="false">IF(AND(Builder!E2="Insurance / Org Tariff",IFERROR(INDEX(Reference!$EZ$2:$EZ$1000, MATCH(F19, Reference!$EX$2:$EX$1000, 0)), "No")="Yes"),0,H19*M19)</f>
        <v>6000</v>
      </c>
      <c r="U19" s="33" t="n">
        <f aca="false">IF(AND(Builder!E2="Insurance / Org Tariff",IFERROR(INDEX(Reference!$EZ$2:$EZ$1000, MATCH(F19, Reference!$EX$2:$EX$1000, 0)), "No")="Yes"),0,I19*M19)</f>
        <v>6000</v>
      </c>
      <c r="V19" s="33" t="n">
        <f aca="false">IF(AND(Builder!E2="Insurance / Org Tariff",IFERROR(INDEX(Reference!$EZ$2:$EZ$1000, MATCH(F19, Reference!$EX$2:$EX$1000, 0)), "No")="Yes"),0,J19*M19)</f>
        <v>9000</v>
      </c>
      <c r="W19" s="33" t="n">
        <f aca="false">IF(AND(Builder!E2="Insurance / Org Tariff",IFERROR(INDEX(Reference!$EZ$2:$EZ$1000, MATCH(F19, Reference!$EX$2:$EX$1000, 0)), "No")="Yes"),0,G19*K19)</f>
        <v>6000</v>
      </c>
      <c r="X19" s="33" t="n">
        <f aca="false">IF(AND(Builder!E2="Insurance / Org Tariff",IFERROR(INDEX(Reference!$EZ$2:$EZ$1000, MATCH(F19, Reference!$EX$2:$EX$1000, 0)), "No")="Yes"),0,G19*L19)</f>
        <v>6000</v>
      </c>
      <c r="Y19" s="33" t="n">
        <f aca="false">IF(AND(Builder!E2="Insurance / Org Tariff",IFERROR(INDEX(Reference!$EZ$2:$EZ$1000, MATCH(F19, Reference!$EX$2:$EX$1000, 0)), "No")="Yes"),0,G19*M19)</f>
        <v>6000</v>
      </c>
    </row>
    <row r="20" customFormat="false" ht="15" hidden="false" customHeight="false" outlineLevel="0" collapsed="false">
      <c r="A20" s="14" t="s">
        <v>598</v>
      </c>
      <c r="B20" s="41" t="s">
        <v>79</v>
      </c>
      <c r="C20" s="14" t="s">
        <v>564</v>
      </c>
      <c r="D20" s="14" t="s">
        <v>560</v>
      </c>
      <c r="E20" s="14" t="s">
        <v>565</v>
      </c>
      <c r="F20" s="41" t="s">
        <v>599</v>
      </c>
      <c r="G20" s="33" t="n">
        <f aca="false">Builder!G11</f>
        <v>2</v>
      </c>
      <c r="H20" s="33" t="n">
        <f aca="false">Builder!B11</f>
        <v>2</v>
      </c>
      <c r="I20" s="33" t="n">
        <f aca="false">Builder!C11</f>
        <v>2</v>
      </c>
      <c r="J20" s="33" t="n">
        <f aca="false">Builder!D11</f>
        <v>3</v>
      </c>
      <c r="K20" s="33" t="n">
        <f aca="false">0+IFERROR(INDEX(Reference!$EJ$2:$EJ$8000, MATCH(Builder!E5&amp;"|"&amp;F20, Reference!$EB$2:$EB$8000, 0)), 1500)</f>
        <v>1500</v>
      </c>
      <c r="L20" s="33" t="n">
        <f aca="false">0+IFERROR(INDEX(Reference!$EJ$2:$EJ$8000, MATCH(Builder!E5&amp;"|"&amp;F20, Reference!$EB$2:$EB$8000, 0)), 1500)</f>
        <v>1500</v>
      </c>
      <c r="M20" s="33" t="n">
        <f aca="false">0+IFERROR(INDEX(Reference!$EJ$2:$EJ$8000, MATCH(Builder!E5&amp;"|"&amp;F20, Reference!$EB$2:$EB$8000, 0)), 1500)</f>
        <v>1500</v>
      </c>
      <c r="N20" s="33" t="n">
        <f aca="false">IF(AND(Builder!E2="Insurance / Org Tariff",IFERROR(INDEX(Reference!$EZ$2:$EZ$1000, MATCH(F20, Reference!$EX$2:$EX$1000, 0)), "No")="Yes"),0,H20*K20)</f>
        <v>3000</v>
      </c>
      <c r="O20" s="33" t="n">
        <f aca="false">IF(AND(Builder!E2="Insurance / Org Tariff",IFERROR(INDEX(Reference!$EZ$2:$EZ$1000, MATCH(F20, Reference!$EX$2:$EX$1000, 0)), "No")="Yes"),0,I20*K20)</f>
        <v>3000</v>
      </c>
      <c r="P20" s="33" t="n">
        <f aca="false">IF(AND(Builder!E2="Insurance / Org Tariff",IFERROR(INDEX(Reference!$EZ$2:$EZ$1000, MATCH(F20, Reference!$EX$2:$EX$1000, 0)), "No")="Yes"),0,J20*K20)</f>
        <v>4500</v>
      </c>
      <c r="Q20" s="33" t="n">
        <f aca="false">IF(AND(Builder!E2="Insurance / Org Tariff",IFERROR(INDEX(Reference!$EZ$2:$EZ$1000, MATCH(F20, Reference!$EX$2:$EX$1000, 0)), "No")="Yes"),0,H20*L20)</f>
        <v>3000</v>
      </c>
      <c r="R20" s="33" t="n">
        <f aca="false">IF(AND(Builder!E2="Insurance / Org Tariff",IFERROR(INDEX(Reference!$EZ$2:$EZ$1000, MATCH(F20, Reference!$EX$2:$EX$1000, 0)), "No")="Yes"),0,I20*L20)</f>
        <v>3000</v>
      </c>
      <c r="S20" s="33" t="n">
        <f aca="false">IF(AND(Builder!E2="Insurance / Org Tariff",IFERROR(INDEX(Reference!$EZ$2:$EZ$1000, MATCH(F20, Reference!$EX$2:$EX$1000, 0)), "No")="Yes"),0,J20*L20)</f>
        <v>4500</v>
      </c>
      <c r="T20" s="33" t="n">
        <f aca="false">IF(AND(Builder!E2="Insurance / Org Tariff",IFERROR(INDEX(Reference!$EZ$2:$EZ$1000, MATCH(F20, Reference!$EX$2:$EX$1000, 0)), "No")="Yes"),0,H20*M20)</f>
        <v>3000</v>
      </c>
      <c r="U20" s="33" t="n">
        <f aca="false">IF(AND(Builder!E2="Insurance / Org Tariff",IFERROR(INDEX(Reference!$EZ$2:$EZ$1000, MATCH(F20, Reference!$EX$2:$EX$1000, 0)), "No")="Yes"),0,I20*M20)</f>
        <v>3000</v>
      </c>
      <c r="V20" s="33" t="n">
        <f aca="false">IF(AND(Builder!E2="Insurance / Org Tariff",IFERROR(INDEX(Reference!$EZ$2:$EZ$1000, MATCH(F20, Reference!$EX$2:$EX$1000, 0)), "No")="Yes"),0,J20*M20)</f>
        <v>4500</v>
      </c>
      <c r="W20" s="33" t="n">
        <f aca="false">IF(AND(Builder!E2="Insurance / Org Tariff",IFERROR(INDEX(Reference!$EZ$2:$EZ$1000, MATCH(F20, Reference!$EX$2:$EX$1000, 0)), "No")="Yes"),0,G20*K20)</f>
        <v>3000</v>
      </c>
      <c r="X20" s="33" t="n">
        <f aca="false">IF(AND(Builder!E2="Insurance / Org Tariff",IFERROR(INDEX(Reference!$EZ$2:$EZ$1000, MATCH(F20, Reference!$EX$2:$EX$1000, 0)), "No")="Yes"),0,G20*L20)</f>
        <v>3000</v>
      </c>
      <c r="Y20" s="33" t="n">
        <f aca="false">IF(AND(Builder!E2="Insurance / Org Tariff",IFERROR(INDEX(Reference!$EZ$2:$EZ$1000, MATCH(F20, Reference!$EX$2:$EX$1000, 0)), "No")="Yes"),0,G20*M20)</f>
        <v>3000</v>
      </c>
    </row>
    <row r="21" customFormat="false" ht="15" hidden="false" customHeight="false" outlineLevel="0" collapsed="false">
      <c r="A21" s="14" t="s">
        <v>600</v>
      </c>
      <c r="B21" s="41" t="s">
        <v>79</v>
      </c>
      <c r="C21" s="14" t="s">
        <v>559</v>
      </c>
      <c r="D21" s="14" t="s">
        <v>560</v>
      </c>
      <c r="E21" s="14" t="s">
        <v>601</v>
      </c>
      <c r="F21" s="41" t="s">
        <v>602</v>
      </c>
      <c r="G21" s="33" t="n">
        <f aca="false">Builder!G10</f>
        <v>3</v>
      </c>
      <c r="H21" s="33" t="n">
        <f aca="false">Builder!B10</f>
        <v>2</v>
      </c>
      <c r="I21" s="33" t="n">
        <f aca="false">Builder!C10</f>
        <v>3</v>
      </c>
      <c r="J21" s="33" t="n">
        <f aca="false">Builder!D10</f>
        <v>5</v>
      </c>
      <c r="K21" s="33" t="n">
        <f aca="false">0+IFERROR(INDEX(Reference!$EG$2:$EG$8000, MATCH(Builder!E5&amp;"|"&amp;F21, Reference!$EB$2:$EB$8000, 0)), 350)</f>
        <v>350</v>
      </c>
      <c r="L21" s="33" t="n">
        <f aca="false">0+IFERROR(INDEX(Reference!$EH$2:$EH$8000, MATCH(Builder!E5&amp;"|"&amp;F21, Reference!$EB$2:$EB$8000, 0)), 350)</f>
        <v>350</v>
      </c>
      <c r="M21" s="33" t="n">
        <f aca="false">0+IFERROR(INDEX(Reference!$EI$2:$EI$8000, MATCH(Builder!E5&amp;"|"&amp;F21, Reference!$EB$2:$EB$8000, 0)), 350)</f>
        <v>350</v>
      </c>
      <c r="N21" s="33" t="n">
        <f aca="false">IF(AND(Builder!E2="Insurance / Org Tariff",IFERROR(INDEX(Reference!$EZ$2:$EZ$1000, MATCH(F21, Reference!$EX$2:$EX$1000, 0)), "No")="Yes"),0,H21*K21)</f>
        <v>700</v>
      </c>
      <c r="O21" s="33" t="n">
        <f aca="false">IF(AND(Builder!E2="Insurance / Org Tariff",IFERROR(INDEX(Reference!$EZ$2:$EZ$1000, MATCH(F21, Reference!$EX$2:$EX$1000, 0)), "No")="Yes"),0,I21*K21)</f>
        <v>1050</v>
      </c>
      <c r="P21" s="33" t="n">
        <f aca="false">IF(AND(Builder!E2="Insurance / Org Tariff",IFERROR(INDEX(Reference!$EZ$2:$EZ$1000, MATCH(F21, Reference!$EX$2:$EX$1000, 0)), "No")="Yes"),0,J21*K21)</f>
        <v>1750</v>
      </c>
      <c r="Q21" s="33" t="n">
        <f aca="false">IF(AND(Builder!E2="Insurance / Org Tariff",IFERROR(INDEX(Reference!$EZ$2:$EZ$1000, MATCH(F21, Reference!$EX$2:$EX$1000, 0)), "No")="Yes"),0,H21*L21)</f>
        <v>700</v>
      </c>
      <c r="R21" s="33" t="n">
        <f aca="false">IF(AND(Builder!E2="Insurance / Org Tariff",IFERROR(INDEX(Reference!$EZ$2:$EZ$1000, MATCH(F21, Reference!$EX$2:$EX$1000, 0)), "No")="Yes"),0,I21*L21)</f>
        <v>1050</v>
      </c>
      <c r="S21" s="33" t="n">
        <f aca="false">IF(AND(Builder!E2="Insurance / Org Tariff",IFERROR(INDEX(Reference!$EZ$2:$EZ$1000, MATCH(F21, Reference!$EX$2:$EX$1000, 0)), "No")="Yes"),0,J21*L21)</f>
        <v>1750</v>
      </c>
      <c r="T21" s="33" t="n">
        <f aca="false">IF(AND(Builder!E2="Insurance / Org Tariff",IFERROR(INDEX(Reference!$EZ$2:$EZ$1000, MATCH(F21, Reference!$EX$2:$EX$1000, 0)), "No")="Yes"),0,H21*M21)</f>
        <v>700</v>
      </c>
      <c r="U21" s="33" t="n">
        <f aca="false">IF(AND(Builder!E2="Insurance / Org Tariff",IFERROR(INDEX(Reference!$EZ$2:$EZ$1000, MATCH(F21, Reference!$EX$2:$EX$1000, 0)), "No")="Yes"),0,I21*M21)</f>
        <v>1050</v>
      </c>
      <c r="V21" s="33" t="n">
        <f aca="false">IF(AND(Builder!E2="Insurance / Org Tariff",IFERROR(INDEX(Reference!$EZ$2:$EZ$1000, MATCH(F21, Reference!$EX$2:$EX$1000, 0)), "No")="Yes"),0,J21*M21)</f>
        <v>1750</v>
      </c>
      <c r="W21" s="33" t="n">
        <f aca="false">IF(AND(Builder!E2="Insurance / Org Tariff",IFERROR(INDEX(Reference!$EZ$2:$EZ$1000, MATCH(F21, Reference!$EX$2:$EX$1000, 0)), "No")="Yes"),0,G21*K21)</f>
        <v>1050</v>
      </c>
      <c r="X21" s="33" t="n">
        <f aca="false">IF(AND(Builder!E2="Insurance / Org Tariff",IFERROR(INDEX(Reference!$EZ$2:$EZ$1000, MATCH(F21, Reference!$EX$2:$EX$1000, 0)), "No")="Yes"),0,G21*L21)</f>
        <v>1050</v>
      </c>
      <c r="Y21" s="33" t="n">
        <f aca="false">IF(AND(Builder!E2="Insurance / Org Tariff",IFERROR(INDEX(Reference!$EZ$2:$EZ$1000, MATCH(F21, Reference!$EX$2:$EX$1000, 0)), "No")="Yes"),0,G21*M21)</f>
        <v>1050</v>
      </c>
    </row>
    <row r="22" customFormat="false" ht="15" hidden="false" customHeight="false" outlineLevel="0" collapsed="false">
      <c r="A22" s="14" t="s">
        <v>603</v>
      </c>
      <c r="B22" s="41" t="s">
        <v>90</v>
      </c>
      <c r="C22" s="14" t="s">
        <v>604</v>
      </c>
      <c r="D22" s="14" t="s">
        <v>555</v>
      </c>
      <c r="E22" s="14" t="s">
        <v>556</v>
      </c>
      <c r="F22" s="41" t="s">
        <v>605</v>
      </c>
      <c r="G22" s="33" t="n">
        <f aca="false">IF(Builder!B5="Low",H22,IF(Builder!B5="Typical",I22,J22))</f>
        <v>1</v>
      </c>
      <c r="H22" s="33" t="n">
        <f aca="false">IFERROR(INDEX(Reference!$CX$2:$CX$4000, MATCH(Builder!G6&amp;"|"&amp;F22, Reference!$CQ$2:$CQ$4000, 0)), 1)</f>
        <v>1</v>
      </c>
      <c r="I22" s="33" t="n">
        <f aca="false">IFERROR(INDEX(Reference!$CY$2:$CY$4000, MATCH(Builder!G6&amp;"|"&amp;F22, Reference!$CQ$2:$CQ$4000, 0)), 1)</f>
        <v>1</v>
      </c>
      <c r="J22" s="33" t="n">
        <f aca="false">IFERROR(INDEX(Reference!$CZ$2:$CZ$4000, MATCH(Builder!G6&amp;"|"&amp;F22, Reference!$CQ$2:$CQ$4000, 0)), 1)</f>
        <v>1</v>
      </c>
      <c r="K22" s="33" t="n">
        <f aca="false">0+IFERROR(INDEX(Reference!$EG$2:$EG$8000, MATCH(Builder!E5&amp;"|"&amp;F22, Reference!$EB$2:$EB$8000, 0)), 930)</f>
        <v>930</v>
      </c>
      <c r="L22" s="33" t="n">
        <f aca="false">0+IFERROR(INDEX(Reference!$EH$2:$EH$8000, MATCH(Builder!E5&amp;"|"&amp;F22, Reference!$EB$2:$EB$8000, 0)), 930)</f>
        <v>930</v>
      </c>
      <c r="M22" s="33" t="n">
        <f aca="false">0+IFERROR(INDEX(Reference!$EI$2:$EI$8000, MATCH(Builder!E5&amp;"|"&amp;F22, Reference!$EB$2:$EB$8000, 0)), 930)</f>
        <v>930</v>
      </c>
      <c r="N22" s="33" t="n">
        <f aca="false">IF(AND(Builder!E2="Insurance / Org Tariff",IFERROR(INDEX(Reference!$EZ$2:$EZ$1000, MATCH(F22, Reference!$EX$2:$EX$1000, 0)), "No")="Yes"),0,H22*K22)</f>
        <v>930</v>
      </c>
      <c r="O22" s="33" t="n">
        <f aca="false">IF(AND(Builder!E2="Insurance / Org Tariff",IFERROR(INDEX(Reference!$EZ$2:$EZ$1000, MATCH(F22, Reference!$EX$2:$EX$1000, 0)), "No")="Yes"),0,I22*K22)</f>
        <v>930</v>
      </c>
      <c r="P22" s="33" t="n">
        <f aca="false">IF(AND(Builder!E2="Insurance / Org Tariff",IFERROR(INDEX(Reference!$EZ$2:$EZ$1000, MATCH(F22, Reference!$EX$2:$EX$1000, 0)), "No")="Yes"),0,J22*K22)</f>
        <v>930</v>
      </c>
      <c r="Q22" s="33" t="n">
        <f aca="false">IF(AND(Builder!E2="Insurance / Org Tariff",IFERROR(INDEX(Reference!$EZ$2:$EZ$1000, MATCH(F22, Reference!$EX$2:$EX$1000, 0)), "No")="Yes"),0,H22*L22)</f>
        <v>930</v>
      </c>
      <c r="R22" s="33" t="n">
        <f aca="false">IF(AND(Builder!E2="Insurance / Org Tariff",IFERROR(INDEX(Reference!$EZ$2:$EZ$1000, MATCH(F22, Reference!$EX$2:$EX$1000, 0)), "No")="Yes"),0,I22*L22)</f>
        <v>930</v>
      </c>
      <c r="S22" s="33" t="n">
        <f aca="false">IF(AND(Builder!E2="Insurance / Org Tariff",IFERROR(INDEX(Reference!$EZ$2:$EZ$1000, MATCH(F22, Reference!$EX$2:$EX$1000, 0)), "No")="Yes"),0,J22*L22)</f>
        <v>930</v>
      </c>
      <c r="T22" s="33" t="n">
        <f aca="false">IF(AND(Builder!E2="Insurance / Org Tariff",IFERROR(INDEX(Reference!$EZ$2:$EZ$1000, MATCH(F22, Reference!$EX$2:$EX$1000, 0)), "No")="Yes"),0,H22*M22)</f>
        <v>930</v>
      </c>
      <c r="U22" s="33" t="n">
        <f aca="false">IF(AND(Builder!E2="Insurance / Org Tariff",IFERROR(INDEX(Reference!$EZ$2:$EZ$1000, MATCH(F22, Reference!$EX$2:$EX$1000, 0)), "No")="Yes"),0,I22*M22)</f>
        <v>930</v>
      </c>
      <c r="V22" s="33" t="n">
        <f aca="false">IF(AND(Builder!E2="Insurance / Org Tariff",IFERROR(INDEX(Reference!$EZ$2:$EZ$1000, MATCH(F22, Reference!$EX$2:$EX$1000, 0)), "No")="Yes"),0,J22*M22)</f>
        <v>930</v>
      </c>
      <c r="W22" s="33" t="n">
        <f aca="false">IF(Builder!B5="Low",N22,IF(Builder!B5="Typical",O22,P22))</f>
        <v>930</v>
      </c>
      <c r="X22" s="33" t="n">
        <f aca="false">IF(Builder!B5="Low",Q22,IF(Builder!B5="Typical",R22,S22))</f>
        <v>930</v>
      </c>
      <c r="Y22" s="33" t="n">
        <f aca="false">IF(Builder!B5="Low",T22,IF(Builder!B5="Typical",U22,V22))</f>
        <v>930</v>
      </c>
    </row>
    <row r="23" customFormat="false" ht="15" hidden="false" customHeight="false" outlineLevel="0" collapsed="false">
      <c r="A23" s="14" t="s">
        <v>606</v>
      </c>
      <c r="B23" s="41" t="s">
        <v>79</v>
      </c>
      <c r="C23" s="14" t="s">
        <v>564</v>
      </c>
      <c r="D23" s="14" t="s">
        <v>560</v>
      </c>
      <c r="E23" s="14" t="s">
        <v>565</v>
      </c>
      <c r="F23" s="41" t="s">
        <v>607</v>
      </c>
      <c r="G23" s="33" t="n">
        <f aca="false">Builder!G11</f>
        <v>2</v>
      </c>
      <c r="H23" s="33" t="n">
        <f aca="false">Builder!B11</f>
        <v>2</v>
      </c>
      <c r="I23" s="33" t="n">
        <f aca="false">Builder!C11</f>
        <v>2</v>
      </c>
      <c r="J23" s="33" t="n">
        <f aca="false">Builder!D11</f>
        <v>3</v>
      </c>
      <c r="K23" s="33" t="n">
        <f aca="false">0+IFERROR(INDEX(Reference!$EJ$2:$EJ$8000, MATCH(Builder!E5&amp;"|"&amp;F23, Reference!$EB$2:$EB$8000, 0)), 850)</f>
        <v>850</v>
      </c>
      <c r="L23" s="33" t="n">
        <f aca="false">0+IFERROR(INDEX(Reference!$EJ$2:$EJ$8000, MATCH(Builder!E5&amp;"|"&amp;F23, Reference!$EB$2:$EB$8000, 0)), 850)</f>
        <v>850</v>
      </c>
      <c r="M23" s="33" t="n">
        <f aca="false">0+IFERROR(INDEX(Reference!$EJ$2:$EJ$8000, MATCH(Builder!E5&amp;"|"&amp;F23, Reference!$EB$2:$EB$8000, 0)), 850)</f>
        <v>850</v>
      </c>
      <c r="N23" s="33" t="n">
        <f aca="false">IF(AND(Builder!E2="Insurance / Org Tariff",IFERROR(INDEX(Reference!$EZ$2:$EZ$1000, MATCH(F23, Reference!$EX$2:$EX$1000, 0)), "No")="Yes"),0,H23*K23)</f>
        <v>1700</v>
      </c>
      <c r="O23" s="33" t="n">
        <f aca="false">IF(AND(Builder!E2="Insurance / Org Tariff",IFERROR(INDEX(Reference!$EZ$2:$EZ$1000, MATCH(F23, Reference!$EX$2:$EX$1000, 0)), "No")="Yes"),0,I23*K23)</f>
        <v>1700</v>
      </c>
      <c r="P23" s="33" t="n">
        <f aca="false">IF(AND(Builder!E2="Insurance / Org Tariff",IFERROR(INDEX(Reference!$EZ$2:$EZ$1000, MATCH(F23, Reference!$EX$2:$EX$1000, 0)), "No")="Yes"),0,J23*K23)</f>
        <v>2550</v>
      </c>
      <c r="Q23" s="33" t="n">
        <f aca="false">IF(AND(Builder!E2="Insurance / Org Tariff",IFERROR(INDEX(Reference!$EZ$2:$EZ$1000, MATCH(F23, Reference!$EX$2:$EX$1000, 0)), "No")="Yes"),0,H23*L23)</f>
        <v>1700</v>
      </c>
      <c r="R23" s="33" t="n">
        <f aca="false">IF(AND(Builder!E2="Insurance / Org Tariff",IFERROR(INDEX(Reference!$EZ$2:$EZ$1000, MATCH(F23, Reference!$EX$2:$EX$1000, 0)), "No")="Yes"),0,I23*L23)</f>
        <v>1700</v>
      </c>
      <c r="S23" s="33" t="n">
        <f aca="false">IF(AND(Builder!E2="Insurance / Org Tariff",IFERROR(INDEX(Reference!$EZ$2:$EZ$1000, MATCH(F23, Reference!$EX$2:$EX$1000, 0)), "No")="Yes"),0,J23*L23)</f>
        <v>2550</v>
      </c>
      <c r="T23" s="33" t="n">
        <f aca="false">IF(AND(Builder!E2="Insurance / Org Tariff",IFERROR(INDEX(Reference!$EZ$2:$EZ$1000, MATCH(F23, Reference!$EX$2:$EX$1000, 0)), "No")="Yes"),0,H23*M23)</f>
        <v>1700</v>
      </c>
      <c r="U23" s="33" t="n">
        <f aca="false">IF(AND(Builder!E2="Insurance / Org Tariff",IFERROR(INDEX(Reference!$EZ$2:$EZ$1000, MATCH(F23, Reference!$EX$2:$EX$1000, 0)), "No")="Yes"),0,I23*M23)</f>
        <v>1700</v>
      </c>
      <c r="V23" s="33" t="n">
        <f aca="false">IF(AND(Builder!E2="Insurance / Org Tariff",IFERROR(INDEX(Reference!$EZ$2:$EZ$1000, MATCH(F23, Reference!$EX$2:$EX$1000, 0)), "No")="Yes"),0,J23*M23)</f>
        <v>2550</v>
      </c>
      <c r="W23" s="33" t="n">
        <f aca="false">IF(AND(Builder!E2="Insurance / Org Tariff",IFERROR(INDEX(Reference!$EZ$2:$EZ$1000, MATCH(F23, Reference!$EX$2:$EX$1000, 0)), "No")="Yes"),0,G23*K23)</f>
        <v>1700</v>
      </c>
      <c r="X23" s="33" t="n">
        <f aca="false">IF(AND(Builder!E2="Insurance / Org Tariff",IFERROR(INDEX(Reference!$EZ$2:$EZ$1000, MATCH(F23, Reference!$EX$2:$EX$1000, 0)), "No")="Yes"),0,G23*L23)</f>
        <v>1700</v>
      </c>
      <c r="Y23" s="33" t="n">
        <f aca="false">IF(AND(Builder!E2="Insurance / Org Tariff",IFERROR(INDEX(Reference!$EZ$2:$EZ$1000, MATCH(F23, Reference!$EX$2:$EX$1000, 0)), "No")="Yes"),0,G23*M23)</f>
        <v>1700</v>
      </c>
    </row>
    <row r="24" customFormat="false" ht="15" hidden="false" customHeight="false" outlineLevel="0" collapsed="false">
      <c r="A24" s="14" t="s">
        <v>608</v>
      </c>
      <c r="B24" s="41" t="s">
        <v>90</v>
      </c>
      <c r="C24" s="14" t="s">
        <v>604</v>
      </c>
      <c r="D24" s="14" t="s">
        <v>555</v>
      </c>
      <c r="E24" s="14" t="s">
        <v>556</v>
      </c>
      <c r="F24" s="41" t="s">
        <v>609</v>
      </c>
      <c r="G24" s="33" t="n">
        <f aca="false">IF(Builder!B5="Low",H24,IF(Builder!B5="Typical",I24,J24))</f>
        <v>1</v>
      </c>
      <c r="H24" s="33" t="n">
        <f aca="false">IFERROR(INDEX(Reference!$CX$2:$CX$4000, MATCH(Builder!G6&amp;"|"&amp;F24, Reference!$CQ$2:$CQ$4000, 0)), 1)</f>
        <v>1</v>
      </c>
      <c r="I24" s="33" t="n">
        <f aca="false">IFERROR(INDEX(Reference!$CY$2:$CY$4000, MATCH(Builder!G6&amp;"|"&amp;F24, Reference!$CQ$2:$CQ$4000, 0)), 1)</f>
        <v>1</v>
      </c>
      <c r="J24" s="33" t="n">
        <f aca="false">IFERROR(INDEX(Reference!$CZ$2:$CZ$4000, MATCH(Builder!G6&amp;"|"&amp;F24, Reference!$CQ$2:$CQ$4000, 0)), 1)</f>
        <v>1</v>
      </c>
      <c r="K24" s="33" t="n">
        <f aca="false">0+IFERROR(INDEX(Reference!$EG$2:$EG$8000, MATCH(Builder!E5&amp;"|"&amp;F24, Reference!$EB$2:$EB$8000, 0)), 350)</f>
        <v>350</v>
      </c>
      <c r="L24" s="33" t="n">
        <f aca="false">0+IFERROR(INDEX(Reference!$EH$2:$EH$8000, MATCH(Builder!E5&amp;"|"&amp;F24, Reference!$EB$2:$EB$8000, 0)), 350)</f>
        <v>350</v>
      </c>
      <c r="M24" s="33" t="n">
        <f aca="false">0+IFERROR(INDEX(Reference!$EI$2:$EI$8000, MATCH(Builder!E5&amp;"|"&amp;F24, Reference!$EB$2:$EB$8000, 0)), 350)</f>
        <v>350</v>
      </c>
      <c r="N24" s="33" t="n">
        <f aca="false">IF(AND(Builder!E2="Insurance / Org Tariff",IFERROR(INDEX(Reference!$EZ$2:$EZ$1000, MATCH(F24, Reference!$EX$2:$EX$1000, 0)), "No")="Yes"),0,H24*K24)</f>
        <v>350</v>
      </c>
      <c r="O24" s="33" t="n">
        <f aca="false">IF(AND(Builder!E2="Insurance / Org Tariff",IFERROR(INDEX(Reference!$EZ$2:$EZ$1000, MATCH(F24, Reference!$EX$2:$EX$1000, 0)), "No")="Yes"),0,I24*K24)</f>
        <v>350</v>
      </c>
      <c r="P24" s="33" t="n">
        <f aca="false">IF(AND(Builder!E2="Insurance / Org Tariff",IFERROR(INDEX(Reference!$EZ$2:$EZ$1000, MATCH(F24, Reference!$EX$2:$EX$1000, 0)), "No")="Yes"),0,J24*K24)</f>
        <v>350</v>
      </c>
      <c r="Q24" s="33" t="n">
        <f aca="false">IF(AND(Builder!E2="Insurance / Org Tariff",IFERROR(INDEX(Reference!$EZ$2:$EZ$1000, MATCH(F24, Reference!$EX$2:$EX$1000, 0)), "No")="Yes"),0,H24*L24)</f>
        <v>350</v>
      </c>
      <c r="R24" s="33" t="n">
        <f aca="false">IF(AND(Builder!E2="Insurance / Org Tariff",IFERROR(INDEX(Reference!$EZ$2:$EZ$1000, MATCH(F24, Reference!$EX$2:$EX$1000, 0)), "No")="Yes"),0,I24*L24)</f>
        <v>350</v>
      </c>
      <c r="S24" s="33" t="n">
        <f aca="false">IF(AND(Builder!E2="Insurance / Org Tariff",IFERROR(INDEX(Reference!$EZ$2:$EZ$1000, MATCH(F24, Reference!$EX$2:$EX$1000, 0)), "No")="Yes"),0,J24*L24)</f>
        <v>350</v>
      </c>
      <c r="T24" s="33" t="n">
        <f aca="false">IF(AND(Builder!E2="Insurance / Org Tariff",IFERROR(INDEX(Reference!$EZ$2:$EZ$1000, MATCH(F24, Reference!$EX$2:$EX$1000, 0)), "No")="Yes"),0,H24*M24)</f>
        <v>350</v>
      </c>
      <c r="U24" s="33" t="n">
        <f aca="false">IF(AND(Builder!E2="Insurance / Org Tariff",IFERROR(INDEX(Reference!$EZ$2:$EZ$1000, MATCH(F24, Reference!$EX$2:$EX$1000, 0)), "No")="Yes"),0,I24*M24)</f>
        <v>350</v>
      </c>
      <c r="V24" s="33" t="n">
        <f aca="false">IF(AND(Builder!E2="Insurance / Org Tariff",IFERROR(INDEX(Reference!$EZ$2:$EZ$1000, MATCH(F24, Reference!$EX$2:$EX$1000, 0)), "No")="Yes"),0,J24*M24)</f>
        <v>350</v>
      </c>
      <c r="W24" s="33" t="n">
        <f aca="false">IF(Builder!B5="Low",N24,IF(Builder!B5="Typical",O24,P24))</f>
        <v>350</v>
      </c>
      <c r="X24" s="33" t="n">
        <f aca="false">IF(Builder!B5="Low",Q24,IF(Builder!B5="Typical",R24,S24))</f>
        <v>350</v>
      </c>
      <c r="Y24" s="33" t="n">
        <f aca="false">IF(Builder!B5="Low",T24,IF(Builder!B5="Typical",U24,V24))</f>
        <v>350</v>
      </c>
    </row>
    <row r="25" customFormat="false" ht="15" hidden="false" customHeight="false" outlineLevel="0" collapsed="false">
      <c r="A25" s="14" t="s">
        <v>610</v>
      </c>
      <c r="B25" s="41" t="s">
        <v>90</v>
      </c>
      <c r="C25" s="14" t="s">
        <v>611</v>
      </c>
      <c r="D25" s="14" t="s">
        <v>555</v>
      </c>
      <c r="E25" s="14" t="s">
        <v>556</v>
      </c>
      <c r="F25" s="41" t="s">
        <v>612</v>
      </c>
      <c r="G25" s="33" t="n">
        <f aca="false">IF(Builder!B5="Low",H25,IF(Builder!B5="Typical",I25,J25))</f>
        <v>1</v>
      </c>
      <c r="H25" s="33" t="n">
        <f aca="false">IFERROR(INDEX(Reference!$CX$2:$CX$4000, MATCH(Builder!G6&amp;"|"&amp;F25, Reference!$CQ$2:$CQ$4000, 0)), 1)</f>
        <v>1</v>
      </c>
      <c r="I25" s="33" t="n">
        <f aca="false">IFERROR(INDEX(Reference!$CY$2:$CY$4000, MATCH(Builder!G6&amp;"|"&amp;F25, Reference!$CQ$2:$CQ$4000, 0)), 1)</f>
        <v>1</v>
      </c>
      <c r="J25" s="33" t="n">
        <f aca="false">IFERROR(INDEX(Reference!$CZ$2:$CZ$4000, MATCH(Builder!G6&amp;"|"&amp;F25, Reference!$CQ$2:$CQ$4000, 0)), 1)</f>
        <v>1</v>
      </c>
      <c r="K25" s="33" t="n">
        <f aca="false">0+IFERROR(INDEX(Reference!$EG$2:$EG$8000, MATCH(Builder!E5&amp;"|"&amp;F25, Reference!$EB$2:$EB$8000, 0)), 740)</f>
        <v>740</v>
      </c>
      <c r="L25" s="33" t="n">
        <f aca="false">0+IFERROR(INDEX(Reference!$EH$2:$EH$8000, MATCH(Builder!E5&amp;"|"&amp;F25, Reference!$EB$2:$EB$8000, 0)), 820)</f>
        <v>820</v>
      </c>
      <c r="M25" s="33" t="n">
        <f aca="false">0+IFERROR(INDEX(Reference!$EI$2:$EI$8000, MATCH(Builder!E5&amp;"|"&amp;F25, Reference!$EB$2:$EB$8000, 0)), 880)</f>
        <v>880</v>
      </c>
      <c r="N25" s="33" t="n">
        <f aca="false">IF(AND(Builder!E2="Insurance / Org Tariff",IFERROR(INDEX(Reference!$EZ$2:$EZ$1000, MATCH(F25, Reference!$EX$2:$EX$1000, 0)), "No")="Yes"),0,H25*K25)</f>
        <v>740</v>
      </c>
      <c r="O25" s="33" t="n">
        <f aca="false">IF(AND(Builder!E2="Insurance / Org Tariff",IFERROR(INDEX(Reference!$EZ$2:$EZ$1000, MATCH(F25, Reference!$EX$2:$EX$1000, 0)), "No")="Yes"),0,I25*K25)</f>
        <v>740</v>
      </c>
      <c r="P25" s="33" t="n">
        <f aca="false">IF(AND(Builder!E2="Insurance / Org Tariff",IFERROR(INDEX(Reference!$EZ$2:$EZ$1000, MATCH(F25, Reference!$EX$2:$EX$1000, 0)), "No")="Yes"),0,J25*K25)</f>
        <v>740</v>
      </c>
      <c r="Q25" s="33" t="n">
        <f aca="false">IF(AND(Builder!E2="Insurance / Org Tariff",IFERROR(INDEX(Reference!$EZ$2:$EZ$1000, MATCH(F25, Reference!$EX$2:$EX$1000, 0)), "No")="Yes"),0,H25*L25)</f>
        <v>820</v>
      </c>
      <c r="R25" s="33" t="n">
        <f aca="false">IF(AND(Builder!E2="Insurance / Org Tariff",IFERROR(INDEX(Reference!$EZ$2:$EZ$1000, MATCH(F25, Reference!$EX$2:$EX$1000, 0)), "No")="Yes"),0,I25*L25)</f>
        <v>820</v>
      </c>
      <c r="S25" s="33" t="n">
        <f aca="false">IF(AND(Builder!E2="Insurance / Org Tariff",IFERROR(INDEX(Reference!$EZ$2:$EZ$1000, MATCH(F25, Reference!$EX$2:$EX$1000, 0)), "No")="Yes"),0,J25*L25)</f>
        <v>820</v>
      </c>
      <c r="T25" s="33" t="n">
        <f aca="false">IF(AND(Builder!E2="Insurance / Org Tariff",IFERROR(INDEX(Reference!$EZ$2:$EZ$1000, MATCH(F25, Reference!$EX$2:$EX$1000, 0)), "No")="Yes"),0,H25*M25)</f>
        <v>880</v>
      </c>
      <c r="U25" s="33" t="n">
        <f aca="false">IF(AND(Builder!E2="Insurance / Org Tariff",IFERROR(INDEX(Reference!$EZ$2:$EZ$1000, MATCH(F25, Reference!$EX$2:$EX$1000, 0)), "No")="Yes"),0,I25*M25)</f>
        <v>880</v>
      </c>
      <c r="V25" s="33" t="n">
        <f aca="false">IF(AND(Builder!E2="Insurance / Org Tariff",IFERROR(INDEX(Reference!$EZ$2:$EZ$1000, MATCH(F25, Reference!$EX$2:$EX$1000, 0)), "No")="Yes"),0,J25*M25)</f>
        <v>880</v>
      </c>
      <c r="W25" s="33" t="n">
        <f aca="false">IF(Builder!B5="Low",N25,IF(Builder!B5="Typical",O25,P25))</f>
        <v>740</v>
      </c>
      <c r="X25" s="33" t="n">
        <f aca="false">IF(Builder!B5="Low",Q25,IF(Builder!B5="Typical",R25,S25))</f>
        <v>820</v>
      </c>
      <c r="Y25" s="33" t="n">
        <f aca="false">IF(Builder!B5="Low",T25,IF(Builder!B5="Typical",U25,V25))</f>
        <v>880</v>
      </c>
    </row>
    <row r="26" customFormat="false" ht="15" hidden="false" customHeight="false" outlineLevel="0" collapsed="false">
      <c r="A26" s="14" t="s">
        <v>613</v>
      </c>
      <c r="B26" s="41" t="s">
        <v>90</v>
      </c>
      <c r="C26" s="14" t="s">
        <v>604</v>
      </c>
      <c r="D26" s="14" t="s">
        <v>555</v>
      </c>
      <c r="E26" s="14" t="s">
        <v>556</v>
      </c>
      <c r="F26" s="41" t="s">
        <v>614</v>
      </c>
      <c r="G26" s="33" t="n">
        <f aca="false">IF(Builder!B5="Low",H26,IF(Builder!B5="Typical",I26,J26))</f>
        <v>1</v>
      </c>
      <c r="H26" s="33" t="n">
        <f aca="false">IFERROR(INDEX(Reference!$CX$2:$CX$4000, MATCH(Builder!G6&amp;"|"&amp;F26, Reference!$CQ$2:$CQ$4000, 0)), 1)</f>
        <v>1</v>
      </c>
      <c r="I26" s="33" t="n">
        <f aca="false">IFERROR(INDEX(Reference!$CY$2:$CY$4000, MATCH(Builder!G6&amp;"|"&amp;F26, Reference!$CQ$2:$CQ$4000, 0)), 1)</f>
        <v>1</v>
      </c>
      <c r="J26" s="33" t="n">
        <f aca="false">IFERROR(INDEX(Reference!$CZ$2:$CZ$4000, MATCH(Builder!G6&amp;"|"&amp;F26, Reference!$CQ$2:$CQ$4000, 0)), 1)</f>
        <v>1</v>
      </c>
      <c r="K26" s="33" t="n">
        <f aca="false">0+IFERROR(INDEX(Reference!$EG$2:$EG$8000, MATCH(Builder!E5&amp;"|"&amp;F26, Reference!$EB$2:$EB$8000, 0)), 980)</f>
        <v>980</v>
      </c>
      <c r="L26" s="33" t="n">
        <f aca="false">0+IFERROR(INDEX(Reference!$EH$2:$EH$8000, MATCH(Builder!E5&amp;"|"&amp;F26, Reference!$EB$2:$EB$8000, 0)), 1080)</f>
        <v>1080</v>
      </c>
      <c r="M26" s="33" t="n">
        <f aca="false">0+IFERROR(INDEX(Reference!$EI$2:$EI$8000, MATCH(Builder!E5&amp;"|"&amp;F26, Reference!$EB$2:$EB$8000, 0)), 1170)</f>
        <v>1170</v>
      </c>
      <c r="N26" s="33" t="n">
        <f aca="false">IF(AND(Builder!E2="Insurance / Org Tariff",IFERROR(INDEX(Reference!$EZ$2:$EZ$1000, MATCH(F26, Reference!$EX$2:$EX$1000, 0)), "No")="Yes"),0,H26*K26)</f>
        <v>980</v>
      </c>
      <c r="O26" s="33" t="n">
        <f aca="false">IF(AND(Builder!E2="Insurance / Org Tariff",IFERROR(INDEX(Reference!$EZ$2:$EZ$1000, MATCH(F26, Reference!$EX$2:$EX$1000, 0)), "No")="Yes"),0,I26*K26)</f>
        <v>980</v>
      </c>
      <c r="P26" s="33" t="n">
        <f aca="false">IF(AND(Builder!E2="Insurance / Org Tariff",IFERROR(INDEX(Reference!$EZ$2:$EZ$1000, MATCH(F26, Reference!$EX$2:$EX$1000, 0)), "No")="Yes"),0,J26*K26)</f>
        <v>980</v>
      </c>
      <c r="Q26" s="33" t="n">
        <f aca="false">IF(AND(Builder!E2="Insurance / Org Tariff",IFERROR(INDEX(Reference!$EZ$2:$EZ$1000, MATCH(F26, Reference!$EX$2:$EX$1000, 0)), "No")="Yes"),0,H26*L26)</f>
        <v>1080</v>
      </c>
      <c r="R26" s="33" t="n">
        <f aca="false">IF(AND(Builder!E2="Insurance / Org Tariff",IFERROR(INDEX(Reference!$EZ$2:$EZ$1000, MATCH(F26, Reference!$EX$2:$EX$1000, 0)), "No")="Yes"),0,I26*L26)</f>
        <v>1080</v>
      </c>
      <c r="S26" s="33" t="n">
        <f aca="false">IF(AND(Builder!E2="Insurance / Org Tariff",IFERROR(INDEX(Reference!$EZ$2:$EZ$1000, MATCH(F26, Reference!$EX$2:$EX$1000, 0)), "No")="Yes"),0,J26*L26)</f>
        <v>1080</v>
      </c>
      <c r="T26" s="33" t="n">
        <f aca="false">IF(AND(Builder!E2="Insurance / Org Tariff",IFERROR(INDEX(Reference!$EZ$2:$EZ$1000, MATCH(F26, Reference!$EX$2:$EX$1000, 0)), "No")="Yes"),0,H26*M26)</f>
        <v>1170</v>
      </c>
      <c r="U26" s="33" t="n">
        <f aca="false">IF(AND(Builder!E2="Insurance / Org Tariff",IFERROR(INDEX(Reference!$EZ$2:$EZ$1000, MATCH(F26, Reference!$EX$2:$EX$1000, 0)), "No")="Yes"),0,I26*M26)</f>
        <v>1170</v>
      </c>
      <c r="V26" s="33" t="n">
        <f aca="false">IF(AND(Builder!E2="Insurance / Org Tariff",IFERROR(INDEX(Reference!$EZ$2:$EZ$1000, MATCH(F26, Reference!$EX$2:$EX$1000, 0)), "No")="Yes"),0,J26*M26)</f>
        <v>1170</v>
      </c>
      <c r="W26" s="33" t="n">
        <f aca="false">IF(Builder!B5="Low",N26,IF(Builder!B5="Typical",O26,P26))</f>
        <v>980</v>
      </c>
      <c r="X26" s="33" t="n">
        <f aca="false">IF(Builder!B5="Low",Q26,IF(Builder!B5="Typical",R26,S26))</f>
        <v>1080</v>
      </c>
      <c r="Y26" s="33" t="n">
        <f aca="false">IF(Builder!B5="Low",T26,IF(Builder!B5="Typical",U26,V26))</f>
        <v>1170</v>
      </c>
    </row>
    <row r="27" customFormat="false" ht="15" hidden="false" customHeight="false" outlineLevel="0" collapsed="false">
      <c r="A27" s="14" t="s">
        <v>615</v>
      </c>
      <c r="B27" s="41" t="s">
        <v>90</v>
      </c>
      <c r="C27" s="14" t="s">
        <v>604</v>
      </c>
      <c r="D27" s="14" t="s">
        <v>555</v>
      </c>
      <c r="E27" s="14" t="s">
        <v>556</v>
      </c>
      <c r="F27" s="41" t="s">
        <v>616</v>
      </c>
      <c r="G27" s="33" t="n">
        <f aca="false">IF(Builder!B5="Low",H27,IF(Builder!B5="Typical",I27,J27))</f>
        <v>1</v>
      </c>
      <c r="H27" s="33" t="n">
        <f aca="false">IFERROR(INDEX(Reference!$CX$2:$CX$4000, MATCH(Builder!G6&amp;"|"&amp;F27, Reference!$CQ$2:$CQ$4000, 0)), 1)</f>
        <v>1</v>
      </c>
      <c r="I27" s="33" t="n">
        <f aca="false">IFERROR(INDEX(Reference!$CY$2:$CY$4000, MATCH(Builder!G6&amp;"|"&amp;F27, Reference!$CQ$2:$CQ$4000, 0)), 1)</f>
        <v>1</v>
      </c>
      <c r="J27" s="33" t="n">
        <f aca="false">IFERROR(INDEX(Reference!$CZ$2:$CZ$4000, MATCH(Builder!G6&amp;"|"&amp;F27, Reference!$CQ$2:$CQ$4000, 0)), 1)</f>
        <v>1</v>
      </c>
      <c r="K27" s="33" t="n">
        <f aca="false">0+IFERROR(INDEX(Reference!$EG$2:$EG$8000, MATCH(Builder!E5&amp;"|"&amp;F27, Reference!$EB$2:$EB$8000, 0)), 480)</f>
        <v>480</v>
      </c>
      <c r="L27" s="33" t="n">
        <f aca="false">0+IFERROR(INDEX(Reference!$EH$2:$EH$8000, MATCH(Builder!E5&amp;"|"&amp;F27, Reference!$EB$2:$EB$8000, 0)), 530)</f>
        <v>530</v>
      </c>
      <c r="M27" s="33" t="n">
        <f aca="false">0+IFERROR(INDEX(Reference!$EI$2:$EI$8000, MATCH(Builder!E5&amp;"|"&amp;F27, Reference!$EB$2:$EB$8000, 0)), 570)</f>
        <v>570</v>
      </c>
      <c r="N27" s="33" t="n">
        <f aca="false">IF(AND(Builder!E2="Insurance / Org Tariff",IFERROR(INDEX(Reference!$EZ$2:$EZ$1000, MATCH(F27, Reference!$EX$2:$EX$1000, 0)), "No")="Yes"),0,H27*K27)</f>
        <v>480</v>
      </c>
      <c r="O27" s="33" t="n">
        <f aca="false">IF(AND(Builder!E2="Insurance / Org Tariff",IFERROR(INDEX(Reference!$EZ$2:$EZ$1000, MATCH(F27, Reference!$EX$2:$EX$1000, 0)), "No")="Yes"),0,I27*K27)</f>
        <v>480</v>
      </c>
      <c r="P27" s="33" t="n">
        <f aca="false">IF(AND(Builder!E2="Insurance / Org Tariff",IFERROR(INDEX(Reference!$EZ$2:$EZ$1000, MATCH(F27, Reference!$EX$2:$EX$1000, 0)), "No")="Yes"),0,J27*K27)</f>
        <v>480</v>
      </c>
      <c r="Q27" s="33" t="n">
        <f aca="false">IF(AND(Builder!E2="Insurance / Org Tariff",IFERROR(INDEX(Reference!$EZ$2:$EZ$1000, MATCH(F27, Reference!$EX$2:$EX$1000, 0)), "No")="Yes"),0,H27*L27)</f>
        <v>530</v>
      </c>
      <c r="R27" s="33" t="n">
        <f aca="false">IF(AND(Builder!E2="Insurance / Org Tariff",IFERROR(INDEX(Reference!$EZ$2:$EZ$1000, MATCH(F27, Reference!$EX$2:$EX$1000, 0)), "No")="Yes"),0,I27*L27)</f>
        <v>530</v>
      </c>
      <c r="S27" s="33" t="n">
        <f aca="false">IF(AND(Builder!E2="Insurance / Org Tariff",IFERROR(INDEX(Reference!$EZ$2:$EZ$1000, MATCH(F27, Reference!$EX$2:$EX$1000, 0)), "No")="Yes"),0,J27*L27)</f>
        <v>530</v>
      </c>
      <c r="T27" s="33" t="n">
        <f aca="false">IF(AND(Builder!E2="Insurance / Org Tariff",IFERROR(INDEX(Reference!$EZ$2:$EZ$1000, MATCH(F27, Reference!$EX$2:$EX$1000, 0)), "No")="Yes"),0,H27*M27)</f>
        <v>570</v>
      </c>
      <c r="U27" s="33" t="n">
        <f aca="false">IF(AND(Builder!E2="Insurance / Org Tariff",IFERROR(INDEX(Reference!$EZ$2:$EZ$1000, MATCH(F27, Reference!$EX$2:$EX$1000, 0)), "No")="Yes"),0,I27*M27)</f>
        <v>570</v>
      </c>
      <c r="V27" s="33" t="n">
        <f aca="false">IF(AND(Builder!E2="Insurance / Org Tariff",IFERROR(INDEX(Reference!$EZ$2:$EZ$1000, MATCH(F27, Reference!$EX$2:$EX$1000, 0)), "No")="Yes"),0,J27*M27)</f>
        <v>570</v>
      </c>
      <c r="W27" s="33" t="n">
        <f aca="false">IF(Builder!B5="Low",N27,IF(Builder!B5="Typical",O27,P27))</f>
        <v>480</v>
      </c>
      <c r="X27" s="33" t="n">
        <f aca="false">IF(Builder!B5="Low",Q27,IF(Builder!B5="Typical",R27,S27))</f>
        <v>530</v>
      </c>
      <c r="Y27" s="33" t="n">
        <f aca="false">IF(Builder!B5="Low",T27,IF(Builder!B5="Typical",U27,V27))</f>
        <v>570</v>
      </c>
    </row>
    <row r="28" customFormat="false" ht="15" hidden="false" customHeight="false" outlineLevel="0" collapsed="false">
      <c r="A28" s="14" t="s">
        <v>617</v>
      </c>
      <c r="B28" s="41" t="s">
        <v>81</v>
      </c>
      <c r="C28" s="14" t="s">
        <v>81</v>
      </c>
      <c r="D28" s="14" t="s">
        <v>555</v>
      </c>
      <c r="E28" s="14" t="s">
        <v>556</v>
      </c>
      <c r="F28" s="41" t="s">
        <v>618</v>
      </c>
      <c r="G28" s="33" t="n">
        <f aca="false">IF(Builder!B5="Low",H28,IF(Builder!B5="Typical",I28,J28))</f>
        <v>1</v>
      </c>
      <c r="H28" s="33" t="n">
        <f aca="false">IFERROR(INDEX(Reference!$CX$2:$CX$4000, MATCH(Builder!G6&amp;"|"&amp;F28, Reference!$CQ$2:$CQ$4000, 0)), 1)</f>
        <v>1</v>
      </c>
      <c r="I28" s="33" t="n">
        <f aca="false">IFERROR(INDEX(Reference!$CY$2:$CY$4000, MATCH(Builder!G6&amp;"|"&amp;F28, Reference!$CQ$2:$CQ$4000, 0)), 1)</f>
        <v>1</v>
      </c>
      <c r="J28" s="33" t="n">
        <f aca="false">IFERROR(INDEX(Reference!$CZ$2:$CZ$4000, MATCH(Builder!G6&amp;"|"&amp;F28, Reference!$CQ$2:$CQ$4000, 0)), 1)</f>
        <v>1</v>
      </c>
      <c r="K28" s="33" t="n">
        <f aca="false">0+IFERROR(INDEX(Reference!$EG$2:$EG$8000, MATCH(Builder!E5&amp;"|"&amp;F28, Reference!$EB$2:$EB$8000, 0)), 360)</f>
        <v>360</v>
      </c>
      <c r="L28" s="33" t="n">
        <f aca="false">0+IFERROR(INDEX(Reference!$EH$2:$EH$8000, MATCH(Builder!E5&amp;"|"&amp;F28, Reference!$EB$2:$EB$8000, 0)), 400)</f>
        <v>400</v>
      </c>
      <c r="M28" s="33" t="n">
        <f aca="false">0+IFERROR(INDEX(Reference!$EI$2:$EI$8000, MATCH(Builder!E5&amp;"|"&amp;F28, Reference!$EB$2:$EB$8000, 0)), 430)</f>
        <v>430</v>
      </c>
      <c r="N28" s="33" t="n">
        <f aca="false">IF(AND(Builder!E2="Insurance / Org Tariff",IFERROR(INDEX(Reference!$EZ$2:$EZ$1000, MATCH(F28, Reference!$EX$2:$EX$1000, 0)), "No")="Yes"),0,H28*K28)</f>
        <v>360</v>
      </c>
      <c r="O28" s="33" t="n">
        <f aca="false">IF(AND(Builder!E2="Insurance / Org Tariff",IFERROR(INDEX(Reference!$EZ$2:$EZ$1000, MATCH(F28, Reference!$EX$2:$EX$1000, 0)), "No")="Yes"),0,I28*K28)</f>
        <v>360</v>
      </c>
      <c r="P28" s="33" t="n">
        <f aca="false">IF(AND(Builder!E2="Insurance / Org Tariff",IFERROR(INDEX(Reference!$EZ$2:$EZ$1000, MATCH(F28, Reference!$EX$2:$EX$1000, 0)), "No")="Yes"),0,J28*K28)</f>
        <v>360</v>
      </c>
      <c r="Q28" s="33" t="n">
        <f aca="false">IF(AND(Builder!E2="Insurance / Org Tariff",IFERROR(INDEX(Reference!$EZ$2:$EZ$1000, MATCH(F28, Reference!$EX$2:$EX$1000, 0)), "No")="Yes"),0,H28*L28)</f>
        <v>400</v>
      </c>
      <c r="R28" s="33" t="n">
        <f aca="false">IF(AND(Builder!E2="Insurance / Org Tariff",IFERROR(INDEX(Reference!$EZ$2:$EZ$1000, MATCH(F28, Reference!$EX$2:$EX$1000, 0)), "No")="Yes"),0,I28*L28)</f>
        <v>400</v>
      </c>
      <c r="S28" s="33" t="n">
        <f aca="false">IF(AND(Builder!E2="Insurance / Org Tariff",IFERROR(INDEX(Reference!$EZ$2:$EZ$1000, MATCH(F28, Reference!$EX$2:$EX$1000, 0)), "No")="Yes"),0,J28*L28)</f>
        <v>400</v>
      </c>
      <c r="T28" s="33" t="n">
        <f aca="false">IF(AND(Builder!E2="Insurance / Org Tariff",IFERROR(INDEX(Reference!$EZ$2:$EZ$1000, MATCH(F28, Reference!$EX$2:$EX$1000, 0)), "No")="Yes"),0,H28*M28)</f>
        <v>430</v>
      </c>
      <c r="U28" s="33" t="n">
        <f aca="false">IF(AND(Builder!E2="Insurance / Org Tariff",IFERROR(INDEX(Reference!$EZ$2:$EZ$1000, MATCH(F28, Reference!$EX$2:$EX$1000, 0)), "No")="Yes"),0,I28*M28)</f>
        <v>430</v>
      </c>
      <c r="V28" s="33" t="n">
        <f aca="false">IF(AND(Builder!E2="Insurance / Org Tariff",IFERROR(INDEX(Reference!$EZ$2:$EZ$1000, MATCH(F28, Reference!$EX$2:$EX$1000, 0)), "No")="Yes"),0,J28*M28)</f>
        <v>430</v>
      </c>
      <c r="W28" s="33" t="n">
        <f aca="false">IF(Builder!B5="Low",N28,IF(Builder!B5="Typical",O28,P28))</f>
        <v>360</v>
      </c>
      <c r="X28" s="33" t="n">
        <f aca="false">IF(Builder!B5="Low",Q28,IF(Builder!B5="Typical",R28,S28))</f>
        <v>400</v>
      </c>
      <c r="Y28" s="33" t="n">
        <f aca="false">IF(Builder!B5="Low",T28,IF(Builder!B5="Typical",U28,V28))</f>
        <v>430</v>
      </c>
    </row>
    <row r="29" customFormat="false" ht="15" hidden="false" customHeight="false" outlineLevel="0" collapsed="false">
      <c r="A29" s="14" t="s">
        <v>619</v>
      </c>
      <c r="B29" s="41" t="s">
        <v>81</v>
      </c>
      <c r="C29" s="14" t="s">
        <v>81</v>
      </c>
      <c r="D29" s="14" t="s">
        <v>555</v>
      </c>
      <c r="E29" s="14" t="s">
        <v>556</v>
      </c>
      <c r="F29" s="41" t="s">
        <v>620</v>
      </c>
      <c r="G29" s="33" t="n">
        <f aca="false">IF(Builder!B5="Low",H29,IF(Builder!B5="Typical",I29,J29))</f>
        <v>1</v>
      </c>
      <c r="H29" s="33" t="n">
        <f aca="false">IFERROR(INDEX(Reference!$CX$2:$CX$4000, MATCH(Builder!G6&amp;"|"&amp;F29, Reference!$CQ$2:$CQ$4000, 0)), 1)</f>
        <v>1</v>
      </c>
      <c r="I29" s="33" t="n">
        <f aca="false">IFERROR(INDEX(Reference!$CY$2:$CY$4000, MATCH(Builder!G6&amp;"|"&amp;F29, Reference!$CQ$2:$CQ$4000, 0)), 1)</f>
        <v>1</v>
      </c>
      <c r="J29" s="33" t="n">
        <f aca="false">IFERROR(INDEX(Reference!$CZ$2:$CZ$4000, MATCH(Builder!G6&amp;"|"&amp;F29, Reference!$CQ$2:$CQ$4000, 0)), 1)</f>
        <v>1</v>
      </c>
      <c r="K29" s="33" t="n">
        <f aca="false">0+IFERROR(INDEX(Reference!$EG$2:$EG$8000, MATCH(Builder!E5&amp;"|"&amp;F29, Reference!$EB$2:$EB$8000, 0)), 730)</f>
        <v>730</v>
      </c>
      <c r="L29" s="33" t="n">
        <f aca="false">0+IFERROR(INDEX(Reference!$EH$2:$EH$8000, MATCH(Builder!E5&amp;"|"&amp;F29, Reference!$EB$2:$EB$8000, 0)), 800)</f>
        <v>800</v>
      </c>
      <c r="M29" s="33" t="n">
        <f aca="false">0+IFERROR(INDEX(Reference!$EI$2:$EI$8000, MATCH(Builder!E5&amp;"|"&amp;F29, Reference!$EB$2:$EB$8000, 0)), 870)</f>
        <v>870</v>
      </c>
      <c r="N29" s="33" t="n">
        <f aca="false">IF(AND(Builder!E2="Insurance / Org Tariff",IFERROR(INDEX(Reference!$EZ$2:$EZ$1000, MATCH(F29, Reference!$EX$2:$EX$1000, 0)), "No")="Yes"),0,H29*K29)</f>
        <v>730</v>
      </c>
      <c r="O29" s="33" t="n">
        <f aca="false">IF(AND(Builder!E2="Insurance / Org Tariff",IFERROR(INDEX(Reference!$EZ$2:$EZ$1000, MATCH(F29, Reference!$EX$2:$EX$1000, 0)), "No")="Yes"),0,I29*K29)</f>
        <v>730</v>
      </c>
      <c r="P29" s="33" t="n">
        <f aca="false">IF(AND(Builder!E2="Insurance / Org Tariff",IFERROR(INDEX(Reference!$EZ$2:$EZ$1000, MATCH(F29, Reference!$EX$2:$EX$1000, 0)), "No")="Yes"),0,J29*K29)</f>
        <v>730</v>
      </c>
      <c r="Q29" s="33" t="n">
        <f aca="false">IF(AND(Builder!E2="Insurance / Org Tariff",IFERROR(INDEX(Reference!$EZ$2:$EZ$1000, MATCH(F29, Reference!$EX$2:$EX$1000, 0)), "No")="Yes"),0,H29*L29)</f>
        <v>800</v>
      </c>
      <c r="R29" s="33" t="n">
        <f aca="false">IF(AND(Builder!E2="Insurance / Org Tariff",IFERROR(INDEX(Reference!$EZ$2:$EZ$1000, MATCH(F29, Reference!$EX$2:$EX$1000, 0)), "No")="Yes"),0,I29*L29)</f>
        <v>800</v>
      </c>
      <c r="S29" s="33" t="n">
        <f aca="false">IF(AND(Builder!E2="Insurance / Org Tariff",IFERROR(INDEX(Reference!$EZ$2:$EZ$1000, MATCH(F29, Reference!$EX$2:$EX$1000, 0)), "No")="Yes"),0,J29*L29)</f>
        <v>800</v>
      </c>
      <c r="T29" s="33" t="n">
        <f aca="false">IF(AND(Builder!E2="Insurance / Org Tariff",IFERROR(INDEX(Reference!$EZ$2:$EZ$1000, MATCH(F29, Reference!$EX$2:$EX$1000, 0)), "No")="Yes"),0,H29*M29)</f>
        <v>870</v>
      </c>
      <c r="U29" s="33" t="n">
        <f aca="false">IF(AND(Builder!E2="Insurance / Org Tariff",IFERROR(INDEX(Reference!$EZ$2:$EZ$1000, MATCH(F29, Reference!$EX$2:$EX$1000, 0)), "No")="Yes"),0,I29*M29)</f>
        <v>870</v>
      </c>
      <c r="V29" s="33" t="n">
        <f aca="false">IF(AND(Builder!E2="Insurance / Org Tariff",IFERROR(INDEX(Reference!$EZ$2:$EZ$1000, MATCH(F29, Reference!$EX$2:$EX$1000, 0)), "No")="Yes"),0,J29*M29)</f>
        <v>870</v>
      </c>
      <c r="W29" s="33" t="n">
        <f aca="false">IF(Builder!B5="Low",N29,IF(Builder!B5="Typical",O29,P29))</f>
        <v>730</v>
      </c>
      <c r="X29" s="33" t="n">
        <f aca="false">IF(Builder!B5="Low",Q29,IF(Builder!B5="Typical",R29,S29))</f>
        <v>800</v>
      </c>
      <c r="Y29" s="33" t="n">
        <f aca="false">IF(Builder!B5="Low",T29,IF(Builder!B5="Typical",U29,V29))</f>
        <v>870</v>
      </c>
    </row>
    <row r="30" customFormat="false" ht="15" hidden="false" customHeight="false" outlineLevel="0" collapsed="false">
      <c r="A30" s="14" t="s">
        <v>621</v>
      </c>
      <c r="B30" s="41" t="s">
        <v>81</v>
      </c>
      <c r="C30" s="14" t="s">
        <v>81</v>
      </c>
      <c r="D30" s="14" t="s">
        <v>555</v>
      </c>
      <c r="E30" s="14" t="s">
        <v>556</v>
      </c>
      <c r="F30" s="41" t="s">
        <v>622</v>
      </c>
      <c r="G30" s="33" t="n">
        <f aca="false">IF(Builder!B5="Low",H30,IF(Builder!B5="Typical",I30,J30))</f>
        <v>1</v>
      </c>
      <c r="H30" s="33" t="n">
        <f aca="false">IFERROR(INDEX(Reference!$CX$2:$CX$4000, MATCH(Builder!G6&amp;"|"&amp;F30, Reference!$CQ$2:$CQ$4000, 0)), 1)</f>
        <v>1</v>
      </c>
      <c r="I30" s="33" t="n">
        <f aca="false">IFERROR(INDEX(Reference!$CY$2:$CY$4000, MATCH(Builder!G6&amp;"|"&amp;F30, Reference!$CQ$2:$CQ$4000, 0)), 1)</f>
        <v>1</v>
      </c>
      <c r="J30" s="33" t="n">
        <f aca="false">IFERROR(INDEX(Reference!$CZ$2:$CZ$4000, MATCH(Builder!G6&amp;"|"&amp;F30, Reference!$CQ$2:$CQ$4000, 0)), 1)</f>
        <v>1</v>
      </c>
      <c r="K30" s="33" t="n">
        <f aca="false">0+IFERROR(INDEX(Reference!$EG$2:$EG$8000, MATCH(Builder!E5&amp;"|"&amp;F30, Reference!$EB$2:$EB$8000, 0)), 1230)</f>
        <v>1230</v>
      </c>
      <c r="L30" s="33" t="n">
        <f aca="false">0+IFERROR(INDEX(Reference!$EH$2:$EH$8000, MATCH(Builder!E5&amp;"|"&amp;F30, Reference!$EB$2:$EB$8000, 0)), 1360)</f>
        <v>1360</v>
      </c>
      <c r="M30" s="33" t="n">
        <f aca="false">0+IFERROR(INDEX(Reference!$EI$2:$EI$8000, MATCH(Builder!E5&amp;"|"&amp;F30, Reference!$EB$2:$EB$8000, 0)), 1470)</f>
        <v>1470</v>
      </c>
      <c r="N30" s="33" t="n">
        <f aca="false">IF(AND(Builder!E2="Insurance / Org Tariff",IFERROR(INDEX(Reference!$EZ$2:$EZ$1000, MATCH(F30, Reference!$EX$2:$EX$1000, 0)), "No")="Yes"),0,H30*K30)</f>
        <v>1230</v>
      </c>
      <c r="O30" s="33" t="n">
        <f aca="false">IF(AND(Builder!E2="Insurance / Org Tariff",IFERROR(INDEX(Reference!$EZ$2:$EZ$1000, MATCH(F30, Reference!$EX$2:$EX$1000, 0)), "No")="Yes"),0,I30*K30)</f>
        <v>1230</v>
      </c>
      <c r="P30" s="33" t="n">
        <f aca="false">IF(AND(Builder!E2="Insurance / Org Tariff",IFERROR(INDEX(Reference!$EZ$2:$EZ$1000, MATCH(F30, Reference!$EX$2:$EX$1000, 0)), "No")="Yes"),0,J30*K30)</f>
        <v>1230</v>
      </c>
      <c r="Q30" s="33" t="n">
        <f aca="false">IF(AND(Builder!E2="Insurance / Org Tariff",IFERROR(INDEX(Reference!$EZ$2:$EZ$1000, MATCH(F30, Reference!$EX$2:$EX$1000, 0)), "No")="Yes"),0,H30*L30)</f>
        <v>1360</v>
      </c>
      <c r="R30" s="33" t="n">
        <f aca="false">IF(AND(Builder!E2="Insurance / Org Tariff",IFERROR(INDEX(Reference!$EZ$2:$EZ$1000, MATCH(F30, Reference!$EX$2:$EX$1000, 0)), "No")="Yes"),0,I30*L30)</f>
        <v>1360</v>
      </c>
      <c r="S30" s="33" t="n">
        <f aca="false">IF(AND(Builder!E2="Insurance / Org Tariff",IFERROR(INDEX(Reference!$EZ$2:$EZ$1000, MATCH(F30, Reference!$EX$2:$EX$1000, 0)), "No")="Yes"),0,J30*L30)</f>
        <v>1360</v>
      </c>
      <c r="T30" s="33" t="n">
        <f aca="false">IF(AND(Builder!E2="Insurance / Org Tariff",IFERROR(INDEX(Reference!$EZ$2:$EZ$1000, MATCH(F30, Reference!$EX$2:$EX$1000, 0)), "No")="Yes"),0,H30*M30)</f>
        <v>1470</v>
      </c>
      <c r="U30" s="33" t="n">
        <f aca="false">IF(AND(Builder!E2="Insurance / Org Tariff",IFERROR(INDEX(Reference!$EZ$2:$EZ$1000, MATCH(F30, Reference!$EX$2:$EX$1000, 0)), "No")="Yes"),0,I30*M30)</f>
        <v>1470</v>
      </c>
      <c r="V30" s="33" t="n">
        <f aca="false">IF(AND(Builder!E2="Insurance / Org Tariff",IFERROR(INDEX(Reference!$EZ$2:$EZ$1000, MATCH(F30, Reference!$EX$2:$EX$1000, 0)), "No")="Yes"),0,J30*M30)</f>
        <v>1470</v>
      </c>
      <c r="W30" s="33" t="n">
        <f aca="false">IF(Builder!B5="Low",N30,IF(Builder!B5="Typical",O30,P30))</f>
        <v>1230</v>
      </c>
      <c r="X30" s="33" t="n">
        <f aca="false">IF(Builder!B5="Low",Q30,IF(Builder!B5="Typical",R30,S30))</f>
        <v>1360</v>
      </c>
      <c r="Y30" s="33" t="n">
        <f aca="false">IF(Builder!B5="Low",T30,IF(Builder!B5="Typical",U30,V30))</f>
        <v>1470</v>
      </c>
    </row>
    <row r="31" customFormat="false" ht="15" hidden="false" customHeight="false" outlineLevel="0" collapsed="false">
      <c r="A31" s="14" t="s">
        <v>623</v>
      </c>
      <c r="B31" s="41" t="s">
        <v>81</v>
      </c>
      <c r="C31" s="14" t="s">
        <v>81</v>
      </c>
      <c r="D31" s="14" t="s">
        <v>555</v>
      </c>
      <c r="E31" s="14" t="s">
        <v>556</v>
      </c>
      <c r="F31" s="41" t="s">
        <v>624</v>
      </c>
      <c r="G31" s="33" t="n">
        <f aca="false">IF(Builder!B5="Low",H31,IF(Builder!B5="Typical",I31,J31))</f>
        <v>1</v>
      </c>
      <c r="H31" s="33" t="n">
        <f aca="false">IFERROR(INDEX(Reference!$CX$2:$CX$4000, MATCH(Builder!G6&amp;"|"&amp;F31, Reference!$CQ$2:$CQ$4000, 0)), 1)</f>
        <v>1</v>
      </c>
      <c r="I31" s="33" t="n">
        <f aca="false">IFERROR(INDEX(Reference!$CY$2:$CY$4000, MATCH(Builder!G6&amp;"|"&amp;F31, Reference!$CQ$2:$CQ$4000, 0)), 1)</f>
        <v>1</v>
      </c>
      <c r="J31" s="33" t="n">
        <f aca="false">IFERROR(INDEX(Reference!$CZ$2:$CZ$4000, MATCH(Builder!G6&amp;"|"&amp;F31, Reference!$CQ$2:$CQ$4000, 0)), 1)</f>
        <v>1</v>
      </c>
      <c r="K31" s="33" t="n">
        <f aca="false">0+IFERROR(INDEX(Reference!$EG$2:$EG$8000, MATCH(Builder!E5&amp;"|"&amp;F31, Reference!$EB$2:$EB$8000, 0)), 580)</f>
        <v>580</v>
      </c>
      <c r="L31" s="33" t="n">
        <f aca="false">0+IFERROR(INDEX(Reference!$EH$2:$EH$8000, MATCH(Builder!E5&amp;"|"&amp;F31, Reference!$EB$2:$EB$8000, 0)), 660)</f>
        <v>660</v>
      </c>
      <c r="M31" s="33" t="n">
        <f aca="false">0+IFERROR(INDEX(Reference!$EI$2:$EI$8000, MATCH(Builder!E5&amp;"|"&amp;F31, Reference!$EB$2:$EB$8000, 0)), 760)</f>
        <v>760</v>
      </c>
      <c r="N31" s="33" t="n">
        <f aca="false">IF(AND(Builder!E2="Insurance / Org Tariff",IFERROR(INDEX(Reference!$EZ$2:$EZ$1000, MATCH(F31, Reference!$EX$2:$EX$1000, 0)), "No")="Yes"),0,H31*K31)</f>
        <v>580</v>
      </c>
      <c r="O31" s="33" t="n">
        <f aca="false">IF(AND(Builder!E2="Insurance / Org Tariff",IFERROR(INDEX(Reference!$EZ$2:$EZ$1000, MATCH(F31, Reference!$EX$2:$EX$1000, 0)), "No")="Yes"),0,I31*K31)</f>
        <v>580</v>
      </c>
      <c r="P31" s="33" t="n">
        <f aca="false">IF(AND(Builder!E2="Insurance / Org Tariff",IFERROR(INDEX(Reference!$EZ$2:$EZ$1000, MATCH(F31, Reference!$EX$2:$EX$1000, 0)), "No")="Yes"),0,J31*K31)</f>
        <v>580</v>
      </c>
      <c r="Q31" s="33" t="n">
        <f aca="false">IF(AND(Builder!E2="Insurance / Org Tariff",IFERROR(INDEX(Reference!$EZ$2:$EZ$1000, MATCH(F31, Reference!$EX$2:$EX$1000, 0)), "No")="Yes"),0,H31*L31)</f>
        <v>660</v>
      </c>
      <c r="R31" s="33" t="n">
        <f aca="false">IF(AND(Builder!E2="Insurance / Org Tariff",IFERROR(INDEX(Reference!$EZ$2:$EZ$1000, MATCH(F31, Reference!$EX$2:$EX$1000, 0)), "No")="Yes"),0,I31*L31)</f>
        <v>660</v>
      </c>
      <c r="S31" s="33" t="n">
        <f aca="false">IF(AND(Builder!E2="Insurance / Org Tariff",IFERROR(INDEX(Reference!$EZ$2:$EZ$1000, MATCH(F31, Reference!$EX$2:$EX$1000, 0)), "No")="Yes"),0,J31*L31)</f>
        <v>660</v>
      </c>
      <c r="T31" s="33" t="n">
        <f aca="false">IF(AND(Builder!E2="Insurance / Org Tariff",IFERROR(INDEX(Reference!$EZ$2:$EZ$1000, MATCH(F31, Reference!$EX$2:$EX$1000, 0)), "No")="Yes"),0,H31*M31)</f>
        <v>760</v>
      </c>
      <c r="U31" s="33" t="n">
        <f aca="false">IF(AND(Builder!E2="Insurance / Org Tariff",IFERROR(INDEX(Reference!$EZ$2:$EZ$1000, MATCH(F31, Reference!$EX$2:$EX$1000, 0)), "No")="Yes"),0,I31*M31)</f>
        <v>760</v>
      </c>
      <c r="V31" s="33" t="n">
        <f aca="false">IF(AND(Builder!E2="Insurance / Org Tariff",IFERROR(INDEX(Reference!$EZ$2:$EZ$1000, MATCH(F31, Reference!$EX$2:$EX$1000, 0)), "No")="Yes"),0,J31*M31)</f>
        <v>760</v>
      </c>
      <c r="W31" s="33" t="n">
        <f aca="false">IF(Builder!B5="Low",N31,IF(Builder!B5="Typical",O31,P31))</f>
        <v>580</v>
      </c>
      <c r="X31" s="33" t="n">
        <f aca="false">IF(Builder!B5="Low",Q31,IF(Builder!B5="Typical",R31,S31))</f>
        <v>660</v>
      </c>
      <c r="Y31" s="33" t="n">
        <f aca="false">IF(Builder!B5="Low",T31,IF(Builder!B5="Typical",U31,V31))</f>
        <v>760</v>
      </c>
    </row>
    <row r="32" customFormat="false" ht="15" hidden="false" customHeight="false" outlineLevel="0" collapsed="false">
      <c r="A32" s="14" t="s">
        <v>625</v>
      </c>
      <c r="B32" s="41" t="s">
        <v>81</v>
      </c>
      <c r="C32" s="14" t="s">
        <v>81</v>
      </c>
      <c r="D32" s="14" t="s">
        <v>555</v>
      </c>
      <c r="E32" s="14" t="s">
        <v>556</v>
      </c>
      <c r="F32" s="41" t="s">
        <v>626</v>
      </c>
      <c r="G32" s="33" t="n">
        <f aca="false">IF(Builder!B5="Low",H32,IF(Builder!B5="Typical",I32,J32))</f>
        <v>1</v>
      </c>
      <c r="H32" s="33" t="n">
        <f aca="false">IFERROR(INDEX(Reference!$CX$2:$CX$4000, MATCH(Builder!G6&amp;"|"&amp;F32, Reference!$CQ$2:$CQ$4000, 0)), 1)</f>
        <v>1</v>
      </c>
      <c r="I32" s="33" t="n">
        <f aca="false">IFERROR(INDEX(Reference!$CY$2:$CY$4000, MATCH(Builder!G6&amp;"|"&amp;F32, Reference!$CQ$2:$CQ$4000, 0)), 1)</f>
        <v>1</v>
      </c>
      <c r="J32" s="33" t="n">
        <f aca="false">IFERROR(INDEX(Reference!$CZ$2:$CZ$4000, MATCH(Builder!G6&amp;"|"&amp;F32, Reference!$CQ$2:$CQ$4000, 0)), 1)</f>
        <v>1</v>
      </c>
      <c r="K32" s="33" t="n">
        <f aca="false">0+IFERROR(INDEX(Reference!$EG$2:$EG$8000, MATCH(Builder!E5&amp;"|"&amp;F32, Reference!$EB$2:$EB$8000, 0)), 360)</f>
        <v>360</v>
      </c>
      <c r="L32" s="33" t="n">
        <f aca="false">0+IFERROR(INDEX(Reference!$EH$2:$EH$8000, MATCH(Builder!E5&amp;"|"&amp;F32, Reference!$EB$2:$EB$8000, 0)), 400)</f>
        <v>400</v>
      </c>
      <c r="M32" s="33" t="n">
        <f aca="false">0+IFERROR(INDEX(Reference!$EI$2:$EI$8000, MATCH(Builder!E5&amp;"|"&amp;F32, Reference!$EB$2:$EB$8000, 0)), 430)</f>
        <v>430</v>
      </c>
      <c r="N32" s="33" t="n">
        <f aca="false">IF(AND(Builder!E2="Insurance / Org Tariff",IFERROR(INDEX(Reference!$EZ$2:$EZ$1000, MATCH(F32, Reference!$EX$2:$EX$1000, 0)), "No")="Yes"),0,H32*K32)</f>
        <v>360</v>
      </c>
      <c r="O32" s="33" t="n">
        <f aca="false">IF(AND(Builder!E2="Insurance / Org Tariff",IFERROR(INDEX(Reference!$EZ$2:$EZ$1000, MATCH(F32, Reference!$EX$2:$EX$1000, 0)), "No")="Yes"),0,I32*K32)</f>
        <v>360</v>
      </c>
      <c r="P32" s="33" t="n">
        <f aca="false">IF(AND(Builder!E2="Insurance / Org Tariff",IFERROR(INDEX(Reference!$EZ$2:$EZ$1000, MATCH(F32, Reference!$EX$2:$EX$1000, 0)), "No")="Yes"),0,J32*K32)</f>
        <v>360</v>
      </c>
      <c r="Q32" s="33" t="n">
        <f aca="false">IF(AND(Builder!E2="Insurance / Org Tariff",IFERROR(INDEX(Reference!$EZ$2:$EZ$1000, MATCH(F32, Reference!$EX$2:$EX$1000, 0)), "No")="Yes"),0,H32*L32)</f>
        <v>400</v>
      </c>
      <c r="R32" s="33" t="n">
        <f aca="false">IF(AND(Builder!E2="Insurance / Org Tariff",IFERROR(INDEX(Reference!$EZ$2:$EZ$1000, MATCH(F32, Reference!$EX$2:$EX$1000, 0)), "No")="Yes"),0,I32*L32)</f>
        <v>400</v>
      </c>
      <c r="S32" s="33" t="n">
        <f aca="false">IF(AND(Builder!E2="Insurance / Org Tariff",IFERROR(INDEX(Reference!$EZ$2:$EZ$1000, MATCH(F32, Reference!$EX$2:$EX$1000, 0)), "No")="Yes"),0,J32*L32)</f>
        <v>400</v>
      </c>
      <c r="T32" s="33" t="n">
        <f aca="false">IF(AND(Builder!E2="Insurance / Org Tariff",IFERROR(INDEX(Reference!$EZ$2:$EZ$1000, MATCH(F32, Reference!$EX$2:$EX$1000, 0)), "No")="Yes"),0,H32*M32)</f>
        <v>430</v>
      </c>
      <c r="U32" s="33" t="n">
        <f aca="false">IF(AND(Builder!E2="Insurance / Org Tariff",IFERROR(INDEX(Reference!$EZ$2:$EZ$1000, MATCH(F32, Reference!$EX$2:$EX$1000, 0)), "No")="Yes"),0,I32*M32)</f>
        <v>430</v>
      </c>
      <c r="V32" s="33" t="n">
        <f aca="false">IF(AND(Builder!E2="Insurance / Org Tariff",IFERROR(INDEX(Reference!$EZ$2:$EZ$1000, MATCH(F32, Reference!$EX$2:$EX$1000, 0)), "No")="Yes"),0,J32*M32)</f>
        <v>430</v>
      </c>
      <c r="W32" s="33" t="n">
        <f aca="false">IF(Builder!B5="Low",N32,IF(Builder!B5="Typical",O32,P32))</f>
        <v>360</v>
      </c>
      <c r="X32" s="33" t="n">
        <f aca="false">IF(Builder!B5="Low",Q32,IF(Builder!B5="Typical",R32,S32))</f>
        <v>400</v>
      </c>
      <c r="Y32" s="33" t="n">
        <f aca="false">IF(Builder!B5="Low",T32,IF(Builder!B5="Typical",U32,V32))</f>
        <v>430</v>
      </c>
    </row>
    <row r="33" customFormat="false" ht="26.85" hidden="false" customHeight="false" outlineLevel="0" collapsed="false">
      <c r="A33" s="14" t="s">
        <v>627</v>
      </c>
      <c r="B33" s="41" t="s">
        <v>90</v>
      </c>
      <c r="C33" s="14" t="s">
        <v>577</v>
      </c>
      <c r="D33" s="14" t="s">
        <v>560</v>
      </c>
      <c r="E33" s="14" t="s">
        <v>628</v>
      </c>
      <c r="F33" s="41" t="s">
        <v>629</v>
      </c>
      <c r="G33" s="33" t="n">
        <f aca="false">IF(Builder!E6="Yes",1,0)</f>
        <v>0</v>
      </c>
      <c r="H33" s="33" t="n">
        <f aca="false">IF(Builder!E6="Yes",1,0)</f>
        <v>0</v>
      </c>
      <c r="I33" s="33" t="n">
        <f aca="false">IF(Builder!E6="Yes",1,0)</f>
        <v>0</v>
      </c>
      <c r="J33" s="33" t="n">
        <f aca="false">IF(Builder!E6="Yes",1,0)</f>
        <v>0</v>
      </c>
      <c r="K33" s="33" t="n">
        <f aca="false">0+IFERROR(INDEX(Reference!$EG$2:$EG$8000, MATCH(Builder!E5&amp;"|"&amp;F33, Reference!$EB$2:$EB$8000, 0)), 1200)</f>
        <v>1200</v>
      </c>
      <c r="L33" s="33" t="n">
        <f aca="false">0+IFERROR(INDEX(Reference!$EH$2:$EH$8000, MATCH(Builder!E5&amp;"|"&amp;F33, Reference!$EB$2:$EB$8000, 0)), 1200)</f>
        <v>1200</v>
      </c>
      <c r="M33" s="33" t="n">
        <f aca="false">0+IFERROR(INDEX(Reference!$EI$2:$EI$8000, MATCH(Builder!E5&amp;"|"&amp;F33, Reference!$EB$2:$EB$8000, 0)), 1200)</f>
        <v>1200</v>
      </c>
      <c r="N33" s="33" t="n">
        <f aca="false">IF(AND(Builder!E2="Insurance / Org Tariff",IFERROR(INDEX(Reference!$EZ$2:$EZ$1000, MATCH(F33, Reference!$EX$2:$EX$1000, 0)), "No")="Yes"),0,H33*K33)</f>
        <v>0</v>
      </c>
      <c r="O33" s="33" t="n">
        <f aca="false">IF(AND(Builder!E2="Insurance / Org Tariff",IFERROR(INDEX(Reference!$EZ$2:$EZ$1000, MATCH(F33, Reference!$EX$2:$EX$1000, 0)), "No")="Yes"),0,I33*K33)</f>
        <v>0</v>
      </c>
      <c r="P33" s="33" t="n">
        <f aca="false">IF(AND(Builder!E2="Insurance / Org Tariff",IFERROR(INDEX(Reference!$EZ$2:$EZ$1000, MATCH(F33, Reference!$EX$2:$EX$1000, 0)), "No")="Yes"),0,J33*K33)</f>
        <v>0</v>
      </c>
      <c r="Q33" s="33" t="n">
        <f aca="false">IF(AND(Builder!E2="Insurance / Org Tariff",IFERROR(INDEX(Reference!$EZ$2:$EZ$1000, MATCH(F33, Reference!$EX$2:$EX$1000, 0)), "No")="Yes"),0,H33*L33)</f>
        <v>0</v>
      </c>
      <c r="R33" s="33" t="n">
        <f aca="false">IF(AND(Builder!E2="Insurance / Org Tariff",IFERROR(INDEX(Reference!$EZ$2:$EZ$1000, MATCH(F33, Reference!$EX$2:$EX$1000, 0)), "No")="Yes"),0,I33*L33)</f>
        <v>0</v>
      </c>
      <c r="S33" s="33" t="n">
        <f aca="false">IF(AND(Builder!E2="Insurance / Org Tariff",IFERROR(INDEX(Reference!$EZ$2:$EZ$1000, MATCH(F33, Reference!$EX$2:$EX$1000, 0)), "No")="Yes"),0,J33*L33)</f>
        <v>0</v>
      </c>
      <c r="T33" s="33" t="n">
        <f aca="false">IF(AND(Builder!E2="Insurance / Org Tariff",IFERROR(INDEX(Reference!$EZ$2:$EZ$1000, MATCH(F33, Reference!$EX$2:$EX$1000, 0)), "No")="Yes"),0,H33*M33)</f>
        <v>0</v>
      </c>
      <c r="U33" s="33" t="n">
        <f aca="false">IF(AND(Builder!E2="Insurance / Org Tariff",IFERROR(INDEX(Reference!$EZ$2:$EZ$1000, MATCH(F33, Reference!$EX$2:$EX$1000, 0)), "No")="Yes"),0,I33*M33)</f>
        <v>0</v>
      </c>
      <c r="V33" s="33" t="n">
        <f aca="false">IF(AND(Builder!E2="Insurance / Org Tariff",IFERROR(INDEX(Reference!$EZ$2:$EZ$1000, MATCH(F33, Reference!$EX$2:$EX$1000, 0)), "No")="Yes"),0,J33*M33)</f>
        <v>0</v>
      </c>
      <c r="W33" s="33" t="n">
        <f aca="false">IF(AND(Builder!E2="Insurance / Org Tariff",IFERROR(INDEX(Reference!$EZ$2:$EZ$1000, MATCH(F33, Reference!$EX$2:$EX$1000, 0)), "No")="Yes"),0,G33*K33)</f>
        <v>0</v>
      </c>
      <c r="X33" s="33" t="n">
        <f aca="false">IF(AND(Builder!E2="Insurance / Org Tariff",IFERROR(INDEX(Reference!$EZ$2:$EZ$1000, MATCH(F33, Reference!$EX$2:$EX$1000, 0)), "No")="Yes"),0,G33*L33)</f>
        <v>0</v>
      </c>
      <c r="Y33" s="33" t="n">
        <f aca="false">IF(AND(Builder!E2="Insurance / Org Tariff",IFERROR(INDEX(Reference!$EZ$2:$EZ$1000, MATCH(F33, Reference!$EX$2:$EX$1000, 0)), "No")="Yes"),0,G33*M33)</f>
        <v>0</v>
      </c>
    </row>
    <row r="34" customFormat="false" ht="26.85" hidden="false" customHeight="false" outlineLevel="0" collapsed="false">
      <c r="A34" s="14" t="s">
        <v>96</v>
      </c>
      <c r="B34" s="41" t="s">
        <v>96</v>
      </c>
      <c r="C34" s="14" t="s">
        <v>630</v>
      </c>
      <c r="D34" s="14" t="s">
        <v>560</v>
      </c>
      <c r="E34" s="14" t="s">
        <v>631</v>
      </c>
      <c r="F34" s="41"/>
      <c r="G34" s="33"/>
      <c r="H34" s="33"/>
      <c r="I34" s="33"/>
      <c r="J34" s="33"/>
      <c r="K34" s="33"/>
      <c r="L34" s="33"/>
      <c r="M34" s="33"/>
      <c r="N34" s="33" t="n">
        <f aca="false">IF(Builder!E2="Insurance / Org Tariff",0,0.125*SUM(N39,N40,N41,N42,N43))</f>
        <v>22495.212578125</v>
      </c>
      <c r="O34" s="33" t="n">
        <f aca="false">IF(Builder!E2="Insurance / Org Tariff",0,0.125*SUM(O39,O40,O41,O42,O43))</f>
        <v>23725.62953125</v>
      </c>
      <c r="P34" s="33" t="n">
        <f aca="false">IF(Builder!E2="Insurance / Org Tariff",0,0.125*SUM(P39,P40,P41,P42,P43))</f>
        <v>29749.1605</v>
      </c>
      <c r="Q34" s="33" t="n">
        <f aca="false">IF(Builder!E2="Insurance / Org Tariff",0,0.125*SUM(Q39,Q40,Q41,Q42,Q43))</f>
        <v>22495.212578125</v>
      </c>
      <c r="R34" s="33" t="n">
        <f aca="false">IF(Builder!E2="Insurance / Org Tariff",0,0.125*SUM(R39,R40,R41,R42,R43))</f>
        <v>23725.62953125</v>
      </c>
      <c r="S34" s="33" t="n">
        <f aca="false">IF(Builder!E2="Insurance / Org Tariff",0,0.125*SUM(S39,S40,S41,S42,S43))</f>
        <v>29749.1605</v>
      </c>
      <c r="T34" s="33" t="n">
        <f aca="false">IF(Builder!E2="Insurance / Org Tariff",0,0.125*SUM(T39,T40,T41,T42,T43))</f>
        <v>22495.212578125</v>
      </c>
      <c r="U34" s="33" t="n">
        <f aca="false">IF(Builder!E2="Insurance / Org Tariff",0,0.125*SUM(U39,U40,U41,U42,U43))</f>
        <v>23725.62953125</v>
      </c>
      <c r="V34" s="33" t="n">
        <f aca="false">IF(Builder!E2="Insurance / Org Tariff",0,0.125*SUM(V39,V40,V41,V42,V43))</f>
        <v>29749.1605</v>
      </c>
      <c r="W34" s="33" t="n">
        <f aca="false">IF(Builder!E2="Insurance / Org Tariff",0,0.125*SUM(W39,W40,W41,W42,W43))</f>
        <v>23725.62953125</v>
      </c>
      <c r="X34" s="33" t="n">
        <f aca="false">IF(Builder!E2="Insurance / Org Tariff",0,0.125*SUM(X39,X40,X41,X42,X43))</f>
        <v>23725.62953125</v>
      </c>
      <c r="Y34" s="33" t="n">
        <f aca="false">IF(Builder!E2="Insurance / Org Tariff",0,0.125*SUM(Y39,Y40,Y41,Y42,Y43))</f>
        <v>23725.62953125</v>
      </c>
    </row>
    <row r="35" customFormat="false" ht="26.85" hidden="false" customHeight="false" outlineLevel="0" collapsed="false">
      <c r="A35" s="14" t="s">
        <v>632</v>
      </c>
      <c r="B35" s="41" t="s">
        <v>99</v>
      </c>
      <c r="C35" s="14" t="s">
        <v>99</v>
      </c>
      <c r="D35" s="14" t="s">
        <v>560</v>
      </c>
      <c r="E35" s="14" t="s">
        <v>633</v>
      </c>
      <c r="F35" s="41"/>
      <c r="G35" s="33"/>
      <c r="H35" s="33"/>
      <c r="I35" s="33"/>
      <c r="J35" s="33"/>
      <c r="K35" s="33"/>
      <c r="L35" s="33"/>
      <c r="M35" s="33"/>
      <c r="N35" s="33" t="n">
        <f aca="false">IF(Builder!E2="Insurance / Org Tariff",0,0.25*N74)</f>
        <v>101632.353300781</v>
      </c>
      <c r="O35" s="33" t="n">
        <f aca="false">IF(Builder!E2="Insurance / Org Tariff",0,0.25*O74)</f>
        <v>106077.666445313</v>
      </c>
      <c r="P35" s="33" t="n">
        <f aca="false">IF(Builder!E2="Insurance / Org Tariff",0,0.25*P74)</f>
        <v>125485.611125</v>
      </c>
      <c r="Q35" s="33" t="n">
        <f aca="false">IF(Builder!E2="Insurance / Org Tariff",0,0.25*Q74)</f>
        <v>102744.853300781</v>
      </c>
      <c r="R35" s="33" t="n">
        <f aca="false">IF(Builder!E2="Insurance / Org Tariff",0,0.25*R74)</f>
        <v>107600.166445313</v>
      </c>
      <c r="S35" s="33" t="n">
        <f aca="false">IF(Builder!E2="Insurance / Org Tariff",0,0.25*S74)</f>
        <v>127418.111125</v>
      </c>
      <c r="T35" s="33" t="n">
        <f aca="false">IF(Builder!E2="Insurance / Org Tariff",0,0.25*T74)</f>
        <v>103704.853300781</v>
      </c>
      <c r="U35" s="33" t="n">
        <f aca="false">IF(Builder!E2="Insurance / Org Tariff",0,0.25*U74)</f>
        <v>109402.666445313</v>
      </c>
      <c r="V35" s="33" t="n">
        <f aca="false">IF(Builder!E2="Insurance / Org Tariff",0,0.25*V74)</f>
        <v>130063.111125</v>
      </c>
      <c r="W35" s="33" t="n">
        <f aca="false">IF(Builder!E2="Insurance / Org Tariff",0,0.25*W74)</f>
        <v>106077.666445313</v>
      </c>
      <c r="X35" s="33" t="n">
        <f aca="false">IF(Builder!E2="Insurance / Org Tariff",0,0.25*X74)</f>
        <v>107600.166445313</v>
      </c>
      <c r="Y35" s="33" t="n">
        <f aca="false">IF(Builder!E2="Insurance / Org Tariff",0,0.25*Y74)</f>
        <v>109402.666445313</v>
      </c>
    </row>
    <row r="36" customFormat="false" ht="15" hidden="false" customHeight="false" outlineLevel="0" collapsed="false">
      <c r="A36" s="14" t="s">
        <v>634</v>
      </c>
      <c r="B36" s="41" t="s">
        <v>99</v>
      </c>
      <c r="C36" s="14" t="s">
        <v>99</v>
      </c>
      <c r="D36" s="14" t="s">
        <v>560</v>
      </c>
      <c r="E36" s="14" t="s">
        <v>635</v>
      </c>
      <c r="F36" s="41"/>
      <c r="G36" s="33"/>
      <c r="H36" s="33"/>
      <c r="I36" s="33"/>
      <c r="J36" s="33"/>
      <c r="K36" s="33"/>
      <c r="L36" s="33"/>
      <c r="M36" s="33"/>
      <c r="N36" s="33" t="n">
        <f aca="false">IF(Builder!E2="Insurance / Org Tariff",0,0.15*N35)</f>
        <v>15244.8529951172</v>
      </c>
      <c r="O36" s="33" t="n">
        <f aca="false">IF(Builder!E2="Insurance / Org Tariff",0,0.15*O35)</f>
        <v>15911.6499667969</v>
      </c>
      <c r="P36" s="33" t="n">
        <f aca="false">IF(Builder!E2="Insurance / Org Tariff",0,0.15*P35)</f>
        <v>18822.84166875</v>
      </c>
      <c r="Q36" s="33" t="n">
        <f aca="false">IF(Builder!E2="Insurance / Org Tariff",0,0.15*Q35)</f>
        <v>15411.7279951172</v>
      </c>
      <c r="R36" s="33" t="n">
        <f aca="false">IF(Builder!E2="Insurance / Org Tariff",0,0.15*R35)</f>
        <v>16140.0249667969</v>
      </c>
      <c r="S36" s="33" t="n">
        <f aca="false">IF(Builder!E2="Insurance / Org Tariff",0,0.15*S35)</f>
        <v>19112.71666875</v>
      </c>
      <c r="T36" s="33" t="n">
        <f aca="false">IF(Builder!E2="Insurance / Org Tariff",0,0.15*T35)</f>
        <v>15555.7279951172</v>
      </c>
      <c r="U36" s="33" t="n">
        <f aca="false">IF(Builder!E2="Insurance / Org Tariff",0,0.15*U35)</f>
        <v>16410.3999667969</v>
      </c>
      <c r="V36" s="33" t="n">
        <f aca="false">IF(Builder!E2="Insurance / Org Tariff",0,0.15*V35)</f>
        <v>19509.46666875</v>
      </c>
      <c r="W36" s="33" t="n">
        <f aca="false">IF(Builder!E2="Insurance / Org Tariff",0,0.15*W35)</f>
        <v>15911.6499667969</v>
      </c>
      <c r="X36" s="33" t="n">
        <f aca="false">IF(Builder!E2="Insurance / Org Tariff",0,0.15*X35)</f>
        <v>16140.0249667969</v>
      </c>
      <c r="Y36" s="33" t="n">
        <f aca="false">IF(Builder!E2="Insurance / Org Tariff",0,0.15*Y35)</f>
        <v>16410.3999667969</v>
      </c>
    </row>
    <row r="37" customFormat="false" ht="15" hidden="false" customHeight="false" outlineLevel="0" collapsed="false">
      <c r="A37" s="14" t="s">
        <v>636</v>
      </c>
      <c r="B37" s="41" t="s">
        <v>99</v>
      </c>
      <c r="C37" s="14" t="s">
        <v>99</v>
      </c>
      <c r="D37" s="14" t="s">
        <v>560</v>
      </c>
      <c r="E37" s="14" t="s">
        <v>635</v>
      </c>
      <c r="F37" s="41"/>
      <c r="G37" s="33"/>
      <c r="H37" s="33"/>
      <c r="I37" s="33"/>
      <c r="J37" s="33"/>
      <c r="K37" s="33"/>
      <c r="L37" s="33"/>
      <c r="M37" s="33"/>
      <c r="N37" s="33" t="n">
        <f aca="false">IF(Builder!E2="Insurance / Org Tariff",0,0.25*N35)</f>
        <v>25408.0883251953</v>
      </c>
      <c r="O37" s="33" t="n">
        <f aca="false">IF(Builder!E2="Insurance / Org Tariff",0,0.25*O35)</f>
        <v>26519.4166113281</v>
      </c>
      <c r="P37" s="33" t="n">
        <f aca="false">IF(Builder!E2="Insurance / Org Tariff",0,0.25*P35)</f>
        <v>31371.40278125</v>
      </c>
      <c r="Q37" s="33" t="n">
        <f aca="false">IF(Builder!E2="Insurance / Org Tariff",0,0.25*Q35)</f>
        <v>25686.2133251953</v>
      </c>
      <c r="R37" s="33" t="n">
        <f aca="false">IF(Builder!E2="Insurance / Org Tariff",0,0.25*R35)</f>
        <v>26900.0416113281</v>
      </c>
      <c r="S37" s="33" t="n">
        <f aca="false">IF(Builder!E2="Insurance / Org Tariff",0,0.25*S35)</f>
        <v>31854.52778125</v>
      </c>
      <c r="T37" s="33" t="n">
        <f aca="false">IF(Builder!E2="Insurance / Org Tariff",0,0.25*T35)</f>
        <v>25926.2133251953</v>
      </c>
      <c r="U37" s="33" t="n">
        <f aca="false">IF(Builder!E2="Insurance / Org Tariff",0,0.25*U35)</f>
        <v>27350.6666113281</v>
      </c>
      <c r="V37" s="33" t="n">
        <f aca="false">IF(Builder!E2="Insurance / Org Tariff",0,0.25*V35)</f>
        <v>32515.77778125</v>
      </c>
      <c r="W37" s="33" t="n">
        <f aca="false">IF(Builder!E2="Insurance / Org Tariff",0,0.25*W35)</f>
        <v>26519.4166113281</v>
      </c>
      <c r="X37" s="33" t="n">
        <f aca="false">IF(Builder!E2="Insurance / Org Tariff",0,0.25*X35)</f>
        <v>26900.0416113281</v>
      </c>
      <c r="Y37" s="33" t="n">
        <f aca="false">IF(Builder!E2="Insurance / Org Tariff",0,0.25*Y35)</f>
        <v>27350.6666113281</v>
      </c>
    </row>
    <row r="38" customFormat="false" ht="26.85" hidden="false" customHeight="false" outlineLevel="0" collapsed="false">
      <c r="A38" s="14" t="s">
        <v>637</v>
      </c>
      <c r="B38" s="41" t="s">
        <v>99</v>
      </c>
      <c r="C38" s="14" t="s">
        <v>99</v>
      </c>
      <c r="D38" s="14" t="s">
        <v>560</v>
      </c>
      <c r="E38" s="14" t="s">
        <v>638</v>
      </c>
      <c r="F38" s="41"/>
      <c r="G38" s="33"/>
      <c r="H38" s="33"/>
      <c r="I38" s="33"/>
      <c r="J38" s="33"/>
      <c r="K38" s="33"/>
      <c r="L38" s="33"/>
      <c r="M38" s="33"/>
      <c r="N38" s="33" t="n">
        <f aca="false">IF(Builder!E2="Insurance / Org Tariff",0,0.25*N37)</f>
        <v>6352.02208129883</v>
      </c>
      <c r="O38" s="33" t="n">
        <f aca="false">IF(Builder!E2="Insurance / Org Tariff",0,0.25*O37)</f>
        <v>6629.85415283203</v>
      </c>
      <c r="P38" s="33" t="n">
        <f aca="false">IF(Builder!E2="Insurance / Org Tariff",0,0.25*P37)</f>
        <v>7842.8506953125</v>
      </c>
      <c r="Q38" s="33" t="n">
        <f aca="false">IF(Builder!E2="Insurance / Org Tariff",0,0.25*Q37)</f>
        <v>6421.55333129883</v>
      </c>
      <c r="R38" s="33" t="n">
        <f aca="false">IF(Builder!E2="Insurance / Org Tariff",0,0.25*R37)</f>
        <v>6725.01040283203</v>
      </c>
      <c r="S38" s="33" t="n">
        <f aca="false">IF(Builder!E2="Insurance / Org Tariff",0,0.25*S37)</f>
        <v>7963.6319453125</v>
      </c>
      <c r="T38" s="33" t="n">
        <f aca="false">IF(Builder!E2="Insurance / Org Tariff",0,0.25*T37)</f>
        <v>6481.55333129883</v>
      </c>
      <c r="U38" s="33" t="n">
        <f aca="false">IF(Builder!E2="Insurance / Org Tariff",0,0.25*U37)</f>
        <v>6837.66665283203</v>
      </c>
      <c r="V38" s="33" t="n">
        <f aca="false">IF(Builder!E2="Insurance / Org Tariff",0,0.25*V37)</f>
        <v>8128.9444453125</v>
      </c>
      <c r="W38" s="33" t="n">
        <f aca="false">IF(Builder!E2="Insurance / Org Tariff",0,0.25*W37)</f>
        <v>6629.85415283203</v>
      </c>
      <c r="X38" s="33" t="n">
        <f aca="false">IF(Builder!E2="Insurance / Org Tariff",0,0.25*X37)</f>
        <v>6725.01040283203</v>
      </c>
      <c r="Y38" s="33" t="n">
        <f aca="false">IF(Builder!E2="Insurance / Org Tariff",0,0.25*Y37)</f>
        <v>6837.66665283203</v>
      </c>
    </row>
    <row r="39" customFormat="false" ht="26.85" hidden="false" customHeight="false" outlineLevel="0" collapsed="false">
      <c r="A39" s="14" t="s">
        <v>639</v>
      </c>
      <c r="B39" s="41" t="s">
        <v>93</v>
      </c>
      <c r="C39" s="14" t="s">
        <v>640</v>
      </c>
      <c r="D39" s="14" t="s">
        <v>641</v>
      </c>
      <c r="E39" s="14" t="s">
        <v>642</v>
      </c>
      <c r="F39" s="41"/>
      <c r="G39" s="33" t="n">
        <f aca="false">Builder!G10</f>
        <v>3</v>
      </c>
      <c r="H39" s="33" t="n">
        <f aca="false">Builder!B10</f>
        <v>2</v>
      </c>
      <c r="I39" s="33" t="n">
        <f aca="false">Builder!C10</f>
        <v>3</v>
      </c>
      <c r="J39" s="33" t="n">
        <f aca="false">Builder!D10</f>
        <v>5</v>
      </c>
      <c r="K39" s="33" t="n">
        <f aca="false">IFERROR(INDEX(Reference!$CK$2:$CK$500, MATCH(Builder!G5, Reference!$AZ$2:$AZ$500, 0)), 0)</f>
        <v>2855.31875</v>
      </c>
      <c r="L39" s="33" t="n">
        <f aca="false">IFERROR(INDEX(Reference!$CK$2:$CK$500, MATCH(Builder!G5, Reference!$AZ$2:$AZ$500, 0)), 0)</f>
        <v>2855.31875</v>
      </c>
      <c r="M39" s="33" t="n">
        <f aca="false">IFERROR(INDEX(Reference!$CK$2:$CK$500, MATCH(Builder!G5, Reference!$AZ$2:$AZ$500, 0)), 0)</f>
        <v>2855.31875</v>
      </c>
      <c r="N39" s="33" t="n">
        <f aca="false">G39*IFERROR(INDEX(Reference!$CJ$2:$CJ$500, MATCH(Builder!G5, Reference!$AZ$2:$AZ$500, 0)), 0)</f>
        <v>7142.830625</v>
      </c>
      <c r="O39" s="33" t="n">
        <f aca="false">G39*IFERROR(INDEX(Reference!$CK$2:$CK$500, MATCH(Builder!G5, Reference!$AZ$2:$AZ$500, 0)), 0)</f>
        <v>8565.95625</v>
      </c>
      <c r="P39" s="33" t="n">
        <f aca="false">G39*IFERROR(INDEX(Reference!$CL$2:$CL$500, MATCH(Builder!G5, Reference!$AZ$2:$AZ$500, 0)), 0)</f>
        <v>9594.774</v>
      </c>
      <c r="Q39" s="33" t="n">
        <f aca="false">N39</f>
        <v>7142.830625</v>
      </c>
      <c r="R39" s="33" t="n">
        <f aca="false">O39</f>
        <v>8565.95625</v>
      </c>
      <c r="S39" s="33" t="n">
        <f aca="false">P39</f>
        <v>9594.774</v>
      </c>
      <c r="T39" s="33" t="n">
        <f aca="false">N39</f>
        <v>7142.830625</v>
      </c>
      <c r="U39" s="33" t="n">
        <f aca="false">O39</f>
        <v>8565.95625</v>
      </c>
      <c r="V39" s="33" t="n">
        <f aca="false">P39</f>
        <v>9594.774</v>
      </c>
      <c r="W39" s="33" t="n">
        <f aca="false">IF(Builder!B5="Low",N39,IF(Builder!B5="Typical",O39,P39))</f>
        <v>8565.95625</v>
      </c>
      <c r="X39" s="33" t="n">
        <f aca="false">IF(Builder!B5="Low",Q39,IF(Builder!B5="Typical",R39,S39))</f>
        <v>8565.95625</v>
      </c>
      <c r="Y39" s="33" t="n">
        <f aca="false">IF(Builder!B5="Low",T39,IF(Builder!B5="Typical",U39,V39))</f>
        <v>8565.95625</v>
      </c>
    </row>
    <row r="40" customFormat="false" ht="26.85" hidden="false" customHeight="false" outlineLevel="0" collapsed="false">
      <c r="A40" s="14" t="s">
        <v>146</v>
      </c>
      <c r="B40" s="41" t="s">
        <v>93</v>
      </c>
      <c r="C40" s="14" t="s">
        <v>640</v>
      </c>
      <c r="D40" s="14" t="s">
        <v>641</v>
      </c>
      <c r="E40" s="14" t="s">
        <v>642</v>
      </c>
      <c r="F40" s="41"/>
      <c r="G40" s="33" t="n">
        <f aca="false">Builder!G10</f>
        <v>3</v>
      </c>
      <c r="H40" s="33" t="n">
        <f aca="false">Builder!B10</f>
        <v>2</v>
      </c>
      <c r="I40" s="33" t="n">
        <f aca="false">Builder!C10</f>
        <v>3</v>
      </c>
      <c r="J40" s="33" t="n">
        <f aca="false">Builder!D10</f>
        <v>5</v>
      </c>
      <c r="K40" s="33" t="n">
        <f aca="false">IFERROR(INDEX(Reference!$CN$2:$CN$500, MATCH(Builder!G5, Reference!$AZ$2:$AZ$500, 0)), 0)</f>
        <v>3428.82833333333</v>
      </c>
      <c r="L40" s="33" t="n">
        <f aca="false">IFERROR(INDEX(Reference!$CN$2:$CN$500, MATCH(Builder!G5, Reference!$AZ$2:$AZ$500, 0)), 0)</f>
        <v>3428.82833333333</v>
      </c>
      <c r="M40" s="33" t="n">
        <f aca="false">IFERROR(INDEX(Reference!$CN$2:$CN$500, MATCH(Builder!G5, Reference!$AZ$2:$AZ$500, 0)), 0)</f>
        <v>3428.82833333333</v>
      </c>
      <c r="N40" s="33" t="n">
        <f aca="false">G40*IFERROR(INDEX(Reference!$CM$2:$CM$500, MATCH(Builder!G5, Reference!$AZ$2:$AZ$500, 0)), 0)</f>
        <v>9179.4</v>
      </c>
      <c r="O40" s="33" t="n">
        <f aca="false">G40*IFERROR(INDEX(Reference!$CN$2:$CN$500, MATCH(Builder!G5, Reference!$AZ$2:$AZ$500, 0)), 0)</f>
        <v>10286.485</v>
      </c>
      <c r="P40" s="33" t="n">
        <f aca="false">G40*IFERROR(INDEX(Reference!$CO$2:$CO$500, MATCH(Builder!G5, Reference!$AZ$2:$AZ$500, 0)), 0)</f>
        <v>10853.13</v>
      </c>
      <c r="Q40" s="33" t="n">
        <f aca="false">N40</f>
        <v>9179.4</v>
      </c>
      <c r="R40" s="33" t="n">
        <f aca="false">O40</f>
        <v>10286.485</v>
      </c>
      <c r="S40" s="33" t="n">
        <f aca="false">P40</f>
        <v>10853.13</v>
      </c>
      <c r="T40" s="33" t="n">
        <f aca="false">N40</f>
        <v>9179.4</v>
      </c>
      <c r="U40" s="33" t="n">
        <f aca="false">O40</f>
        <v>10286.485</v>
      </c>
      <c r="V40" s="33" t="n">
        <f aca="false">P40</f>
        <v>10853.13</v>
      </c>
      <c r="W40" s="33" t="n">
        <f aca="false">IF(Builder!B5="Low",N40,IF(Builder!B5="Typical",O40,P40))</f>
        <v>10286.485</v>
      </c>
      <c r="X40" s="33" t="n">
        <f aca="false">IF(Builder!B5="Low",Q40,IF(Builder!B5="Typical",R40,S40))</f>
        <v>10286.485</v>
      </c>
      <c r="Y40" s="33" t="n">
        <f aca="false">IF(Builder!B5="Low",T40,IF(Builder!B5="Typical",U40,V40))</f>
        <v>10286.485</v>
      </c>
    </row>
    <row r="41" customFormat="false" ht="15" hidden="false" customHeight="false" outlineLevel="0" collapsed="false">
      <c r="A41" s="14" t="s">
        <v>643</v>
      </c>
      <c r="B41" s="41" t="s">
        <v>93</v>
      </c>
      <c r="C41" s="14" t="s">
        <v>644</v>
      </c>
      <c r="D41" s="14" t="s">
        <v>641</v>
      </c>
      <c r="E41" s="14" t="s">
        <v>645</v>
      </c>
      <c r="F41" s="41"/>
      <c r="G41" s="33"/>
      <c r="H41" s="33"/>
      <c r="I41" s="33"/>
      <c r="J41" s="33"/>
      <c r="K41" s="33"/>
      <c r="L41" s="33"/>
      <c r="M41" s="33"/>
      <c r="N41" s="33" t="n">
        <f aca="false">IFERROR(INDEX(Reference!$CA$2:$CA$500, MATCH(Builder!G5, Reference!$AZ$2:$AZ$500, 0)), 0)</f>
        <v>8468.852</v>
      </c>
      <c r="O41" s="33" t="n">
        <f aca="false">IFERROR(INDEX(Reference!$CB$2:$CB$500, MATCH(Builder!G5, Reference!$AZ$2:$AZ$500, 0)), 0)</f>
        <v>9439.535</v>
      </c>
      <c r="P41" s="33" t="n">
        <f aca="false">IFERROR(INDEX(Reference!$CC$2:$CC$500, MATCH(Builder!G5, Reference!$AZ$2:$AZ$500, 0)), 0)</f>
        <v>11143.7</v>
      </c>
      <c r="Q41" s="33" t="n">
        <f aca="false">N41</f>
        <v>8468.852</v>
      </c>
      <c r="R41" s="33" t="n">
        <f aca="false">O41</f>
        <v>9439.535</v>
      </c>
      <c r="S41" s="33" t="n">
        <f aca="false">P41</f>
        <v>11143.7</v>
      </c>
      <c r="T41" s="33" t="n">
        <f aca="false">N41</f>
        <v>8468.852</v>
      </c>
      <c r="U41" s="33" t="n">
        <f aca="false">O41</f>
        <v>9439.535</v>
      </c>
      <c r="V41" s="33" t="n">
        <f aca="false">P41</f>
        <v>11143.7</v>
      </c>
      <c r="W41" s="33" t="n">
        <f aca="false">IF(Builder!B5="Low",N41,IF(Builder!B5="Typical",O41,P41))</f>
        <v>9439.535</v>
      </c>
      <c r="X41" s="33" t="n">
        <f aca="false">IF(Builder!B5="Low",Q41,IF(Builder!B5="Typical",R41,S41))</f>
        <v>9439.535</v>
      </c>
      <c r="Y41" s="33" t="n">
        <f aca="false">IF(Builder!B5="Low",T41,IF(Builder!B5="Typical",U41,V41))</f>
        <v>9439.535</v>
      </c>
    </row>
    <row r="42" customFormat="false" ht="26.85" hidden="false" customHeight="false" outlineLevel="0" collapsed="false">
      <c r="A42" s="14" t="s">
        <v>98</v>
      </c>
      <c r="B42" s="41" t="s">
        <v>93</v>
      </c>
      <c r="C42" s="14" t="s">
        <v>644</v>
      </c>
      <c r="D42" s="14" t="s">
        <v>646</v>
      </c>
      <c r="E42" s="14" t="s">
        <v>647</v>
      </c>
      <c r="F42" s="41"/>
      <c r="G42" s="33"/>
      <c r="H42" s="33"/>
      <c r="I42" s="33"/>
      <c r="J42" s="33"/>
      <c r="K42" s="33"/>
      <c r="L42" s="33"/>
      <c r="M42" s="33"/>
      <c r="N42" s="33" t="n">
        <f aca="false">IFERROR(INDEX(Reference!$CD$2:$CD$500, MATCH(Builder!G5, Reference!$AZ$2:$AZ$500, 0)), 0)</f>
        <v>66040.54</v>
      </c>
      <c r="O42" s="33" t="n">
        <f aca="false">'Advanced Controls'!C6</f>
        <v>72382.9</v>
      </c>
      <c r="P42" s="33" t="n">
        <f aca="false">IFERROR(INDEX(Reference!$CF$2:$CF$500, MATCH(Builder!G5, Reference!$AZ$2:$AZ$500, 0)), 0)</f>
        <v>107563.63</v>
      </c>
      <c r="Q42" s="33" t="n">
        <f aca="false">N42</f>
        <v>66040.54</v>
      </c>
      <c r="R42" s="33" t="n">
        <f aca="false">'Advanced Controls'!C6</f>
        <v>72382.9</v>
      </c>
      <c r="S42" s="33" t="n">
        <f aca="false">P42</f>
        <v>107563.63</v>
      </c>
      <c r="T42" s="33" t="n">
        <f aca="false">N42</f>
        <v>66040.54</v>
      </c>
      <c r="U42" s="33" t="n">
        <f aca="false">'Advanced Controls'!C6</f>
        <v>72382.9</v>
      </c>
      <c r="V42" s="33" t="n">
        <f aca="false">P42</f>
        <v>107563.63</v>
      </c>
      <c r="W42" s="33" t="n">
        <f aca="false">IF(Builder!B5="Low",N42,IF(Builder!B5="Typical",O42,P42))</f>
        <v>72382.9</v>
      </c>
      <c r="X42" s="33" t="n">
        <f aca="false">IF(Builder!B5="Low",Q42,IF(Builder!B5="Typical",R42,S42))</f>
        <v>72382.9</v>
      </c>
      <c r="Y42" s="33" t="n">
        <f aca="false">IF(Builder!B5="Low",T42,IF(Builder!B5="Typical",U42,V42))</f>
        <v>72382.9</v>
      </c>
    </row>
    <row r="43" customFormat="false" ht="15" hidden="false" customHeight="false" outlineLevel="0" collapsed="false">
      <c r="A43" s="14" t="s">
        <v>101</v>
      </c>
      <c r="B43" s="41" t="s">
        <v>93</v>
      </c>
      <c r="C43" s="14" t="s">
        <v>101</v>
      </c>
      <c r="D43" s="14" t="s">
        <v>646</v>
      </c>
      <c r="E43" s="14" t="s">
        <v>648</v>
      </c>
      <c r="F43" s="41"/>
      <c r="G43" s="33"/>
      <c r="H43" s="33"/>
      <c r="I43" s="33"/>
      <c r="J43" s="33"/>
      <c r="K43" s="33"/>
      <c r="L43" s="33"/>
      <c r="M43" s="33"/>
      <c r="N43" s="33" t="n">
        <f aca="false">IFERROR(INDEX(Reference!$CG$2:$CG$500, MATCH(Builder!G5, Reference!$AZ$2:$AZ$500, 0)), 0)</f>
        <v>89130.078</v>
      </c>
      <c r="O43" s="33" t="n">
        <f aca="false">'Implant Selection'!F6</f>
        <v>89130.16</v>
      </c>
      <c r="P43" s="33" t="n">
        <f aca="false">IFERROR(INDEX(Reference!$CI$2:$CI$500, MATCH(Builder!G5, Reference!$AZ$2:$AZ$500, 0)), 0)</f>
        <v>98838.05</v>
      </c>
      <c r="Q43" s="33" t="n">
        <f aca="false">N43</f>
        <v>89130.078</v>
      </c>
      <c r="R43" s="33" t="n">
        <f aca="false">'Implant Selection'!F6</f>
        <v>89130.16</v>
      </c>
      <c r="S43" s="33" t="n">
        <f aca="false">P43</f>
        <v>98838.05</v>
      </c>
      <c r="T43" s="33" t="n">
        <f aca="false">N43</f>
        <v>89130.078</v>
      </c>
      <c r="U43" s="33" t="n">
        <f aca="false">'Implant Selection'!F6</f>
        <v>89130.16</v>
      </c>
      <c r="V43" s="33" t="n">
        <f aca="false">P43</f>
        <v>98838.05</v>
      </c>
      <c r="W43" s="33" t="n">
        <f aca="false">IF(Builder!B5="Low",N43,IF(Builder!B5="Typical",O43,P43))</f>
        <v>89130.16</v>
      </c>
      <c r="X43" s="33" t="n">
        <f aca="false">IF(Builder!B5="Low",Q43,IF(Builder!B5="Typical",R43,S43))</f>
        <v>89130.16</v>
      </c>
      <c r="Y43" s="33" t="n">
        <f aca="false">IF(Builder!B5="Low",T43,IF(Builder!B5="Typical",U43,V43))</f>
        <v>89130.16</v>
      </c>
    </row>
    <row r="44" customFormat="false" ht="26.85" hidden="false" customHeight="false" outlineLevel="0" collapsed="false">
      <c r="A44" s="14" t="s">
        <v>220</v>
      </c>
      <c r="B44" s="41" t="s">
        <v>102</v>
      </c>
      <c r="C44" s="14" t="s">
        <v>221</v>
      </c>
      <c r="D44" s="14" t="s">
        <v>646</v>
      </c>
      <c r="E44" s="14" t="s">
        <v>649</v>
      </c>
      <c r="F44" s="41" t="s">
        <v>222</v>
      </c>
      <c r="G44" s="33" t="n">
        <f aca="false">IF(Builder!B5="Low",H44,IF(Builder!B5="Typical",I44,J44))</f>
        <v>2</v>
      </c>
      <c r="H44" s="33" t="n">
        <f aca="false">IFERROR(INDEX(Reference!$CX$2:$CX$4000, MATCH(Builder!G6&amp;"|"&amp;F44, Reference!$CQ$2:$CQ$4000, 0)), 1.75)</f>
        <v>1.75</v>
      </c>
      <c r="I44" s="33" t="n">
        <f aca="false">IFERROR(INDEX(Reference!$CY$2:$CY$4000, MATCH(Builder!G6&amp;"|"&amp;F44, Reference!$CQ$2:$CQ$4000, 0)), 2)</f>
        <v>2</v>
      </c>
      <c r="J44" s="33" t="n">
        <f aca="false">IFERROR(INDEX(Reference!$CZ$2:$CZ$4000, MATCH(Builder!G6&amp;"|"&amp;F44, Reference!$CQ$2:$CQ$4000, 0)), 2)</f>
        <v>2</v>
      </c>
      <c r="K44" s="33" t="n">
        <f aca="false">0+IFERROR(INDEX(Reference!$EG$2:$EG$8000, MATCH(Builder!E5&amp;"|"&amp;F44, Reference!$EB$2:$EB$8000, 0)), 2430)</f>
        <v>2430</v>
      </c>
      <c r="L44" s="33" t="n">
        <f aca="false">0+IFERROR(INDEX(Reference!$EH$2:$EH$8000, MATCH(Builder!E5&amp;"|"&amp;F44, Reference!$EB$2:$EB$8000, 0)), 2690)</f>
        <v>2690</v>
      </c>
      <c r="M44" s="33" t="n">
        <f aca="false">0+IFERROR(INDEX(Reference!$EI$2:$EI$8000, MATCH(Builder!E5&amp;"|"&amp;F44, Reference!$EB$2:$EB$8000, 0)), 2900)</f>
        <v>2900</v>
      </c>
      <c r="N44" s="33" t="n">
        <f aca="false">IF(AND(Builder!E2="Insurance / Org Tariff",IFERROR(INDEX(Reference!$EZ$2:$EZ$1000, MATCH(F44, Reference!$EX$2:$EX$1000, 0)), "No")="Yes"),0,IF('Service Add-Ons'!I7="Include",H44*K44,0))</f>
        <v>0</v>
      </c>
      <c r="O44" s="33" t="n">
        <f aca="false">IF(AND(Builder!E2="Insurance / Org Tariff",IFERROR(INDEX(Reference!$EZ$2:$EZ$1000, MATCH(F44, Reference!$EX$2:$EX$1000, 0)), "No")="Yes"),0,IF('Service Add-Ons'!I7="Include",I44*K44,0))</f>
        <v>0</v>
      </c>
      <c r="P44" s="33" t="n">
        <f aca="false">IF(AND(Builder!E2="Insurance / Org Tariff",IFERROR(INDEX(Reference!$EZ$2:$EZ$1000, MATCH(F44, Reference!$EX$2:$EX$1000, 0)), "No")="Yes"),0,IF('Service Add-Ons'!I7="Include",J44*K44,0))</f>
        <v>0</v>
      </c>
      <c r="Q44" s="33" t="n">
        <f aca="false">IF(AND(Builder!E2="Insurance / Org Tariff",IFERROR(INDEX(Reference!$EZ$2:$EZ$1000, MATCH(F44, Reference!$EX$2:$EX$1000, 0)), "No")="Yes"),0,IF('Service Add-Ons'!I7="Include",H44*L44,0))</f>
        <v>0</v>
      </c>
      <c r="R44" s="33" t="n">
        <f aca="false">IF(AND(Builder!E2="Insurance / Org Tariff",IFERROR(INDEX(Reference!$EZ$2:$EZ$1000, MATCH(F44, Reference!$EX$2:$EX$1000, 0)), "No")="Yes"),0,IF('Service Add-Ons'!I7="Include",I44*L44,0))</f>
        <v>0</v>
      </c>
      <c r="S44" s="33" t="n">
        <f aca="false">IF(AND(Builder!E2="Insurance / Org Tariff",IFERROR(INDEX(Reference!$EZ$2:$EZ$1000, MATCH(F44, Reference!$EX$2:$EX$1000, 0)), "No")="Yes"),0,IF('Service Add-Ons'!I7="Include",J44*L44,0))</f>
        <v>0</v>
      </c>
      <c r="T44" s="33" t="n">
        <f aca="false">IF(AND(Builder!E2="Insurance / Org Tariff",IFERROR(INDEX(Reference!$EZ$2:$EZ$1000, MATCH(F44, Reference!$EX$2:$EX$1000, 0)), "No")="Yes"),0,IF('Service Add-Ons'!I7="Include",H44*M44,0))</f>
        <v>0</v>
      </c>
      <c r="U44" s="33" t="n">
        <f aca="false">IF(AND(Builder!E2="Insurance / Org Tariff",IFERROR(INDEX(Reference!$EZ$2:$EZ$1000, MATCH(F44, Reference!$EX$2:$EX$1000, 0)), "No")="Yes"),0,IF('Service Add-Ons'!I7="Include",I44*M44,0))</f>
        <v>0</v>
      </c>
      <c r="V44" s="33" t="n">
        <f aca="false">IF(AND(Builder!E2="Insurance / Org Tariff",IFERROR(INDEX(Reference!$EZ$2:$EZ$1000, MATCH(F44, Reference!$EX$2:$EX$1000, 0)), "No")="Yes"),0,IF('Service Add-Ons'!I7="Include",J44*M44,0))</f>
        <v>0</v>
      </c>
      <c r="W44" s="33" t="n">
        <f aca="false">IF(Builder!B5="Low",N44,IF(Builder!B5="Typical",O44,P44))</f>
        <v>0</v>
      </c>
      <c r="X44" s="33" t="n">
        <f aca="false">IF(Builder!B5="Low",Q44,IF(Builder!B5="Typical",R44,S44))</f>
        <v>0</v>
      </c>
      <c r="Y44" s="33" t="n">
        <f aca="false">IF(Builder!B5="Low",T44,IF(Builder!B5="Typical",U44,V44))</f>
        <v>0</v>
      </c>
    </row>
    <row r="45" customFormat="false" ht="26.85" hidden="false" customHeight="false" outlineLevel="0" collapsed="false">
      <c r="A45" s="14" t="s">
        <v>223</v>
      </c>
      <c r="B45" s="41" t="s">
        <v>102</v>
      </c>
      <c r="C45" s="14" t="s">
        <v>224</v>
      </c>
      <c r="D45" s="14" t="s">
        <v>646</v>
      </c>
      <c r="E45" s="14" t="s">
        <v>649</v>
      </c>
      <c r="F45" s="41" t="s">
        <v>225</v>
      </c>
      <c r="G45" s="33" t="n">
        <f aca="false">IF(Builder!B5="Low",H45,IF(Builder!B5="Typical",I45,J45))</f>
        <v>1</v>
      </c>
      <c r="H45" s="33" t="n">
        <f aca="false">IFERROR(INDEX(Reference!$CX$2:$CX$4000, MATCH(Builder!G6&amp;"|"&amp;F45, Reference!$CQ$2:$CQ$4000, 0)), 1)</f>
        <v>1</v>
      </c>
      <c r="I45" s="33" t="n">
        <f aca="false">IFERROR(INDEX(Reference!$CY$2:$CY$4000, MATCH(Builder!G6&amp;"|"&amp;F45, Reference!$CQ$2:$CQ$4000, 0)), 1)</f>
        <v>1</v>
      </c>
      <c r="J45" s="33" t="n">
        <f aca="false">IFERROR(INDEX(Reference!$CZ$2:$CZ$4000, MATCH(Builder!G6&amp;"|"&amp;F45, Reference!$CQ$2:$CQ$4000, 0)), 2.75)</f>
        <v>2.75</v>
      </c>
      <c r="K45" s="33" t="n">
        <f aca="false">0+IFERROR(INDEX(Reference!$EG$2:$EG$8000, MATCH(Builder!E5&amp;"|"&amp;F45, Reference!$EB$2:$EB$8000, 0)), 2730)</f>
        <v>2730</v>
      </c>
      <c r="L45" s="33" t="n">
        <f aca="false">0+IFERROR(INDEX(Reference!$EH$2:$EH$8000, MATCH(Builder!E5&amp;"|"&amp;F45, Reference!$EB$2:$EB$8000, 0)), 3020)</f>
        <v>3020</v>
      </c>
      <c r="M45" s="33" t="n">
        <f aca="false">0+IFERROR(INDEX(Reference!$EI$2:$EI$8000, MATCH(Builder!E5&amp;"|"&amp;F45, Reference!$EB$2:$EB$8000, 0)), 3260)</f>
        <v>3260</v>
      </c>
      <c r="N45" s="33" t="n">
        <f aca="false">IF(AND(Builder!E2="Insurance / Org Tariff",IFERROR(INDEX(Reference!$EZ$2:$EZ$1000, MATCH(F45, Reference!$EX$2:$EX$1000, 0)), "No")="Yes"),0,IF('Service Add-Ons'!I8="Include",H45*K45,0))</f>
        <v>0</v>
      </c>
      <c r="O45" s="33" t="n">
        <f aca="false">IF(AND(Builder!E2="Insurance / Org Tariff",IFERROR(INDEX(Reference!$EZ$2:$EZ$1000, MATCH(F45, Reference!$EX$2:$EX$1000, 0)), "No")="Yes"),0,IF('Service Add-Ons'!I8="Include",I45*K45,0))</f>
        <v>0</v>
      </c>
      <c r="P45" s="33" t="n">
        <f aca="false">IF(AND(Builder!E2="Insurance / Org Tariff",IFERROR(INDEX(Reference!$EZ$2:$EZ$1000, MATCH(F45, Reference!$EX$2:$EX$1000, 0)), "No")="Yes"),0,IF('Service Add-Ons'!I8="Include",J45*K45,0))</f>
        <v>0</v>
      </c>
      <c r="Q45" s="33" t="n">
        <f aca="false">IF(AND(Builder!E2="Insurance / Org Tariff",IFERROR(INDEX(Reference!$EZ$2:$EZ$1000, MATCH(F45, Reference!$EX$2:$EX$1000, 0)), "No")="Yes"),0,IF('Service Add-Ons'!I8="Include",H45*L45,0))</f>
        <v>0</v>
      </c>
      <c r="R45" s="33" t="n">
        <f aca="false">IF(AND(Builder!E2="Insurance / Org Tariff",IFERROR(INDEX(Reference!$EZ$2:$EZ$1000, MATCH(F45, Reference!$EX$2:$EX$1000, 0)), "No")="Yes"),0,IF('Service Add-Ons'!I8="Include",I45*L45,0))</f>
        <v>0</v>
      </c>
      <c r="S45" s="33" t="n">
        <f aca="false">IF(AND(Builder!E2="Insurance / Org Tariff",IFERROR(INDEX(Reference!$EZ$2:$EZ$1000, MATCH(F45, Reference!$EX$2:$EX$1000, 0)), "No")="Yes"),0,IF('Service Add-Ons'!I8="Include",J45*L45,0))</f>
        <v>0</v>
      </c>
      <c r="T45" s="33" t="n">
        <f aca="false">IF(AND(Builder!E2="Insurance / Org Tariff",IFERROR(INDEX(Reference!$EZ$2:$EZ$1000, MATCH(F45, Reference!$EX$2:$EX$1000, 0)), "No")="Yes"),0,IF('Service Add-Ons'!I8="Include",H45*M45,0))</f>
        <v>0</v>
      </c>
      <c r="U45" s="33" t="n">
        <f aca="false">IF(AND(Builder!E2="Insurance / Org Tariff",IFERROR(INDEX(Reference!$EZ$2:$EZ$1000, MATCH(F45, Reference!$EX$2:$EX$1000, 0)), "No")="Yes"),0,IF('Service Add-Ons'!I8="Include",I45*M45,0))</f>
        <v>0</v>
      </c>
      <c r="V45" s="33" t="n">
        <f aca="false">IF(AND(Builder!E2="Insurance / Org Tariff",IFERROR(INDEX(Reference!$EZ$2:$EZ$1000, MATCH(F45, Reference!$EX$2:$EX$1000, 0)), "No")="Yes"),0,IF('Service Add-Ons'!I8="Include",J45*M45,0))</f>
        <v>0</v>
      </c>
      <c r="W45" s="33" t="n">
        <f aca="false">IF(Builder!B5="Low",N45,IF(Builder!B5="Typical",O45,P45))</f>
        <v>0</v>
      </c>
      <c r="X45" s="33" t="n">
        <f aca="false">IF(Builder!B5="Low",Q45,IF(Builder!B5="Typical",R45,S45))</f>
        <v>0</v>
      </c>
      <c r="Y45" s="33" t="n">
        <f aca="false">IF(Builder!B5="Low",T45,IF(Builder!B5="Typical",U45,V45))</f>
        <v>0</v>
      </c>
    </row>
    <row r="46" customFormat="false" ht="26.85" hidden="false" customHeight="false" outlineLevel="0" collapsed="false">
      <c r="A46" s="14" t="s">
        <v>227</v>
      </c>
      <c r="B46" s="41" t="s">
        <v>102</v>
      </c>
      <c r="C46" s="14" t="s">
        <v>228</v>
      </c>
      <c r="D46" s="14" t="s">
        <v>646</v>
      </c>
      <c r="E46" s="14" t="s">
        <v>649</v>
      </c>
      <c r="F46" s="41" t="s">
        <v>229</v>
      </c>
      <c r="G46" s="33" t="n">
        <f aca="false">IF(Builder!B5="Low",H46,IF(Builder!B5="Typical",I46,J46))</f>
        <v>5</v>
      </c>
      <c r="H46" s="33" t="n">
        <f aca="false">IFERROR(INDEX(Reference!$CX$2:$CX$4000, MATCH(Builder!G6&amp;"|"&amp;F46, Reference!$CQ$2:$CQ$4000, 0)), 5)</f>
        <v>5</v>
      </c>
      <c r="I46" s="33" t="n">
        <f aca="false">IFERROR(INDEX(Reference!$CY$2:$CY$4000, MATCH(Builder!G6&amp;"|"&amp;F46, Reference!$CQ$2:$CQ$4000, 0)), 5)</f>
        <v>5</v>
      </c>
      <c r="J46" s="33" t="n">
        <f aca="false">IFERROR(INDEX(Reference!$CZ$2:$CZ$4000, MATCH(Builder!G6&amp;"|"&amp;F46, Reference!$CQ$2:$CQ$4000, 0)), 7)</f>
        <v>7</v>
      </c>
      <c r="K46" s="33" t="n">
        <f aca="false">0+IFERROR(INDEX(Reference!$EG$2:$EG$8000, MATCH(Builder!E5&amp;"|"&amp;F46, Reference!$EB$2:$EB$8000, 0)), 270)</f>
        <v>270</v>
      </c>
      <c r="L46" s="33" t="n">
        <f aca="false">0+IFERROR(INDEX(Reference!$EH$2:$EH$8000, MATCH(Builder!E5&amp;"|"&amp;F46, Reference!$EB$2:$EB$8000, 0)), 300)</f>
        <v>300</v>
      </c>
      <c r="M46" s="33" t="n">
        <f aca="false">0+IFERROR(INDEX(Reference!$EI$2:$EI$8000, MATCH(Builder!E5&amp;"|"&amp;F46, Reference!$EB$2:$EB$8000, 0)), 330)</f>
        <v>330</v>
      </c>
      <c r="N46" s="33" t="n">
        <f aca="false">IF(AND(Builder!E2="Insurance / Org Tariff",IFERROR(INDEX(Reference!$EZ$2:$EZ$1000, MATCH(F46, Reference!$EX$2:$EX$1000, 0)), "No")="Yes"),0,IF('Service Add-Ons'!I9="Include",H46*K46,0))</f>
        <v>0</v>
      </c>
      <c r="O46" s="33" t="n">
        <f aca="false">IF(AND(Builder!E2="Insurance / Org Tariff",IFERROR(INDEX(Reference!$EZ$2:$EZ$1000, MATCH(F46, Reference!$EX$2:$EX$1000, 0)), "No")="Yes"),0,IF('Service Add-Ons'!I9="Include",I46*K46,0))</f>
        <v>0</v>
      </c>
      <c r="P46" s="33" t="n">
        <f aca="false">IF(AND(Builder!E2="Insurance / Org Tariff",IFERROR(INDEX(Reference!$EZ$2:$EZ$1000, MATCH(F46, Reference!$EX$2:$EX$1000, 0)), "No")="Yes"),0,IF('Service Add-Ons'!I9="Include",J46*K46,0))</f>
        <v>0</v>
      </c>
      <c r="Q46" s="33" t="n">
        <f aca="false">IF(AND(Builder!E2="Insurance / Org Tariff",IFERROR(INDEX(Reference!$EZ$2:$EZ$1000, MATCH(F46, Reference!$EX$2:$EX$1000, 0)), "No")="Yes"),0,IF('Service Add-Ons'!I9="Include",H46*L46,0))</f>
        <v>0</v>
      </c>
      <c r="R46" s="33" t="n">
        <f aca="false">IF(AND(Builder!E2="Insurance / Org Tariff",IFERROR(INDEX(Reference!$EZ$2:$EZ$1000, MATCH(F46, Reference!$EX$2:$EX$1000, 0)), "No")="Yes"),0,IF('Service Add-Ons'!I9="Include",I46*L46,0))</f>
        <v>0</v>
      </c>
      <c r="S46" s="33" t="n">
        <f aca="false">IF(AND(Builder!E2="Insurance / Org Tariff",IFERROR(INDEX(Reference!$EZ$2:$EZ$1000, MATCH(F46, Reference!$EX$2:$EX$1000, 0)), "No")="Yes"),0,IF('Service Add-Ons'!I9="Include",J46*L46,0))</f>
        <v>0</v>
      </c>
      <c r="T46" s="33" t="n">
        <f aca="false">IF(AND(Builder!E2="Insurance / Org Tariff",IFERROR(INDEX(Reference!$EZ$2:$EZ$1000, MATCH(F46, Reference!$EX$2:$EX$1000, 0)), "No")="Yes"),0,IF('Service Add-Ons'!I9="Include",H46*M46,0))</f>
        <v>0</v>
      </c>
      <c r="U46" s="33" t="n">
        <f aca="false">IF(AND(Builder!E2="Insurance / Org Tariff",IFERROR(INDEX(Reference!$EZ$2:$EZ$1000, MATCH(F46, Reference!$EX$2:$EX$1000, 0)), "No")="Yes"),0,IF('Service Add-Ons'!I9="Include",I46*M46,0))</f>
        <v>0</v>
      </c>
      <c r="V46" s="33" t="n">
        <f aca="false">IF(AND(Builder!E2="Insurance / Org Tariff",IFERROR(INDEX(Reference!$EZ$2:$EZ$1000, MATCH(F46, Reference!$EX$2:$EX$1000, 0)), "No")="Yes"),0,IF('Service Add-Ons'!I9="Include",J46*M46,0))</f>
        <v>0</v>
      </c>
      <c r="W46" s="33" t="n">
        <f aca="false">IF(Builder!B5="Low",N46,IF(Builder!B5="Typical",O46,P46))</f>
        <v>0</v>
      </c>
      <c r="X46" s="33" t="n">
        <f aca="false">IF(Builder!B5="Low",Q46,IF(Builder!B5="Typical",R46,S46))</f>
        <v>0</v>
      </c>
      <c r="Y46" s="33" t="n">
        <f aca="false">IF(Builder!B5="Low",T46,IF(Builder!B5="Typical",U46,V46))</f>
        <v>0</v>
      </c>
    </row>
    <row r="47" customFormat="false" ht="26.85" hidden="false" customHeight="false" outlineLevel="0" collapsed="false">
      <c r="A47" s="14" t="s">
        <v>231</v>
      </c>
      <c r="B47" s="41" t="s">
        <v>102</v>
      </c>
      <c r="C47" s="14" t="s">
        <v>232</v>
      </c>
      <c r="D47" s="14" t="s">
        <v>646</v>
      </c>
      <c r="E47" s="14" t="s">
        <v>649</v>
      </c>
      <c r="F47" s="41" t="s">
        <v>233</v>
      </c>
      <c r="G47" s="33" t="n">
        <f aca="false">IF(Builder!B5="Low",H47,IF(Builder!B5="Typical",I47,J47))</f>
        <v>1</v>
      </c>
      <c r="H47" s="33" t="n">
        <f aca="false">IFERROR(INDEX(Reference!$CX$2:$CX$4000, MATCH(Builder!G6&amp;"|"&amp;F47, Reference!$CQ$2:$CQ$4000, 0)), 1)</f>
        <v>1</v>
      </c>
      <c r="I47" s="33" t="n">
        <f aca="false">IFERROR(INDEX(Reference!$CY$2:$CY$4000, MATCH(Builder!G6&amp;"|"&amp;F47, Reference!$CQ$2:$CQ$4000, 0)), 1)</f>
        <v>1</v>
      </c>
      <c r="J47" s="33" t="n">
        <f aca="false">IFERROR(INDEX(Reference!$CZ$2:$CZ$4000, MATCH(Builder!G6&amp;"|"&amp;F47, Reference!$CQ$2:$CQ$4000, 0)), 1)</f>
        <v>1</v>
      </c>
      <c r="K47" s="33" t="n">
        <f aca="false">0+IFERROR(INDEX(Reference!$EG$2:$EG$8000, MATCH(Builder!E5&amp;"|"&amp;F47, Reference!$EB$2:$EB$8000, 0)), 1110)</f>
        <v>1110</v>
      </c>
      <c r="L47" s="33" t="n">
        <f aca="false">0+IFERROR(INDEX(Reference!$EH$2:$EH$8000, MATCH(Builder!E5&amp;"|"&amp;F47, Reference!$EB$2:$EB$8000, 0)), 1220)</f>
        <v>1220</v>
      </c>
      <c r="M47" s="33" t="n">
        <f aca="false">0+IFERROR(INDEX(Reference!$EI$2:$EI$8000, MATCH(Builder!E5&amp;"|"&amp;F47, Reference!$EB$2:$EB$8000, 0)), 1320)</f>
        <v>1320</v>
      </c>
      <c r="N47" s="33" t="n">
        <f aca="false">IF(AND(Builder!E2="Insurance / Org Tariff",IFERROR(INDEX(Reference!$EZ$2:$EZ$1000, MATCH(F47, Reference!$EX$2:$EX$1000, 0)), "No")="Yes"),0,IF('Service Add-Ons'!I10="Include",H47*K47,0))</f>
        <v>0</v>
      </c>
      <c r="O47" s="33" t="n">
        <f aca="false">IF(AND(Builder!E2="Insurance / Org Tariff",IFERROR(INDEX(Reference!$EZ$2:$EZ$1000, MATCH(F47, Reference!$EX$2:$EX$1000, 0)), "No")="Yes"),0,IF('Service Add-Ons'!I10="Include",I47*K47,0))</f>
        <v>0</v>
      </c>
      <c r="P47" s="33" t="n">
        <f aca="false">IF(AND(Builder!E2="Insurance / Org Tariff",IFERROR(INDEX(Reference!$EZ$2:$EZ$1000, MATCH(F47, Reference!$EX$2:$EX$1000, 0)), "No")="Yes"),0,IF('Service Add-Ons'!I10="Include",J47*K47,0))</f>
        <v>0</v>
      </c>
      <c r="Q47" s="33" t="n">
        <f aca="false">IF(AND(Builder!E2="Insurance / Org Tariff",IFERROR(INDEX(Reference!$EZ$2:$EZ$1000, MATCH(F47, Reference!$EX$2:$EX$1000, 0)), "No")="Yes"),0,IF('Service Add-Ons'!I10="Include",H47*L47,0))</f>
        <v>0</v>
      </c>
      <c r="R47" s="33" t="n">
        <f aca="false">IF(AND(Builder!E2="Insurance / Org Tariff",IFERROR(INDEX(Reference!$EZ$2:$EZ$1000, MATCH(F47, Reference!$EX$2:$EX$1000, 0)), "No")="Yes"),0,IF('Service Add-Ons'!I10="Include",I47*L47,0))</f>
        <v>0</v>
      </c>
      <c r="S47" s="33" t="n">
        <f aca="false">IF(AND(Builder!E2="Insurance / Org Tariff",IFERROR(INDEX(Reference!$EZ$2:$EZ$1000, MATCH(F47, Reference!$EX$2:$EX$1000, 0)), "No")="Yes"),0,IF('Service Add-Ons'!I10="Include",J47*L47,0))</f>
        <v>0</v>
      </c>
      <c r="T47" s="33" t="n">
        <f aca="false">IF(AND(Builder!E2="Insurance / Org Tariff",IFERROR(INDEX(Reference!$EZ$2:$EZ$1000, MATCH(F47, Reference!$EX$2:$EX$1000, 0)), "No")="Yes"),0,IF('Service Add-Ons'!I10="Include",H47*M47,0))</f>
        <v>0</v>
      </c>
      <c r="U47" s="33" t="n">
        <f aca="false">IF(AND(Builder!E2="Insurance / Org Tariff",IFERROR(INDEX(Reference!$EZ$2:$EZ$1000, MATCH(F47, Reference!$EX$2:$EX$1000, 0)), "No")="Yes"),0,IF('Service Add-Ons'!I10="Include",I47*M47,0))</f>
        <v>0</v>
      </c>
      <c r="V47" s="33" t="n">
        <f aca="false">IF(AND(Builder!E2="Insurance / Org Tariff",IFERROR(INDEX(Reference!$EZ$2:$EZ$1000, MATCH(F47, Reference!$EX$2:$EX$1000, 0)), "No")="Yes"),0,IF('Service Add-Ons'!I10="Include",J47*M47,0))</f>
        <v>0</v>
      </c>
      <c r="W47" s="33" t="n">
        <f aca="false">IF(Builder!B5="Low",N47,IF(Builder!B5="Typical",O47,P47))</f>
        <v>0</v>
      </c>
      <c r="X47" s="33" t="n">
        <f aca="false">IF(Builder!B5="Low",Q47,IF(Builder!B5="Typical",R47,S47))</f>
        <v>0</v>
      </c>
      <c r="Y47" s="33" t="n">
        <f aca="false">IF(Builder!B5="Low",T47,IF(Builder!B5="Typical",U47,V47))</f>
        <v>0</v>
      </c>
    </row>
    <row r="48" customFormat="false" ht="26.85" hidden="false" customHeight="false" outlineLevel="0" collapsed="false">
      <c r="A48" s="14" t="s">
        <v>235</v>
      </c>
      <c r="B48" s="41" t="s">
        <v>102</v>
      </c>
      <c r="C48" s="14" t="s">
        <v>236</v>
      </c>
      <c r="D48" s="14" t="s">
        <v>646</v>
      </c>
      <c r="E48" s="14" t="s">
        <v>649</v>
      </c>
      <c r="F48" s="41" t="s">
        <v>237</v>
      </c>
      <c r="G48" s="33" t="n">
        <f aca="false">IF(Builder!B5="Low",H48,IF(Builder!B5="Typical",I48,J48))</f>
        <v>1</v>
      </c>
      <c r="H48" s="33" t="n">
        <f aca="false">IFERROR(INDEX(Reference!$CX$2:$CX$4000, MATCH(Builder!G6&amp;"|"&amp;F48, Reference!$CQ$2:$CQ$4000, 0)), 1)</f>
        <v>1</v>
      </c>
      <c r="I48" s="33" t="n">
        <f aca="false">IFERROR(INDEX(Reference!$CY$2:$CY$4000, MATCH(Builder!G6&amp;"|"&amp;F48, Reference!$CQ$2:$CQ$4000, 0)), 1)</f>
        <v>1</v>
      </c>
      <c r="J48" s="33" t="n">
        <f aca="false">IFERROR(INDEX(Reference!$CZ$2:$CZ$4000, MATCH(Builder!G6&amp;"|"&amp;F48, Reference!$CQ$2:$CQ$4000, 0)), 1)</f>
        <v>1</v>
      </c>
      <c r="K48" s="33" t="n">
        <f aca="false">0+IFERROR(INDEX(Reference!$EG$2:$EG$8000, MATCH(Builder!E5&amp;"|"&amp;F48, Reference!$EB$2:$EB$8000, 0)), 2650)</f>
        <v>2650</v>
      </c>
      <c r="L48" s="33" t="n">
        <f aca="false">0+IFERROR(INDEX(Reference!$EH$2:$EH$8000, MATCH(Builder!E5&amp;"|"&amp;F48, Reference!$EB$2:$EB$8000, 0)), 2650)</f>
        <v>2650</v>
      </c>
      <c r="M48" s="33" t="n">
        <f aca="false">0+IFERROR(INDEX(Reference!$EI$2:$EI$8000, MATCH(Builder!E5&amp;"|"&amp;F48, Reference!$EB$2:$EB$8000, 0)), 2650)</f>
        <v>2650</v>
      </c>
      <c r="N48" s="33" t="n">
        <f aca="false">IF(AND(Builder!E2="Insurance / Org Tariff",IFERROR(INDEX(Reference!$EZ$2:$EZ$1000, MATCH(F48, Reference!$EX$2:$EX$1000, 0)), "No")="Yes"),0,IF('Service Add-Ons'!I11="Include",H48*K48,0))</f>
        <v>0</v>
      </c>
      <c r="O48" s="33" t="n">
        <f aca="false">IF(AND(Builder!E2="Insurance / Org Tariff",IFERROR(INDEX(Reference!$EZ$2:$EZ$1000, MATCH(F48, Reference!$EX$2:$EX$1000, 0)), "No")="Yes"),0,IF('Service Add-Ons'!I11="Include",I48*K48,0))</f>
        <v>0</v>
      </c>
      <c r="P48" s="33" t="n">
        <f aca="false">IF(AND(Builder!E2="Insurance / Org Tariff",IFERROR(INDEX(Reference!$EZ$2:$EZ$1000, MATCH(F48, Reference!$EX$2:$EX$1000, 0)), "No")="Yes"),0,IF('Service Add-Ons'!I11="Include",J48*K48,0))</f>
        <v>0</v>
      </c>
      <c r="Q48" s="33" t="n">
        <f aca="false">IF(AND(Builder!E2="Insurance / Org Tariff",IFERROR(INDEX(Reference!$EZ$2:$EZ$1000, MATCH(F48, Reference!$EX$2:$EX$1000, 0)), "No")="Yes"),0,IF('Service Add-Ons'!I11="Include",H48*L48,0))</f>
        <v>0</v>
      </c>
      <c r="R48" s="33" t="n">
        <f aca="false">IF(AND(Builder!E2="Insurance / Org Tariff",IFERROR(INDEX(Reference!$EZ$2:$EZ$1000, MATCH(F48, Reference!$EX$2:$EX$1000, 0)), "No")="Yes"),0,IF('Service Add-Ons'!I11="Include",I48*L48,0))</f>
        <v>0</v>
      </c>
      <c r="S48" s="33" t="n">
        <f aca="false">IF(AND(Builder!E2="Insurance / Org Tariff",IFERROR(INDEX(Reference!$EZ$2:$EZ$1000, MATCH(F48, Reference!$EX$2:$EX$1000, 0)), "No")="Yes"),0,IF('Service Add-Ons'!I11="Include",J48*L48,0))</f>
        <v>0</v>
      </c>
      <c r="T48" s="33" t="n">
        <f aca="false">IF(AND(Builder!E2="Insurance / Org Tariff",IFERROR(INDEX(Reference!$EZ$2:$EZ$1000, MATCH(F48, Reference!$EX$2:$EX$1000, 0)), "No")="Yes"),0,IF('Service Add-Ons'!I11="Include",H48*M48,0))</f>
        <v>0</v>
      </c>
      <c r="U48" s="33" t="n">
        <f aca="false">IF(AND(Builder!E2="Insurance / Org Tariff",IFERROR(INDEX(Reference!$EZ$2:$EZ$1000, MATCH(F48, Reference!$EX$2:$EX$1000, 0)), "No")="Yes"),0,IF('Service Add-Ons'!I11="Include",I48*M48,0))</f>
        <v>0</v>
      </c>
      <c r="V48" s="33" t="n">
        <f aca="false">IF(AND(Builder!E2="Insurance / Org Tariff",IFERROR(INDEX(Reference!$EZ$2:$EZ$1000, MATCH(F48, Reference!$EX$2:$EX$1000, 0)), "No")="Yes"),0,IF('Service Add-Ons'!I11="Include",J48*M48,0))</f>
        <v>0</v>
      </c>
      <c r="W48" s="33" t="n">
        <f aca="false">IF(Builder!B5="Low",N48,IF(Builder!B5="Typical",O48,P48))</f>
        <v>0</v>
      </c>
      <c r="X48" s="33" t="n">
        <f aca="false">IF(Builder!B5="Low",Q48,IF(Builder!B5="Typical",R48,S48))</f>
        <v>0</v>
      </c>
      <c r="Y48" s="33" t="n">
        <f aca="false">IF(Builder!B5="Low",T48,IF(Builder!B5="Typical",U48,V48))</f>
        <v>0</v>
      </c>
    </row>
    <row r="49" customFormat="false" ht="26.85" hidden="false" customHeight="false" outlineLevel="0" collapsed="false">
      <c r="A49" s="14" t="s">
        <v>238</v>
      </c>
      <c r="B49" s="41" t="s">
        <v>102</v>
      </c>
      <c r="C49" s="14" t="s">
        <v>239</v>
      </c>
      <c r="D49" s="14" t="s">
        <v>646</v>
      </c>
      <c r="E49" s="14" t="s">
        <v>649</v>
      </c>
      <c r="F49" s="41" t="s">
        <v>240</v>
      </c>
      <c r="G49" s="33" t="n">
        <f aca="false">IF(Builder!B5="Low",H49,IF(Builder!B5="Typical",I49,J49))</f>
        <v>2</v>
      </c>
      <c r="H49" s="33" t="n">
        <f aca="false">IFERROR(INDEX(Reference!$CX$2:$CX$4000, MATCH(Builder!G6&amp;"|"&amp;F49, Reference!$CQ$2:$CQ$4000, 0)), 2)</f>
        <v>2</v>
      </c>
      <c r="I49" s="33" t="n">
        <f aca="false">IFERROR(INDEX(Reference!$CY$2:$CY$4000, MATCH(Builder!G6&amp;"|"&amp;F49, Reference!$CQ$2:$CQ$4000, 0)), 2)</f>
        <v>2</v>
      </c>
      <c r="J49" s="33" t="n">
        <f aca="false">IFERROR(INDEX(Reference!$CZ$2:$CZ$4000, MATCH(Builder!G6&amp;"|"&amp;F49, Reference!$CQ$2:$CQ$4000, 0)), 2)</f>
        <v>2</v>
      </c>
      <c r="K49" s="33" t="n">
        <f aca="false">0+IFERROR(INDEX(Reference!$EG$2:$EG$8000, MATCH(Builder!E5&amp;"|"&amp;F49, Reference!$EB$2:$EB$8000, 0)), 3620)</f>
        <v>3620</v>
      </c>
      <c r="L49" s="33" t="n">
        <f aca="false">0+IFERROR(INDEX(Reference!$EH$2:$EH$8000, MATCH(Builder!E5&amp;"|"&amp;F49, Reference!$EB$2:$EB$8000, 0)), 3620)</f>
        <v>3620</v>
      </c>
      <c r="M49" s="33" t="n">
        <f aca="false">0+IFERROR(INDEX(Reference!$EI$2:$EI$8000, MATCH(Builder!E5&amp;"|"&amp;F49, Reference!$EB$2:$EB$8000, 0)), 3620)</f>
        <v>3620</v>
      </c>
      <c r="N49" s="33" t="n">
        <f aca="false">IF(AND(Builder!E2="Insurance / Org Tariff",IFERROR(INDEX(Reference!$EZ$2:$EZ$1000, MATCH(F49, Reference!$EX$2:$EX$1000, 0)), "No")="Yes"),0,IF('Service Add-Ons'!I12="Include",H49*K49,0))</f>
        <v>0</v>
      </c>
      <c r="O49" s="33" t="n">
        <f aca="false">IF(AND(Builder!E2="Insurance / Org Tariff",IFERROR(INDEX(Reference!$EZ$2:$EZ$1000, MATCH(F49, Reference!$EX$2:$EX$1000, 0)), "No")="Yes"),0,IF('Service Add-Ons'!I12="Include",I49*K49,0))</f>
        <v>0</v>
      </c>
      <c r="P49" s="33" t="n">
        <f aca="false">IF(AND(Builder!E2="Insurance / Org Tariff",IFERROR(INDEX(Reference!$EZ$2:$EZ$1000, MATCH(F49, Reference!$EX$2:$EX$1000, 0)), "No")="Yes"),0,IF('Service Add-Ons'!I12="Include",J49*K49,0))</f>
        <v>0</v>
      </c>
      <c r="Q49" s="33" t="n">
        <f aca="false">IF(AND(Builder!E2="Insurance / Org Tariff",IFERROR(INDEX(Reference!$EZ$2:$EZ$1000, MATCH(F49, Reference!$EX$2:$EX$1000, 0)), "No")="Yes"),0,IF('Service Add-Ons'!I12="Include",H49*L49,0))</f>
        <v>0</v>
      </c>
      <c r="R49" s="33" t="n">
        <f aca="false">IF(AND(Builder!E2="Insurance / Org Tariff",IFERROR(INDEX(Reference!$EZ$2:$EZ$1000, MATCH(F49, Reference!$EX$2:$EX$1000, 0)), "No")="Yes"),0,IF('Service Add-Ons'!I12="Include",I49*L49,0))</f>
        <v>0</v>
      </c>
      <c r="S49" s="33" t="n">
        <f aca="false">IF(AND(Builder!E2="Insurance / Org Tariff",IFERROR(INDEX(Reference!$EZ$2:$EZ$1000, MATCH(F49, Reference!$EX$2:$EX$1000, 0)), "No")="Yes"),0,IF('Service Add-Ons'!I12="Include",J49*L49,0))</f>
        <v>0</v>
      </c>
      <c r="T49" s="33" t="n">
        <f aca="false">IF(AND(Builder!E2="Insurance / Org Tariff",IFERROR(INDEX(Reference!$EZ$2:$EZ$1000, MATCH(F49, Reference!$EX$2:$EX$1000, 0)), "No")="Yes"),0,IF('Service Add-Ons'!I12="Include",H49*M49,0))</f>
        <v>0</v>
      </c>
      <c r="U49" s="33" t="n">
        <f aca="false">IF(AND(Builder!E2="Insurance / Org Tariff",IFERROR(INDEX(Reference!$EZ$2:$EZ$1000, MATCH(F49, Reference!$EX$2:$EX$1000, 0)), "No")="Yes"),0,IF('Service Add-Ons'!I12="Include",I49*M49,0))</f>
        <v>0</v>
      </c>
      <c r="V49" s="33" t="n">
        <f aca="false">IF(AND(Builder!E2="Insurance / Org Tariff",IFERROR(INDEX(Reference!$EZ$2:$EZ$1000, MATCH(F49, Reference!$EX$2:$EX$1000, 0)), "No")="Yes"),0,IF('Service Add-Ons'!I12="Include",J49*M49,0))</f>
        <v>0</v>
      </c>
      <c r="W49" s="33" t="n">
        <f aca="false">IF(Builder!B5="Low",N49,IF(Builder!B5="Typical",O49,P49))</f>
        <v>0</v>
      </c>
      <c r="X49" s="33" t="n">
        <f aca="false">IF(Builder!B5="Low",Q49,IF(Builder!B5="Typical",R49,S49))</f>
        <v>0</v>
      </c>
      <c r="Y49" s="33" t="n">
        <f aca="false">IF(Builder!B5="Low",T49,IF(Builder!B5="Typical",U49,V49))</f>
        <v>0</v>
      </c>
    </row>
    <row r="50" customFormat="false" ht="26.85" hidden="false" customHeight="false" outlineLevel="0" collapsed="false">
      <c r="A50" s="14" t="s">
        <v>241</v>
      </c>
      <c r="B50" s="41" t="s">
        <v>102</v>
      </c>
      <c r="C50" s="14" t="s">
        <v>242</v>
      </c>
      <c r="D50" s="14" t="s">
        <v>646</v>
      </c>
      <c r="E50" s="14" t="s">
        <v>649</v>
      </c>
      <c r="F50" s="41" t="s">
        <v>243</v>
      </c>
      <c r="G50" s="33" t="n">
        <f aca="false">IF(Builder!B5="Low",H50,IF(Builder!B5="Typical",I50,J50))</f>
        <v>1</v>
      </c>
      <c r="H50" s="33" t="n">
        <f aca="false">IFERROR(INDEX(Reference!$CX$2:$CX$4000, MATCH(Builder!G6&amp;"|"&amp;F50, Reference!$CQ$2:$CQ$4000, 0)), 1)</f>
        <v>1</v>
      </c>
      <c r="I50" s="33" t="n">
        <f aca="false">IFERROR(INDEX(Reference!$CY$2:$CY$4000, MATCH(Builder!G6&amp;"|"&amp;F50, Reference!$CQ$2:$CQ$4000, 0)), 1)</f>
        <v>1</v>
      </c>
      <c r="J50" s="33" t="n">
        <f aca="false">IFERROR(INDEX(Reference!$CZ$2:$CZ$4000, MATCH(Builder!G6&amp;"|"&amp;F50, Reference!$CQ$2:$CQ$4000, 0)), 1)</f>
        <v>1</v>
      </c>
      <c r="K50" s="33" t="n">
        <f aca="false">0+IFERROR(INDEX(Reference!$EG$2:$EG$8000, MATCH(Builder!E5&amp;"|"&amp;F50, Reference!$EB$2:$EB$8000, 0)), 1250)</f>
        <v>1250</v>
      </c>
      <c r="L50" s="33" t="n">
        <f aca="false">0+IFERROR(INDEX(Reference!$EH$2:$EH$8000, MATCH(Builder!E5&amp;"|"&amp;F50, Reference!$EB$2:$EB$8000, 0)), 1250)</f>
        <v>1250</v>
      </c>
      <c r="M50" s="33" t="n">
        <f aca="false">0+IFERROR(INDEX(Reference!$EI$2:$EI$8000, MATCH(Builder!E5&amp;"|"&amp;F50, Reference!$EB$2:$EB$8000, 0)), 1250)</f>
        <v>1250</v>
      </c>
      <c r="N50" s="33" t="n">
        <f aca="false">IF(AND(Builder!E2="Insurance / Org Tariff",IFERROR(INDEX(Reference!$EZ$2:$EZ$1000, MATCH(F50, Reference!$EX$2:$EX$1000, 0)), "No")="Yes"),0,IF('Service Add-Ons'!I13="Include",H50*K50,0))</f>
        <v>0</v>
      </c>
      <c r="O50" s="33" t="n">
        <f aca="false">IF(AND(Builder!E2="Insurance / Org Tariff",IFERROR(INDEX(Reference!$EZ$2:$EZ$1000, MATCH(F50, Reference!$EX$2:$EX$1000, 0)), "No")="Yes"),0,IF('Service Add-Ons'!I13="Include",I50*K50,0))</f>
        <v>0</v>
      </c>
      <c r="P50" s="33" t="n">
        <f aca="false">IF(AND(Builder!E2="Insurance / Org Tariff",IFERROR(INDEX(Reference!$EZ$2:$EZ$1000, MATCH(F50, Reference!$EX$2:$EX$1000, 0)), "No")="Yes"),0,IF('Service Add-Ons'!I13="Include",J50*K50,0))</f>
        <v>0</v>
      </c>
      <c r="Q50" s="33" t="n">
        <f aca="false">IF(AND(Builder!E2="Insurance / Org Tariff",IFERROR(INDEX(Reference!$EZ$2:$EZ$1000, MATCH(F50, Reference!$EX$2:$EX$1000, 0)), "No")="Yes"),0,IF('Service Add-Ons'!I13="Include",H50*L50,0))</f>
        <v>0</v>
      </c>
      <c r="R50" s="33" t="n">
        <f aca="false">IF(AND(Builder!E2="Insurance / Org Tariff",IFERROR(INDEX(Reference!$EZ$2:$EZ$1000, MATCH(F50, Reference!$EX$2:$EX$1000, 0)), "No")="Yes"),0,IF('Service Add-Ons'!I13="Include",I50*L50,0))</f>
        <v>0</v>
      </c>
      <c r="S50" s="33" t="n">
        <f aca="false">IF(AND(Builder!E2="Insurance / Org Tariff",IFERROR(INDEX(Reference!$EZ$2:$EZ$1000, MATCH(F50, Reference!$EX$2:$EX$1000, 0)), "No")="Yes"),0,IF('Service Add-Ons'!I13="Include",J50*L50,0))</f>
        <v>0</v>
      </c>
      <c r="T50" s="33" t="n">
        <f aca="false">IF(AND(Builder!E2="Insurance / Org Tariff",IFERROR(INDEX(Reference!$EZ$2:$EZ$1000, MATCH(F50, Reference!$EX$2:$EX$1000, 0)), "No")="Yes"),0,IF('Service Add-Ons'!I13="Include",H50*M50,0))</f>
        <v>0</v>
      </c>
      <c r="U50" s="33" t="n">
        <f aca="false">IF(AND(Builder!E2="Insurance / Org Tariff",IFERROR(INDEX(Reference!$EZ$2:$EZ$1000, MATCH(F50, Reference!$EX$2:$EX$1000, 0)), "No")="Yes"),0,IF('Service Add-Ons'!I13="Include",I50*M50,0))</f>
        <v>0</v>
      </c>
      <c r="V50" s="33" t="n">
        <f aca="false">IF(AND(Builder!E2="Insurance / Org Tariff",IFERROR(INDEX(Reference!$EZ$2:$EZ$1000, MATCH(F50, Reference!$EX$2:$EX$1000, 0)), "No")="Yes"),0,IF('Service Add-Ons'!I13="Include",J50*M50,0))</f>
        <v>0</v>
      </c>
      <c r="W50" s="33" t="n">
        <f aca="false">IF(Builder!B5="Low",N50,IF(Builder!B5="Typical",O50,P50))</f>
        <v>0</v>
      </c>
      <c r="X50" s="33" t="n">
        <f aca="false">IF(Builder!B5="Low",Q50,IF(Builder!B5="Typical",R50,S50))</f>
        <v>0</v>
      </c>
      <c r="Y50" s="33" t="n">
        <f aca="false">IF(Builder!B5="Low",T50,IF(Builder!B5="Typical",U50,V50))</f>
        <v>0</v>
      </c>
    </row>
    <row r="51" customFormat="false" ht="26.85" hidden="false" customHeight="false" outlineLevel="0" collapsed="false">
      <c r="A51" s="14" t="s">
        <v>244</v>
      </c>
      <c r="B51" s="41" t="s">
        <v>102</v>
      </c>
      <c r="C51" s="14" t="s">
        <v>245</v>
      </c>
      <c r="D51" s="14" t="s">
        <v>646</v>
      </c>
      <c r="E51" s="14" t="s">
        <v>649</v>
      </c>
      <c r="F51" s="41" t="s">
        <v>246</v>
      </c>
      <c r="G51" s="33" t="n">
        <f aca="false">IF(Builder!B5="Low",H51,IF(Builder!B5="Typical",I51,J51))</f>
        <v>1.5</v>
      </c>
      <c r="H51" s="33" t="n">
        <f aca="false">IFERROR(INDEX(Reference!$CX$2:$CX$4000, MATCH(Builder!G6&amp;"|"&amp;F51, Reference!$CQ$2:$CQ$4000, 0)), 1)</f>
        <v>1</v>
      </c>
      <c r="I51" s="33" t="n">
        <f aca="false">IFERROR(INDEX(Reference!$CY$2:$CY$4000, MATCH(Builder!G6&amp;"|"&amp;F51, Reference!$CQ$2:$CQ$4000, 0)), 1.5)</f>
        <v>1.5</v>
      </c>
      <c r="J51" s="33" t="n">
        <f aca="false">IFERROR(INDEX(Reference!$CZ$2:$CZ$4000, MATCH(Builder!G6&amp;"|"&amp;F51, Reference!$CQ$2:$CQ$4000, 0)), 2.25)</f>
        <v>2.25</v>
      </c>
      <c r="K51" s="33" t="n">
        <f aca="false">0+IFERROR(INDEX(Reference!$EG$2:$EG$8000, MATCH(Builder!E5&amp;"|"&amp;F51, Reference!$EB$2:$EB$8000, 0)), 730)</f>
        <v>730</v>
      </c>
      <c r="L51" s="33" t="n">
        <f aca="false">0+IFERROR(INDEX(Reference!$EH$2:$EH$8000, MATCH(Builder!E5&amp;"|"&amp;F51, Reference!$EB$2:$EB$8000, 0)), 800)</f>
        <v>800</v>
      </c>
      <c r="M51" s="33" t="n">
        <f aca="false">0+IFERROR(INDEX(Reference!$EI$2:$EI$8000, MATCH(Builder!E5&amp;"|"&amp;F51, Reference!$EB$2:$EB$8000, 0)), 870)</f>
        <v>870</v>
      </c>
      <c r="N51" s="33" t="n">
        <f aca="false">IF(AND(Builder!E2="Insurance / Org Tariff",IFERROR(INDEX(Reference!$EZ$2:$EZ$1000, MATCH(F51, Reference!$EX$2:$EX$1000, 0)), "No")="Yes"),0,IF('Service Add-Ons'!I14="Include",H51*K51,0))</f>
        <v>0</v>
      </c>
      <c r="O51" s="33" t="n">
        <f aca="false">IF(AND(Builder!E2="Insurance / Org Tariff",IFERROR(INDEX(Reference!$EZ$2:$EZ$1000, MATCH(F51, Reference!$EX$2:$EX$1000, 0)), "No")="Yes"),0,IF('Service Add-Ons'!I14="Include",I51*K51,0))</f>
        <v>0</v>
      </c>
      <c r="P51" s="33" t="n">
        <f aca="false">IF(AND(Builder!E2="Insurance / Org Tariff",IFERROR(INDEX(Reference!$EZ$2:$EZ$1000, MATCH(F51, Reference!$EX$2:$EX$1000, 0)), "No")="Yes"),0,IF('Service Add-Ons'!I14="Include",J51*K51,0))</f>
        <v>0</v>
      </c>
      <c r="Q51" s="33" t="n">
        <f aca="false">IF(AND(Builder!E2="Insurance / Org Tariff",IFERROR(INDEX(Reference!$EZ$2:$EZ$1000, MATCH(F51, Reference!$EX$2:$EX$1000, 0)), "No")="Yes"),0,IF('Service Add-Ons'!I14="Include",H51*L51,0))</f>
        <v>0</v>
      </c>
      <c r="R51" s="33" t="n">
        <f aca="false">IF(AND(Builder!E2="Insurance / Org Tariff",IFERROR(INDEX(Reference!$EZ$2:$EZ$1000, MATCH(F51, Reference!$EX$2:$EX$1000, 0)), "No")="Yes"),0,IF('Service Add-Ons'!I14="Include",I51*L51,0))</f>
        <v>0</v>
      </c>
      <c r="S51" s="33" t="n">
        <f aca="false">IF(AND(Builder!E2="Insurance / Org Tariff",IFERROR(INDEX(Reference!$EZ$2:$EZ$1000, MATCH(F51, Reference!$EX$2:$EX$1000, 0)), "No")="Yes"),0,IF('Service Add-Ons'!I14="Include",J51*L51,0))</f>
        <v>0</v>
      </c>
      <c r="T51" s="33" t="n">
        <f aca="false">IF(AND(Builder!E2="Insurance / Org Tariff",IFERROR(INDEX(Reference!$EZ$2:$EZ$1000, MATCH(F51, Reference!$EX$2:$EX$1000, 0)), "No")="Yes"),0,IF('Service Add-Ons'!I14="Include",H51*M51,0))</f>
        <v>0</v>
      </c>
      <c r="U51" s="33" t="n">
        <f aca="false">IF(AND(Builder!E2="Insurance / Org Tariff",IFERROR(INDEX(Reference!$EZ$2:$EZ$1000, MATCH(F51, Reference!$EX$2:$EX$1000, 0)), "No")="Yes"),0,IF('Service Add-Ons'!I14="Include",I51*M51,0))</f>
        <v>0</v>
      </c>
      <c r="V51" s="33" t="n">
        <f aca="false">IF(AND(Builder!E2="Insurance / Org Tariff",IFERROR(INDEX(Reference!$EZ$2:$EZ$1000, MATCH(F51, Reference!$EX$2:$EX$1000, 0)), "No")="Yes"),0,IF('Service Add-Ons'!I14="Include",J51*M51,0))</f>
        <v>0</v>
      </c>
      <c r="W51" s="33" t="n">
        <f aca="false">IF(Builder!B5="Low",N51,IF(Builder!B5="Typical",O51,P51))</f>
        <v>0</v>
      </c>
      <c r="X51" s="33" t="n">
        <f aca="false">IF(Builder!B5="Low",Q51,IF(Builder!B5="Typical",R51,S51))</f>
        <v>0</v>
      </c>
      <c r="Y51" s="33" t="n">
        <f aca="false">IF(Builder!B5="Low",T51,IF(Builder!B5="Typical",U51,V51))</f>
        <v>0</v>
      </c>
    </row>
    <row r="52" customFormat="false" ht="26.85" hidden="false" customHeight="false" outlineLevel="0" collapsed="false">
      <c r="A52" s="14" t="s">
        <v>247</v>
      </c>
      <c r="B52" s="41" t="s">
        <v>102</v>
      </c>
      <c r="C52" s="14" t="s">
        <v>248</v>
      </c>
      <c r="D52" s="14" t="s">
        <v>646</v>
      </c>
      <c r="E52" s="14" t="s">
        <v>649</v>
      </c>
      <c r="F52" s="41" t="s">
        <v>249</v>
      </c>
      <c r="G52" s="33" t="n">
        <f aca="false">IF(Builder!B5="Low",H52,IF(Builder!B5="Typical",I52,J52))</f>
        <v>1</v>
      </c>
      <c r="H52" s="33" t="n">
        <f aca="false">IFERROR(INDEX(Reference!$CX$2:$CX$4000, MATCH(Builder!G6&amp;"|"&amp;F52, Reference!$CQ$2:$CQ$4000, 0)), 1)</f>
        <v>1</v>
      </c>
      <c r="I52" s="33" t="n">
        <f aca="false">IFERROR(INDEX(Reference!$CY$2:$CY$4000, MATCH(Builder!G6&amp;"|"&amp;F52, Reference!$CQ$2:$CQ$4000, 0)), 1)</f>
        <v>1</v>
      </c>
      <c r="J52" s="33" t="n">
        <f aca="false">IFERROR(INDEX(Reference!$CZ$2:$CZ$4000, MATCH(Builder!G6&amp;"|"&amp;F52, Reference!$CQ$2:$CQ$4000, 0)), 1)</f>
        <v>1</v>
      </c>
      <c r="K52" s="33" t="n">
        <f aca="false">0+IFERROR(INDEX(Reference!$EG$2:$EG$8000, MATCH(Builder!E5&amp;"|"&amp;F52, Reference!$EB$2:$EB$8000, 0)), 310)</f>
        <v>310</v>
      </c>
      <c r="L52" s="33" t="n">
        <f aca="false">0+IFERROR(INDEX(Reference!$EH$2:$EH$8000, MATCH(Builder!E5&amp;"|"&amp;F52, Reference!$EB$2:$EB$8000, 0)), 340)</f>
        <v>340</v>
      </c>
      <c r="M52" s="33" t="n">
        <f aca="false">0+IFERROR(INDEX(Reference!$EI$2:$EI$8000, MATCH(Builder!E5&amp;"|"&amp;F52, Reference!$EB$2:$EB$8000, 0)), 370)</f>
        <v>370</v>
      </c>
      <c r="N52" s="33" t="n">
        <f aca="false">IF(AND(Builder!E2="Insurance / Org Tariff",IFERROR(INDEX(Reference!$EZ$2:$EZ$1000, MATCH(F52, Reference!$EX$2:$EX$1000, 0)), "No")="Yes"),0,IF('Service Add-Ons'!I15="Include",H52*K52,0))</f>
        <v>0</v>
      </c>
      <c r="O52" s="33" t="n">
        <f aca="false">IF(AND(Builder!E2="Insurance / Org Tariff",IFERROR(INDEX(Reference!$EZ$2:$EZ$1000, MATCH(F52, Reference!$EX$2:$EX$1000, 0)), "No")="Yes"),0,IF('Service Add-Ons'!I15="Include",I52*K52,0))</f>
        <v>0</v>
      </c>
      <c r="P52" s="33" t="n">
        <f aca="false">IF(AND(Builder!E2="Insurance / Org Tariff",IFERROR(INDEX(Reference!$EZ$2:$EZ$1000, MATCH(F52, Reference!$EX$2:$EX$1000, 0)), "No")="Yes"),0,IF('Service Add-Ons'!I15="Include",J52*K52,0))</f>
        <v>0</v>
      </c>
      <c r="Q52" s="33" t="n">
        <f aca="false">IF(AND(Builder!E2="Insurance / Org Tariff",IFERROR(INDEX(Reference!$EZ$2:$EZ$1000, MATCH(F52, Reference!$EX$2:$EX$1000, 0)), "No")="Yes"),0,IF('Service Add-Ons'!I15="Include",H52*L52,0))</f>
        <v>0</v>
      </c>
      <c r="R52" s="33" t="n">
        <f aca="false">IF(AND(Builder!E2="Insurance / Org Tariff",IFERROR(INDEX(Reference!$EZ$2:$EZ$1000, MATCH(F52, Reference!$EX$2:$EX$1000, 0)), "No")="Yes"),0,IF('Service Add-Ons'!I15="Include",I52*L52,0))</f>
        <v>0</v>
      </c>
      <c r="S52" s="33" t="n">
        <f aca="false">IF(AND(Builder!E2="Insurance / Org Tariff",IFERROR(INDEX(Reference!$EZ$2:$EZ$1000, MATCH(F52, Reference!$EX$2:$EX$1000, 0)), "No")="Yes"),0,IF('Service Add-Ons'!I15="Include",J52*L52,0))</f>
        <v>0</v>
      </c>
      <c r="T52" s="33" t="n">
        <f aca="false">IF(AND(Builder!E2="Insurance / Org Tariff",IFERROR(INDEX(Reference!$EZ$2:$EZ$1000, MATCH(F52, Reference!$EX$2:$EX$1000, 0)), "No")="Yes"),0,IF('Service Add-Ons'!I15="Include",H52*M52,0))</f>
        <v>0</v>
      </c>
      <c r="U52" s="33" t="n">
        <f aca="false">IF(AND(Builder!E2="Insurance / Org Tariff",IFERROR(INDEX(Reference!$EZ$2:$EZ$1000, MATCH(F52, Reference!$EX$2:$EX$1000, 0)), "No")="Yes"),0,IF('Service Add-Ons'!I15="Include",I52*M52,0))</f>
        <v>0</v>
      </c>
      <c r="V52" s="33" t="n">
        <f aca="false">IF(AND(Builder!E2="Insurance / Org Tariff",IFERROR(INDEX(Reference!$EZ$2:$EZ$1000, MATCH(F52, Reference!$EX$2:$EX$1000, 0)), "No")="Yes"),0,IF('Service Add-Ons'!I15="Include",J52*M52,0))</f>
        <v>0</v>
      </c>
      <c r="W52" s="33" t="n">
        <f aca="false">IF(Builder!B5="Low",N52,IF(Builder!B5="Typical",O52,P52))</f>
        <v>0</v>
      </c>
      <c r="X52" s="33" t="n">
        <f aca="false">IF(Builder!B5="Low",Q52,IF(Builder!B5="Typical",R52,S52))</f>
        <v>0</v>
      </c>
      <c r="Y52" s="33" t="n">
        <f aca="false">IF(Builder!B5="Low",T52,IF(Builder!B5="Typical",U52,V52))</f>
        <v>0</v>
      </c>
    </row>
    <row r="53" customFormat="false" ht="26.85" hidden="false" customHeight="false" outlineLevel="0" collapsed="false">
      <c r="A53" s="14" t="s">
        <v>250</v>
      </c>
      <c r="B53" s="41" t="s">
        <v>102</v>
      </c>
      <c r="C53" s="14" t="s">
        <v>251</v>
      </c>
      <c r="D53" s="14" t="s">
        <v>646</v>
      </c>
      <c r="E53" s="14" t="s">
        <v>649</v>
      </c>
      <c r="F53" s="41" t="s">
        <v>252</v>
      </c>
      <c r="G53" s="33" t="n">
        <f aca="false">IF(Builder!B5="Low",H53,IF(Builder!B5="Typical",I53,J53))</f>
        <v>1</v>
      </c>
      <c r="H53" s="33" t="n">
        <f aca="false">IFERROR(INDEX(Reference!$CX$2:$CX$4000, MATCH(Builder!G6&amp;"|"&amp;F53, Reference!$CQ$2:$CQ$4000, 0)), 1)</f>
        <v>1</v>
      </c>
      <c r="I53" s="33" t="n">
        <f aca="false">IFERROR(INDEX(Reference!$CY$2:$CY$4000, MATCH(Builder!G6&amp;"|"&amp;F53, Reference!$CQ$2:$CQ$4000, 0)), 1)</f>
        <v>1</v>
      </c>
      <c r="J53" s="33" t="n">
        <f aca="false">IFERROR(INDEX(Reference!$CZ$2:$CZ$4000, MATCH(Builder!G6&amp;"|"&amp;F53, Reference!$CQ$2:$CQ$4000, 0)), 1)</f>
        <v>1</v>
      </c>
      <c r="K53" s="33" t="n">
        <f aca="false">0+IFERROR(INDEX(Reference!$EG$2:$EG$8000, MATCH(Builder!E5&amp;"|"&amp;F53, Reference!$EB$2:$EB$8000, 0)), 890)</f>
        <v>890</v>
      </c>
      <c r="L53" s="33" t="n">
        <f aca="false">0+IFERROR(INDEX(Reference!$EH$2:$EH$8000, MATCH(Builder!E5&amp;"|"&amp;F53, Reference!$EB$2:$EB$8000, 0)), 890)</f>
        <v>890</v>
      </c>
      <c r="M53" s="33" t="n">
        <f aca="false">0+IFERROR(INDEX(Reference!$EI$2:$EI$8000, MATCH(Builder!E5&amp;"|"&amp;F53, Reference!$EB$2:$EB$8000, 0)), 890)</f>
        <v>890</v>
      </c>
      <c r="N53" s="33" t="n">
        <f aca="false">IF(AND(Builder!E2="Insurance / Org Tariff",IFERROR(INDEX(Reference!$EZ$2:$EZ$1000, MATCH(F53, Reference!$EX$2:$EX$1000, 0)), "No")="Yes"),0,IF('Service Add-Ons'!I16="Include",H53*K53,0))</f>
        <v>0</v>
      </c>
      <c r="O53" s="33" t="n">
        <f aca="false">IF(AND(Builder!E2="Insurance / Org Tariff",IFERROR(INDEX(Reference!$EZ$2:$EZ$1000, MATCH(F53, Reference!$EX$2:$EX$1000, 0)), "No")="Yes"),0,IF('Service Add-Ons'!I16="Include",I53*K53,0))</f>
        <v>0</v>
      </c>
      <c r="P53" s="33" t="n">
        <f aca="false">IF(AND(Builder!E2="Insurance / Org Tariff",IFERROR(INDEX(Reference!$EZ$2:$EZ$1000, MATCH(F53, Reference!$EX$2:$EX$1000, 0)), "No")="Yes"),0,IF('Service Add-Ons'!I16="Include",J53*K53,0))</f>
        <v>0</v>
      </c>
      <c r="Q53" s="33" t="n">
        <f aca="false">IF(AND(Builder!E2="Insurance / Org Tariff",IFERROR(INDEX(Reference!$EZ$2:$EZ$1000, MATCH(F53, Reference!$EX$2:$EX$1000, 0)), "No")="Yes"),0,IF('Service Add-Ons'!I16="Include",H53*L53,0))</f>
        <v>0</v>
      </c>
      <c r="R53" s="33" t="n">
        <f aca="false">IF(AND(Builder!E2="Insurance / Org Tariff",IFERROR(INDEX(Reference!$EZ$2:$EZ$1000, MATCH(F53, Reference!$EX$2:$EX$1000, 0)), "No")="Yes"),0,IF('Service Add-Ons'!I16="Include",I53*L53,0))</f>
        <v>0</v>
      </c>
      <c r="S53" s="33" t="n">
        <f aca="false">IF(AND(Builder!E2="Insurance / Org Tariff",IFERROR(INDEX(Reference!$EZ$2:$EZ$1000, MATCH(F53, Reference!$EX$2:$EX$1000, 0)), "No")="Yes"),0,IF('Service Add-Ons'!I16="Include",J53*L53,0))</f>
        <v>0</v>
      </c>
      <c r="T53" s="33" t="n">
        <f aca="false">IF(AND(Builder!E2="Insurance / Org Tariff",IFERROR(INDEX(Reference!$EZ$2:$EZ$1000, MATCH(F53, Reference!$EX$2:$EX$1000, 0)), "No")="Yes"),0,IF('Service Add-Ons'!I16="Include",H53*M53,0))</f>
        <v>0</v>
      </c>
      <c r="U53" s="33" t="n">
        <f aca="false">IF(AND(Builder!E2="Insurance / Org Tariff",IFERROR(INDEX(Reference!$EZ$2:$EZ$1000, MATCH(F53, Reference!$EX$2:$EX$1000, 0)), "No")="Yes"),0,IF('Service Add-Ons'!I16="Include",I53*M53,0))</f>
        <v>0</v>
      </c>
      <c r="V53" s="33" t="n">
        <f aca="false">IF(AND(Builder!E2="Insurance / Org Tariff",IFERROR(INDEX(Reference!$EZ$2:$EZ$1000, MATCH(F53, Reference!$EX$2:$EX$1000, 0)), "No")="Yes"),0,IF('Service Add-Ons'!I16="Include",J53*M53,0))</f>
        <v>0</v>
      </c>
      <c r="W53" s="33" t="n">
        <f aca="false">IF(Builder!B5="Low",N53,IF(Builder!B5="Typical",O53,P53))</f>
        <v>0</v>
      </c>
      <c r="X53" s="33" t="n">
        <f aca="false">IF(Builder!B5="Low",Q53,IF(Builder!B5="Typical",R53,S53))</f>
        <v>0</v>
      </c>
      <c r="Y53" s="33" t="n">
        <f aca="false">IF(Builder!B5="Low",T53,IF(Builder!B5="Typical",U53,V53))</f>
        <v>0</v>
      </c>
    </row>
    <row r="54" customFormat="false" ht="26.85" hidden="false" customHeight="false" outlineLevel="0" collapsed="false">
      <c r="A54" s="14" t="s">
        <v>253</v>
      </c>
      <c r="B54" s="41" t="s">
        <v>102</v>
      </c>
      <c r="C54" s="14" t="s">
        <v>254</v>
      </c>
      <c r="D54" s="14" t="s">
        <v>646</v>
      </c>
      <c r="E54" s="14" t="s">
        <v>649</v>
      </c>
      <c r="F54" s="41" t="s">
        <v>255</v>
      </c>
      <c r="G54" s="33" t="n">
        <f aca="false">IF(Builder!B5="Low",H54,IF(Builder!B5="Typical",I54,J54))</f>
        <v>1</v>
      </c>
      <c r="H54" s="33" t="n">
        <f aca="false">IFERROR(INDEX(Reference!$CX$2:$CX$4000, MATCH(Builder!G6&amp;"|"&amp;F54, Reference!$CQ$2:$CQ$4000, 0)), 1)</f>
        <v>1</v>
      </c>
      <c r="I54" s="33" t="n">
        <f aca="false">IFERROR(INDEX(Reference!$CY$2:$CY$4000, MATCH(Builder!G6&amp;"|"&amp;F54, Reference!$CQ$2:$CQ$4000, 0)), 1)</f>
        <v>1</v>
      </c>
      <c r="J54" s="33" t="n">
        <f aca="false">IFERROR(INDEX(Reference!$CZ$2:$CZ$4000, MATCH(Builder!G6&amp;"|"&amp;F54, Reference!$CQ$2:$CQ$4000, 0)), 1)</f>
        <v>1</v>
      </c>
      <c r="K54" s="33" t="n">
        <f aca="false">0+IFERROR(INDEX(Reference!$EG$2:$EG$8000, MATCH(Builder!E5&amp;"|"&amp;F54, Reference!$EB$2:$EB$8000, 0)), 980)</f>
        <v>980</v>
      </c>
      <c r="L54" s="33" t="n">
        <f aca="false">0+IFERROR(INDEX(Reference!$EH$2:$EH$8000, MATCH(Builder!E5&amp;"|"&amp;F54, Reference!$EB$2:$EB$8000, 0)), 1080)</f>
        <v>1080</v>
      </c>
      <c r="M54" s="33" t="n">
        <f aca="false">0+IFERROR(INDEX(Reference!$EI$2:$EI$8000, MATCH(Builder!E5&amp;"|"&amp;F54, Reference!$EB$2:$EB$8000, 0)), 1170)</f>
        <v>1170</v>
      </c>
      <c r="N54" s="33" t="n">
        <f aca="false">IF(AND(Builder!E2="Insurance / Org Tariff",IFERROR(INDEX(Reference!$EZ$2:$EZ$1000, MATCH(F54, Reference!$EX$2:$EX$1000, 0)), "No")="Yes"),0,IF('Service Add-Ons'!I17="Include",H54*K54,0))</f>
        <v>0</v>
      </c>
      <c r="O54" s="33" t="n">
        <f aca="false">IF(AND(Builder!E2="Insurance / Org Tariff",IFERROR(INDEX(Reference!$EZ$2:$EZ$1000, MATCH(F54, Reference!$EX$2:$EX$1000, 0)), "No")="Yes"),0,IF('Service Add-Ons'!I17="Include",I54*K54,0))</f>
        <v>0</v>
      </c>
      <c r="P54" s="33" t="n">
        <f aca="false">IF(AND(Builder!E2="Insurance / Org Tariff",IFERROR(INDEX(Reference!$EZ$2:$EZ$1000, MATCH(F54, Reference!$EX$2:$EX$1000, 0)), "No")="Yes"),0,IF('Service Add-Ons'!I17="Include",J54*K54,0))</f>
        <v>0</v>
      </c>
      <c r="Q54" s="33" t="n">
        <f aca="false">IF(AND(Builder!E2="Insurance / Org Tariff",IFERROR(INDEX(Reference!$EZ$2:$EZ$1000, MATCH(F54, Reference!$EX$2:$EX$1000, 0)), "No")="Yes"),0,IF('Service Add-Ons'!I17="Include",H54*L54,0))</f>
        <v>0</v>
      </c>
      <c r="R54" s="33" t="n">
        <f aca="false">IF(AND(Builder!E2="Insurance / Org Tariff",IFERROR(INDEX(Reference!$EZ$2:$EZ$1000, MATCH(F54, Reference!$EX$2:$EX$1000, 0)), "No")="Yes"),0,IF('Service Add-Ons'!I17="Include",I54*L54,0))</f>
        <v>0</v>
      </c>
      <c r="S54" s="33" t="n">
        <f aca="false">IF(AND(Builder!E2="Insurance / Org Tariff",IFERROR(INDEX(Reference!$EZ$2:$EZ$1000, MATCH(F54, Reference!$EX$2:$EX$1000, 0)), "No")="Yes"),0,IF('Service Add-Ons'!I17="Include",J54*L54,0))</f>
        <v>0</v>
      </c>
      <c r="T54" s="33" t="n">
        <f aca="false">IF(AND(Builder!E2="Insurance / Org Tariff",IFERROR(INDEX(Reference!$EZ$2:$EZ$1000, MATCH(F54, Reference!$EX$2:$EX$1000, 0)), "No")="Yes"),0,IF('Service Add-Ons'!I17="Include",H54*M54,0))</f>
        <v>0</v>
      </c>
      <c r="U54" s="33" t="n">
        <f aca="false">IF(AND(Builder!E2="Insurance / Org Tariff",IFERROR(INDEX(Reference!$EZ$2:$EZ$1000, MATCH(F54, Reference!$EX$2:$EX$1000, 0)), "No")="Yes"),0,IF('Service Add-Ons'!I17="Include",I54*M54,0))</f>
        <v>0</v>
      </c>
      <c r="V54" s="33" t="n">
        <f aca="false">IF(AND(Builder!E2="Insurance / Org Tariff",IFERROR(INDEX(Reference!$EZ$2:$EZ$1000, MATCH(F54, Reference!$EX$2:$EX$1000, 0)), "No")="Yes"),0,IF('Service Add-Ons'!I17="Include",J54*M54,0))</f>
        <v>0</v>
      </c>
      <c r="W54" s="33" t="n">
        <f aca="false">IF(Builder!B5="Low",N54,IF(Builder!B5="Typical",O54,P54))</f>
        <v>0</v>
      </c>
      <c r="X54" s="33" t="n">
        <f aca="false">IF(Builder!B5="Low",Q54,IF(Builder!B5="Typical",R54,S54))</f>
        <v>0</v>
      </c>
      <c r="Y54" s="33" t="n">
        <f aca="false">IF(Builder!B5="Low",T54,IF(Builder!B5="Typical",U54,V54))</f>
        <v>0</v>
      </c>
    </row>
    <row r="55" customFormat="false" ht="26.85" hidden="false" customHeight="false" outlineLevel="0" collapsed="false">
      <c r="A55" s="14" t="s">
        <v>256</v>
      </c>
      <c r="B55" s="41" t="s">
        <v>102</v>
      </c>
      <c r="C55" s="14" t="s">
        <v>257</v>
      </c>
      <c r="D55" s="14" t="s">
        <v>646</v>
      </c>
      <c r="E55" s="14" t="s">
        <v>649</v>
      </c>
      <c r="F55" s="41" t="s">
        <v>258</v>
      </c>
      <c r="G55" s="33" t="n">
        <f aca="false">IF(Builder!B5="Low",H55,IF(Builder!B5="Typical",I55,J55))</f>
        <v>1</v>
      </c>
      <c r="H55" s="33" t="n">
        <f aca="false">IFERROR(INDEX(Reference!$CX$2:$CX$4000, MATCH(Builder!G6&amp;"|"&amp;F55, Reference!$CQ$2:$CQ$4000, 0)), 1)</f>
        <v>1</v>
      </c>
      <c r="I55" s="33" t="n">
        <f aca="false">IFERROR(INDEX(Reference!$CY$2:$CY$4000, MATCH(Builder!G6&amp;"|"&amp;F55, Reference!$CQ$2:$CQ$4000, 0)), 1)</f>
        <v>1</v>
      </c>
      <c r="J55" s="33" t="n">
        <f aca="false">IFERROR(INDEX(Reference!$CZ$2:$CZ$4000, MATCH(Builder!G6&amp;"|"&amp;F55, Reference!$CQ$2:$CQ$4000, 0)), 1)</f>
        <v>1</v>
      </c>
      <c r="K55" s="33" t="n">
        <f aca="false">0+IFERROR(INDEX(Reference!$EG$2:$EG$8000, MATCH(Builder!E5&amp;"|"&amp;F55, Reference!$EB$2:$EB$8000, 0)), 2910)</f>
        <v>2910</v>
      </c>
      <c r="L55" s="33" t="n">
        <f aca="false">0+IFERROR(INDEX(Reference!$EH$2:$EH$8000, MATCH(Builder!E5&amp;"|"&amp;F55, Reference!$EB$2:$EB$8000, 0)), 3220)</f>
        <v>3220</v>
      </c>
      <c r="M55" s="33" t="n">
        <f aca="false">0+IFERROR(INDEX(Reference!$EI$2:$EI$8000, MATCH(Builder!E5&amp;"|"&amp;F55, Reference!$EB$2:$EB$8000, 0)), 3470)</f>
        <v>3470</v>
      </c>
      <c r="N55" s="33" t="n">
        <f aca="false">IF(AND(Builder!E2="Insurance / Org Tariff",IFERROR(INDEX(Reference!$EZ$2:$EZ$1000, MATCH(F55, Reference!$EX$2:$EX$1000, 0)), "No")="Yes"),0,IF('Service Add-Ons'!I18="Include",H55*K55,0))</f>
        <v>0</v>
      </c>
      <c r="O55" s="33" t="n">
        <f aca="false">IF(AND(Builder!E2="Insurance / Org Tariff",IFERROR(INDEX(Reference!$EZ$2:$EZ$1000, MATCH(F55, Reference!$EX$2:$EX$1000, 0)), "No")="Yes"),0,IF('Service Add-Ons'!I18="Include",I55*K55,0))</f>
        <v>0</v>
      </c>
      <c r="P55" s="33" t="n">
        <f aca="false">IF(AND(Builder!E2="Insurance / Org Tariff",IFERROR(INDEX(Reference!$EZ$2:$EZ$1000, MATCH(F55, Reference!$EX$2:$EX$1000, 0)), "No")="Yes"),0,IF('Service Add-Ons'!I18="Include",J55*K55,0))</f>
        <v>0</v>
      </c>
      <c r="Q55" s="33" t="n">
        <f aca="false">IF(AND(Builder!E2="Insurance / Org Tariff",IFERROR(INDEX(Reference!$EZ$2:$EZ$1000, MATCH(F55, Reference!$EX$2:$EX$1000, 0)), "No")="Yes"),0,IF('Service Add-Ons'!I18="Include",H55*L55,0))</f>
        <v>0</v>
      </c>
      <c r="R55" s="33" t="n">
        <f aca="false">IF(AND(Builder!E2="Insurance / Org Tariff",IFERROR(INDEX(Reference!$EZ$2:$EZ$1000, MATCH(F55, Reference!$EX$2:$EX$1000, 0)), "No")="Yes"),0,IF('Service Add-Ons'!I18="Include",I55*L55,0))</f>
        <v>0</v>
      </c>
      <c r="S55" s="33" t="n">
        <f aca="false">IF(AND(Builder!E2="Insurance / Org Tariff",IFERROR(INDEX(Reference!$EZ$2:$EZ$1000, MATCH(F55, Reference!$EX$2:$EX$1000, 0)), "No")="Yes"),0,IF('Service Add-Ons'!I18="Include",J55*L55,0))</f>
        <v>0</v>
      </c>
      <c r="T55" s="33" t="n">
        <f aca="false">IF(AND(Builder!E2="Insurance / Org Tariff",IFERROR(INDEX(Reference!$EZ$2:$EZ$1000, MATCH(F55, Reference!$EX$2:$EX$1000, 0)), "No")="Yes"),0,IF('Service Add-Ons'!I18="Include",H55*M55,0))</f>
        <v>0</v>
      </c>
      <c r="U55" s="33" t="n">
        <f aca="false">IF(AND(Builder!E2="Insurance / Org Tariff",IFERROR(INDEX(Reference!$EZ$2:$EZ$1000, MATCH(F55, Reference!$EX$2:$EX$1000, 0)), "No")="Yes"),0,IF('Service Add-Ons'!I18="Include",I55*M55,0))</f>
        <v>0</v>
      </c>
      <c r="V55" s="33" t="n">
        <f aca="false">IF(AND(Builder!E2="Insurance / Org Tariff",IFERROR(INDEX(Reference!$EZ$2:$EZ$1000, MATCH(F55, Reference!$EX$2:$EX$1000, 0)), "No")="Yes"),0,IF('Service Add-Ons'!I18="Include",J55*M55,0))</f>
        <v>0</v>
      </c>
      <c r="W55" s="33" t="n">
        <f aca="false">IF(Builder!B5="Low",N55,IF(Builder!B5="Typical",O55,P55))</f>
        <v>0</v>
      </c>
      <c r="X55" s="33" t="n">
        <f aca="false">IF(Builder!B5="Low",Q55,IF(Builder!B5="Typical",R55,S55))</f>
        <v>0</v>
      </c>
      <c r="Y55" s="33" t="n">
        <f aca="false">IF(Builder!B5="Low",T55,IF(Builder!B5="Typical",U55,V55))</f>
        <v>0</v>
      </c>
    </row>
    <row r="56" customFormat="false" ht="26.85" hidden="false" customHeight="false" outlineLevel="0" collapsed="false">
      <c r="A56" s="14" t="s">
        <v>259</v>
      </c>
      <c r="B56" s="41" t="s">
        <v>102</v>
      </c>
      <c r="C56" s="14" t="s">
        <v>260</v>
      </c>
      <c r="D56" s="14" t="s">
        <v>646</v>
      </c>
      <c r="E56" s="14" t="s">
        <v>649</v>
      </c>
      <c r="F56" s="41" t="s">
        <v>261</v>
      </c>
      <c r="G56" s="33" t="n">
        <f aca="false">IF(Builder!B5="Low",H56,IF(Builder!B5="Typical",I56,J56))</f>
        <v>1</v>
      </c>
      <c r="H56" s="33" t="n">
        <f aca="false">IFERROR(INDEX(Reference!$CX$2:$CX$4000, MATCH(Builder!G6&amp;"|"&amp;F56, Reference!$CQ$2:$CQ$4000, 0)), 1)</f>
        <v>1</v>
      </c>
      <c r="I56" s="33" t="n">
        <f aca="false">IFERROR(INDEX(Reference!$CY$2:$CY$4000, MATCH(Builder!G6&amp;"|"&amp;F56, Reference!$CQ$2:$CQ$4000, 0)), 1)</f>
        <v>1</v>
      </c>
      <c r="J56" s="33" t="n">
        <f aca="false">IFERROR(INDEX(Reference!$CZ$2:$CZ$4000, MATCH(Builder!G6&amp;"|"&amp;F56, Reference!$CQ$2:$CQ$4000, 0)), 1)</f>
        <v>1</v>
      </c>
      <c r="K56" s="33" t="n">
        <f aca="false">0+IFERROR(INDEX(Reference!$EG$2:$EG$8000, MATCH(Builder!E5&amp;"|"&amp;F56, Reference!$EB$2:$EB$8000, 0)), 860)</f>
        <v>860</v>
      </c>
      <c r="L56" s="33" t="n">
        <f aca="false">0+IFERROR(INDEX(Reference!$EH$2:$EH$8000, MATCH(Builder!E5&amp;"|"&amp;F56, Reference!$EB$2:$EB$8000, 0)), 950)</f>
        <v>950</v>
      </c>
      <c r="M56" s="33" t="n">
        <f aca="false">0+IFERROR(INDEX(Reference!$EI$2:$EI$8000, MATCH(Builder!E5&amp;"|"&amp;F56, Reference!$EB$2:$EB$8000, 0)), 1020)</f>
        <v>1020</v>
      </c>
      <c r="N56" s="33" t="n">
        <f aca="false">IF(AND(Builder!E2="Insurance / Org Tariff",IFERROR(INDEX(Reference!$EZ$2:$EZ$1000, MATCH(F56, Reference!$EX$2:$EX$1000, 0)), "No")="Yes"),0,IF('Service Add-Ons'!I19="Include",H56*K56,0))</f>
        <v>0</v>
      </c>
      <c r="O56" s="33" t="n">
        <f aca="false">IF(AND(Builder!E2="Insurance / Org Tariff",IFERROR(INDEX(Reference!$EZ$2:$EZ$1000, MATCH(F56, Reference!$EX$2:$EX$1000, 0)), "No")="Yes"),0,IF('Service Add-Ons'!I19="Include",I56*K56,0))</f>
        <v>0</v>
      </c>
      <c r="P56" s="33" t="n">
        <f aca="false">IF(AND(Builder!E2="Insurance / Org Tariff",IFERROR(INDEX(Reference!$EZ$2:$EZ$1000, MATCH(F56, Reference!$EX$2:$EX$1000, 0)), "No")="Yes"),0,IF('Service Add-Ons'!I19="Include",J56*K56,0))</f>
        <v>0</v>
      </c>
      <c r="Q56" s="33" t="n">
        <f aca="false">IF(AND(Builder!E2="Insurance / Org Tariff",IFERROR(INDEX(Reference!$EZ$2:$EZ$1000, MATCH(F56, Reference!$EX$2:$EX$1000, 0)), "No")="Yes"),0,IF('Service Add-Ons'!I19="Include",H56*L56,0))</f>
        <v>0</v>
      </c>
      <c r="R56" s="33" t="n">
        <f aca="false">IF(AND(Builder!E2="Insurance / Org Tariff",IFERROR(INDEX(Reference!$EZ$2:$EZ$1000, MATCH(F56, Reference!$EX$2:$EX$1000, 0)), "No")="Yes"),0,IF('Service Add-Ons'!I19="Include",I56*L56,0))</f>
        <v>0</v>
      </c>
      <c r="S56" s="33" t="n">
        <f aca="false">IF(AND(Builder!E2="Insurance / Org Tariff",IFERROR(INDEX(Reference!$EZ$2:$EZ$1000, MATCH(F56, Reference!$EX$2:$EX$1000, 0)), "No")="Yes"),0,IF('Service Add-Ons'!I19="Include",J56*L56,0))</f>
        <v>0</v>
      </c>
      <c r="T56" s="33" t="n">
        <f aca="false">IF(AND(Builder!E2="Insurance / Org Tariff",IFERROR(INDEX(Reference!$EZ$2:$EZ$1000, MATCH(F56, Reference!$EX$2:$EX$1000, 0)), "No")="Yes"),0,IF('Service Add-Ons'!I19="Include",H56*M56,0))</f>
        <v>0</v>
      </c>
      <c r="U56" s="33" t="n">
        <f aca="false">IF(AND(Builder!E2="Insurance / Org Tariff",IFERROR(INDEX(Reference!$EZ$2:$EZ$1000, MATCH(F56, Reference!$EX$2:$EX$1000, 0)), "No")="Yes"),0,IF('Service Add-Ons'!I19="Include",I56*M56,0))</f>
        <v>0</v>
      </c>
      <c r="V56" s="33" t="n">
        <f aca="false">IF(AND(Builder!E2="Insurance / Org Tariff",IFERROR(INDEX(Reference!$EZ$2:$EZ$1000, MATCH(F56, Reference!$EX$2:$EX$1000, 0)), "No")="Yes"),0,IF('Service Add-Ons'!I19="Include",J56*M56,0))</f>
        <v>0</v>
      </c>
      <c r="W56" s="33" t="n">
        <f aca="false">IF(Builder!B5="Low",N56,IF(Builder!B5="Typical",O56,P56))</f>
        <v>0</v>
      </c>
      <c r="X56" s="33" t="n">
        <f aca="false">IF(Builder!B5="Low",Q56,IF(Builder!B5="Typical",R56,S56))</f>
        <v>0</v>
      </c>
      <c r="Y56" s="33" t="n">
        <f aca="false">IF(Builder!B5="Low",T56,IF(Builder!B5="Typical",U56,V56))</f>
        <v>0</v>
      </c>
    </row>
    <row r="57" customFormat="false" ht="26.85" hidden="false" customHeight="false" outlineLevel="0" collapsed="false">
      <c r="A57" s="14" t="s">
        <v>262</v>
      </c>
      <c r="B57" s="41" t="s">
        <v>102</v>
      </c>
      <c r="C57" s="14" t="s">
        <v>263</v>
      </c>
      <c r="D57" s="14" t="s">
        <v>646</v>
      </c>
      <c r="E57" s="14" t="s">
        <v>649</v>
      </c>
      <c r="F57" s="41" t="s">
        <v>264</v>
      </c>
      <c r="G57" s="33" t="n">
        <f aca="false">IF(Builder!B5="Low",H57,IF(Builder!B5="Typical",I57,J57))</f>
        <v>1</v>
      </c>
      <c r="H57" s="33" t="n">
        <f aca="false">IFERROR(INDEX(Reference!$CX$2:$CX$4000, MATCH(Builder!G6&amp;"|"&amp;F57, Reference!$CQ$2:$CQ$4000, 0)), 1)</f>
        <v>1</v>
      </c>
      <c r="I57" s="33" t="n">
        <f aca="false">IFERROR(INDEX(Reference!$CY$2:$CY$4000, MATCH(Builder!G6&amp;"|"&amp;F57, Reference!$CQ$2:$CQ$4000, 0)), 1)</f>
        <v>1</v>
      </c>
      <c r="J57" s="33" t="n">
        <f aca="false">IFERROR(INDEX(Reference!$CZ$2:$CZ$4000, MATCH(Builder!G6&amp;"|"&amp;F57, Reference!$CQ$2:$CQ$4000, 0)), 1)</f>
        <v>1</v>
      </c>
      <c r="K57" s="33" t="n">
        <f aca="false">0+IFERROR(INDEX(Reference!$EG$2:$EG$8000, MATCH(Builder!E5&amp;"|"&amp;F57, Reference!$EB$2:$EB$8000, 0)), 680)</f>
        <v>680</v>
      </c>
      <c r="L57" s="33" t="n">
        <f aca="false">0+IFERROR(INDEX(Reference!$EH$2:$EH$8000, MATCH(Builder!E5&amp;"|"&amp;F57, Reference!$EB$2:$EB$8000, 0)), 750)</f>
        <v>750</v>
      </c>
      <c r="M57" s="33" t="n">
        <f aca="false">0+IFERROR(INDEX(Reference!$EI$2:$EI$8000, MATCH(Builder!E5&amp;"|"&amp;F57, Reference!$EB$2:$EB$8000, 0)), 810)</f>
        <v>810</v>
      </c>
      <c r="N57" s="33" t="n">
        <f aca="false">IF(AND(Builder!E2="Insurance / Org Tariff",IFERROR(INDEX(Reference!$EZ$2:$EZ$1000, MATCH(F57, Reference!$EX$2:$EX$1000, 0)), "No")="Yes"),0,IF('Service Add-Ons'!I20="Include",H57*K57,0))</f>
        <v>0</v>
      </c>
      <c r="O57" s="33" t="n">
        <f aca="false">IF(AND(Builder!E2="Insurance / Org Tariff",IFERROR(INDEX(Reference!$EZ$2:$EZ$1000, MATCH(F57, Reference!$EX$2:$EX$1000, 0)), "No")="Yes"),0,IF('Service Add-Ons'!I20="Include",I57*K57,0))</f>
        <v>0</v>
      </c>
      <c r="P57" s="33" t="n">
        <f aca="false">IF(AND(Builder!E2="Insurance / Org Tariff",IFERROR(INDEX(Reference!$EZ$2:$EZ$1000, MATCH(F57, Reference!$EX$2:$EX$1000, 0)), "No")="Yes"),0,IF('Service Add-Ons'!I20="Include",J57*K57,0))</f>
        <v>0</v>
      </c>
      <c r="Q57" s="33" t="n">
        <f aca="false">IF(AND(Builder!E2="Insurance / Org Tariff",IFERROR(INDEX(Reference!$EZ$2:$EZ$1000, MATCH(F57, Reference!$EX$2:$EX$1000, 0)), "No")="Yes"),0,IF('Service Add-Ons'!I20="Include",H57*L57,0))</f>
        <v>0</v>
      </c>
      <c r="R57" s="33" t="n">
        <f aca="false">IF(AND(Builder!E2="Insurance / Org Tariff",IFERROR(INDEX(Reference!$EZ$2:$EZ$1000, MATCH(F57, Reference!$EX$2:$EX$1000, 0)), "No")="Yes"),0,IF('Service Add-Ons'!I20="Include",I57*L57,0))</f>
        <v>0</v>
      </c>
      <c r="S57" s="33" t="n">
        <f aca="false">IF(AND(Builder!E2="Insurance / Org Tariff",IFERROR(INDEX(Reference!$EZ$2:$EZ$1000, MATCH(F57, Reference!$EX$2:$EX$1000, 0)), "No")="Yes"),0,IF('Service Add-Ons'!I20="Include",J57*L57,0))</f>
        <v>0</v>
      </c>
      <c r="T57" s="33" t="n">
        <f aca="false">IF(AND(Builder!E2="Insurance / Org Tariff",IFERROR(INDEX(Reference!$EZ$2:$EZ$1000, MATCH(F57, Reference!$EX$2:$EX$1000, 0)), "No")="Yes"),0,IF('Service Add-Ons'!I20="Include",H57*M57,0))</f>
        <v>0</v>
      </c>
      <c r="U57" s="33" t="n">
        <f aca="false">IF(AND(Builder!E2="Insurance / Org Tariff",IFERROR(INDEX(Reference!$EZ$2:$EZ$1000, MATCH(F57, Reference!$EX$2:$EX$1000, 0)), "No")="Yes"),0,IF('Service Add-Ons'!I20="Include",I57*M57,0))</f>
        <v>0</v>
      </c>
      <c r="V57" s="33" t="n">
        <f aca="false">IF(AND(Builder!E2="Insurance / Org Tariff",IFERROR(INDEX(Reference!$EZ$2:$EZ$1000, MATCH(F57, Reference!$EX$2:$EX$1000, 0)), "No")="Yes"),0,IF('Service Add-Ons'!I20="Include",J57*M57,0))</f>
        <v>0</v>
      </c>
      <c r="W57" s="33" t="n">
        <f aca="false">IF(Builder!B5="Low",N57,IF(Builder!B5="Typical",O57,P57))</f>
        <v>0</v>
      </c>
      <c r="X57" s="33" t="n">
        <f aca="false">IF(Builder!B5="Low",Q57,IF(Builder!B5="Typical",R57,S57))</f>
        <v>0</v>
      </c>
      <c r="Y57" s="33" t="n">
        <f aca="false">IF(Builder!B5="Low",T57,IF(Builder!B5="Typical",U57,V57))</f>
        <v>0</v>
      </c>
    </row>
    <row r="58" customFormat="false" ht="26.85" hidden="false" customHeight="false" outlineLevel="0" collapsed="false">
      <c r="A58" s="14" t="s">
        <v>265</v>
      </c>
      <c r="B58" s="41" t="s">
        <v>102</v>
      </c>
      <c r="C58" s="14" t="s">
        <v>266</v>
      </c>
      <c r="D58" s="14" t="s">
        <v>646</v>
      </c>
      <c r="E58" s="14" t="s">
        <v>649</v>
      </c>
      <c r="F58" s="41" t="s">
        <v>267</v>
      </c>
      <c r="G58" s="33" t="n">
        <f aca="false">IF(Builder!B5="Low",H58,IF(Builder!B5="Typical",I58,J58))</f>
        <v>1</v>
      </c>
      <c r="H58" s="33" t="n">
        <f aca="false">IFERROR(INDEX(Reference!$CX$2:$CX$4000, MATCH(Builder!G6&amp;"|"&amp;F58, Reference!$CQ$2:$CQ$4000, 0)), 1)</f>
        <v>1</v>
      </c>
      <c r="I58" s="33" t="n">
        <f aca="false">IFERROR(INDEX(Reference!$CY$2:$CY$4000, MATCH(Builder!G6&amp;"|"&amp;F58, Reference!$CQ$2:$CQ$4000, 0)), 1)</f>
        <v>1</v>
      </c>
      <c r="J58" s="33" t="n">
        <f aca="false">IFERROR(INDEX(Reference!$CZ$2:$CZ$4000, MATCH(Builder!G6&amp;"|"&amp;F58, Reference!$CQ$2:$CQ$4000, 0)), 1)</f>
        <v>1</v>
      </c>
      <c r="K58" s="33" t="n">
        <f aca="false">0+IFERROR(INDEX(Reference!$EG$2:$EG$8000, MATCH(Builder!E5&amp;"|"&amp;F58, Reference!$EB$2:$EB$8000, 0)), 1920)</f>
        <v>1920</v>
      </c>
      <c r="L58" s="33" t="n">
        <f aca="false">0+IFERROR(INDEX(Reference!$EH$2:$EH$8000, MATCH(Builder!E5&amp;"|"&amp;F58, Reference!$EB$2:$EB$8000, 0)), 2120)</f>
        <v>2120</v>
      </c>
      <c r="M58" s="33" t="n">
        <f aca="false">0+IFERROR(INDEX(Reference!$EI$2:$EI$8000, MATCH(Builder!E5&amp;"|"&amp;F58, Reference!$EB$2:$EB$8000, 0)), 2290)</f>
        <v>2290</v>
      </c>
      <c r="N58" s="33" t="n">
        <f aca="false">IF(AND(Builder!E2="Insurance / Org Tariff",IFERROR(INDEX(Reference!$EZ$2:$EZ$1000, MATCH(F58, Reference!$EX$2:$EX$1000, 0)), "No")="Yes"),0,IF('Service Add-Ons'!I21="Include",H58*K58,0))</f>
        <v>0</v>
      </c>
      <c r="O58" s="33" t="n">
        <f aca="false">IF(AND(Builder!E2="Insurance / Org Tariff",IFERROR(INDEX(Reference!$EZ$2:$EZ$1000, MATCH(F58, Reference!$EX$2:$EX$1000, 0)), "No")="Yes"),0,IF('Service Add-Ons'!I21="Include",I58*K58,0))</f>
        <v>0</v>
      </c>
      <c r="P58" s="33" t="n">
        <f aca="false">IF(AND(Builder!E2="Insurance / Org Tariff",IFERROR(INDEX(Reference!$EZ$2:$EZ$1000, MATCH(F58, Reference!$EX$2:$EX$1000, 0)), "No")="Yes"),0,IF('Service Add-Ons'!I21="Include",J58*K58,0))</f>
        <v>0</v>
      </c>
      <c r="Q58" s="33" t="n">
        <f aca="false">IF(AND(Builder!E2="Insurance / Org Tariff",IFERROR(INDEX(Reference!$EZ$2:$EZ$1000, MATCH(F58, Reference!$EX$2:$EX$1000, 0)), "No")="Yes"),0,IF('Service Add-Ons'!I21="Include",H58*L58,0))</f>
        <v>0</v>
      </c>
      <c r="R58" s="33" t="n">
        <f aca="false">IF(AND(Builder!E2="Insurance / Org Tariff",IFERROR(INDEX(Reference!$EZ$2:$EZ$1000, MATCH(F58, Reference!$EX$2:$EX$1000, 0)), "No")="Yes"),0,IF('Service Add-Ons'!I21="Include",I58*L58,0))</f>
        <v>0</v>
      </c>
      <c r="S58" s="33" t="n">
        <f aca="false">IF(AND(Builder!E2="Insurance / Org Tariff",IFERROR(INDEX(Reference!$EZ$2:$EZ$1000, MATCH(F58, Reference!$EX$2:$EX$1000, 0)), "No")="Yes"),0,IF('Service Add-Ons'!I21="Include",J58*L58,0))</f>
        <v>0</v>
      </c>
      <c r="T58" s="33" t="n">
        <f aca="false">IF(AND(Builder!E2="Insurance / Org Tariff",IFERROR(INDEX(Reference!$EZ$2:$EZ$1000, MATCH(F58, Reference!$EX$2:$EX$1000, 0)), "No")="Yes"),0,IF('Service Add-Ons'!I21="Include",H58*M58,0))</f>
        <v>0</v>
      </c>
      <c r="U58" s="33" t="n">
        <f aca="false">IF(AND(Builder!E2="Insurance / Org Tariff",IFERROR(INDEX(Reference!$EZ$2:$EZ$1000, MATCH(F58, Reference!$EX$2:$EX$1000, 0)), "No")="Yes"),0,IF('Service Add-Ons'!I21="Include",I58*M58,0))</f>
        <v>0</v>
      </c>
      <c r="V58" s="33" t="n">
        <f aca="false">IF(AND(Builder!E2="Insurance / Org Tariff",IFERROR(INDEX(Reference!$EZ$2:$EZ$1000, MATCH(F58, Reference!$EX$2:$EX$1000, 0)), "No")="Yes"),0,IF('Service Add-Ons'!I21="Include",J58*M58,0))</f>
        <v>0</v>
      </c>
      <c r="W58" s="33" t="n">
        <f aca="false">IF(Builder!B5="Low",N58,IF(Builder!B5="Typical",O58,P58))</f>
        <v>0</v>
      </c>
      <c r="X58" s="33" t="n">
        <f aca="false">IF(Builder!B5="Low",Q58,IF(Builder!B5="Typical",R58,S58))</f>
        <v>0</v>
      </c>
      <c r="Y58" s="33" t="n">
        <f aca="false">IF(Builder!B5="Low",T58,IF(Builder!B5="Typical",U58,V58))</f>
        <v>0</v>
      </c>
    </row>
    <row r="59" customFormat="false" ht="26.85" hidden="false" customHeight="false" outlineLevel="0" collapsed="false">
      <c r="A59" s="14" t="s">
        <v>268</v>
      </c>
      <c r="B59" s="41" t="s">
        <v>102</v>
      </c>
      <c r="C59" s="14" t="s">
        <v>236</v>
      </c>
      <c r="D59" s="14" t="s">
        <v>646</v>
      </c>
      <c r="E59" s="14" t="s">
        <v>649</v>
      </c>
      <c r="F59" s="41" t="s">
        <v>269</v>
      </c>
      <c r="G59" s="33" t="n">
        <f aca="false">IF(Builder!B5="Low",H59,IF(Builder!B5="Typical",I59,J59))</f>
        <v>1</v>
      </c>
      <c r="H59" s="33" t="n">
        <f aca="false">IFERROR(INDEX(Reference!$CX$2:$CX$4000, MATCH(Builder!G6&amp;"|"&amp;F59, Reference!$CQ$2:$CQ$4000, 0)), 1)</f>
        <v>1</v>
      </c>
      <c r="I59" s="33" t="n">
        <f aca="false">IFERROR(INDEX(Reference!$CY$2:$CY$4000, MATCH(Builder!G6&amp;"|"&amp;F59, Reference!$CQ$2:$CQ$4000, 0)), 1)</f>
        <v>1</v>
      </c>
      <c r="J59" s="33" t="n">
        <f aca="false">IFERROR(INDEX(Reference!$CZ$2:$CZ$4000, MATCH(Builder!G6&amp;"|"&amp;F59, Reference!$CQ$2:$CQ$4000, 0)), 1)</f>
        <v>1</v>
      </c>
      <c r="K59" s="33" t="n">
        <f aca="false">0+IFERROR(INDEX(Reference!$EG$2:$EG$8000, MATCH(Builder!E5&amp;"|"&amp;F59, Reference!$EB$2:$EB$8000, 0)), 280)</f>
        <v>280</v>
      </c>
      <c r="L59" s="33" t="n">
        <f aca="false">0+IFERROR(INDEX(Reference!$EH$2:$EH$8000, MATCH(Builder!E5&amp;"|"&amp;F59, Reference!$EB$2:$EB$8000, 0)), 280)</f>
        <v>280</v>
      </c>
      <c r="M59" s="33" t="n">
        <f aca="false">0+IFERROR(INDEX(Reference!$EI$2:$EI$8000, MATCH(Builder!E5&amp;"|"&amp;F59, Reference!$EB$2:$EB$8000, 0)), 280)</f>
        <v>280</v>
      </c>
      <c r="N59" s="33" t="n">
        <f aca="false">IF(AND(Builder!E2="Insurance / Org Tariff",IFERROR(INDEX(Reference!$EZ$2:$EZ$1000, MATCH(F59, Reference!$EX$2:$EX$1000, 0)), "No")="Yes"),0,IF('Service Add-Ons'!I22="Include",H59*K59,0))</f>
        <v>0</v>
      </c>
      <c r="O59" s="33" t="n">
        <f aca="false">IF(AND(Builder!E2="Insurance / Org Tariff",IFERROR(INDEX(Reference!$EZ$2:$EZ$1000, MATCH(F59, Reference!$EX$2:$EX$1000, 0)), "No")="Yes"),0,IF('Service Add-Ons'!I22="Include",I59*K59,0))</f>
        <v>0</v>
      </c>
      <c r="P59" s="33" t="n">
        <f aca="false">IF(AND(Builder!E2="Insurance / Org Tariff",IFERROR(INDEX(Reference!$EZ$2:$EZ$1000, MATCH(F59, Reference!$EX$2:$EX$1000, 0)), "No")="Yes"),0,IF('Service Add-Ons'!I22="Include",J59*K59,0))</f>
        <v>0</v>
      </c>
      <c r="Q59" s="33" t="n">
        <f aca="false">IF(AND(Builder!E2="Insurance / Org Tariff",IFERROR(INDEX(Reference!$EZ$2:$EZ$1000, MATCH(F59, Reference!$EX$2:$EX$1000, 0)), "No")="Yes"),0,IF('Service Add-Ons'!I22="Include",H59*L59,0))</f>
        <v>0</v>
      </c>
      <c r="R59" s="33" t="n">
        <f aca="false">IF(AND(Builder!E2="Insurance / Org Tariff",IFERROR(INDEX(Reference!$EZ$2:$EZ$1000, MATCH(F59, Reference!$EX$2:$EX$1000, 0)), "No")="Yes"),0,IF('Service Add-Ons'!I22="Include",I59*L59,0))</f>
        <v>0</v>
      </c>
      <c r="S59" s="33" t="n">
        <f aca="false">IF(AND(Builder!E2="Insurance / Org Tariff",IFERROR(INDEX(Reference!$EZ$2:$EZ$1000, MATCH(F59, Reference!$EX$2:$EX$1000, 0)), "No")="Yes"),0,IF('Service Add-Ons'!I22="Include",J59*L59,0))</f>
        <v>0</v>
      </c>
      <c r="T59" s="33" t="n">
        <f aca="false">IF(AND(Builder!E2="Insurance / Org Tariff",IFERROR(INDEX(Reference!$EZ$2:$EZ$1000, MATCH(F59, Reference!$EX$2:$EX$1000, 0)), "No")="Yes"),0,IF('Service Add-Ons'!I22="Include",H59*M59,0))</f>
        <v>0</v>
      </c>
      <c r="U59" s="33" t="n">
        <f aca="false">IF(AND(Builder!E2="Insurance / Org Tariff",IFERROR(INDEX(Reference!$EZ$2:$EZ$1000, MATCH(F59, Reference!$EX$2:$EX$1000, 0)), "No")="Yes"),0,IF('Service Add-Ons'!I22="Include",I59*M59,0))</f>
        <v>0</v>
      </c>
      <c r="V59" s="33" t="n">
        <f aca="false">IF(AND(Builder!E2="Insurance / Org Tariff",IFERROR(INDEX(Reference!$EZ$2:$EZ$1000, MATCH(F59, Reference!$EX$2:$EX$1000, 0)), "No")="Yes"),0,IF('Service Add-Ons'!I22="Include",J59*M59,0))</f>
        <v>0</v>
      </c>
      <c r="W59" s="33" t="n">
        <f aca="false">IF(Builder!B5="Low",N59,IF(Builder!B5="Typical",O59,P59))</f>
        <v>0</v>
      </c>
      <c r="X59" s="33" t="n">
        <f aca="false">IF(Builder!B5="Low",Q59,IF(Builder!B5="Typical",R59,S59))</f>
        <v>0</v>
      </c>
      <c r="Y59" s="33" t="n">
        <f aca="false">IF(Builder!B5="Low",T59,IF(Builder!B5="Typical",U59,V59))</f>
        <v>0</v>
      </c>
    </row>
    <row r="60" customFormat="false" ht="26.85" hidden="false" customHeight="false" outlineLevel="0" collapsed="false">
      <c r="A60" s="14" t="s">
        <v>270</v>
      </c>
      <c r="B60" s="41" t="s">
        <v>102</v>
      </c>
      <c r="C60" s="14" t="s">
        <v>271</v>
      </c>
      <c r="D60" s="14" t="s">
        <v>646</v>
      </c>
      <c r="E60" s="14" t="s">
        <v>649</v>
      </c>
      <c r="F60" s="41" t="s">
        <v>272</v>
      </c>
      <c r="G60" s="33" t="n">
        <f aca="false">IF(Builder!B5="Low",H60,IF(Builder!B5="Typical",I60,J60))</f>
        <v>1</v>
      </c>
      <c r="H60" s="33" t="n">
        <f aca="false">IFERROR(INDEX(Reference!$CX$2:$CX$4000, MATCH(Builder!G6&amp;"|"&amp;F60, Reference!$CQ$2:$CQ$4000, 0)), 1)</f>
        <v>1</v>
      </c>
      <c r="I60" s="33" t="n">
        <f aca="false">IFERROR(INDEX(Reference!$CY$2:$CY$4000, MATCH(Builder!G6&amp;"|"&amp;F60, Reference!$CQ$2:$CQ$4000, 0)), 1)</f>
        <v>1</v>
      </c>
      <c r="J60" s="33" t="n">
        <f aca="false">IFERROR(INDEX(Reference!$CZ$2:$CZ$4000, MATCH(Builder!G6&amp;"|"&amp;F60, Reference!$CQ$2:$CQ$4000, 0)), 1)</f>
        <v>1</v>
      </c>
      <c r="K60" s="33" t="n">
        <f aca="false">0+IFERROR(INDEX(Reference!$EG$2:$EG$8000, MATCH(Builder!E5&amp;"|"&amp;F60, Reference!$EB$2:$EB$8000, 0)), 1430)</f>
        <v>1430</v>
      </c>
      <c r="L60" s="33" t="n">
        <f aca="false">0+IFERROR(INDEX(Reference!$EH$2:$EH$8000, MATCH(Builder!E5&amp;"|"&amp;F60, Reference!$EB$2:$EB$8000, 0)), 1580)</f>
        <v>1580</v>
      </c>
      <c r="M60" s="33" t="n">
        <f aca="false">0+IFERROR(INDEX(Reference!$EI$2:$EI$8000, MATCH(Builder!E5&amp;"|"&amp;F60, Reference!$EB$2:$EB$8000, 0)), 1710)</f>
        <v>1710</v>
      </c>
      <c r="N60" s="33" t="n">
        <f aca="false">IF(AND(Builder!E2="Insurance / Org Tariff",IFERROR(INDEX(Reference!$EZ$2:$EZ$1000, MATCH(F60, Reference!$EX$2:$EX$1000, 0)), "No")="Yes"),0,IF('Service Add-Ons'!I23="Include",H60*K60,0))</f>
        <v>0</v>
      </c>
      <c r="O60" s="33" t="n">
        <f aca="false">IF(AND(Builder!E2="Insurance / Org Tariff",IFERROR(INDEX(Reference!$EZ$2:$EZ$1000, MATCH(F60, Reference!$EX$2:$EX$1000, 0)), "No")="Yes"),0,IF('Service Add-Ons'!I23="Include",I60*K60,0))</f>
        <v>0</v>
      </c>
      <c r="P60" s="33" t="n">
        <f aca="false">IF(AND(Builder!E2="Insurance / Org Tariff",IFERROR(INDEX(Reference!$EZ$2:$EZ$1000, MATCH(F60, Reference!$EX$2:$EX$1000, 0)), "No")="Yes"),0,IF('Service Add-Ons'!I23="Include",J60*K60,0))</f>
        <v>0</v>
      </c>
      <c r="Q60" s="33" t="n">
        <f aca="false">IF(AND(Builder!E2="Insurance / Org Tariff",IFERROR(INDEX(Reference!$EZ$2:$EZ$1000, MATCH(F60, Reference!$EX$2:$EX$1000, 0)), "No")="Yes"),0,IF('Service Add-Ons'!I23="Include",H60*L60,0))</f>
        <v>0</v>
      </c>
      <c r="R60" s="33" t="n">
        <f aca="false">IF(AND(Builder!E2="Insurance / Org Tariff",IFERROR(INDEX(Reference!$EZ$2:$EZ$1000, MATCH(F60, Reference!$EX$2:$EX$1000, 0)), "No")="Yes"),0,IF('Service Add-Ons'!I23="Include",I60*L60,0))</f>
        <v>0</v>
      </c>
      <c r="S60" s="33" t="n">
        <f aca="false">IF(AND(Builder!E2="Insurance / Org Tariff",IFERROR(INDEX(Reference!$EZ$2:$EZ$1000, MATCH(F60, Reference!$EX$2:$EX$1000, 0)), "No")="Yes"),0,IF('Service Add-Ons'!I23="Include",J60*L60,0))</f>
        <v>0</v>
      </c>
      <c r="T60" s="33" t="n">
        <f aca="false">IF(AND(Builder!E2="Insurance / Org Tariff",IFERROR(INDEX(Reference!$EZ$2:$EZ$1000, MATCH(F60, Reference!$EX$2:$EX$1000, 0)), "No")="Yes"),0,IF('Service Add-Ons'!I23="Include",H60*M60,0))</f>
        <v>0</v>
      </c>
      <c r="U60" s="33" t="n">
        <f aca="false">IF(AND(Builder!E2="Insurance / Org Tariff",IFERROR(INDEX(Reference!$EZ$2:$EZ$1000, MATCH(F60, Reference!$EX$2:$EX$1000, 0)), "No")="Yes"),0,IF('Service Add-Ons'!I23="Include",I60*M60,0))</f>
        <v>0</v>
      </c>
      <c r="V60" s="33" t="n">
        <f aca="false">IF(AND(Builder!E2="Insurance / Org Tariff",IFERROR(INDEX(Reference!$EZ$2:$EZ$1000, MATCH(F60, Reference!$EX$2:$EX$1000, 0)), "No")="Yes"),0,IF('Service Add-Ons'!I23="Include",J60*M60,0))</f>
        <v>0</v>
      </c>
      <c r="W60" s="33" t="n">
        <f aca="false">IF(Builder!B5="Low",N60,IF(Builder!B5="Typical",O60,P60))</f>
        <v>0</v>
      </c>
      <c r="X60" s="33" t="n">
        <f aca="false">IF(Builder!B5="Low",Q60,IF(Builder!B5="Typical",R60,S60))</f>
        <v>0</v>
      </c>
      <c r="Y60" s="33" t="n">
        <f aca="false">IF(Builder!B5="Low",T60,IF(Builder!B5="Typical",U60,V60))</f>
        <v>0</v>
      </c>
    </row>
    <row r="61" customFormat="false" ht="26.85" hidden="false" customHeight="false" outlineLevel="0" collapsed="false">
      <c r="A61" s="14" t="s">
        <v>273</v>
      </c>
      <c r="B61" s="41" t="s">
        <v>102</v>
      </c>
      <c r="C61" s="14" t="s">
        <v>274</v>
      </c>
      <c r="D61" s="14" t="s">
        <v>646</v>
      </c>
      <c r="E61" s="14" t="s">
        <v>649</v>
      </c>
      <c r="F61" s="41" t="s">
        <v>275</v>
      </c>
      <c r="G61" s="33" t="n">
        <f aca="false">IF(Builder!B5="Low",H61,IF(Builder!B5="Typical",I61,J61))</f>
        <v>1</v>
      </c>
      <c r="H61" s="33" t="n">
        <f aca="false">IFERROR(INDEX(Reference!$CX$2:$CX$4000, MATCH(Builder!G6&amp;"|"&amp;F61, Reference!$CQ$2:$CQ$4000, 0)), 1)</f>
        <v>1</v>
      </c>
      <c r="I61" s="33" t="n">
        <f aca="false">IFERROR(INDEX(Reference!$CY$2:$CY$4000, MATCH(Builder!G6&amp;"|"&amp;F61, Reference!$CQ$2:$CQ$4000, 0)), 1)</f>
        <v>1</v>
      </c>
      <c r="J61" s="33" t="n">
        <f aca="false">IFERROR(INDEX(Reference!$CZ$2:$CZ$4000, MATCH(Builder!G6&amp;"|"&amp;F61, Reference!$CQ$2:$CQ$4000, 0)), 1)</f>
        <v>1</v>
      </c>
      <c r="K61" s="33" t="n">
        <f aca="false">0+IFERROR(INDEX(Reference!$EG$2:$EG$8000, MATCH(Builder!E5&amp;"|"&amp;F61, Reference!$EB$2:$EB$8000, 0)), 1000)</f>
        <v>1000</v>
      </c>
      <c r="L61" s="33" t="n">
        <f aca="false">0+IFERROR(INDEX(Reference!$EH$2:$EH$8000, MATCH(Builder!E5&amp;"|"&amp;F61, Reference!$EB$2:$EB$8000, 0)), 1110)</f>
        <v>1110</v>
      </c>
      <c r="M61" s="33" t="n">
        <f aca="false">0+IFERROR(INDEX(Reference!$EI$2:$EI$8000, MATCH(Builder!E5&amp;"|"&amp;F61, Reference!$EB$2:$EB$8000, 0)), 1200)</f>
        <v>1200</v>
      </c>
      <c r="N61" s="33" t="n">
        <f aca="false">IF(AND(Builder!E2="Insurance / Org Tariff",IFERROR(INDEX(Reference!$EZ$2:$EZ$1000, MATCH(F61, Reference!$EX$2:$EX$1000, 0)), "No")="Yes"),0,IF('Service Add-Ons'!I24="Include",H61*K61,0))</f>
        <v>0</v>
      </c>
      <c r="O61" s="33" t="n">
        <f aca="false">IF(AND(Builder!E2="Insurance / Org Tariff",IFERROR(INDEX(Reference!$EZ$2:$EZ$1000, MATCH(F61, Reference!$EX$2:$EX$1000, 0)), "No")="Yes"),0,IF('Service Add-Ons'!I24="Include",I61*K61,0))</f>
        <v>0</v>
      </c>
      <c r="P61" s="33" t="n">
        <f aca="false">IF(AND(Builder!E2="Insurance / Org Tariff",IFERROR(INDEX(Reference!$EZ$2:$EZ$1000, MATCH(F61, Reference!$EX$2:$EX$1000, 0)), "No")="Yes"),0,IF('Service Add-Ons'!I24="Include",J61*K61,0))</f>
        <v>0</v>
      </c>
      <c r="Q61" s="33" t="n">
        <f aca="false">IF(AND(Builder!E2="Insurance / Org Tariff",IFERROR(INDEX(Reference!$EZ$2:$EZ$1000, MATCH(F61, Reference!$EX$2:$EX$1000, 0)), "No")="Yes"),0,IF('Service Add-Ons'!I24="Include",H61*L61,0))</f>
        <v>0</v>
      </c>
      <c r="R61" s="33" t="n">
        <f aca="false">IF(AND(Builder!E2="Insurance / Org Tariff",IFERROR(INDEX(Reference!$EZ$2:$EZ$1000, MATCH(F61, Reference!$EX$2:$EX$1000, 0)), "No")="Yes"),0,IF('Service Add-Ons'!I24="Include",I61*L61,0))</f>
        <v>0</v>
      </c>
      <c r="S61" s="33" t="n">
        <f aca="false">IF(AND(Builder!E2="Insurance / Org Tariff",IFERROR(INDEX(Reference!$EZ$2:$EZ$1000, MATCH(F61, Reference!$EX$2:$EX$1000, 0)), "No")="Yes"),0,IF('Service Add-Ons'!I24="Include",J61*L61,0))</f>
        <v>0</v>
      </c>
      <c r="T61" s="33" t="n">
        <f aca="false">IF(AND(Builder!E2="Insurance / Org Tariff",IFERROR(INDEX(Reference!$EZ$2:$EZ$1000, MATCH(F61, Reference!$EX$2:$EX$1000, 0)), "No")="Yes"),0,IF('Service Add-Ons'!I24="Include",H61*M61,0))</f>
        <v>0</v>
      </c>
      <c r="U61" s="33" t="n">
        <f aca="false">IF(AND(Builder!E2="Insurance / Org Tariff",IFERROR(INDEX(Reference!$EZ$2:$EZ$1000, MATCH(F61, Reference!$EX$2:$EX$1000, 0)), "No")="Yes"),0,IF('Service Add-Ons'!I24="Include",I61*M61,0))</f>
        <v>0</v>
      </c>
      <c r="V61" s="33" t="n">
        <f aca="false">IF(AND(Builder!E2="Insurance / Org Tariff",IFERROR(INDEX(Reference!$EZ$2:$EZ$1000, MATCH(F61, Reference!$EX$2:$EX$1000, 0)), "No")="Yes"),0,IF('Service Add-Ons'!I24="Include",J61*M61,0))</f>
        <v>0</v>
      </c>
      <c r="W61" s="33" t="n">
        <f aca="false">IF(Builder!B5="Low",N61,IF(Builder!B5="Typical",O61,P61))</f>
        <v>0</v>
      </c>
      <c r="X61" s="33" t="n">
        <f aca="false">IF(Builder!B5="Low",Q61,IF(Builder!B5="Typical",R61,S61))</f>
        <v>0</v>
      </c>
      <c r="Y61" s="33" t="n">
        <f aca="false">IF(Builder!B5="Low",T61,IF(Builder!B5="Typical",U61,V61))</f>
        <v>0</v>
      </c>
    </row>
    <row r="62" customFormat="false" ht="26.85" hidden="false" customHeight="false" outlineLevel="0" collapsed="false">
      <c r="A62" s="14" t="s">
        <v>276</v>
      </c>
      <c r="B62" s="41" t="s">
        <v>102</v>
      </c>
      <c r="C62" s="14" t="s">
        <v>277</v>
      </c>
      <c r="D62" s="14" t="s">
        <v>646</v>
      </c>
      <c r="E62" s="14" t="s">
        <v>649</v>
      </c>
      <c r="F62" s="41" t="s">
        <v>278</v>
      </c>
      <c r="G62" s="33" t="n">
        <f aca="false">IF(Builder!B5="Low",H62,IF(Builder!B5="Typical",I62,J62))</f>
        <v>1</v>
      </c>
      <c r="H62" s="33" t="n">
        <f aca="false">IFERROR(INDEX(Reference!$CX$2:$CX$4000, MATCH(Builder!G6&amp;"|"&amp;F62, Reference!$CQ$2:$CQ$4000, 0)), 1)</f>
        <v>1</v>
      </c>
      <c r="I62" s="33" t="n">
        <f aca="false">IFERROR(INDEX(Reference!$CY$2:$CY$4000, MATCH(Builder!G6&amp;"|"&amp;F62, Reference!$CQ$2:$CQ$4000, 0)), 1)</f>
        <v>1</v>
      </c>
      <c r="J62" s="33" t="n">
        <f aca="false">IFERROR(INDEX(Reference!$CZ$2:$CZ$4000, MATCH(Builder!G6&amp;"|"&amp;F62, Reference!$CQ$2:$CQ$4000, 0)), 1)</f>
        <v>1</v>
      </c>
      <c r="K62" s="33" t="n">
        <f aca="false">0+IFERROR(INDEX(Reference!$EG$2:$EG$8000, MATCH(Builder!E5&amp;"|"&amp;F62, Reference!$EB$2:$EB$8000, 0)), 930)</f>
        <v>930</v>
      </c>
      <c r="L62" s="33" t="n">
        <f aca="false">0+IFERROR(INDEX(Reference!$EH$2:$EH$8000, MATCH(Builder!E5&amp;"|"&amp;F62, Reference!$EB$2:$EB$8000, 0)), 1030)</f>
        <v>1030</v>
      </c>
      <c r="M62" s="33" t="n">
        <f aca="false">0+IFERROR(INDEX(Reference!$EI$2:$EI$8000, MATCH(Builder!E5&amp;"|"&amp;F62, Reference!$EB$2:$EB$8000, 0)), 1110)</f>
        <v>1110</v>
      </c>
      <c r="N62" s="33" t="n">
        <f aca="false">IF(AND(Builder!E2="Insurance / Org Tariff",IFERROR(INDEX(Reference!$EZ$2:$EZ$1000, MATCH(F62, Reference!$EX$2:$EX$1000, 0)), "No")="Yes"),0,IF('Service Add-Ons'!I25="Include",H62*K62,0))</f>
        <v>0</v>
      </c>
      <c r="O62" s="33" t="n">
        <f aca="false">IF(AND(Builder!E2="Insurance / Org Tariff",IFERROR(INDEX(Reference!$EZ$2:$EZ$1000, MATCH(F62, Reference!$EX$2:$EX$1000, 0)), "No")="Yes"),0,IF('Service Add-Ons'!I25="Include",I62*K62,0))</f>
        <v>0</v>
      </c>
      <c r="P62" s="33" t="n">
        <f aca="false">IF(AND(Builder!E2="Insurance / Org Tariff",IFERROR(INDEX(Reference!$EZ$2:$EZ$1000, MATCH(F62, Reference!$EX$2:$EX$1000, 0)), "No")="Yes"),0,IF('Service Add-Ons'!I25="Include",J62*K62,0))</f>
        <v>0</v>
      </c>
      <c r="Q62" s="33" t="n">
        <f aca="false">IF(AND(Builder!E2="Insurance / Org Tariff",IFERROR(INDEX(Reference!$EZ$2:$EZ$1000, MATCH(F62, Reference!$EX$2:$EX$1000, 0)), "No")="Yes"),0,IF('Service Add-Ons'!I25="Include",H62*L62,0))</f>
        <v>0</v>
      </c>
      <c r="R62" s="33" t="n">
        <f aca="false">IF(AND(Builder!E2="Insurance / Org Tariff",IFERROR(INDEX(Reference!$EZ$2:$EZ$1000, MATCH(F62, Reference!$EX$2:$EX$1000, 0)), "No")="Yes"),0,IF('Service Add-Ons'!I25="Include",I62*L62,0))</f>
        <v>0</v>
      </c>
      <c r="S62" s="33" t="n">
        <f aca="false">IF(AND(Builder!E2="Insurance / Org Tariff",IFERROR(INDEX(Reference!$EZ$2:$EZ$1000, MATCH(F62, Reference!$EX$2:$EX$1000, 0)), "No")="Yes"),0,IF('Service Add-Ons'!I25="Include",J62*L62,0))</f>
        <v>0</v>
      </c>
      <c r="T62" s="33" t="n">
        <f aca="false">IF(AND(Builder!E2="Insurance / Org Tariff",IFERROR(INDEX(Reference!$EZ$2:$EZ$1000, MATCH(F62, Reference!$EX$2:$EX$1000, 0)), "No")="Yes"),0,IF('Service Add-Ons'!I25="Include",H62*M62,0))</f>
        <v>0</v>
      </c>
      <c r="U62" s="33" t="n">
        <f aca="false">IF(AND(Builder!E2="Insurance / Org Tariff",IFERROR(INDEX(Reference!$EZ$2:$EZ$1000, MATCH(F62, Reference!$EX$2:$EX$1000, 0)), "No")="Yes"),0,IF('Service Add-Ons'!I25="Include",I62*M62,0))</f>
        <v>0</v>
      </c>
      <c r="V62" s="33" t="n">
        <f aca="false">IF(AND(Builder!E2="Insurance / Org Tariff",IFERROR(INDEX(Reference!$EZ$2:$EZ$1000, MATCH(F62, Reference!$EX$2:$EX$1000, 0)), "No")="Yes"),0,IF('Service Add-Ons'!I25="Include",J62*M62,0))</f>
        <v>0</v>
      </c>
      <c r="W62" s="33" t="n">
        <f aca="false">IF(Builder!B5="Low",N62,IF(Builder!B5="Typical",O62,P62))</f>
        <v>0</v>
      </c>
      <c r="X62" s="33" t="n">
        <f aca="false">IF(Builder!B5="Low",Q62,IF(Builder!B5="Typical",R62,S62))</f>
        <v>0</v>
      </c>
      <c r="Y62" s="33" t="n">
        <f aca="false">IF(Builder!B5="Low",T62,IF(Builder!B5="Typical",U62,V62))</f>
        <v>0</v>
      </c>
    </row>
    <row r="63" customFormat="false" ht="26.85" hidden="false" customHeight="false" outlineLevel="0" collapsed="false">
      <c r="A63" s="14" t="s">
        <v>279</v>
      </c>
      <c r="B63" s="41" t="s">
        <v>102</v>
      </c>
      <c r="C63" s="14" t="s">
        <v>248</v>
      </c>
      <c r="D63" s="14" t="s">
        <v>646</v>
      </c>
      <c r="E63" s="14" t="s">
        <v>649</v>
      </c>
      <c r="F63" s="41" t="s">
        <v>280</v>
      </c>
      <c r="G63" s="33" t="n">
        <f aca="false">IF(Builder!B5="Low",H63,IF(Builder!B5="Typical",I63,J63))</f>
        <v>1</v>
      </c>
      <c r="H63" s="33" t="n">
        <f aca="false">IFERROR(INDEX(Reference!$CX$2:$CX$4000, MATCH(Builder!G6&amp;"|"&amp;F63, Reference!$CQ$2:$CQ$4000, 0)), 1)</f>
        <v>1</v>
      </c>
      <c r="I63" s="33" t="n">
        <f aca="false">IFERROR(INDEX(Reference!$CY$2:$CY$4000, MATCH(Builder!G6&amp;"|"&amp;F63, Reference!$CQ$2:$CQ$4000, 0)), 1)</f>
        <v>1</v>
      </c>
      <c r="J63" s="33" t="n">
        <f aca="false">IFERROR(INDEX(Reference!$CZ$2:$CZ$4000, MATCH(Builder!G6&amp;"|"&amp;F63, Reference!$CQ$2:$CQ$4000, 0)), 1)</f>
        <v>1</v>
      </c>
      <c r="K63" s="33" t="n">
        <f aca="false">0+IFERROR(INDEX(Reference!$EG$2:$EG$8000, MATCH(Builder!E5&amp;"|"&amp;F63, Reference!$EB$2:$EB$8000, 0)), 860)</f>
        <v>860</v>
      </c>
      <c r="L63" s="33" t="n">
        <f aca="false">0+IFERROR(INDEX(Reference!$EH$2:$EH$8000, MATCH(Builder!E5&amp;"|"&amp;F63, Reference!$EB$2:$EB$8000, 0)), 950)</f>
        <v>950</v>
      </c>
      <c r="M63" s="33" t="n">
        <f aca="false">0+IFERROR(INDEX(Reference!$EI$2:$EI$8000, MATCH(Builder!E5&amp;"|"&amp;F63, Reference!$EB$2:$EB$8000, 0)), 1020)</f>
        <v>1020</v>
      </c>
      <c r="N63" s="33" t="n">
        <f aca="false">IF(AND(Builder!E2="Insurance / Org Tariff",IFERROR(INDEX(Reference!$EZ$2:$EZ$1000, MATCH(F63, Reference!$EX$2:$EX$1000, 0)), "No")="Yes"),0,IF('Service Add-Ons'!I26="Include",H63*K63,0))</f>
        <v>0</v>
      </c>
      <c r="O63" s="33" t="n">
        <f aca="false">IF(AND(Builder!E2="Insurance / Org Tariff",IFERROR(INDEX(Reference!$EZ$2:$EZ$1000, MATCH(F63, Reference!$EX$2:$EX$1000, 0)), "No")="Yes"),0,IF('Service Add-Ons'!I26="Include",I63*K63,0))</f>
        <v>0</v>
      </c>
      <c r="P63" s="33" t="n">
        <f aca="false">IF(AND(Builder!E2="Insurance / Org Tariff",IFERROR(INDEX(Reference!$EZ$2:$EZ$1000, MATCH(F63, Reference!$EX$2:$EX$1000, 0)), "No")="Yes"),0,IF('Service Add-Ons'!I26="Include",J63*K63,0))</f>
        <v>0</v>
      </c>
      <c r="Q63" s="33" t="n">
        <f aca="false">IF(AND(Builder!E2="Insurance / Org Tariff",IFERROR(INDEX(Reference!$EZ$2:$EZ$1000, MATCH(F63, Reference!$EX$2:$EX$1000, 0)), "No")="Yes"),0,IF('Service Add-Ons'!I26="Include",H63*L63,0))</f>
        <v>0</v>
      </c>
      <c r="R63" s="33" t="n">
        <f aca="false">IF(AND(Builder!E2="Insurance / Org Tariff",IFERROR(INDEX(Reference!$EZ$2:$EZ$1000, MATCH(F63, Reference!$EX$2:$EX$1000, 0)), "No")="Yes"),0,IF('Service Add-Ons'!I26="Include",I63*L63,0))</f>
        <v>0</v>
      </c>
      <c r="S63" s="33" t="n">
        <f aca="false">IF(AND(Builder!E2="Insurance / Org Tariff",IFERROR(INDEX(Reference!$EZ$2:$EZ$1000, MATCH(F63, Reference!$EX$2:$EX$1000, 0)), "No")="Yes"),0,IF('Service Add-Ons'!I26="Include",J63*L63,0))</f>
        <v>0</v>
      </c>
      <c r="T63" s="33" t="n">
        <f aca="false">IF(AND(Builder!E2="Insurance / Org Tariff",IFERROR(INDEX(Reference!$EZ$2:$EZ$1000, MATCH(F63, Reference!$EX$2:$EX$1000, 0)), "No")="Yes"),0,IF('Service Add-Ons'!I26="Include",H63*M63,0))</f>
        <v>0</v>
      </c>
      <c r="U63" s="33" t="n">
        <f aca="false">IF(AND(Builder!E2="Insurance / Org Tariff",IFERROR(INDEX(Reference!$EZ$2:$EZ$1000, MATCH(F63, Reference!$EX$2:$EX$1000, 0)), "No")="Yes"),0,IF('Service Add-Ons'!I26="Include",I63*M63,0))</f>
        <v>0</v>
      </c>
      <c r="V63" s="33" t="n">
        <f aca="false">IF(AND(Builder!E2="Insurance / Org Tariff",IFERROR(INDEX(Reference!$EZ$2:$EZ$1000, MATCH(F63, Reference!$EX$2:$EX$1000, 0)), "No")="Yes"),0,IF('Service Add-Ons'!I26="Include",J63*M63,0))</f>
        <v>0</v>
      </c>
      <c r="W63" s="33" t="n">
        <f aca="false">IF(Builder!B5="Low",N63,IF(Builder!B5="Typical",O63,P63))</f>
        <v>0</v>
      </c>
      <c r="X63" s="33" t="n">
        <f aca="false">IF(Builder!B5="Low",Q63,IF(Builder!B5="Typical",R63,S63))</f>
        <v>0</v>
      </c>
      <c r="Y63" s="33" t="n">
        <f aca="false">IF(Builder!B5="Low",T63,IF(Builder!B5="Typical",U63,V63))</f>
        <v>0</v>
      </c>
    </row>
    <row r="64" customFormat="false" ht="26.85" hidden="false" customHeight="false" outlineLevel="0" collapsed="false">
      <c r="A64" s="14" t="s">
        <v>281</v>
      </c>
      <c r="B64" s="41" t="s">
        <v>102</v>
      </c>
      <c r="C64" s="14" t="s">
        <v>282</v>
      </c>
      <c r="D64" s="14" t="s">
        <v>646</v>
      </c>
      <c r="E64" s="14" t="s">
        <v>649</v>
      </c>
      <c r="F64" s="41" t="s">
        <v>283</v>
      </c>
      <c r="G64" s="33" t="n">
        <f aca="false">IF(Builder!B5="Low",H64,IF(Builder!B5="Typical",I64,J64))</f>
        <v>1</v>
      </c>
      <c r="H64" s="33" t="n">
        <f aca="false">IFERROR(INDEX(Reference!$CX$2:$CX$4000, MATCH(Builder!G6&amp;"|"&amp;F64, Reference!$CQ$2:$CQ$4000, 0)), 1)</f>
        <v>1</v>
      </c>
      <c r="I64" s="33" t="n">
        <f aca="false">IFERROR(INDEX(Reference!$CY$2:$CY$4000, MATCH(Builder!G6&amp;"|"&amp;F64, Reference!$CQ$2:$CQ$4000, 0)), 1)</f>
        <v>1</v>
      </c>
      <c r="J64" s="33" t="n">
        <f aca="false">IFERROR(INDEX(Reference!$CZ$2:$CZ$4000, MATCH(Builder!G6&amp;"|"&amp;F64, Reference!$CQ$2:$CQ$4000, 0)), 1)</f>
        <v>1</v>
      </c>
      <c r="K64" s="33" t="n">
        <f aca="false">0+IFERROR(INDEX(Reference!$EG$2:$EG$8000, MATCH(Builder!E5&amp;"|"&amp;F64, Reference!$EB$2:$EB$8000, 0)), 360)</f>
        <v>360</v>
      </c>
      <c r="L64" s="33" t="n">
        <f aca="false">0+IFERROR(INDEX(Reference!$EH$2:$EH$8000, MATCH(Builder!E5&amp;"|"&amp;F64, Reference!$EB$2:$EB$8000, 0)), 400)</f>
        <v>400</v>
      </c>
      <c r="M64" s="33" t="n">
        <f aca="false">0+IFERROR(INDEX(Reference!$EI$2:$EI$8000, MATCH(Builder!E5&amp;"|"&amp;F64, Reference!$EB$2:$EB$8000, 0)), 430)</f>
        <v>430</v>
      </c>
      <c r="N64" s="33" t="n">
        <f aca="false">IF(AND(Builder!E2="Insurance / Org Tariff",IFERROR(INDEX(Reference!$EZ$2:$EZ$1000, MATCH(F64, Reference!$EX$2:$EX$1000, 0)), "No")="Yes"),0,IF('Service Add-Ons'!I27="Include",H64*K64,0))</f>
        <v>0</v>
      </c>
      <c r="O64" s="33" t="n">
        <f aca="false">IF(AND(Builder!E2="Insurance / Org Tariff",IFERROR(INDEX(Reference!$EZ$2:$EZ$1000, MATCH(F64, Reference!$EX$2:$EX$1000, 0)), "No")="Yes"),0,IF('Service Add-Ons'!I27="Include",I64*K64,0))</f>
        <v>0</v>
      </c>
      <c r="P64" s="33" t="n">
        <f aca="false">IF(AND(Builder!E2="Insurance / Org Tariff",IFERROR(INDEX(Reference!$EZ$2:$EZ$1000, MATCH(F64, Reference!$EX$2:$EX$1000, 0)), "No")="Yes"),0,IF('Service Add-Ons'!I27="Include",J64*K64,0))</f>
        <v>0</v>
      </c>
      <c r="Q64" s="33" t="n">
        <f aca="false">IF(AND(Builder!E2="Insurance / Org Tariff",IFERROR(INDEX(Reference!$EZ$2:$EZ$1000, MATCH(F64, Reference!$EX$2:$EX$1000, 0)), "No")="Yes"),0,IF('Service Add-Ons'!I27="Include",H64*L64,0))</f>
        <v>0</v>
      </c>
      <c r="R64" s="33" t="n">
        <f aca="false">IF(AND(Builder!E2="Insurance / Org Tariff",IFERROR(INDEX(Reference!$EZ$2:$EZ$1000, MATCH(F64, Reference!$EX$2:$EX$1000, 0)), "No")="Yes"),0,IF('Service Add-Ons'!I27="Include",I64*L64,0))</f>
        <v>0</v>
      </c>
      <c r="S64" s="33" t="n">
        <f aca="false">IF(AND(Builder!E2="Insurance / Org Tariff",IFERROR(INDEX(Reference!$EZ$2:$EZ$1000, MATCH(F64, Reference!$EX$2:$EX$1000, 0)), "No")="Yes"),0,IF('Service Add-Ons'!I27="Include",J64*L64,0))</f>
        <v>0</v>
      </c>
      <c r="T64" s="33" t="n">
        <f aca="false">IF(AND(Builder!E2="Insurance / Org Tariff",IFERROR(INDEX(Reference!$EZ$2:$EZ$1000, MATCH(F64, Reference!$EX$2:$EX$1000, 0)), "No")="Yes"),0,IF('Service Add-Ons'!I27="Include",H64*M64,0))</f>
        <v>0</v>
      </c>
      <c r="U64" s="33" t="n">
        <f aca="false">IF(AND(Builder!E2="Insurance / Org Tariff",IFERROR(INDEX(Reference!$EZ$2:$EZ$1000, MATCH(F64, Reference!$EX$2:$EX$1000, 0)), "No")="Yes"),0,IF('Service Add-Ons'!I27="Include",I64*M64,0))</f>
        <v>0</v>
      </c>
      <c r="V64" s="33" t="n">
        <f aca="false">IF(AND(Builder!E2="Insurance / Org Tariff",IFERROR(INDEX(Reference!$EZ$2:$EZ$1000, MATCH(F64, Reference!$EX$2:$EX$1000, 0)), "No")="Yes"),0,IF('Service Add-Ons'!I27="Include",J64*M64,0))</f>
        <v>0</v>
      </c>
      <c r="W64" s="33" t="n">
        <f aca="false">IF(Builder!B5="Low",N64,IF(Builder!B5="Typical",O64,P64))</f>
        <v>0</v>
      </c>
      <c r="X64" s="33" t="n">
        <f aca="false">IF(Builder!B5="Low",Q64,IF(Builder!B5="Typical",R64,S64))</f>
        <v>0</v>
      </c>
      <c r="Y64" s="33" t="n">
        <f aca="false">IF(Builder!B5="Low",T64,IF(Builder!B5="Typical",U64,V64))</f>
        <v>0</v>
      </c>
    </row>
    <row r="65" customFormat="false" ht="26.85" hidden="false" customHeight="false" outlineLevel="0" collapsed="false">
      <c r="A65" s="14" t="s">
        <v>284</v>
      </c>
      <c r="B65" s="41" t="s">
        <v>102</v>
      </c>
      <c r="C65" s="14" t="s">
        <v>285</v>
      </c>
      <c r="D65" s="14" t="s">
        <v>646</v>
      </c>
      <c r="E65" s="14" t="s">
        <v>649</v>
      </c>
      <c r="F65" s="41" t="s">
        <v>286</v>
      </c>
      <c r="G65" s="33" t="n">
        <f aca="false">IF(Builder!B5="Low",H65,IF(Builder!B5="Typical",I65,J65))</f>
        <v>1</v>
      </c>
      <c r="H65" s="33" t="n">
        <f aca="false">IFERROR(INDEX(Reference!$CX$2:$CX$4000, MATCH(Builder!G6&amp;"|"&amp;F65, Reference!$CQ$2:$CQ$4000, 0)), 1)</f>
        <v>1</v>
      </c>
      <c r="I65" s="33" t="n">
        <f aca="false">IFERROR(INDEX(Reference!$CY$2:$CY$4000, MATCH(Builder!G6&amp;"|"&amp;F65, Reference!$CQ$2:$CQ$4000, 0)), 1)</f>
        <v>1</v>
      </c>
      <c r="J65" s="33" t="n">
        <f aca="false">IFERROR(INDEX(Reference!$CZ$2:$CZ$4000, MATCH(Builder!G6&amp;"|"&amp;F65, Reference!$CQ$2:$CQ$4000, 0)), 1)</f>
        <v>1</v>
      </c>
      <c r="K65" s="33" t="n">
        <f aca="false">0+IFERROR(INDEX(Reference!$EG$2:$EG$8000, MATCH(Builder!E5&amp;"|"&amp;F65, Reference!$EB$2:$EB$8000, 0)), 680)</f>
        <v>680</v>
      </c>
      <c r="L65" s="33" t="n">
        <f aca="false">0+IFERROR(INDEX(Reference!$EH$2:$EH$8000, MATCH(Builder!E5&amp;"|"&amp;F65, Reference!$EB$2:$EB$8000, 0)), 750)</f>
        <v>750</v>
      </c>
      <c r="M65" s="33" t="n">
        <f aca="false">0+IFERROR(INDEX(Reference!$EI$2:$EI$8000, MATCH(Builder!E5&amp;"|"&amp;F65, Reference!$EB$2:$EB$8000, 0)), 810)</f>
        <v>810</v>
      </c>
      <c r="N65" s="33" t="n">
        <f aca="false">IF(AND(Builder!E2="Insurance / Org Tariff",IFERROR(INDEX(Reference!$EZ$2:$EZ$1000, MATCH(F65, Reference!$EX$2:$EX$1000, 0)), "No")="Yes"),0,IF('Service Add-Ons'!I28="Include",H65*K65,0))</f>
        <v>0</v>
      </c>
      <c r="O65" s="33" t="n">
        <f aca="false">IF(AND(Builder!E2="Insurance / Org Tariff",IFERROR(INDEX(Reference!$EZ$2:$EZ$1000, MATCH(F65, Reference!$EX$2:$EX$1000, 0)), "No")="Yes"),0,IF('Service Add-Ons'!I28="Include",I65*K65,0))</f>
        <v>0</v>
      </c>
      <c r="P65" s="33" t="n">
        <f aca="false">IF(AND(Builder!E2="Insurance / Org Tariff",IFERROR(INDEX(Reference!$EZ$2:$EZ$1000, MATCH(F65, Reference!$EX$2:$EX$1000, 0)), "No")="Yes"),0,IF('Service Add-Ons'!I28="Include",J65*K65,0))</f>
        <v>0</v>
      </c>
      <c r="Q65" s="33" t="n">
        <f aca="false">IF(AND(Builder!E2="Insurance / Org Tariff",IFERROR(INDEX(Reference!$EZ$2:$EZ$1000, MATCH(F65, Reference!$EX$2:$EX$1000, 0)), "No")="Yes"),0,IF('Service Add-Ons'!I28="Include",H65*L65,0))</f>
        <v>0</v>
      </c>
      <c r="R65" s="33" t="n">
        <f aca="false">IF(AND(Builder!E2="Insurance / Org Tariff",IFERROR(INDEX(Reference!$EZ$2:$EZ$1000, MATCH(F65, Reference!$EX$2:$EX$1000, 0)), "No")="Yes"),0,IF('Service Add-Ons'!I28="Include",I65*L65,0))</f>
        <v>0</v>
      </c>
      <c r="S65" s="33" t="n">
        <f aca="false">IF(AND(Builder!E2="Insurance / Org Tariff",IFERROR(INDEX(Reference!$EZ$2:$EZ$1000, MATCH(F65, Reference!$EX$2:$EX$1000, 0)), "No")="Yes"),0,IF('Service Add-Ons'!I28="Include",J65*L65,0))</f>
        <v>0</v>
      </c>
      <c r="T65" s="33" t="n">
        <f aca="false">IF(AND(Builder!E2="Insurance / Org Tariff",IFERROR(INDEX(Reference!$EZ$2:$EZ$1000, MATCH(F65, Reference!$EX$2:$EX$1000, 0)), "No")="Yes"),0,IF('Service Add-Ons'!I28="Include",H65*M65,0))</f>
        <v>0</v>
      </c>
      <c r="U65" s="33" t="n">
        <f aca="false">IF(AND(Builder!E2="Insurance / Org Tariff",IFERROR(INDEX(Reference!$EZ$2:$EZ$1000, MATCH(F65, Reference!$EX$2:$EX$1000, 0)), "No")="Yes"),0,IF('Service Add-Ons'!I28="Include",I65*M65,0))</f>
        <v>0</v>
      </c>
      <c r="V65" s="33" t="n">
        <f aca="false">IF(AND(Builder!E2="Insurance / Org Tariff",IFERROR(INDEX(Reference!$EZ$2:$EZ$1000, MATCH(F65, Reference!$EX$2:$EX$1000, 0)), "No")="Yes"),0,IF('Service Add-Ons'!I28="Include",J65*M65,0))</f>
        <v>0</v>
      </c>
      <c r="W65" s="33" t="n">
        <f aca="false">IF(Builder!B5="Low",N65,IF(Builder!B5="Typical",O65,P65))</f>
        <v>0</v>
      </c>
      <c r="X65" s="33" t="n">
        <f aca="false">IF(Builder!B5="Low",Q65,IF(Builder!B5="Typical",R65,S65))</f>
        <v>0</v>
      </c>
      <c r="Y65" s="33" t="n">
        <f aca="false">IF(Builder!B5="Low",T65,IF(Builder!B5="Typical",U65,V65))</f>
        <v>0</v>
      </c>
    </row>
    <row r="66" customFormat="false" ht="26.85" hidden="false" customHeight="false" outlineLevel="0" collapsed="false">
      <c r="A66" s="14" t="s">
        <v>287</v>
      </c>
      <c r="B66" s="41" t="s">
        <v>102</v>
      </c>
      <c r="C66" s="14" t="s">
        <v>236</v>
      </c>
      <c r="D66" s="14" t="s">
        <v>646</v>
      </c>
      <c r="E66" s="14" t="s">
        <v>649</v>
      </c>
      <c r="F66" s="41" t="s">
        <v>288</v>
      </c>
      <c r="G66" s="33" t="n">
        <f aca="false">IF(Builder!B5="Low",H66,IF(Builder!B5="Typical",I66,J66))</f>
        <v>1</v>
      </c>
      <c r="H66" s="33" t="n">
        <f aca="false">IFERROR(INDEX(Reference!$CX$2:$CX$4000, MATCH(Builder!G6&amp;"|"&amp;F66, Reference!$CQ$2:$CQ$4000, 0)), 1)</f>
        <v>1</v>
      </c>
      <c r="I66" s="33" t="n">
        <f aca="false">IFERROR(INDEX(Reference!$CY$2:$CY$4000, MATCH(Builder!G6&amp;"|"&amp;F66, Reference!$CQ$2:$CQ$4000, 0)), 1)</f>
        <v>1</v>
      </c>
      <c r="J66" s="33" t="n">
        <f aca="false">IFERROR(INDEX(Reference!$CZ$2:$CZ$4000, MATCH(Builder!G6&amp;"|"&amp;F66, Reference!$CQ$2:$CQ$4000, 0)), 1)</f>
        <v>1</v>
      </c>
      <c r="K66" s="33" t="n">
        <f aca="false">0+IFERROR(INDEX(Reference!$EG$2:$EG$8000, MATCH(Builder!E5&amp;"|"&amp;F66, Reference!$EB$2:$EB$8000, 0)), 450)</f>
        <v>450</v>
      </c>
      <c r="L66" s="33" t="n">
        <f aca="false">0+IFERROR(INDEX(Reference!$EH$2:$EH$8000, MATCH(Builder!E5&amp;"|"&amp;F66, Reference!$EB$2:$EB$8000, 0)), 530)</f>
        <v>530</v>
      </c>
      <c r="M66" s="33" t="n">
        <f aca="false">0+IFERROR(INDEX(Reference!$EI$2:$EI$8000, MATCH(Builder!E5&amp;"|"&amp;F66, Reference!$EB$2:$EB$8000, 0)), 580)</f>
        <v>580</v>
      </c>
      <c r="N66" s="33" t="n">
        <f aca="false">IF(AND(Builder!E2="Insurance / Org Tariff",IFERROR(INDEX(Reference!$EZ$2:$EZ$1000, MATCH(F66, Reference!$EX$2:$EX$1000, 0)), "No")="Yes"),0,IF('Service Add-Ons'!I29="Include",H66*K66,0))</f>
        <v>0</v>
      </c>
      <c r="O66" s="33" t="n">
        <f aca="false">IF(AND(Builder!E2="Insurance / Org Tariff",IFERROR(INDEX(Reference!$EZ$2:$EZ$1000, MATCH(F66, Reference!$EX$2:$EX$1000, 0)), "No")="Yes"),0,IF('Service Add-Ons'!I29="Include",I66*K66,0))</f>
        <v>0</v>
      </c>
      <c r="P66" s="33" t="n">
        <f aca="false">IF(AND(Builder!E2="Insurance / Org Tariff",IFERROR(INDEX(Reference!$EZ$2:$EZ$1000, MATCH(F66, Reference!$EX$2:$EX$1000, 0)), "No")="Yes"),0,IF('Service Add-Ons'!I29="Include",J66*K66,0))</f>
        <v>0</v>
      </c>
      <c r="Q66" s="33" t="n">
        <f aca="false">IF(AND(Builder!E2="Insurance / Org Tariff",IFERROR(INDEX(Reference!$EZ$2:$EZ$1000, MATCH(F66, Reference!$EX$2:$EX$1000, 0)), "No")="Yes"),0,IF('Service Add-Ons'!I29="Include",H66*L66,0))</f>
        <v>0</v>
      </c>
      <c r="R66" s="33" t="n">
        <f aca="false">IF(AND(Builder!E2="Insurance / Org Tariff",IFERROR(INDEX(Reference!$EZ$2:$EZ$1000, MATCH(F66, Reference!$EX$2:$EX$1000, 0)), "No")="Yes"),0,IF('Service Add-Ons'!I29="Include",I66*L66,0))</f>
        <v>0</v>
      </c>
      <c r="S66" s="33" t="n">
        <f aca="false">IF(AND(Builder!E2="Insurance / Org Tariff",IFERROR(INDEX(Reference!$EZ$2:$EZ$1000, MATCH(F66, Reference!$EX$2:$EX$1000, 0)), "No")="Yes"),0,IF('Service Add-Ons'!I29="Include",J66*L66,0))</f>
        <v>0</v>
      </c>
      <c r="T66" s="33" t="n">
        <f aca="false">IF(AND(Builder!E2="Insurance / Org Tariff",IFERROR(INDEX(Reference!$EZ$2:$EZ$1000, MATCH(F66, Reference!$EX$2:$EX$1000, 0)), "No")="Yes"),0,IF('Service Add-Ons'!I29="Include",H66*M66,0))</f>
        <v>0</v>
      </c>
      <c r="U66" s="33" t="n">
        <f aca="false">IF(AND(Builder!E2="Insurance / Org Tariff",IFERROR(INDEX(Reference!$EZ$2:$EZ$1000, MATCH(F66, Reference!$EX$2:$EX$1000, 0)), "No")="Yes"),0,IF('Service Add-Ons'!I29="Include",I66*M66,0))</f>
        <v>0</v>
      </c>
      <c r="V66" s="33" t="n">
        <f aca="false">IF(AND(Builder!E2="Insurance / Org Tariff",IFERROR(INDEX(Reference!$EZ$2:$EZ$1000, MATCH(F66, Reference!$EX$2:$EX$1000, 0)), "No")="Yes"),0,IF('Service Add-Ons'!I29="Include",J66*M66,0))</f>
        <v>0</v>
      </c>
      <c r="W66" s="33" t="n">
        <f aca="false">IF(Builder!B5="Low",N66,IF(Builder!B5="Typical",O66,P66))</f>
        <v>0</v>
      </c>
      <c r="X66" s="33" t="n">
        <f aca="false">IF(Builder!B5="Low",Q66,IF(Builder!B5="Typical",R66,S66))</f>
        <v>0</v>
      </c>
      <c r="Y66" s="33" t="n">
        <f aca="false">IF(Builder!B5="Low",T66,IF(Builder!B5="Typical",U66,V66))</f>
        <v>0</v>
      </c>
    </row>
    <row r="67" customFormat="false" ht="26.85" hidden="false" customHeight="false" outlineLevel="0" collapsed="false">
      <c r="A67" s="14" t="s">
        <v>289</v>
      </c>
      <c r="B67" s="41" t="s">
        <v>102</v>
      </c>
      <c r="C67" s="14" t="s">
        <v>289</v>
      </c>
      <c r="D67" s="14" t="s">
        <v>646</v>
      </c>
      <c r="E67" s="14" t="s">
        <v>649</v>
      </c>
      <c r="F67" s="41" t="s">
        <v>290</v>
      </c>
      <c r="G67" s="33" t="n">
        <f aca="false">IF(Builder!B5="Low",H67,IF(Builder!B5="Typical",I67,J67))</f>
        <v>1</v>
      </c>
      <c r="H67" s="33" t="n">
        <f aca="false">IFERROR(INDEX(Reference!$CX$2:$CX$4000, MATCH(Builder!G6&amp;"|"&amp;F67, Reference!$CQ$2:$CQ$4000, 0)), 1)</f>
        <v>1</v>
      </c>
      <c r="I67" s="33" t="n">
        <f aca="false">IFERROR(INDEX(Reference!$CY$2:$CY$4000, MATCH(Builder!G6&amp;"|"&amp;F67, Reference!$CQ$2:$CQ$4000, 0)), 1)</f>
        <v>1</v>
      </c>
      <c r="J67" s="33" t="n">
        <f aca="false">IFERROR(INDEX(Reference!$CZ$2:$CZ$4000, MATCH(Builder!G6&amp;"|"&amp;F67, Reference!$CQ$2:$CQ$4000, 0)), 1)</f>
        <v>1</v>
      </c>
      <c r="K67" s="33" t="n">
        <f aca="false">0+IFERROR(INDEX(Reference!$EG$2:$EG$8000, MATCH(Builder!E5&amp;"|"&amp;F67, Reference!$EB$2:$EB$8000, 0)), 420)</f>
        <v>420</v>
      </c>
      <c r="L67" s="33" t="n">
        <f aca="false">0+IFERROR(INDEX(Reference!$EH$2:$EH$8000, MATCH(Builder!E5&amp;"|"&amp;F67, Reference!$EB$2:$EB$8000, 0)), 460)</f>
        <v>460</v>
      </c>
      <c r="M67" s="33" t="n">
        <f aca="false">0+IFERROR(INDEX(Reference!$EI$2:$EI$8000, MATCH(Builder!E5&amp;"|"&amp;F67, Reference!$EB$2:$EB$8000, 0)), 500)</f>
        <v>500</v>
      </c>
      <c r="N67" s="33" t="n">
        <f aca="false">IF(AND(Builder!E2="Insurance / Org Tariff",IFERROR(INDEX(Reference!$EZ$2:$EZ$1000, MATCH(F67, Reference!$EX$2:$EX$1000, 0)), "No")="Yes"),0,IF('Service Add-Ons'!I30="Include",H67*K67,0))</f>
        <v>0</v>
      </c>
      <c r="O67" s="33" t="n">
        <f aca="false">IF(AND(Builder!E2="Insurance / Org Tariff",IFERROR(INDEX(Reference!$EZ$2:$EZ$1000, MATCH(F67, Reference!$EX$2:$EX$1000, 0)), "No")="Yes"),0,IF('Service Add-Ons'!I30="Include",I67*K67,0))</f>
        <v>0</v>
      </c>
      <c r="P67" s="33" t="n">
        <f aca="false">IF(AND(Builder!E2="Insurance / Org Tariff",IFERROR(INDEX(Reference!$EZ$2:$EZ$1000, MATCH(F67, Reference!$EX$2:$EX$1000, 0)), "No")="Yes"),0,IF('Service Add-Ons'!I30="Include",J67*K67,0))</f>
        <v>0</v>
      </c>
      <c r="Q67" s="33" t="n">
        <f aca="false">IF(AND(Builder!E2="Insurance / Org Tariff",IFERROR(INDEX(Reference!$EZ$2:$EZ$1000, MATCH(F67, Reference!$EX$2:$EX$1000, 0)), "No")="Yes"),0,IF('Service Add-Ons'!I30="Include",H67*L67,0))</f>
        <v>0</v>
      </c>
      <c r="R67" s="33" t="n">
        <f aca="false">IF(AND(Builder!E2="Insurance / Org Tariff",IFERROR(INDEX(Reference!$EZ$2:$EZ$1000, MATCH(F67, Reference!$EX$2:$EX$1000, 0)), "No")="Yes"),0,IF('Service Add-Ons'!I30="Include",I67*L67,0))</f>
        <v>0</v>
      </c>
      <c r="S67" s="33" t="n">
        <f aca="false">IF(AND(Builder!E2="Insurance / Org Tariff",IFERROR(INDEX(Reference!$EZ$2:$EZ$1000, MATCH(F67, Reference!$EX$2:$EX$1000, 0)), "No")="Yes"),0,IF('Service Add-Ons'!I30="Include",J67*L67,0))</f>
        <v>0</v>
      </c>
      <c r="T67" s="33" t="n">
        <f aca="false">IF(AND(Builder!E2="Insurance / Org Tariff",IFERROR(INDEX(Reference!$EZ$2:$EZ$1000, MATCH(F67, Reference!$EX$2:$EX$1000, 0)), "No")="Yes"),0,IF('Service Add-Ons'!I30="Include",H67*M67,0))</f>
        <v>0</v>
      </c>
      <c r="U67" s="33" t="n">
        <f aca="false">IF(AND(Builder!E2="Insurance / Org Tariff",IFERROR(INDEX(Reference!$EZ$2:$EZ$1000, MATCH(F67, Reference!$EX$2:$EX$1000, 0)), "No")="Yes"),0,IF('Service Add-Ons'!I30="Include",I67*M67,0))</f>
        <v>0</v>
      </c>
      <c r="V67" s="33" t="n">
        <f aca="false">IF(AND(Builder!E2="Insurance / Org Tariff",IFERROR(INDEX(Reference!$EZ$2:$EZ$1000, MATCH(F67, Reference!$EX$2:$EX$1000, 0)), "No")="Yes"),0,IF('Service Add-Ons'!I30="Include",J67*M67,0))</f>
        <v>0</v>
      </c>
      <c r="W67" s="33" t="n">
        <f aca="false">IF(Builder!B5="Low",N67,IF(Builder!B5="Typical",O67,P67))</f>
        <v>0</v>
      </c>
      <c r="X67" s="33" t="n">
        <f aca="false">IF(Builder!B5="Low",Q67,IF(Builder!B5="Typical",R67,S67))</f>
        <v>0</v>
      </c>
      <c r="Y67" s="33" t="n">
        <f aca="false">IF(Builder!B5="Low",T67,IF(Builder!B5="Typical",U67,V67))</f>
        <v>0</v>
      </c>
    </row>
    <row r="68" customFormat="false" ht="26.85" hidden="false" customHeight="false" outlineLevel="0" collapsed="false">
      <c r="A68" s="14" t="s">
        <v>291</v>
      </c>
      <c r="B68" s="41" t="s">
        <v>102</v>
      </c>
      <c r="C68" s="14" t="s">
        <v>292</v>
      </c>
      <c r="D68" s="14" t="s">
        <v>646</v>
      </c>
      <c r="E68" s="14" t="s">
        <v>649</v>
      </c>
      <c r="F68" s="41" t="s">
        <v>293</v>
      </c>
      <c r="G68" s="33" t="n">
        <f aca="false">IF(Builder!B5="Low",H68,IF(Builder!B5="Typical",I68,J68))</f>
        <v>1</v>
      </c>
      <c r="H68" s="33" t="n">
        <f aca="false">IFERROR(INDEX(Reference!$CX$2:$CX$4000, MATCH(Builder!G6&amp;"|"&amp;F68, Reference!$CQ$2:$CQ$4000, 0)), 1)</f>
        <v>1</v>
      </c>
      <c r="I68" s="33" t="n">
        <f aca="false">IFERROR(INDEX(Reference!$CY$2:$CY$4000, MATCH(Builder!G6&amp;"|"&amp;F68, Reference!$CQ$2:$CQ$4000, 0)), 1)</f>
        <v>1</v>
      </c>
      <c r="J68" s="33" t="n">
        <f aca="false">IFERROR(INDEX(Reference!$CZ$2:$CZ$4000, MATCH(Builder!G6&amp;"|"&amp;F68, Reference!$CQ$2:$CQ$4000, 0)), 1)</f>
        <v>1</v>
      </c>
      <c r="K68" s="33" t="n">
        <f aca="false">0+IFERROR(INDEX(Reference!$EG$2:$EG$8000, MATCH(Builder!E5&amp;"|"&amp;F68, Reference!$EB$2:$EB$8000, 0)), 330)</f>
        <v>330</v>
      </c>
      <c r="L68" s="33" t="n">
        <f aca="false">0+IFERROR(INDEX(Reference!$EH$2:$EH$8000, MATCH(Builder!E5&amp;"|"&amp;F68, Reference!$EB$2:$EB$8000, 0)), 370)</f>
        <v>370</v>
      </c>
      <c r="M68" s="33" t="n">
        <f aca="false">0+IFERROR(INDEX(Reference!$EI$2:$EI$8000, MATCH(Builder!E5&amp;"|"&amp;F68, Reference!$EB$2:$EB$8000, 0)), 400)</f>
        <v>400</v>
      </c>
      <c r="N68" s="33" t="n">
        <f aca="false">IF(AND(Builder!E2="Insurance / Org Tariff",IFERROR(INDEX(Reference!$EZ$2:$EZ$1000, MATCH(F68, Reference!$EX$2:$EX$1000, 0)), "No")="Yes"),0,IF('Service Add-Ons'!I31="Include",H68*K68,0))</f>
        <v>0</v>
      </c>
      <c r="O68" s="33" t="n">
        <f aca="false">IF(AND(Builder!E2="Insurance / Org Tariff",IFERROR(INDEX(Reference!$EZ$2:$EZ$1000, MATCH(F68, Reference!$EX$2:$EX$1000, 0)), "No")="Yes"),0,IF('Service Add-Ons'!I31="Include",I68*K68,0))</f>
        <v>0</v>
      </c>
      <c r="P68" s="33" t="n">
        <f aca="false">IF(AND(Builder!E2="Insurance / Org Tariff",IFERROR(INDEX(Reference!$EZ$2:$EZ$1000, MATCH(F68, Reference!$EX$2:$EX$1000, 0)), "No")="Yes"),0,IF('Service Add-Ons'!I31="Include",J68*K68,0))</f>
        <v>0</v>
      </c>
      <c r="Q68" s="33" t="n">
        <f aca="false">IF(AND(Builder!E2="Insurance / Org Tariff",IFERROR(INDEX(Reference!$EZ$2:$EZ$1000, MATCH(F68, Reference!$EX$2:$EX$1000, 0)), "No")="Yes"),0,IF('Service Add-Ons'!I31="Include",H68*L68,0))</f>
        <v>0</v>
      </c>
      <c r="R68" s="33" t="n">
        <f aca="false">IF(AND(Builder!E2="Insurance / Org Tariff",IFERROR(INDEX(Reference!$EZ$2:$EZ$1000, MATCH(F68, Reference!$EX$2:$EX$1000, 0)), "No")="Yes"),0,IF('Service Add-Ons'!I31="Include",I68*L68,0))</f>
        <v>0</v>
      </c>
      <c r="S68" s="33" t="n">
        <f aca="false">IF(AND(Builder!E2="Insurance / Org Tariff",IFERROR(INDEX(Reference!$EZ$2:$EZ$1000, MATCH(F68, Reference!$EX$2:$EX$1000, 0)), "No")="Yes"),0,IF('Service Add-Ons'!I31="Include",J68*L68,0))</f>
        <v>0</v>
      </c>
      <c r="T68" s="33" t="n">
        <f aca="false">IF(AND(Builder!E2="Insurance / Org Tariff",IFERROR(INDEX(Reference!$EZ$2:$EZ$1000, MATCH(F68, Reference!$EX$2:$EX$1000, 0)), "No")="Yes"),0,IF('Service Add-Ons'!I31="Include",H68*M68,0))</f>
        <v>0</v>
      </c>
      <c r="U68" s="33" t="n">
        <f aca="false">IF(AND(Builder!E2="Insurance / Org Tariff",IFERROR(INDEX(Reference!$EZ$2:$EZ$1000, MATCH(F68, Reference!$EX$2:$EX$1000, 0)), "No")="Yes"),0,IF('Service Add-Ons'!I31="Include",I68*M68,0))</f>
        <v>0</v>
      </c>
      <c r="V68" s="33" t="n">
        <f aca="false">IF(AND(Builder!E2="Insurance / Org Tariff",IFERROR(INDEX(Reference!$EZ$2:$EZ$1000, MATCH(F68, Reference!$EX$2:$EX$1000, 0)), "No")="Yes"),0,IF('Service Add-Ons'!I31="Include",J68*M68,0))</f>
        <v>0</v>
      </c>
      <c r="W68" s="33" t="n">
        <f aca="false">IF(Builder!B5="Low",N68,IF(Builder!B5="Typical",O68,P68))</f>
        <v>0</v>
      </c>
      <c r="X68" s="33" t="n">
        <f aca="false">IF(Builder!B5="Low",Q68,IF(Builder!B5="Typical",R68,S68))</f>
        <v>0</v>
      </c>
      <c r="Y68" s="33" t="n">
        <f aca="false">IF(Builder!B5="Low",T68,IF(Builder!B5="Typical",U68,V68))</f>
        <v>0</v>
      </c>
    </row>
    <row r="69" customFormat="false" ht="26.85" hidden="false" customHeight="false" outlineLevel="0" collapsed="false">
      <c r="A69" s="14" t="s">
        <v>294</v>
      </c>
      <c r="B69" s="41" t="s">
        <v>102</v>
      </c>
      <c r="C69" s="14" t="s">
        <v>295</v>
      </c>
      <c r="D69" s="14" t="s">
        <v>646</v>
      </c>
      <c r="E69" s="14" t="s">
        <v>649</v>
      </c>
      <c r="F69" s="41" t="s">
        <v>296</v>
      </c>
      <c r="G69" s="33" t="n">
        <f aca="false">IF(Builder!B5="Low",H69,IF(Builder!B5="Typical",I69,J69))</f>
        <v>1</v>
      </c>
      <c r="H69" s="33" t="n">
        <f aca="false">IFERROR(INDEX(Reference!$CX$2:$CX$4000, MATCH(Builder!G6&amp;"|"&amp;F69, Reference!$CQ$2:$CQ$4000, 0)), 1)</f>
        <v>1</v>
      </c>
      <c r="I69" s="33" t="n">
        <f aca="false">IFERROR(INDEX(Reference!$CY$2:$CY$4000, MATCH(Builder!G6&amp;"|"&amp;F69, Reference!$CQ$2:$CQ$4000, 0)), 1)</f>
        <v>1</v>
      </c>
      <c r="J69" s="33" t="n">
        <f aca="false">IFERROR(INDEX(Reference!$CZ$2:$CZ$4000, MATCH(Builder!G6&amp;"|"&amp;F69, Reference!$CQ$2:$CQ$4000, 0)), 1)</f>
        <v>1</v>
      </c>
      <c r="K69" s="33" t="n">
        <f aca="false">0+IFERROR(INDEX(Reference!$EG$2:$EG$8000, MATCH(Builder!E5&amp;"|"&amp;F69, Reference!$EB$2:$EB$8000, 0)), 150)</f>
        <v>150</v>
      </c>
      <c r="L69" s="33" t="n">
        <f aca="false">0+IFERROR(INDEX(Reference!$EH$2:$EH$8000, MATCH(Builder!E5&amp;"|"&amp;F69, Reference!$EB$2:$EB$8000, 0)), 150)</f>
        <v>150</v>
      </c>
      <c r="M69" s="33" t="n">
        <f aca="false">0+IFERROR(INDEX(Reference!$EI$2:$EI$8000, MATCH(Builder!E5&amp;"|"&amp;F69, Reference!$EB$2:$EB$8000, 0)), 150)</f>
        <v>150</v>
      </c>
      <c r="N69" s="33" t="n">
        <f aca="false">IF(AND(Builder!E2="Insurance / Org Tariff",IFERROR(INDEX(Reference!$EZ$2:$EZ$1000, MATCH(F69, Reference!$EX$2:$EX$1000, 0)), "No")="Yes"),0,IF('Service Add-Ons'!I32="Include",H69*K69,0))</f>
        <v>0</v>
      </c>
      <c r="O69" s="33" t="n">
        <f aca="false">IF(AND(Builder!E2="Insurance / Org Tariff",IFERROR(INDEX(Reference!$EZ$2:$EZ$1000, MATCH(F69, Reference!$EX$2:$EX$1000, 0)), "No")="Yes"),0,IF('Service Add-Ons'!I32="Include",I69*K69,0))</f>
        <v>0</v>
      </c>
      <c r="P69" s="33" t="n">
        <f aca="false">IF(AND(Builder!E2="Insurance / Org Tariff",IFERROR(INDEX(Reference!$EZ$2:$EZ$1000, MATCH(F69, Reference!$EX$2:$EX$1000, 0)), "No")="Yes"),0,IF('Service Add-Ons'!I32="Include",J69*K69,0))</f>
        <v>0</v>
      </c>
      <c r="Q69" s="33" t="n">
        <f aca="false">IF(AND(Builder!E2="Insurance / Org Tariff",IFERROR(INDEX(Reference!$EZ$2:$EZ$1000, MATCH(F69, Reference!$EX$2:$EX$1000, 0)), "No")="Yes"),0,IF('Service Add-Ons'!I32="Include",H69*L69,0))</f>
        <v>0</v>
      </c>
      <c r="R69" s="33" t="n">
        <f aca="false">IF(AND(Builder!E2="Insurance / Org Tariff",IFERROR(INDEX(Reference!$EZ$2:$EZ$1000, MATCH(F69, Reference!$EX$2:$EX$1000, 0)), "No")="Yes"),0,IF('Service Add-Ons'!I32="Include",I69*L69,0))</f>
        <v>0</v>
      </c>
      <c r="S69" s="33" t="n">
        <f aca="false">IF(AND(Builder!E2="Insurance / Org Tariff",IFERROR(INDEX(Reference!$EZ$2:$EZ$1000, MATCH(F69, Reference!$EX$2:$EX$1000, 0)), "No")="Yes"),0,IF('Service Add-Ons'!I32="Include",J69*L69,0))</f>
        <v>0</v>
      </c>
      <c r="T69" s="33" t="n">
        <f aca="false">IF(AND(Builder!E2="Insurance / Org Tariff",IFERROR(INDEX(Reference!$EZ$2:$EZ$1000, MATCH(F69, Reference!$EX$2:$EX$1000, 0)), "No")="Yes"),0,IF('Service Add-Ons'!I32="Include",H69*M69,0))</f>
        <v>0</v>
      </c>
      <c r="U69" s="33" t="n">
        <f aca="false">IF(AND(Builder!E2="Insurance / Org Tariff",IFERROR(INDEX(Reference!$EZ$2:$EZ$1000, MATCH(F69, Reference!$EX$2:$EX$1000, 0)), "No")="Yes"),0,IF('Service Add-Ons'!I32="Include",I69*M69,0))</f>
        <v>0</v>
      </c>
      <c r="V69" s="33" t="n">
        <f aca="false">IF(AND(Builder!E2="Insurance / Org Tariff",IFERROR(INDEX(Reference!$EZ$2:$EZ$1000, MATCH(F69, Reference!$EX$2:$EX$1000, 0)), "No")="Yes"),0,IF('Service Add-Ons'!I32="Include",J69*M69,0))</f>
        <v>0</v>
      </c>
      <c r="W69" s="33" t="n">
        <f aca="false">IF(Builder!B5="Low",N69,IF(Builder!B5="Typical",O69,P69))</f>
        <v>0</v>
      </c>
      <c r="X69" s="33" t="n">
        <f aca="false">IF(Builder!B5="Low",Q69,IF(Builder!B5="Typical",R69,S69))</f>
        <v>0</v>
      </c>
      <c r="Y69" s="33" t="n">
        <f aca="false">IF(Builder!B5="Low",T69,IF(Builder!B5="Typical",U69,V69))</f>
        <v>0</v>
      </c>
    </row>
    <row r="70" customFormat="false" ht="26.85" hidden="false" customHeight="false" outlineLevel="0" collapsed="false">
      <c r="A70" s="14" t="s">
        <v>297</v>
      </c>
      <c r="B70" s="41" t="s">
        <v>102</v>
      </c>
      <c r="C70" s="14" t="s">
        <v>274</v>
      </c>
      <c r="D70" s="14" t="s">
        <v>646</v>
      </c>
      <c r="E70" s="14" t="s">
        <v>649</v>
      </c>
      <c r="F70" s="41" t="s">
        <v>298</v>
      </c>
      <c r="G70" s="33" t="n">
        <f aca="false">IF(Builder!B5="Low",H70,IF(Builder!B5="Typical",I70,J70))</f>
        <v>1</v>
      </c>
      <c r="H70" s="33" t="n">
        <f aca="false">IFERROR(INDEX(Reference!$CX$2:$CX$4000, MATCH(Builder!G6&amp;"|"&amp;F70, Reference!$CQ$2:$CQ$4000, 0)), 1)</f>
        <v>1</v>
      </c>
      <c r="I70" s="33" t="n">
        <f aca="false">IFERROR(INDEX(Reference!$CY$2:$CY$4000, MATCH(Builder!G6&amp;"|"&amp;F70, Reference!$CQ$2:$CQ$4000, 0)), 1)</f>
        <v>1</v>
      </c>
      <c r="J70" s="33" t="n">
        <f aca="false">IFERROR(INDEX(Reference!$CZ$2:$CZ$4000, MATCH(Builder!G6&amp;"|"&amp;F70, Reference!$CQ$2:$CQ$4000, 0)), 1)</f>
        <v>1</v>
      </c>
      <c r="K70" s="33" t="n">
        <f aca="false">0+IFERROR(INDEX(Reference!$EG$2:$EG$8000, MATCH(Builder!E5&amp;"|"&amp;F70, Reference!$EB$2:$EB$8000, 0)), 1)</f>
        <v>1</v>
      </c>
      <c r="L70" s="33" t="n">
        <f aca="false">0+IFERROR(INDEX(Reference!$EH$2:$EH$8000, MATCH(Builder!E5&amp;"|"&amp;F70, Reference!$EB$2:$EB$8000, 0)), 1)</f>
        <v>1</v>
      </c>
      <c r="M70" s="33" t="n">
        <f aca="false">0+IFERROR(INDEX(Reference!$EI$2:$EI$8000, MATCH(Builder!E5&amp;"|"&amp;F70, Reference!$EB$2:$EB$8000, 0)), 1)</f>
        <v>1</v>
      </c>
      <c r="N70" s="33" t="n">
        <f aca="false">IF(AND(Builder!E2="Insurance / Org Tariff",IFERROR(INDEX(Reference!$EZ$2:$EZ$1000, MATCH(F70, Reference!$EX$2:$EX$1000, 0)), "No")="Yes"),0,IF('Service Add-Ons'!I33="Include",H70*K70,0))</f>
        <v>0</v>
      </c>
      <c r="O70" s="33" t="n">
        <f aca="false">IF(AND(Builder!E2="Insurance / Org Tariff",IFERROR(INDEX(Reference!$EZ$2:$EZ$1000, MATCH(F70, Reference!$EX$2:$EX$1000, 0)), "No")="Yes"),0,IF('Service Add-Ons'!I33="Include",I70*K70,0))</f>
        <v>0</v>
      </c>
      <c r="P70" s="33" t="n">
        <f aca="false">IF(AND(Builder!E2="Insurance / Org Tariff",IFERROR(INDEX(Reference!$EZ$2:$EZ$1000, MATCH(F70, Reference!$EX$2:$EX$1000, 0)), "No")="Yes"),0,IF('Service Add-Ons'!I33="Include",J70*K70,0))</f>
        <v>0</v>
      </c>
      <c r="Q70" s="33" t="n">
        <f aca="false">IF(AND(Builder!E2="Insurance / Org Tariff",IFERROR(INDEX(Reference!$EZ$2:$EZ$1000, MATCH(F70, Reference!$EX$2:$EX$1000, 0)), "No")="Yes"),0,IF('Service Add-Ons'!I33="Include",H70*L70,0))</f>
        <v>0</v>
      </c>
      <c r="R70" s="33" t="n">
        <f aca="false">IF(AND(Builder!E2="Insurance / Org Tariff",IFERROR(INDEX(Reference!$EZ$2:$EZ$1000, MATCH(F70, Reference!$EX$2:$EX$1000, 0)), "No")="Yes"),0,IF('Service Add-Ons'!I33="Include",I70*L70,0))</f>
        <v>0</v>
      </c>
      <c r="S70" s="33" t="n">
        <f aca="false">IF(AND(Builder!E2="Insurance / Org Tariff",IFERROR(INDEX(Reference!$EZ$2:$EZ$1000, MATCH(F70, Reference!$EX$2:$EX$1000, 0)), "No")="Yes"),0,IF('Service Add-Ons'!I33="Include",J70*L70,0))</f>
        <v>0</v>
      </c>
      <c r="T70" s="33" t="n">
        <f aca="false">IF(AND(Builder!E2="Insurance / Org Tariff",IFERROR(INDEX(Reference!$EZ$2:$EZ$1000, MATCH(F70, Reference!$EX$2:$EX$1000, 0)), "No")="Yes"),0,IF('Service Add-Ons'!I33="Include",H70*M70,0))</f>
        <v>0</v>
      </c>
      <c r="U70" s="33" t="n">
        <f aca="false">IF(AND(Builder!E2="Insurance / Org Tariff",IFERROR(INDEX(Reference!$EZ$2:$EZ$1000, MATCH(F70, Reference!$EX$2:$EX$1000, 0)), "No")="Yes"),0,IF('Service Add-Ons'!I33="Include",I70*M70,0))</f>
        <v>0</v>
      </c>
      <c r="V70" s="33" t="n">
        <f aca="false">IF(AND(Builder!E2="Insurance / Org Tariff",IFERROR(INDEX(Reference!$EZ$2:$EZ$1000, MATCH(F70, Reference!$EX$2:$EX$1000, 0)), "No")="Yes"),0,IF('Service Add-Ons'!I33="Include",J70*M70,0))</f>
        <v>0</v>
      </c>
      <c r="W70" s="33" t="n">
        <f aca="false">IF(Builder!B5="Low",N70,IF(Builder!B5="Typical",O70,P70))</f>
        <v>0</v>
      </c>
      <c r="X70" s="33" t="n">
        <f aca="false">IF(Builder!B5="Low",Q70,IF(Builder!B5="Typical",R70,S70))</f>
        <v>0</v>
      </c>
      <c r="Y70" s="33" t="n">
        <f aca="false">IF(Builder!B5="Low",T70,IF(Builder!B5="Typical",U70,V70))</f>
        <v>0</v>
      </c>
    </row>
    <row r="71" customFormat="false" ht="52.2" hidden="false" customHeight="false" outlineLevel="0" collapsed="false">
      <c r="A71" s="14" t="s">
        <v>650</v>
      </c>
      <c r="B71" s="41" t="s">
        <v>81</v>
      </c>
      <c r="C71" s="14" t="s">
        <v>221</v>
      </c>
      <c r="D71" s="14" t="s">
        <v>651</v>
      </c>
      <c r="E71" s="14" t="s">
        <v>652</v>
      </c>
      <c r="F71" s="41"/>
      <c r="G71" s="33"/>
      <c r="H71" s="33"/>
      <c r="I71" s="33"/>
      <c r="J71" s="33"/>
      <c r="K71" s="33" t="n">
        <f aca="false">'Grouped Adjustments'!M7</f>
        <v>5590</v>
      </c>
      <c r="L71" s="33" t="n">
        <f aca="false">'Grouped Adjustments'!M7</f>
        <v>5590</v>
      </c>
      <c r="M71" s="33" t="n">
        <f aca="false">'Grouped Adjustments'!M7</f>
        <v>5590</v>
      </c>
      <c r="N71" s="33" t="n">
        <f aca="false">IF(AND(Builder!E2="Insurance / Org Tariff",ISNUMBER(SEARCH("excluded for insurance",LOWER('Grouped Adjustments'!N7)))),0,IF('Grouped Adjustments'!L7="Include",'Grouped Adjustments'!I7,0))</f>
        <v>4722.5</v>
      </c>
      <c r="O71" s="33" t="n">
        <f aca="false">IF(AND(Builder!E2="Insurance / Org Tariff",ISNUMBER(SEARCH("excluded for insurance",LOWER('Grouped Adjustments'!N7)))),0,IF('Grouped Adjustments'!L7="Include",'Grouped Adjustments'!J7,0))</f>
        <v>5590</v>
      </c>
      <c r="P71" s="33" t="n">
        <f aca="false">IF(AND(Builder!E2="Insurance / Org Tariff",ISNUMBER(SEARCH("excluded for insurance",LOWER('Grouped Adjustments'!N7)))),0,IF('Grouped Adjustments'!L7="Include",'Grouped Adjustments'!K7,0))</f>
        <v>5800</v>
      </c>
      <c r="Q71" s="33" t="n">
        <f aca="false">N71</f>
        <v>4722.5</v>
      </c>
      <c r="R71" s="33" t="n">
        <f aca="false">O71</f>
        <v>5590</v>
      </c>
      <c r="S71" s="33" t="n">
        <f aca="false">P71</f>
        <v>5800</v>
      </c>
      <c r="T71" s="33" t="n">
        <f aca="false">N71</f>
        <v>4722.5</v>
      </c>
      <c r="U71" s="33" t="n">
        <f aca="false">O71</f>
        <v>5590</v>
      </c>
      <c r="V71" s="33" t="n">
        <f aca="false">P71</f>
        <v>5800</v>
      </c>
      <c r="W71" s="33" t="n">
        <f aca="false">IF(Builder!B5="Low",N71,IF(Builder!B5="Typical",O71,P71))</f>
        <v>5590</v>
      </c>
      <c r="X71" s="33" t="n">
        <f aca="false">IF(Builder!B5="Low",Q71,IF(Builder!B5="Typical",R71,S71))</f>
        <v>5590</v>
      </c>
      <c r="Y71" s="33" t="n">
        <f aca="false">IF(Builder!B5="Low",T71,IF(Builder!B5="Typical",U71,V71))</f>
        <v>5590</v>
      </c>
    </row>
    <row r="72" customFormat="false" ht="52.2" hidden="false" customHeight="false" outlineLevel="0" collapsed="false">
      <c r="A72" s="14" t="s">
        <v>653</v>
      </c>
      <c r="B72" s="41" t="s">
        <v>81</v>
      </c>
      <c r="C72" s="14" t="s">
        <v>232</v>
      </c>
      <c r="D72" s="14" t="s">
        <v>651</v>
      </c>
      <c r="E72" s="14" t="s">
        <v>652</v>
      </c>
      <c r="F72" s="41"/>
      <c r="G72" s="33"/>
      <c r="H72" s="33"/>
      <c r="I72" s="33"/>
      <c r="J72" s="33"/>
      <c r="K72" s="33" t="n">
        <f aca="false">'Grouped Adjustments'!M8</f>
        <v>1320</v>
      </c>
      <c r="L72" s="33" t="n">
        <f aca="false">'Grouped Adjustments'!M8</f>
        <v>1320</v>
      </c>
      <c r="M72" s="33" t="n">
        <f aca="false">'Grouped Adjustments'!M8</f>
        <v>1320</v>
      </c>
      <c r="N72" s="33" t="n">
        <f aca="false">IF(AND(Builder!E2="Insurance / Org Tariff",ISNUMBER(SEARCH("excluded for insurance",LOWER('Grouped Adjustments'!N8)))),0,IF('Grouped Adjustments'!L8="Include",'Grouped Adjustments'!I8,0))</f>
        <v>1320</v>
      </c>
      <c r="O72" s="33" t="n">
        <f aca="false">IF(AND(Builder!E2="Insurance / Org Tariff",ISNUMBER(SEARCH("excluded for insurance",LOWER('Grouped Adjustments'!N8)))),0,IF('Grouped Adjustments'!L8="Include",'Grouped Adjustments'!J8,0))</f>
        <v>1320</v>
      </c>
      <c r="P72" s="33" t="n">
        <f aca="false">IF(AND(Builder!E2="Insurance / Org Tariff",ISNUMBER(SEARCH("excluded for insurance",LOWER('Grouped Adjustments'!N8)))),0,IF('Grouped Adjustments'!L8="Include",'Grouped Adjustments'!K8,0))</f>
        <v>1540</v>
      </c>
      <c r="Q72" s="33" t="n">
        <f aca="false">N72</f>
        <v>1320</v>
      </c>
      <c r="R72" s="33" t="n">
        <f aca="false">O72</f>
        <v>1320</v>
      </c>
      <c r="S72" s="33" t="n">
        <f aca="false">P72</f>
        <v>1540</v>
      </c>
      <c r="T72" s="33" t="n">
        <f aca="false">N72</f>
        <v>1320</v>
      </c>
      <c r="U72" s="33" t="n">
        <f aca="false">O72</f>
        <v>1320</v>
      </c>
      <c r="V72" s="33" t="n">
        <f aca="false">P72</f>
        <v>1540</v>
      </c>
      <c r="W72" s="33" t="n">
        <f aca="false">IF(Builder!B5="Low",N72,IF(Builder!B5="Typical",O72,P72))</f>
        <v>1320</v>
      </c>
      <c r="X72" s="33" t="n">
        <f aca="false">IF(Builder!B5="Low",Q72,IF(Builder!B5="Typical",R72,S72))</f>
        <v>1320</v>
      </c>
      <c r="Y72" s="33" t="n">
        <f aca="false">IF(Builder!B5="Low",T72,IF(Builder!B5="Typical",U72,V72))</f>
        <v>1320</v>
      </c>
    </row>
    <row r="73" customFormat="false" ht="52.2" hidden="false" customHeight="false" outlineLevel="0" collapsed="false">
      <c r="A73" s="14" t="s">
        <v>654</v>
      </c>
      <c r="B73" s="41" t="s">
        <v>81</v>
      </c>
      <c r="C73" s="14" t="s">
        <v>248</v>
      </c>
      <c r="D73" s="14" t="s">
        <v>651</v>
      </c>
      <c r="E73" s="14" t="s">
        <v>652</v>
      </c>
      <c r="F73" s="41"/>
      <c r="G73" s="33"/>
      <c r="H73" s="33"/>
      <c r="I73" s="33"/>
      <c r="J73" s="33"/>
      <c r="K73" s="33" t="n">
        <f aca="false">'Grouped Adjustments'!M9</f>
        <v>370</v>
      </c>
      <c r="L73" s="33" t="n">
        <f aca="false">'Grouped Adjustments'!M9</f>
        <v>370</v>
      </c>
      <c r="M73" s="33" t="n">
        <f aca="false">'Grouped Adjustments'!M9</f>
        <v>370</v>
      </c>
      <c r="N73" s="33" t="n">
        <f aca="false">IF(AND(Builder!E2="Insurance / Org Tariff",ISNUMBER(SEARCH("excluded for insurance",LOWER('Grouped Adjustments'!N9)))),0,IF('Grouped Adjustments'!L9="Include",'Grouped Adjustments'!I9,0))</f>
        <v>0</v>
      </c>
      <c r="O73" s="33" t="n">
        <f aca="false">IF(AND(Builder!E2="Insurance / Org Tariff",ISNUMBER(SEARCH("excluded for insurance",LOWER('Grouped Adjustments'!N9)))),0,IF('Grouped Adjustments'!L9="Include",'Grouped Adjustments'!J9,0))</f>
        <v>370</v>
      </c>
      <c r="P73" s="33" t="n">
        <f aca="false">IF(AND(Builder!E2="Insurance / Org Tariff",ISNUMBER(SEARCH("excluded for insurance",LOWER('Grouped Adjustments'!N9)))),0,IF('Grouped Adjustments'!L9="Include",'Grouped Adjustments'!K9,0))</f>
        <v>490</v>
      </c>
      <c r="Q73" s="33" t="n">
        <f aca="false">N73</f>
        <v>0</v>
      </c>
      <c r="R73" s="33" t="n">
        <f aca="false">O73</f>
        <v>370</v>
      </c>
      <c r="S73" s="33" t="n">
        <f aca="false">P73</f>
        <v>490</v>
      </c>
      <c r="T73" s="33" t="n">
        <f aca="false">N73</f>
        <v>0</v>
      </c>
      <c r="U73" s="33" t="n">
        <f aca="false">O73</f>
        <v>370</v>
      </c>
      <c r="V73" s="33" t="n">
        <f aca="false">P73</f>
        <v>490</v>
      </c>
      <c r="W73" s="33" t="n">
        <f aca="false">IF(Builder!B5="Low",N73,IF(Builder!B5="Typical",O73,P73))</f>
        <v>370</v>
      </c>
      <c r="X73" s="33" t="n">
        <f aca="false">IF(Builder!B5="Low",Q73,IF(Builder!B5="Typical",R73,S73))</f>
        <v>370</v>
      </c>
      <c r="Y73" s="33" t="n">
        <f aca="false">IF(Builder!B5="Low",T73,IF(Builder!B5="Typical",U73,V73))</f>
        <v>370</v>
      </c>
    </row>
    <row r="74" customFormat="false" ht="15" hidden="false" customHeight="false" outlineLevel="0" collapsed="false">
      <c r="A74" s="52" t="s">
        <v>655</v>
      </c>
      <c r="B74" s="53" t="s">
        <v>104</v>
      </c>
      <c r="C74" s="52"/>
      <c r="D74" s="52"/>
      <c r="E74" s="52"/>
      <c r="F74" s="53"/>
      <c r="G74" s="54"/>
      <c r="H74" s="54"/>
      <c r="I74" s="54"/>
      <c r="J74" s="54"/>
      <c r="K74" s="54"/>
      <c r="L74" s="54"/>
      <c r="M74" s="54"/>
      <c r="N74" s="54" t="n">
        <f aca="false">SUM(N2:N34,N39:N73)</f>
        <v>406529.413203125</v>
      </c>
      <c r="O74" s="54" t="n">
        <f aca="false">SUM(O2:O34,O39:O73)</f>
        <v>424310.66578125</v>
      </c>
      <c r="P74" s="54" t="n">
        <f aca="false">SUM(P2:P34,P39:P73)</f>
        <v>501942.4445</v>
      </c>
      <c r="Q74" s="54" t="n">
        <f aca="false">SUM(Q2:Q34,Q39:Q73)</f>
        <v>410979.413203125</v>
      </c>
      <c r="R74" s="54" t="n">
        <f aca="false">SUM(R2:R34,R39:R73)</f>
        <v>430400.66578125</v>
      </c>
      <c r="S74" s="54" t="n">
        <f aca="false">SUM(S2:S34,S39:S73)</f>
        <v>509672.4445</v>
      </c>
      <c r="T74" s="54" t="n">
        <f aca="false">SUM(T2:T34,T39:T73)</f>
        <v>414819.413203125</v>
      </c>
      <c r="U74" s="54" t="n">
        <f aca="false">SUM(U2:U34,U39:U73)</f>
        <v>437610.66578125</v>
      </c>
      <c r="V74" s="54" t="n">
        <f aca="false">SUM(V2:V34,V39:V73)</f>
        <v>520252.4445</v>
      </c>
      <c r="W74" s="54" t="n">
        <f aca="false">SUM(W2:W34,W39:W73)</f>
        <v>424310.66578125</v>
      </c>
      <c r="X74" s="54" t="n">
        <f aca="false">SUM(X2:X34,X39:X73)</f>
        <v>430400.66578125</v>
      </c>
      <c r="Y74" s="54" t="n">
        <f aca="false">SUM(Y2:Y34,Y39:Y73)</f>
        <v>437610.66578125</v>
      </c>
    </row>
    <row r="75" customFormat="false" ht="15" hidden="false" customHeight="false" outlineLevel="0" collapsed="false">
      <c r="A75" s="52" t="s">
        <v>104</v>
      </c>
      <c r="B75" s="53" t="s">
        <v>104</v>
      </c>
      <c r="C75" s="52"/>
      <c r="D75" s="52"/>
      <c r="E75" s="52"/>
      <c r="F75" s="53"/>
      <c r="G75" s="54"/>
      <c r="H75" s="54"/>
      <c r="I75" s="54"/>
      <c r="J75" s="54"/>
      <c r="K75" s="54"/>
      <c r="L75" s="54"/>
      <c r="M75" s="54"/>
      <c r="N75" s="54" t="n">
        <f aca="false">N74+SUM(N35:N38)</f>
        <v>555166.729905518</v>
      </c>
      <c r="O75" s="54" t="n">
        <f aca="false">O74+SUM(O35:O38)</f>
        <v>579449.25295752</v>
      </c>
      <c r="P75" s="54" t="n">
        <f aca="false">P74+SUM(P35:P38)</f>
        <v>685465.150770312</v>
      </c>
      <c r="Q75" s="54" t="n">
        <f aca="false">Q74+SUM(Q35:Q38)</f>
        <v>561243.761155518</v>
      </c>
      <c r="R75" s="54" t="n">
        <f aca="false">R74+SUM(R35:R38)</f>
        <v>587765.90920752</v>
      </c>
      <c r="S75" s="54" t="n">
        <f aca="false">S74+SUM(S35:S38)</f>
        <v>696021.432020312</v>
      </c>
      <c r="T75" s="54" t="n">
        <f aca="false">T74+SUM(T35:T38)</f>
        <v>566487.761155518</v>
      </c>
      <c r="U75" s="54" t="n">
        <f aca="false">U74+SUM(U35:U38)</f>
        <v>597612.06545752</v>
      </c>
      <c r="V75" s="54" t="n">
        <f aca="false">V74+SUM(V35:V38)</f>
        <v>710469.744520312</v>
      </c>
      <c r="W75" s="54" t="n">
        <f aca="false">W74+SUM(W35:W38)</f>
        <v>579449.25295752</v>
      </c>
      <c r="X75" s="54" t="n">
        <f aca="false">X74+SUM(X35:X38)</f>
        <v>587765.90920752</v>
      </c>
      <c r="Y75" s="54" t="n">
        <f aca="false">Y74+SUM(Y35:Y38)</f>
        <v>597612.06545752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38"/>
    <col collapsed="false" customWidth="true" hidden="false" outlineLevel="0" max="3" min="3" style="0" width="26"/>
    <col collapsed="false" customWidth="true" hidden="false" outlineLevel="0" max="5" min="4" style="0" width="10"/>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10" min="9" style="0" width="14"/>
    <col collapsed="false" customWidth="true" hidden="false" outlineLevel="0" max="13" min="11" style="0" width="16"/>
    <col collapsed="false" customWidth="true" hidden="false" outlineLevel="0" max="14" min="14" style="0" width="18"/>
    <col collapsed="false" customWidth="true" hidden="false" outlineLevel="0" max="15" min="15" style="0" width="16"/>
    <col collapsed="false" customWidth="true" hidden="false" outlineLevel="0" max="17" min="16" style="0" width="14"/>
    <col collapsed="false" customWidth="true" hidden="false" outlineLevel="0" max="18" min="18" style="0" width="28"/>
  </cols>
  <sheetData>
    <row r="1" customFormat="false" ht="15" hidden="false" customHeight="false" outlineLevel="0" collapsed="false">
      <c r="A1" s="1" t="s">
        <v>656</v>
      </c>
      <c r="B1" s="1"/>
      <c r="C1" s="1"/>
      <c r="D1" s="1"/>
      <c r="E1" s="1"/>
      <c r="F1" s="1"/>
      <c r="G1" s="1"/>
      <c r="H1" s="1"/>
      <c r="I1" s="1"/>
      <c r="J1" s="1"/>
      <c r="K1" s="1"/>
      <c r="L1" s="1"/>
      <c r="M1" s="1"/>
      <c r="N1" s="1"/>
      <c r="O1" s="1"/>
      <c r="P1" s="1"/>
      <c r="Q1" s="1"/>
      <c r="R1" s="1"/>
    </row>
    <row r="3" customFormat="false" ht="39.55" hidden="false" customHeight="false" outlineLevel="0" collapsed="false">
      <c r="A3" s="37" t="s">
        <v>326</v>
      </c>
      <c r="B3" s="37" t="s">
        <v>327</v>
      </c>
      <c r="C3" s="37" t="s">
        <v>657</v>
      </c>
      <c r="D3" s="37" t="s">
        <v>658</v>
      </c>
      <c r="E3" s="37" t="s">
        <v>659</v>
      </c>
      <c r="F3" s="37" t="s">
        <v>660</v>
      </c>
      <c r="G3" s="37" t="s">
        <v>661</v>
      </c>
      <c r="H3" s="37" t="s">
        <v>192</v>
      </c>
      <c r="I3" s="37" t="s">
        <v>662</v>
      </c>
      <c r="J3" s="37" t="s">
        <v>663</v>
      </c>
      <c r="K3" s="37" t="s">
        <v>664</v>
      </c>
      <c r="L3" s="37" t="s">
        <v>665</v>
      </c>
      <c r="M3" s="37" t="s">
        <v>666</v>
      </c>
      <c r="N3" s="37" t="s">
        <v>667</v>
      </c>
      <c r="O3" s="37" t="s">
        <v>668</v>
      </c>
      <c r="P3" s="37" t="s">
        <v>669</v>
      </c>
      <c r="Q3" s="37" t="s">
        <v>670</v>
      </c>
      <c r="R3" s="37" t="s">
        <v>671</v>
      </c>
    </row>
    <row r="4" customFormat="false" ht="26.85" hidden="false" customHeight="false" outlineLevel="0" collapsed="false">
      <c r="A4" s="41" t="s">
        <v>672</v>
      </c>
      <c r="B4" s="41" t="s">
        <v>673</v>
      </c>
      <c r="C4" s="41" t="s">
        <v>674</v>
      </c>
      <c r="D4" s="41" t="s">
        <v>675</v>
      </c>
      <c r="E4" s="41" t="s">
        <v>676</v>
      </c>
      <c r="F4" s="41" t="s">
        <v>675</v>
      </c>
      <c r="G4" s="41" t="s">
        <v>677</v>
      </c>
      <c r="H4" s="43" t="s">
        <v>678</v>
      </c>
      <c r="I4" s="33" t="s">
        <v>679</v>
      </c>
      <c r="J4" s="33" t="s">
        <v>680</v>
      </c>
      <c r="K4" s="33" t="s">
        <v>680</v>
      </c>
      <c r="L4" s="33" t="s">
        <v>679</v>
      </c>
      <c r="M4" s="33" t="s">
        <v>681</v>
      </c>
      <c r="N4" s="33" t="s">
        <v>681</v>
      </c>
      <c r="O4" s="33" t="s">
        <v>680</v>
      </c>
      <c r="P4" s="33" t="s">
        <v>681</v>
      </c>
      <c r="Q4" s="33" t="s">
        <v>681</v>
      </c>
      <c r="R4" s="41" t="s">
        <v>681</v>
      </c>
    </row>
    <row r="5" customFormat="false" ht="26.85" hidden="false" customHeight="false" outlineLevel="0" collapsed="false">
      <c r="A5" s="41" t="s">
        <v>682</v>
      </c>
      <c r="B5" s="41" t="s">
        <v>683</v>
      </c>
      <c r="C5" s="41" t="s">
        <v>674</v>
      </c>
      <c r="D5" s="41" t="s">
        <v>675</v>
      </c>
      <c r="E5" s="41" t="s">
        <v>676</v>
      </c>
      <c r="F5" s="41" t="s">
        <v>676</v>
      </c>
      <c r="G5" s="41" t="s">
        <v>677</v>
      </c>
      <c r="H5" s="43" t="s">
        <v>678</v>
      </c>
      <c r="I5" s="33" t="s">
        <v>679</v>
      </c>
      <c r="J5" s="33" t="s">
        <v>684</v>
      </c>
      <c r="K5" s="33" t="s">
        <v>684</v>
      </c>
      <c r="L5" s="33" t="s">
        <v>679</v>
      </c>
      <c r="M5" s="33" t="s">
        <v>685</v>
      </c>
      <c r="N5" s="33" t="s">
        <v>685</v>
      </c>
      <c r="O5" s="33" t="s">
        <v>680</v>
      </c>
      <c r="P5" s="33" t="s">
        <v>686</v>
      </c>
      <c r="Q5" s="33" t="s">
        <v>686</v>
      </c>
      <c r="R5" s="41" t="s">
        <v>686</v>
      </c>
    </row>
    <row r="6" customFormat="false" ht="26.85" hidden="false" customHeight="false" outlineLevel="0" collapsed="false">
      <c r="A6" s="41" t="s">
        <v>687</v>
      </c>
      <c r="B6" s="41" t="s">
        <v>688</v>
      </c>
      <c r="C6" s="41" t="s">
        <v>674</v>
      </c>
      <c r="D6" s="41" t="s">
        <v>676</v>
      </c>
      <c r="E6" s="41" t="s">
        <v>676</v>
      </c>
      <c r="F6" s="41" t="s">
        <v>676</v>
      </c>
      <c r="G6" s="41" t="s">
        <v>677</v>
      </c>
      <c r="H6" s="43" t="s">
        <v>678</v>
      </c>
      <c r="I6" s="33" t="s">
        <v>679</v>
      </c>
      <c r="J6" s="33" t="s">
        <v>689</v>
      </c>
      <c r="K6" s="33" t="s">
        <v>689</v>
      </c>
      <c r="L6" s="33" t="s">
        <v>679</v>
      </c>
      <c r="M6" s="33" t="s">
        <v>690</v>
      </c>
      <c r="N6" s="33" t="s">
        <v>690</v>
      </c>
      <c r="O6" s="33" t="s">
        <v>680</v>
      </c>
      <c r="P6" s="33" t="s">
        <v>691</v>
      </c>
      <c r="Q6" s="33" t="s">
        <v>691</v>
      </c>
      <c r="R6" s="41" t="s">
        <v>691</v>
      </c>
    </row>
    <row r="7" customFormat="false" ht="26.85" hidden="false" customHeight="false" outlineLevel="0" collapsed="false">
      <c r="A7" s="41" t="s">
        <v>692</v>
      </c>
      <c r="B7" s="41" t="s">
        <v>693</v>
      </c>
      <c r="C7" s="41" t="s">
        <v>674</v>
      </c>
      <c r="D7" s="41" t="s">
        <v>676</v>
      </c>
      <c r="E7" s="41" t="s">
        <v>676</v>
      </c>
      <c r="F7" s="41" t="s">
        <v>676</v>
      </c>
      <c r="G7" s="41" t="s">
        <v>677</v>
      </c>
      <c r="H7" s="43" t="s">
        <v>678</v>
      </c>
      <c r="I7" s="33" t="s">
        <v>689</v>
      </c>
      <c r="J7" s="33" t="s">
        <v>679</v>
      </c>
      <c r="K7" s="33" t="s">
        <v>689</v>
      </c>
      <c r="L7" s="33" t="s">
        <v>694</v>
      </c>
      <c r="M7" s="33" t="s">
        <v>679</v>
      </c>
      <c r="N7" s="33" t="s">
        <v>694</v>
      </c>
      <c r="O7" s="33" t="s">
        <v>684</v>
      </c>
      <c r="P7" s="33" t="s">
        <v>695</v>
      </c>
      <c r="Q7" s="33" t="s">
        <v>696</v>
      </c>
      <c r="R7" s="41" t="s">
        <v>697</v>
      </c>
    </row>
    <row r="8" customFormat="false" ht="26.85" hidden="false" customHeight="false" outlineLevel="0" collapsed="false">
      <c r="A8" s="41" t="s">
        <v>698</v>
      </c>
      <c r="B8" s="41" t="s">
        <v>699</v>
      </c>
      <c r="C8" s="41" t="s">
        <v>674</v>
      </c>
      <c r="D8" s="41" t="s">
        <v>675</v>
      </c>
      <c r="E8" s="41" t="s">
        <v>676</v>
      </c>
      <c r="F8" s="41" t="s">
        <v>675</v>
      </c>
      <c r="G8" s="41" t="s">
        <v>677</v>
      </c>
      <c r="H8" s="43" t="s">
        <v>678</v>
      </c>
      <c r="I8" s="33" t="s">
        <v>679</v>
      </c>
      <c r="J8" s="33" t="s">
        <v>680</v>
      </c>
      <c r="K8" s="33" t="s">
        <v>680</v>
      </c>
      <c r="L8" s="33" t="s">
        <v>679</v>
      </c>
      <c r="M8" s="33" t="s">
        <v>700</v>
      </c>
      <c r="N8" s="33" t="s">
        <v>700</v>
      </c>
      <c r="O8" s="33" t="s">
        <v>684</v>
      </c>
      <c r="P8" s="33" t="s">
        <v>700</v>
      </c>
      <c r="Q8" s="33" t="s">
        <v>701</v>
      </c>
      <c r="R8" s="41" t="s">
        <v>702</v>
      </c>
    </row>
    <row r="9" customFormat="false" ht="15" hidden="false" customHeight="false" outlineLevel="0" collapsed="false">
      <c r="A9" s="41" t="s">
        <v>703</v>
      </c>
      <c r="B9" s="41" t="s">
        <v>704</v>
      </c>
      <c r="C9" s="41" t="s">
        <v>705</v>
      </c>
      <c r="D9" s="41" t="s">
        <v>676</v>
      </c>
      <c r="E9" s="41" t="s">
        <v>675</v>
      </c>
      <c r="F9" s="41" t="s">
        <v>675</v>
      </c>
      <c r="G9" s="41" t="s">
        <v>677</v>
      </c>
      <c r="H9" s="43" t="s">
        <v>678</v>
      </c>
      <c r="I9" s="33" t="s">
        <v>680</v>
      </c>
      <c r="J9" s="33" t="s">
        <v>679</v>
      </c>
      <c r="K9" s="33" t="s">
        <v>680</v>
      </c>
      <c r="L9" s="33" t="s">
        <v>706</v>
      </c>
      <c r="M9" s="33" t="s">
        <v>679</v>
      </c>
      <c r="N9" s="33" t="s">
        <v>706</v>
      </c>
      <c r="O9" s="33" t="s">
        <v>684</v>
      </c>
      <c r="P9" s="33" t="s">
        <v>706</v>
      </c>
      <c r="Q9" s="33" t="s">
        <v>707</v>
      </c>
      <c r="R9" s="41" t="s">
        <v>708</v>
      </c>
    </row>
    <row r="10" customFormat="false" ht="26.85" hidden="false" customHeight="false" outlineLevel="0" collapsed="false">
      <c r="A10" s="41" t="s">
        <v>709</v>
      </c>
      <c r="B10" s="41" t="s">
        <v>710</v>
      </c>
      <c r="C10" s="41" t="s">
        <v>705</v>
      </c>
      <c r="D10" s="41" t="s">
        <v>676</v>
      </c>
      <c r="E10" s="41" t="s">
        <v>675</v>
      </c>
      <c r="F10" s="41" t="s">
        <v>675</v>
      </c>
      <c r="G10" s="41" t="s">
        <v>677</v>
      </c>
      <c r="H10" s="43" t="s">
        <v>678</v>
      </c>
      <c r="I10" s="33" t="s">
        <v>680</v>
      </c>
      <c r="J10" s="33" t="s">
        <v>679</v>
      </c>
      <c r="K10" s="33" t="s">
        <v>680</v>
      </c>
      <c r="L10" s="33" t="s">
        <v>711</v>
      </c>
      <c r="M10" s="33" t="s">
        <v>679</v>
      </c>
      <c r="N10" s="33" t="s">
        <v>711</v>
      </c>
      <c r="O10" s="33" t="s">
        <v>680</v>
      </c>
      <c r="P10" s="33" t="s">
        <v>711</v>
      </c>
      <c r="Q10" s="33" t="s">
        <v>711</v>
      </c>
      <c r="R10" s="41" t="s">
        <v>711</v>
      </c>
    </row>
    <row r="11" customFormat="false" ht="15" hidden="false" customHeight="false" outlineLevel="0" collapsed="false">
      <c r="A11" s="41" t="s">
        <v>712</v>
      </c>
      <c r="B11" s="41" t="s">
        <v>713</v>
      </c>
      <c r="C11" s="41" t="s">
        <v>705</v>
      </c>
      <c r="D11" s="41" t="s">
        <v>676</v>
      </c>
      <c r="E11" s="41" t="s">
        <v>676</v>
      </c>
      <c r="F11" s="41" t="s">
        <v>676</v>
      </c>
      <c r="G11" s="41" t="s">
        <v>677</v>
      </c>
      <c r="H11" s="43" t="s">
        <v>678</v>
      </c>
      <c r="I11" s="33" t="s">
        <v>714</v>
      </c>
      <c r="J11" s="33" t="s">
        <v>679</v>
      </c>
      <c r="K11" s="33" t="s">
        <v>714</v>
      </c>
      <c r="L11" s="33" t="s">
        <v>715</v>
      </c>
      <c r="M11" s="33" t="s">
        <v>679</v>
      </c>
      <c r="N11" s="33" t="s">
        <v>715</v>
      </c>
      <c r="O11" s="33" t="s">
        <v>680</v>
      </c>
      <c r="P11" s="33" t="s">
        <v>716</v>
      </c>
      <c r="Q11" s="33" t="s">
        <v>716</v>
      </c>
      <c r="R11" s="41" t="s">
        <v>716</v>
      </c>
    </row>
    <row r="12" customFormat="false" ht="15" hidden="false" customHeight="false" outlineLevel="0" collapsed="false">
      <c r="A12" s="41" t="s">
        <v>717</v>
      </c>
      <c r="B12" s="41" t="s">
        <v>718</v>
      </c>
      <c r="C12" s="41" t="s">
        <v>705</v>
      </c>
      <c r="D12" s="41" t="s">
        <v>676</v>
      </c>
      <c r="E12" s="41" t="s">
        <v>675</v>
      </c>
      <c r="F12" s="41" t="s">
        <v>675</v>
      </c>
      <c r="G12" s="41" t="s">
        <v>677</v>
      </c>
      <c r="H12" s="43" t="s">
        <v>678</v>
      </c>
      <c r="I12" s="33" t="s">
        <v>680</v>
      </c>
      <c r="J12" s="33" t="s">
        <v>679</v>
      </c>
      <c r="K12" s="33" t="s">
        <v>680</v>
      </c>
      <c r="L12" s="33" t="s">
        <v>719</v>
      </c>
      <c r="M12" s="33" t="s">
        <v>679</v>
      </c>
      <c r="N12" s="33" t="s">
        <v>719</v>
      </c>
      <c r="O12" s="33" t="s">
        <v>680</v>
      </c>
      <c r="P12" s="33" t="s">
        <v>719</v>
      </c>
      <c r="Q12" s="33" t="s">
        <v>719</v>
      </c>
      <c r="R12" s="41" t="s">
        <v>719</v>
      </c>
    </row>
    <row r="13" customFormat="false" ht="26.85" hidden="false" customHeight="false" outlineLevel="0" collapsed="false">
      <c r="A13" s="41" t="s">
        <v>720</v>
      </c>
      <c r="B13" s="41" t="s">
        <v>721</v>
      </c>
      <c r="C13" s="41" t="s">
        <v>705</v>
      </c>
      <c r="D13" s="41" t="s">
        <v>676</v>
      </c>
      <c r="E13" s="41" t="s">
        <v>676</v>
      </c>
      <c r="F13" s="41" t="s">
        <v>675</v>
      </c>
      <c r="G13" s="41" t="s">
        <v>677</v>
      </c>
      <c r="H13" s="43" t="s">
        <v>678</v>
      </c>
      <c r="I13" s="33" t="s">
        <v>679</v>
      </c>
      <c r="J13" s="33" t="s">
        <v>680</v>
      </c>
      <c r="K13" s="33" t="s">
        <v>680</v>
      </c>
      <c r="L13" s="33" t="s">
        <v>679</v>
      </c>
      <c r="M13" s="33" t="s">
        <v>722</v>
      </c>
      <c r="N13" s="33" t="s">
        <v>722</v>
      </c>
      <c r="O13" s="33" t="s">
        <v>684</v>
      </c>
      <c r="P13" s="33" t="s">
        <v>722</v>
      </c>
      <c r="Q13" s="33" t="s">
        <v>723</v>
      </c>
      <c r="R13" s="41" t="s">
        <v>724</v>
      </c>
    </row>
    <row r="14" customFormat="false" ht="26.85" hidden="false" customHeight="false" outlineLevel="0" collapsed="false">
      <c r="A14" s="41" t="s">
        <v>725</v>
      </c>
      <c r="B14" s="41" t="s">
        <v>726</v>
      </c>
      <c r="C14" s="41" t="s">
        <v>705</v>
      </c>
      <c r="D14" s="41" t="s">
        <v>676</v>
      </c>
      <c r="E14" s="41" t="s">
        <v>676</v>
      </c>
      <c r="F14" s="41" t="s">
        <v>676</v>
      </c>
      <c r="G14" s="41" t="s">
        <v>677</v>
      </c>
      <c r="H14" s="43" t="s">
        <v>678</v>
      </c>
      <c r="I14" s="33" t="s">
        <v>727</v>
      </c>
      <c r="J14" s="33" t="s">
        <v>679</v>
      </c>
      <c r="K14" s="33" t="s">
        <v>728</v>
      </c>
      <c r="L14" s="33" t="s">
        <v>729</v>
      </c>
      <c r="M14" s="33" t="s">
        <v>679</v>
      </c>
      <c r="N14" s="33" t="s">
        <v>730</v>
      </c>
      <c r="O14" s="33" t="s">
        <v>680</v>
      </c>
      <c r="P14" s="33" t="s">
        <v>731</v>
      </c>
      <c r="Q14" s="33" t="s">
        <v>731</v>
      </c>
      <c r="R14" s="41" t="s">
        <v>731</v>
      </c>
    </row>
    <row r="15" customFormat="false" ht="15" hidden="false" customHeight="false" outlineLevel="0" collapsed="false">
      <c r="A15" s="41" t="s">
        <v>732</v>
      </c>
      <c r="B15" s="41" t="s">
        <v>733</v>
      </c>
      <c r="C15" s="41" t="s">
        <v>705</v>
      </c>
      <c r="D15" s="41" t="s">
        <v>676</v>
      </c>
      <c r="E15" s="41" t="s">
        <v>675</v>
      </c>
      <c r="F15" s="41" t="s">
        <v>675</v>
      </c>
      <c r="G15" s="41" t="s">
        <v>677</v>
      </c>
      <c r="H15" s="43" t="s">
        <v>678</v>
      </c>
      <c r="I15" s="33" t="s">
        <v>680</v>
      </c>
      <c r="J15" s="33" t="s">
        <v>679</v>
      </c>
      <c r="K15" s="33" t="s">
        <v>680</v>
      </c>
      <c r="L15" s="33" t="s">
        <v>734</v>
      </c>
      <c r="M15" s="33" t="s">
        <v>679</v>
      </c>
      <c r="N15" s="33" t="s">
        <v>734</v>
      </c>
      <c r="O15" s="33" t="s">
        <v>684</v>
      </c>
      <c r="P15" s="33" t="s">
        <v>735</v>
      </c>
      <c r="Q15" s="33" t="s">
        <v>734</v>
      </c>
      <c r="R15" s="41" t="s">
        <v>736</v>
      </c>
    </row>
    <row r="16" customFormat="false" ht="15" hidden="false" customHeight="false" outlineLevel="0" collapsed="false">
      <c r="A16" s="41" t="s">
        <v>737</v>
      </c>
      <c r="B16" s="41" t="s">
        <v>738</v>
      </c>
      <c r="C16" s="41" t="s">
        <v>705</v>
      </c>
      <c r="D16" s="41" t="s">
        <v>676</v>
      </c>
      <c r="E16" s="41" t="s">
        <v>675</v>
      </c>
      <c r="F16" s="41" t="s">
        <v>675</v>
      </c>
      <c r="G16" s="41" t="s">
        <v>677</v>
      </c>
      <c r="H16" s="43" t="s">
        <v>678</v>
      </c>
      <c r="I16" s="33" t="s">
        <v>684</v>
      </c>
      <c r="J16" s="33" t="s">
        <v>679</v>
      </c>
      <c r="K16" s="33" t="s">
        <v>684</v>
      </c>
      <c r="L16" s="33" t="s">
        <v>739</v>
      </c>
      <c r="M16" s="33" t="s">
        <v>679</v>
      </c>
      <c r="N16" s="33" t="s">
        <v>739</v>
      </c>
      <c r="O16" s="33" t="s">
        <v>680</v>
      </c>
      <c r="P16" s="33" t="s">
        <v>734</v>
      </c>
      <c r="Q16" s="33" t="s">
        <v>734</v>
      </c>
      <c r="R16" s="41" t="s">
        <v>734</v>
      </c>
    </row>
    <row r="17" customFormat="false" ht="15" hidden="false" customHeight="false" outlineLevel="0" collapsed="false">
      <c r="A17" s="41" t="s">
        <v>740</v>
      </c>
      <c r="B17" s="41" t="s">
        <v>741</v>
      </c>
      <c r="C17" s="41" t="s">
        <v>705</v>
      </c>
      <c r="D17" s="41" t="s">
        <v>676</v>
      </c>
      <c r="E17" s="41" t="s">
        <v>676</v>
      </c>
      <c r="F17" s="41" t="s">
        <v>675</v>
      </c>
      <c r="G17" s="41" t="s">
        <v>677</v>
      </c>
      <c r="H17" s="43" t="s">
        <v>678</v>
      </c>
      <c r="I17" s="33" t="s">
        <v>714</v>
      </c>
      <c r="J17" s="33" t="s">
        <v>679</v>
      </c>
      <c r="K17" s="33" t="s">
        <v>714</v>
      </c>
      <c r="L17" s="33" t="s">
        <v>742</v>
      </c>
      <c r="M17" s="33" t="s">
        <v>679</v>
      </c>
      <c r="N17" s="33" t="s">
        <v>742</v>
      </c>
      <c r="O17" s="33" t="s">
        <v>680</v>
      </c>
      <c r="P17" s="33" t="s">
        <v>743</v>
      </c>
      <c r="Q17" s="33" t="s">
        <v>743</v>
      </c>
      <c r="R17" s="41" t="s">
        <v>743</v>
      </c>
    </row>
    <row r="18" customFormat="false" ht="15" hidden="false" customHeight="false" outlineLevel="0" collapsed="false">
      <c r="A18" s="41" t="s">
        <v>744</v>
      </c>
      <c r="B18" s="41" t="s">
        <v>745</v>
      </c>
      <c r="C18" s="41" t="s">
        <v>705</v>
      </c>
      <c r="D18" s="41" t="s">
        <v>676</v>
      </c>
      <c r="E18" s="41" t="s">
        <v>676</v>
      </c>
      <c r="F18" s="41" t="s">
        <v>676</v>
      </c>
      <c r="G18" s="41" t="s">
        <v>677</v>
      </c>
      <c r="H18" s="43" t="s">
        <v>678</v>
      </c>
      <c r="I18" s="33" t="s">
        <v>684</v>
      </c>
      <c r="J18" s="33" t="s">
        <v>746</v>
      </c>
      <c r="K18" s="33" t="s">
        <v>747</v>
      </c>
      <c r="L18" s="33" t="s">
        <v>748</v>
      </c>
      <c r="M18" s="33" t="s">
        <v>749</v>
      </c>
      <c r="N18" s="33" t="s">
        <v>750</v>
      </c>
      <c r="O18" s="33" t="s">
        <v>680</v>
      </c>
      <c r="P18" s="33" t="s">
        <v>751</v>
      </c>
      <c r="Q18" s="33" t="s">
        <v>751</v>
      </c>
      <c r="R18" s="41" t="s">
        <v>751</v>
      </c>
    </row>
    <row r="19" customFormat="false" ht="15" hidden="false" customHeight="false" outlineLevel="0" collapsed="false">
      <c r="A19" s="41" t="s">
        <v>752</v>
      </c>
      <c r="B19" s="41" t="s">
        <v>753</v>
      </c>
      <c r="C19" s="41" t="s">
        <v>705</v>
      </c>
      <c r="D19" s="41" t="s">
        <v>676</v>
      </c>
      <c r="E19" s="41" t="s">
        <v>676</v>
      </c>
      <c r="F19" s="41" t="s">
        <v>676</v>
      </c>
      <c r="G19" s="41" t="s">
        <v>677</v>
      </c>
      <c r="H19" s="43" t="s">
        <v>678</v>
      </c>
      <c r="I19" s="33" t="s">
        <v>714</v>
      </c>
      <c r="J19" s="33" t="s">
        <v>714</v>
      </c>
      <c r="K19" s="33" t="s">
        <v>728</v>
      </c>
      <c r="L19" s="33" t="s">
        <v>754</v>
      </c>
      <c r="M19" s="33" t="s">
        <v>754</v>
      </c>
      <c r="N19" s="33" t="s">
        <v>755</v>
      </c>
      <c r="O19" s="33" t="s">
        <v>680</v>
      </c>
      <c r="P19" s="33" t="s">
        <v>756</v>
      </c>
      <c r="Q19" s="33" t="s">
        <v>756</v>
      </c>
      <c r="R19" s="41" t="s">
        <v>756</v>
      </c>
    </row>
    <row r="20" customFormat="false" ht="15" hidden="false" customHeight="false" outlineLevel="0" collapsed="false">
      <c r="A20" s="41" t="s">
        <v>757</v>
      </c>
      <c r="B20" s="41" t="s">
        <v>758</v>
      </c>
      <c r="C20" s="41" t="s">
        <v>705</v>
      </c>
      <c r="D20" s="41" t="s">
        <v>675</v>
      </c>
      <c r="E20" s="41" t="s">
        <v>676</v>
      </c>
      <c r="F20" s="41" t="s">
        <v>676</v>
      </c>
      <c r="G20" s="41" t="s">
        <v>677</v>
      </c>
      <c r="H20" s="43" t="s">
        <v>678</v>
      </c>
      <c r="I20" s="33" t="s">
        <v>679</v>
      </c>
      <c r="J20" s="33" t="s">
        <v>714</v>
      </c>
      <c r="K20" s="33" t="s">
        <v>714</v>
      </c>
      <c r="L20" s="33" t="s">
        <v>679</v>
      </c>
      <c r="M20" s="33" t="s">
        <v>759</v>
      </c>
      <c r="N20" s="33" t="s">
        <v>759</v>
      </c>
      <c r="O20" s="33" t="s">
        <v>689</v>
      </c>
      <c r="P20" s="33" t="s">
        <v>760</v>
      </c>
      <c r="Q20" s="33" t="s">
        <v>761</v>
      </c>
      <c r="R20" s="41" t="s">
        <v>762</v>
      </c>
    </row>
    <row r="21" customFormat="false" ht="26.85" hidden="false" customHeight="false" outlineLevel="0" collapsed="false">
      <c r="A21" s="41" t="s">
        <v>763</v>
      </c>
      <c r="B21" s="41" t="s">
        <v>764</v>
      </c>
      <c r="C21" s="41" t="s">
        <v>674</v>
      </c>
      <c r="D21" s="41" t="s">
        <v>676</v>
      </c>
      <c r="E21" s="41" t="s">
        <v>675</v>
      </c>
      <c r="F21" s="41" t="s">
        <v>675</v>
      </c>
      <c r="G21" s="41" t="s">
        <v>765</v>
      </c>
      <c r="H21" s="43" t="s">
        <v>766</v>
      </c>
      <c r="I21" s="33" t="s">
        <v>747</v>
      </c>
      <c r="J21" s="33" t="s">
        <v>679</v>
      </c>
      <c r="K21" s="33" t="s">
        <v>747</v>
      </c>
      <c r="L21" s="33" t="s">
        <v>767</v>
      </c>
      <c r="M21" s="33" t="s">
        <v>679</v>
      </c>
      <c r="N21" s="33" t="s">
        <v>767</v>
      </c>
      <c r="O21" s="33" t="s">
        <v>684</v>
      </c>
      <c r="P21" s="33" t="s">
        <v>768</v>
      </c>
      <c r="Q21" s="33" t="s">
        <v>769</v>
      </c>
      <c r="R21" s="41" t="s">
        <v>770</v>
      </c>
    </row>
    <row r="22" customFormat="false" ht="15" hidden="false" customHeight="false" outlineLevel="0" collapsed="false">
      <c r="A22" s="41" t="s">
        <v>771</v>
      </c>
      <c r="B22" s="41" t="s">
        <v>772</v>
      </c>
      <c r="C22" s="41" t="s">
        <v>705</v>
      </c>
      <c r="D22" s="41" t="s">
        <v>676</v>
      </c>
      <c r="E22" s="41" t="s">
        <v>675</v>
      </c>
      <c r="F22" s="41" t="s">
        <v>675</v>
      </c>
      <c r="G22" s="41" t="s">
        <v>765</v>
      </c>
      <c r="H22" s="43" t="s">
        <v>766</v>
      </c>
      <c r="I22" s="33" t="s">
        <v>680</v>
      </c>
      <c r="J22" s="33" t="s">
        <v>679</v>
      </c>
      <c r="K22" s="33" t="s">
        <v>680</v>
      </c>
      <c r="L22" s="33" t="s">
        <v>773</v>
      </c>
      <c r="M22" s="33" t="s">
        <v>679</v>
      </c>
      <c r="N22" s="33" t="s">
        <v>773</v>
      </c>
      <c r="O22" s="33" t="s">
        <v>684</v>
      </c>
      <c r="P22" s="33" t="s">
        <v>773</v>
      </c>
      <c r="Q22" s="33" t="s">
        <v>774</v>
      </c>
      <c r="R22" s="41" t="s">
        <v>775</v>
      </c>
    </row>
    <row r="23" customFormat="false" ht="26.85" hidden="false" customHeight="false" outlineLevel="0" collapsed="false">
      <c r="A23" s="41" t="s">
        <v>776</v>
      </c>
      <c r="B23" s="41" t="s">
        <v>777</v>
      </c>
      <c r="C23" s="41" t="s">
        <v>705</v>
      </c>
      <c r="D23" s="41" t="s">
        <v>676</v>
      </c>
      <c r="E23" s="41" t="s">
        <v>675</v>
      </c>
      <c r="F23" s="41" t="s">
        <v>675</v>
      </c>
      <c r="G23" s="41" t="s">
        <v>765</v>
      </c>
      <c r="H23" s="43" t="s">
        <v>766</v>
      </c>
      <c r="I23" s="33" t="s">
        <v>684</v>
      </c>
      <c r="J23" s="33" t="s">
        <v>679</v>
      </c>
      <c r="K23" s="33" t="s">
        <v>684</v>
      </c>
      <c r="L23" s="33" t="s">
        <v>778</v>
      </c>
      <c r="M23" s="33" t="s">
        <v>679</v>
      </c>
      <c r="N23" s="33" t="s">
        <v>778</v>
      </c>
      <c r="O23" s="33" t="s">
        <v>689</v>
      </c>
      <c r="P23" s="33" t="s">
        <v>779</v>
      </c>
      <c r="Q23" s="33" t="s">
        <v>780</v>
      </c>
      <c r="R23" s="41" t="s">
        <v>781</v>
      </c>
    </row>
    <row r="24" customFormat="false" ht="15" hidden="false" customHeight="false" outlineLevel="0" collapsed="false">
      <c r="A24" s="41" t="s">
        <v>782</v>
      </c>
      <c r="B24" s="41" t="s">
        <v>783</v>
      </c>
      <c r="C24" s="41" t="s">
        <v>705</v>
      </c>
      <c r="D24" s="41" t="s">
        <v>675</v>
      </c>
      <c r="E24" s="41" t="s">
        <v>676</v>
      </c>
      <c r="F24" s="41" t="s">
        <v>676</v>
      </c>
      <c r="G24" s="41" t="s">
        <v>765</v>
      </c>
      <c r="H24" s="43" t="s">
        <v>766</v>
      </c>
      <c r="I24" s="33" t="s">
        <v>679</v>
      </c>
      <c r="J24" s="33" t="s">
        <v>784</v>
      </c>
      <c r="K24" s="33" t="s">
        <v>784</v>
      </c>
      <c r="L24" s="33" t="s">
        <v>679</v>
      </c>
      <c r="M24" s="33" t="s">
        <v>785</v>
      </c>
      <c r="N24" s="33" t="s">
        <v>785</v>
      </c>
      <c r="O24" s="33" t="s">
        <v>680</v>
      </c>
      <c r="P24" s="33" t="s">
        <v>716</v>
      </c>
      <c r="Q24" s="33" t="s">
        <v>716</v>
      </c>
      <c r="R24" s="41" t="s">
        <v>716</v>
      </c>
    </row>
    <row r="25" customFormat="false" ht="26.85" hidden="false" customHeight="false" outlineLevel="0" collapsed="false">
      <c r="A25" s="41" t="s">
        <v>786</v>
      </c>
      <c r="B25" s="41" t="s">
        <v>787</v>
      </c>
      <c r="C25" s="41" t="s">
        <v>705</v>
      </c>
      <c r="D25" s="41" t="s">
        <v>676</v>
      </c>
      <c r="E25" s="41" t="s">
        <v>676</v>
      </c>
      <c r="F25" s="41" t="s">
        <v>675</v>
      </c>
      <c r="G25" s="41" t="s">
        <v>765</v>
      </c>
      <c r="H25" s="43" t="s">
        <v>766</v>
      </c>
      <c r="I25" s="33" t="s">
        <v>680</v>
      </c>
      <c r="J25" s="33" t="s">
        <v>679</v>
      </c>
      <c r="K25" s="33" t="s">
        <v>680</v>
      </c>
      <c r="L25" s="33" t="s">
        <v>788</v>
      </c>
      <c r="M25" s="33" t="s">
        <v>679</v>
      </c>
      <c r="N25" s="33" t="s">
        <v>788</v>
      </c>
      <c r="O25" s="33" t="s">
        <v>684</v>
      </c>
      <c r="P25" s="33" t="s">
        <v>789</v>
      </c>
      <c r="Q25" s="33" t="s">
        <v>788</v>
      </c>
      <c r="R25" s="41" t="s">
        <v>790</v>
      </c>
    </row>
    <row r="26" customFormat="false" ht="15" hidden="false" customHeight="false" outlineLevel="0" collapsed="false">
      <c r="A26" s="41" t="s">
        <v>791</v>
      </c>
      <c r="B26" s="41" t="s">
        <v>792</v>
      </c>
      <c r="C26" s="41" t="s">
        <v>705</v>
      </c>
      <c r="D26" s="41" t="s">
        <v>676</v>
      </c>
      <c r="E26" s="41" t="s">
        <v>676</v>
      </c>
      <c r="F26" s="41" t="s">
        <v>675</v>
      </c>
      <c r="G26" s="41" t="s">
        <v>765</v>
      </c>
      <c r="H26" s="43" t="s">
        <v>766</v>
      </c>
      <c r="I26" s="33" t="s">
        <v>679</v>
      </c>
      <c r="J26" s="33" t="s">
        <v>680</v>
      </c>
      <c r="K26" s="33" t="s">
        <v>680</v>
      </c>
      <c r="L26" s="33" t="s">
        <v>679</v>
      </c>
      <c r="M26" s="33" t="s">
        <v>793</v>
      </c>
      <c r="N26" s="33" t="s">
        <v>793</v>
      </c>
      <c r="O26" s="33" t="s">
        <v>680</v>
      </c>
      <c r="P26" s="33" t="s">
        <v>793</v>
      </c>
      <c r="Q26" s="33" t="s">
        <v>793</v>
      </c>
      <c r="R26" s="41" t="s">
        <v>793</v>
      </c>
    </row>
    <row r="27" customFormat="false" ht="15" hidden="false" customHeight="false" outlineLevel="0" collapsed="false">
      <c r="A27" s="41" t="s">
        <v>794</v>
      </c>
      <c r="B27" s="41" t="s">
        <v>795</v>
      </c>
      <c r="C27" s="41" t="s">
        <v>705</v>
      </c>
      <c r="D27" s="41" t="s">
        <v>676</v>
      </c>
      <c r="E27" s="41" t="s">
        <v>676</v>
      </c>
      <c r="F27" s="41" t="s">
        <v>676</v>
      </c>
      <c r="G27" s="41" t="s">
        <v>765</v>
      </c>
      <c r="H27" s="43" t="s">
        <v>766</v>
      </c>
      <c r="I27" s="33" t="s">
        <v>684</v>
      </c>
      <c r="J27" s="33" t="s">
        <v>689</v>
      </c>
      <c r="K27" s="33" t="s">
        <v>727</v>
      </c>
      <c r="L27" s="33" t="s">
        <v>796</v>
      </c>
      <c r="M27" s="33" t="s">
        <v>797</v>
      </c>
      <c r="N27" s="33" t="s">
        <v>798</v>
      </c>
      <c r="O27" s="33" t="s">
        <v>684</v>
      </c>
      <c r="P27" s="33" t="s">
        <v>799</v>
      </c>
      <c r="Q27" s="33" t="s">
        <v>800</v>
      </c>
      <c r="R27" s="41" t="s">
        <v>801</v>
      </c>
    </row>
    <row r="28" customFormat="false" ht="26.85" hidden="false" customHeight="false" outlineLevel="0" collapsed="false">
      <c r="A28" s="41" t="s">
        <v>802</v>
      </c>
      <c r="B28" s="41" t="s">
        <v>803</v>
      </c>
      <c r="C28" s="41" t="s">
        <v>674</v>
      </c>
      <c r="D28" s="41" t="s">
        <v>676</v>
      </c>
      <c r="E28" s="41" t="s">
        <v>676</v>
      </c>
      <c r="F28" s="41" t="s">
        <v>675</v>
      </c>
      <c r="G28" s="41" t="s">
        <v>804</v>
      </c>
      <c r="H28" s="43" t="s">
        <v>805</v>
      </c>
      <c r="I28" s="33" t="s">
        <v>680</v>
      </c>
      <c r="J28" s="33" t="s">
        <v>679</v>
      </c>
      <c r="K28" s="33" t="s">
        <v>680</v>
      </c>
      <c r="L28" s="33" t="s">
        <v>806</v>
      </c>
      <c r="M28" s="33" t="s">
        <v>679</v>
      </c>
      <c r="N28" s="33" t="s">
        <v>806</v>
      </c>
      <c r="O28" s="33" t="s">
        <v>680</v>
      </c>
      <c r="P28" s="33" t="s">
        <v>806</v>
      </c>
      <c r="Q28" s="33" t="s">
        <v>806</v>
      </c>
      <c r="R28" s="41" t="s">
        <v>806</v>
      </c>
    </row>
    <row r="29" customFormat="false" ht="26.85" hidden="false" customHeight="false" outlineLevel="0" collapsed="false">
      <c r="A29" s="41" t="s">
        <v>807</v>
      </c>
      <c r="B29" s="41" t="s">
        <v>808</v>
      </c>
      <c r="C29" s="41" t="s">
        <v>674</v>
      </c>
      <c r="D29" s="41" t="s">
        <v>676</v>
      </c>
      <c r="E29" s="41" t="s">
        <v>675</v>
      </c>
      <c r="F29" s="41" t="s">
        <v>675</v>
      </c>
      <c r="G29" s="41" t="s">
        <v>804</v>
      </c>
      <c r="H29" s="43" t="s">
        <v>805</v>
      </c>
      <c r="I29" s="33" t="s">
        <v>680</v>
      </c>
      <c r="J29" s="33" t="s">
        <v>679</v>
      </c>
      <c r="K29" s="33" t="s">
        <v>680</v>
      </c>
      <c r="L29" s="33" t="s">
        <v>809</v>
      </c>
      <c r="M29" s="33" t="s">
        <v>679</v>
      </c>
      <c r="N29" s="33" t="s">
        <v>809</v>
      </c>
      <c r="O29" s="33" t="s">
        <v>714</v>
      </c>
      <c r="P29" s="33" t="s">
        <v>810</v>
      </c>
      <c r="Q29" s="33" t="s">
        <v>809</v>
      </c>
      <c r="R29" s="41" t="s">
        <v>811</v>
      </c>
    </row>
    <row r="30" customFormat="false" ht="15" hidden="false" customHeight="false" outlineLevel="0" collapsed="false">
      <c r="A30" s="41" t="s">
        <v>812</v>
      </c>
      <c r="B30" s="41" t="s">
        <v>813</v>
      </c>
      <c r="C30" s="41" t="s">
        <v>705</v>
      </c>
      <c r="D30" s="41" t="s">
        <v>676</v>
      </c>
      <c r="E30" s="41" t="s">
        <v>675</v>
      </c>
      <c r="F30" s="41" t="s">
        <v>675</v>
      </c>
      <c r="G30" s="41" t="s">
        <v>804</v>
      </c>
      <c r="H30" s="43" t="s">
        <v>805</v>
      </c>
      <c r="I30" s="33" t="s">
        <v>680</v>
      </c>
      <c r="J30" s="33" t="s">
        <v>679</v>
      </c>
      <c r="K30" s="33" t="s">
        <v>680</v>
      </c>
      <c r="L30" s="33" t="s">
        <v>814</v>
      </c>
      <c r="M30" s="33" t="s">
        <v>679</v>
      </c>
      <c r="N30" s="33" t="s">
        <v>814</v>
      </c>
      <c r="O30" s="33" t="s">
        <v>684</v>
      </c>
      <c r="P30" s="33" t="s">
        <v>814</v>
      </c>
      <c r="Q30" s="33" t="s">
        <v>815</v>
      </c>
      <c r="R30" s="41" t="s">
        <v>816</v>
      </c>
    </row>
    <row r="31" customFormat="false" ht="15" hidden="false" customHeight="false" outlineLevel="0" collapsed="false">
      <c r="A31" s="41" t="s">
        <v>817</v>
      </c>
      <c r="B31" s="41" t="s">
        <v>818</v>
      </c>
      <c r="C31" s="41" t="s">
        <v>705</v>
      </c>
      <c r="D31" s="41" t="s">
        <v>675</v>
      </c>
      <c r="E31" s="41" t="s">
        <v>676</v>
      </c>
      <c r="F31" s="41" t="s">
        <v>675</v>
      </c>
      <c r="G31" s="41" t="s">
        <v>804</v>
      </c>
      <c r="H31" s="43" t="s">
        <v>805</v>
      </c>
      <c r="I31" s="33" t="s">
        <v>679</v>
      </c>
      <c r="J31" s="33" t="s">
        <v>680</v>
      </c>
      <c r="K31" s="33" t="s">
        <v>680</v>
      </c>
      <c r="L31" s="33" t="s">
        <v>679</v>
      </c>
      <c r="M31" s="33" t="s">
        <v>819</v>
      </c>
      <c r="N31" s="33" t="s">
        <v>819</v>
      </c>
      <c r="O31" s="33" t="s">
        <v>680</v>
      </c>
      <c r="P31" s="33" t="s">
        <v>819</v>
      </c>
      <c r="Q31" s="33" t="s">
        <v>819</v>
      </c>
      <c r="R31" s="41" t="s">
        <v>819</v>
      </c>
    </row>
    <row r="32" customFormat="false" ht="15" hidden="false" customHeight="false" outlineLevel="0" collapsed="false">
      <c r="A32" s="41" t="s">
        <v>820</v>
      </c>
      <c r="B32" s="41" t="s">
        <v>821</v>
      </c>
      <c r="C32" s="41" t="s">
        <v>705</v>
      </c>
      <c r="D32" s="41" t="s">
        <v>676</v>
      </c>
      <c r="E32" s="41" t="s">
        <v>675</v>
      </c>
      <c r="F32" s="41" t="s">
        <v>675</v>
      </c>
      <c r="G32" s="41" t="s">
        <v>804</v>
      </c>
      <c r="H32" s="43" t="s">
        <v>805</v>
      </c>
      <c r="I32" s="33" t="s">
        <v>680</v>
      </c>
      <c r="J32" s="33" t="s">
        <v>679</v>
      </c>
      <c r="K32" s="33" t="s">
        <v>680</v>
      </c>
      <c r="L32" s="33" t="s">
        <v>822</v>
      </c>
      <c r="M32" s="33" t="s">
        <v>679</v>
      </c>
      <c r="N32" s="33" t="s">
        <v>822</v>
      </c>
      <c r="O32" s="33" t="s">
        <v>689</v>
      </c>
      <c r="P32" s="33" t="s">
        <v>823</v>
      </c>
      <c r="Q32" s="33" t="s">
        <v>824</v>
      </c>
      <c r="R32" s="41" t="s">
        <v>825</v>
      </c>
    </row>
    <row r="33" customFormat="false" ht="26.85" hidden="false" customHeight="false" outlineLevel="0" collapsed="false">
      <c r="A33" s="41" t="s">
        <v>826</v>
      </c>
      <c r="B33" s="41" t="s">
        <v>827</v>
      </c>
      <c r="C33" s="41" t="s">
        <v>674</v>
      </c>
      <c r="D33" s="41" t="s">
        <v>676</v>
      </c>
      <c r="E33" s="41" t="s">
        <v>675</v>
      </c>
      <c r="F33" s="41" t="s">
        <v>675</v>
      </c>
      <c r="G33" s="41" t="s">
        <v>828</v>
      </c>
      <c r="H33" s="43" t="s">
        <v>829</v>
      </c>
      <c r="I33" s="33" t="s">
        <v>727</v>
      </c>
      <c r="J33" s="33" t="s">
        <v>679</v>
      </c>
      <c r="K33" s="33" t="s">
        <v>727</v>
      </c>
      <c r="L33" s="33" t="s">
        <v>830</v>
      </c>
      <c r="M33" s="33" t="s">
        <v>679</v>
      </c>
      <c r="N33" s="33" t="s">
        <v>830</v>
      </c>
      <c r="O33" s="33" t="s">
        <v>714</v>
      </c>
      <c r="P33" s="33" t="s">
        <v>831</v>
      </c>
      <c r="Q33" s="33" t="s">
        <v>832</v>
      </c>
      <c r="R33" s="41" t="s">
        <v>833</v>
      </c>
    </row>
    <row r="34" customFormat="false" ht="26.85" hidden="false" customHeight="false" outlineLevel="0" collapsed="false">
      <c r="A34" s="41" t="s">
        <v>834</v>
      </c>
      <c r="B34" s="41" t="s">
        <v>835</v>
      </c>
      <c r="C34" s="41" t="s">
        <v>674</v>
      </c>
      <c r="D34" s="41" t="s">
        <v>676</v>
      </c>
      <c r="E34" s="41" t="s">
        <v>675</v>
      </c>
      <c r="F34" s="41" t="s">
        <v>675</v>
      </c>
      <c r="G34" s="41" t="s">
        <v>828</v>
      </c>
      <c r="H34" s="43" t="s">
        <v>829</v>
      </c>
      <c r="I34" s="33" t="s">
        <v>680</v>
      </c>
      <c r="J34" s="33" t="s">
        <v>679</v>
      </c>
      <c r="K34" s="33" t="s">
        <v>680</v>
      </c>
      <c r="L34" s="33" t="s">
        <v>836</v>
      </c>
      <c r="M34" s="33" t="s">
        <v>679</v>
      </c>
      <c r="N34" s="33" t="s">
        <v>836</v>
      </c>
      <c r="O34" s="33" t="s">
        <v>680</v>
      </c>
      <c r="P34" s="33" t="s">
        <v>836</v>
      </c>
      <c r="Q34" s="33" t="s">
        <v>836</v>
      </c>
      <c r="R34" s="41" t="s">
        <v>836</v>
      </c>
    </row>
    <row r="35" customFormat="false" ht="26.85" hidden="false" customHeight="false" outlineLevel="0" collapsed="false">
      <c r="A35" s="41" t="s">
        <v>837</v>
      </c>
      <c r="B35" s="41" t="s">
        <v>838</v>
      </c>
      <c r="C35" s="41" t="s">
        <v>674</v>
      </c>
      <c r="D35" s="41" t="s">
        <v>676</v>
      </c>
      <c r="E35" s="41" t="s">
        <v>675</v>
      </c>
      <c r="F35" s="41" t="s">
        <v>675</v>
      </c>
      <c r="G35" s="41" t="s">
        <v>839</v>
      </c>
      <c r="H35" s="43" t="s">
        <v>840</v>
      </c>
      <c r="I35" s="33" t="s">
        <v>680</v>
      </c>
      <c r="J35" s="33" t="s">
        <v>679</v>
      </c>
      <c r="K35" s="33" t="s">
        <v>680</v>
      </c>
      <c r="L35" s="33" t="s">
        <v>841</v>
      </c>
      <c r="M35" s="33" t="s">
        <v>679</v>
      </c>
      <c r="N35" s="33" t="s">
        <v>841</v>
      </c>
      <c r="O35" s="33" t="s">
        <v>680</v>
      </c>
      <c r="P35" s="33" t="s">
        <v>841</v>
      </c>
      <c r="Q35" s="33" t="s">
        <v>841</v>
      </c>
      <c r="R35" s="41" t="s">
        <v>841</v>
      </c>
    </row>
    <row r="36" customFormat="false" ht="26.85" hidden="false" customHeight="false" outlineLevel="0" collapsed="false">
      <c r="A36" s="41" t="s">
        <v>842</v>
      </c>
      <c r="B36" s="41" t="s">
        <v>843</v>
      </c>
      <c r="C36" s="41" t="s">
        <v>674</v>
      </c>
      <c r="D36" s="41" t="s">
        <v>676</v>
      </c>
      <c r="E36" s="41" t="s">
        <v>675</v>
      </c>
      <c r="F36" s="41" t="s">
        <v>675</v>
      </c>
      <c r="G36" s="41" t="s">
        <v>839</v>
      </c>
      <c r="H36" s="43" t="s">
        <v>840</v>
      </c>
      <c r="I36" s="33" t="s">
        <v>684</v>
      </c>
      <c r="J36" s="33" t="s">
        <v>679</v>
      </c>
      <c r="K36" s="33" t="s">
        <v>684</v>
      </c>
      <c r="L36" s="33" t="s">
        <v>844</v>
      </c>
      <c r="M36" s="33" t="s">
        <v>679</v>
      </c>
      <c r="N36" s="33" t="s">
        <v>844</v>
      </c>
      <c r="O36" s="33" t="s">
        <v>680</v>
      </c>
      <c r="P36" s="33" t="s">
        <v>845</v>
      </c>
      <c r="Q36" s="33" t="s">
        <v>845</v>
      </c>
      <c r="R36" s="41" t="s">
        <v>845</v>
      </c>
    </row>
    <row r="37" customFormat="false" ht="15" hidden="false" customHeight="false" outlineLevel="0" collapsed="false">
      <c r="A37" s="41" t="s">
        <v>846</v>
      </c>
      <c r="B37" s="41" t="s">
        <v>847</v>
      </c>
      <c r="C37" s="41" t="s">
        <v>705</v>
      </c>
      <c r="D37" s="41" t="s">
        <v>676</v>
      </c>
      <c r="E37" s="41" t="s">
        <v>675</v>
      </c>
      <c r="F37" s="41" t="s">
        <v>675</v>
      </c>
      <c r="G37" s="41" t="s">
        <v>839</v>
      </c>
      <c r="H37" s="43" t="s">
        <v>840</v>
      </c>
      <c r="I37" s="33" t="s">
        <v>684</v>
      </c>
      <c r="J37" s="33" t="s">
        <v>679</v>
      </c>
      <c r="K37" s="33" t="s">
        <v>684</v>
      </c>
      <c r="L37" s="33" t="s">
        <v>848</v>
      </c>
      <c r="M37" s="33" t="s">
        <v>679</v>
      </c>
      <c r="N37" s="33" t="s">
        <v>848</v>
      </c>
      <c r="O37" s="33" t="s">
        <v>689</v>
      </c>
      <c r="P37" s="33" t="s">
        <v>849</v>
      </c>
      <c r="Q37" s="33" t="s">
        <v>850</v>
      </c>
      <c r="R37" s="41" t="s">
        <v>851</v>
      </c>
    </row>
    <row r="38" customFormat="false" ht="26.85" hidden="false" customHeight="false" outlineLevel="0" collapsed="false">
      <c r="A38" s="41" t="s">
        <v>852</v>
      </c>
      <c r="B38" s="41" t="s">
        <v>853</v>
      </c>
      <c r="C38" s="41" t="s">
        <v>674</v>
      </c>
      <c r="D38" s="41" t="s">
        <v>676</v>
      </c>
      <c r="E38" s="41" t="s">
        <v>675</v>
      </c>
      <c r="F38" s="41" t="s">
        <v>675</v>
      </c>
      <c r="G38" s="41" t="s">
        <v>854</v>
      </c>
      <c r="H38" s="43" t="s">
        <v>855</v>
      </c>
      <c r="I38" s="33" t="s">
        <v>727</v>
      </c>
      <c r="J38" s="33" t="s">
        <v>679</v>
      </c>
      <c r="K38" s="33" t="s">
        <v>727</v>
      </c>
      <c r="L38" s="33" t="s">
        <v>856</v>
      </c>
      <c r="M38" s="33" t="s">
        <v>679</v>
      </c>
      <c r="N38" s="33" t="s">
        <v>856</v>
      </c>
      <c r="O38" s="33" t="s">
        <v>680</v>
      </c>
      <c r="P38" s="33" t="s">
        <v>857</v>
      </c>
      <c r="Q38" s="33" t="s">
        <v>857</v>
      </c>
      <c r="R38" s="41" t="s">
        <v>857</v>
      </c>
    </row>
    <row r="39" customFormat="false" ht="26.85" hidden="false" customHeight="false" outlineLevel="0" collapsed="false">
      <c r="A39" s="41" t="s">
        <v>858</v>
      </c>
      <c r="B39" s="41" t="s">
        <v>859</v>
      </c>
      <c r="C39" s="41" t="s">
        <v>674</v>
      </c>
      <c r="D39" s="41" t="s">
        <v>676</v>
      </c>
      <c r="E39" s="41" t="s">
        <v>676</v>
      </c>
      <c r="F39" s="41" t="s">
        <v>676</v>
      </c>
      <c r="G39" s="41" t="s">
        <v>854</v>
      </c>
      <c r="H39" s="43" t="s">
        <v>855</v>
      </c>
      <c r="I39" s="33" t="s">
        <v>680</v>
      </c>
      <c r="J39" s="33" t="s">
        <v>679</v>
      </c>
      <c r="K39" s="33" t="s">
        <v>680</v>
      </c>
      <c r="L39" s="33" t="s">
        <v>860</v>
      </c>
      <c r="M39" s="33" t="s">
        <v>679</v>
      </c>
      <c r="N39" s="33" t="s">
        <v>860</v>
      </c>
      <c r="O39" s="33" t="s">
        <v>684</v>
      </c>
      <c r="P39" s="33" t="s">
        <v>860</v>
      </c>
      <c r="Q39" s="33" t="s">
        <v>861</v>
      </c>
      <c r="R39" s="41" t="s">
        <v>862</v>
      </c>
    </row>
    <row r="40" customFormat="false" ht="26.85" hidden="false" customHeight="false" outlineLevel="0" collapsed="false">
      <c r="A40" s="41" t="s">
        <v>863</v>
      </c>
      <c r="B40" s="41" t="s">
        <v>864</v>
      </c>
      <c r="C40" s="41" t="s">
        <v>705</v>
      </c>
      <c r="D40" s="41" t="s">
        <v>676</v>
      </c>
      <c r="E40" s="41" t="s">
        <v>676</v>
      </c>
      <c r="F40" s="41" t="s">
        <v>676</v>
      </c>
      <c r="G40" s="41" t="s">
        <v>854</v>
      </c>
      <c r="H40" s="43" t="s">
        <v>855</v>
      </c>
      <c r="I40" s="33" t="s">
        <v>679</v>
      </c>
      <c r="J40" s="33" t="s">
        <v>680</v>
      </c>
      <c r="K40" s="33" t="s">
        <v>680</v>
      </c>
      <c r="L40" s="33" t="s">
        <v>679</v>
      </c>
      <c r="M40" s="33" t="s">
        <v>865</v>
      </c>
      <c r="N40" s="33" t="s">
        <v>865</v>
      </c>
      <c r="O40" s="33" t="s">
        <v>684</v>
      </c>
      <c r="P40" s="33" t="s">
        <v>866</v>
      </c>
      <c r="Q40" s="33" t="s">
        <v>865</v>
      </c>
      <c r="R40" s="41" t="s">
        <v>867</v>
      </c>
    </row>
    <row r="41" customFormat="false" ht="15" hidden="false" customHeight="false" outlineLevel="0" collapsed="false">
      <c r="A41" s="41" t="s">
        <v>868</v>
      </c>
      <c r="B41" s="41" t="s">
        <v>869</v>
      </c>
      <c r="C41" s="41" t="s">
        <v>705</v>
      </c>
      <c r="D41" s="41" t="s">
        <v>676</v>
      </c>
      <c r="E41" s="41" t="s">
        <v>676</v>
      </c>
      <c r="F41" s="41" t="s">
        <v>675</v>
      </c>
      <c r="G41" s="41" t="s">
        <v>854</v>
      </c>
      <c r="H41" s="43" t="s">
        <v>855</v>
      </c>
      <c r="I41" s="33" t="s">
        <v>680</v>
      </c>
      <c r="J41" s="33" t="s">
        <v>679</v>
      </c>
      <c r="K41" s="33" t="s">
        <v>680</v>
      </c>
      <c r="L41" s="33" t="s">
        <v>870</v>
      </c>
      <c r="M41" s="33" t="s">
        <v>679</v>
      </c>
      <c r="N41" s="33" t="s">
        <v>870</v>
      </c>
      <c r="O41" s="33" t="s">
        <v>684</v>
      </c>
      <c r="P41" s="33" t="s">
        <v>871</v>
      </c>
      <c r="Q41" s="33" t="s">
        <v>870</v>
      </c>
      <c r="R41" s="41" t="s">
        <v>872</v>
      </c>
    </row>
    <row r="42" customFormat="false" ht="26.85" hidden="false" customHeight="false" outlineLevel="0" collapsed="false">
      <c r="A42" s="41" t="s">
        <v>873</v>
      </c>
      <c r="B42" s="41" t="s">
        <v>874</v>
      </c>
      <c r="C42" s="41" t="s">
        <v>674</v>
      </c>
      <c r="D42" s="41" t="s">
        <v>676</v>
      </c>
      <c r="E42" s="41" t="s">
        <v>676</v>
      </c>
      <c r="F42" s="41" t="s">
        <v>676</v>
      </c>
      <c r="G42" s="41" t="s">
        <v>875</v>
      </c>
      <c r="H42" s="43" t="s">
        <v>876</v>
      </c>
      <c r="I42" s="33" t="s">
        <v>679</v>
      </c>
      <c r="J42" s="33" t="s">
        <v>877</v>
      </c>
      <c r="K42" s="33" t="s">
        <v>877</v>
      </c>
      <c r="L42" s="33" t="s">
        <v>679</v>
      </c>
      <c r="M42" s="33" t="s">
        <v>878</v>
      </c>
      <c r="N42" s="33" t="s">
        <v>878</v>
      </c>
      <c r="O42" s="33" t="s">
        <v>680</v>
      </c>
      <c r="P42" s="33" t="s">
        <v>879</v>
      </c>
      <c r="Q42" s="33" t="s">
        <v>879</v>
      </c>
      <c r="R42" s="41" t="s">
        <v>879</v>
      </c>
    </row>
    <row r="43" customFormat="false" ht="26.85" hidden="false" customHeight="false" outlineLevel="0" collapsed="false">
      <c r="A43" s="41" t="s">
        <v>880</v>
      </c>
      <c r="B43" s="41" t="s">
        <v>881</v>
      </c>
      <c r="C43" s="41" t="s">
        <v>674</v>
      </c>
      <c r="D43" s="41" t="s">
        <v>676</v>
      </c>
      <c r="E43" s="41" t="s">
        <v>676</v>
      </c>
      <c r="F43" s="41" t="s">
        <v>676</v>
      </c>
      <c r="G43" s="41" t="s">
        <v>875</v>
      </c>
      <c r="H43" s="43" t="s">
        <v>876</v>
      </c>
      <c r="I43" s="33" t="s">
        <v>679</v>
      </c>
      <c r="J43" s="33" t="s">
        <v>689</v>
      </c>
      <c r="K43" s="33" t="s">
        <v>689</v>
      </c>
      <c r="L43" s="33" t="s">
        <v>679</v>
      </c>
      <c r="M43" s="33" t="s">
        <v>882</v>
      </c>
      <c r="N43" s="33" t="s">
        <v>882</v>
      </c>
      <c r="O43" s="33" t="s">
        <v>684</v>
      </c>
      <c r="P43" s="33" t="s">
        <v>883</v>
      </c>
      <c r="Q43" s="33" t="s">
        <v>884</v>
      </c>
      <c r="R43" s="41" t="s">
        <v>885</v>
      </c>
    </row>
    <row r="44" customFormat="false" ht="26.85" hidden="false" customHeight="false" outlineLevel="0" collapsed="false">
      <c r="A44" s="41" t="s">
        <v>886</v>
      </c>
      <c r="B44" s="41" t="s">
        <v>887</v>
      </c>
      <c r="C44" s="41" t="s">
        <v>705</v>
      </c>
      <c r="D44" s="41" t="s">
        <v>676</v>
      </c>
      <c r="E44" s="41" t="s">
        <v>675</v>
      </c>
      <c r="F44" s="41" t="s">
        <v>675</v>
      </c>
      <c r="G44" s="41" t="s">
        <v>875</v>
      </c>
      <c r="H44" s="43" t="s">
        <v>876</v>
      </c>
      <c r="I44" s="33" t="s">
        <v>684</v>
      </c>
      <c r="J44" s="33" t="s">
        <v>679</v>
      </c>
      <c r="K44" s="33" t="s">
        <v>684</v>
      </c>
      <c r="L44" s="33" t="s">
        <v>888</v>
      </c>
      <c r="M44" s="33" t="s">
        <v>679</v>
      </c>
      <c r="N44" s="33" t="s">
        <v>888</v>
      </c>
      <c r="O44" s="33" t="s">
        <v>684</v>
      </c>
      <c r="P44" s="33" t="s">
        <v>889</v>
      </c>
      <c r="Q44" s="33" t="s">
        <v>890</v>
      </c>
      <c r="R44" s="41" t="s">
        <v>891</v>
      </c>
    </row>
    <row r="45" customFormat="false" ht="26.85" hidden="false" customHeight="false" outlineLevel="0" collapsed="false">
      <c r="A45" s="41" t="s">
        <v>892</v>
      </c>
      <c r="B45" s="41" t="s">
        <v>893</v>
      </c>
      <c r="C45" s="41" t="s">
        <v>705</v>
      </c>
      <c r="D45" s="41" t="s">
        <v>676</v>
      </c>
      <c r="E45" s="41" t="s">
        <v>675</v>
      </c>
      <c r="F45" s="41" t="s">
        <v>675</v>
      </c>
      <c r="G45" s="41" t="s">
        <v>875</v>
      </c>
      <c r="H45" s="43" t="s">
        <v>876</v>
      </c>
      <c r="I45" s="33" t="s">
        <v>765</v>
      </c>
      <c r="J45" s="33" t="s">
        <v>679</v>
      </c>
      <c r="K45" s="33" t="s">
        <v>765</v>
      </c>
      <c r="L45" s="33" t="s">
        <v>894</v>
      </c>
      <c r="M45" s="33" t="s">
        <v>679</v>
      </c>
      <c r="N45" s="33" t="s">
        <v>894</v>
      </c>
      <c r="O45" s="33" t="s">
        <v>680</v>
      </c>
      <c r="P45" s="33" t="s">
        <v>895</v>
      </c>
      <c r="Q45" s="33" t="s">
        <v>895</v>
      </c>
      <c r="R45" s="41" t="s">
        <v>895</v>
      </c>
    </row>
    <row r="46" customFormat="false" ht="15" hidden="false" customHeight="false" outlineLevel="0" collapsed="false">
      <c r="A46" s="41" t="s">
        <v>896</v>
      </c>
      <c r="B46" s="41" t="s">
        <v>897</v>
      </c>
      <c r="C46" s="41" t="s">
        <v>705</v>
      </c>
      <c r="D46" s="41" t="s">
        <v>676</v>
      </c>
      <c r="E46" s="41" t="s">
        <v>676</v>
      </c>
      <c r="F46" s="41" t="s">
        <v>675</v>
      </c>
      <c r="G46" s="41" t="s">
        <v>875</v>
      </c>
      <c r="H46" s="43" t="s">
        <v>876</v>
      </c>
      <c r="I46" s="33" t="s">
        <v>679</v>
      </c>
      <c r="J46" s="33" t="s">
        <v>680</v>
      </c>
      <c r="K46" s="33" t="s">
        <v>680</v>
      </c>
      <c r="L46" s="33" t="s">
        <v>679</v>
      </c>
      <c r="M46" s="33" t="s">
        <v>898</v>
      </c>
      <c r="N46" s="33" t="s">
        <v>899</v>
      </c>
      <c r="O46" s="33" t="s">
        <v>684</v>
      </c>
      <c r="P46" s="33" t="s">
        <v>898</v>
      </c>
      <c r="Q46" s="33" t="s">
        <v>900</v>
      </c>
      <c r="R46" s="41" t="s">
        <v>901</v>
      </c>
    </row>
    <row r="47" customFormat="false" ht="26.85" hidden="false" customHeight="false" outlineLevel="0" collapsed="false">
      <c r="A47" s="41" t="s">
        <v>902</v>
      </c>
      <c r="B47" s="41" t="s">
        <v>903</v>
      </c>
      <c r="C47" s="41" t="s">
        <v>674</v>
      </c>
      <c r="D47" s="41" t="s">
        <v>676</v>
      </c>
      <c r="E47" s="41" t="s">
        <v>676</v>
      </c>
      <c r="F47" s="41" t="s">
        <v>676</v>
      </c>
      <c r="G47" s="41" t="s">
        <v>904</v>
      </c>
      <c r="H47" s="43" t="s">
        <v>905</v>
      </c>
      <c r="I47" s="33" t="s">
        <v>679</v>
      </c>
      <c r="J47" s="33" t="s">
        <v>784</v>
      </c>
      <c r="K47" s="33" t="s">
        <v>784</v>
      </c>
      <c r="L47" s="33" t="s">
        <v>679</v>
      </c>
      <c r="M47" s="33" t="s">
        <v>906</v>
      </c>
      <c r="N47" s="33" t="s">
        <v>906</v>
      </c>
      <c r="O47" s="33" t="s">
        <v>684</v>
      </c>
      <c r="P47" s="33" t="s">
        <v>907</v>
      </c>
      <c r="Q47" s="33" t="s">
        <v>908</v>
      </c>
      <c r="R47" s="41" t="s">
        <v>909</v>
      </c>
    </row>
    <row r="48" customFormat="false" ht="39.55" hidden="false" customHeight="false" outlineLevel="0" collapsed="false">
      <c r="A48" s="41" t="s">
        <v>910</v>
      </c>
      <c r="B48" s="41" t="s">
        <v>911</v>
      </c>
      <c r="C48" s="41" t="s">
        <v>705</v>
      </c>
      <c r="D48" s="41" t="s">
        <v>675</v>
      </c>
      <c r="E48" s="41" t="s">
        <v>676</v>
      </c>
      <c r="F48" s="41" t="s">
        <v>676</v>
      </c>
      <c r="G48" s="41" t="s">
        <v>904</v>
      </c>
      <c r="H48" s="43" t="s">
        <v>905</v>
      </c>
      <c r="I48" s="33" t="s">
        <v>679</v>
      </c>
      <c r="J48" s="33" t="s">
        <v>684</v>
      </c>
      <c r="K48" s="33" t="s">
        <v>684</v>
      </c>
      <c r="L48" s="33" t="s">
        <v>679</v>
      </c>
      <c r="M48" s="33" t="s">
        <v>912</v>
      </c>
      <c r="N48" s="33" t="s">
        <v>912</v>
      </c>
      <c r="O48" s="33" t="s">
        <v>684</v>
      </c>
      <c r="P48" s="33" t="s">
        <v>913</v>
      </c>
      <c r="Q48" s="33" t="s">
        <v>914</v>
      </c>
      <c r="R48" s="41" t="s">
        <v>915</v>
      </c>
    </row>
    <row r="49" customFormat="false" ht="26.85" hidden="false" customHeight="false" outlineLevel="0" collapsed="false">
      <c r="A49" s="41" t="s">
        <v>916</v>
      </c>
      <c r="B49" s="41" t="s">
        <v>917</v>
      </c>
      <c r="C49" s="41" t="s">
        <v>705</v>
      </c>
      <c r="D49" s="41" t="s">
        <v>676</v>
      </c>
      <c r="E49" s="41" t="s">
        <v>675</v>
      </c>
      <c r="F49" s="41" t="s">
        <v>675</v>
      </c>
      <c r="G49" s="41" t="s">
        <v>904</v>
      </c>
      <c r="H49" s="43" t="s">
        <v>905</v>
      </c>
      <c r="I49" s="33" t="s">
        <v>684</v>
      </c>
      <c r="J49" s="33" t="s">
        <v>679</v>
      </c>
      <c r="K49" s="33" t="s">
        <v>684</v>
      </c>
      <c r="L49" s="33" t="s">
        <v>918</v>
      </c>
      <c r="M49" s="33" t="s">
        <v>679</v>
      </c>
      <c r="N49" s="33" t="s">
        <v>918</v>
      </c>
      <c r="O49" s="33" t="s">
        <v>684</v>
      </c>
      <c r="P49" s="33" t="s">
        <v>889</v>
      </c>
      <c r="Q49" s="33" t="s">
        <v>890</v>
      </c>
      <c r="R49" s="41" t="s">
        <v>891</v>
      </c>
    </row>
    <row r="50" customFormat="false" ht="26.85" hidden="false" customHeight="false" outlineLevel="0" collapsed="false">
      <c r="A50" s="41" t="s">
        <v>919</v>
      </c>
      <c r="B50" s="41" t="s">
        <v>920</v>
      </c>
      <c r="C50" s="41" t="s">
        <v>705</v>
      </c>
      <c r="D50" s="41" t="s">
        <v>676</v>
      </c>
      <c r="E50" s="41" t="s">
        <v>675</v>
      </c>
      <c r="F50" s="41" t="s">
        <v>675</v>
      </c>
      <c r="G50" s="41" t="s">
        <v>904</v>
      </c>
      <c r="H50" s="43" t="s">
        <v>905</v>
      </c>
      <c r="I50" s="33" t="s">
        <v>747</v>
      </c>
      <c r="J50" s="33" t="s">
        <v>679</v>
      </c>
      <c r="K50" s="33" t="s">
        <v>747</v>
      </c>
      <c r="L50" s="33" t="s">
        <v>921</v>
      </c>
      <c r="M50" s="33" t="s">
        <v>679</v>
      </c>
      <c r="N50" s="33" t="s">
        <v>921</v>
      </c>
      <c r="O50" s="33" t="s">
        <v>680</v>
      </c>
      <c r="P50" s="33" t="s">
        <v>731</v>
      </c>
      <c r="Q50" s="33" t="s">
        <v>731</v>
      </c>
      <c r="R50" s="41" t="s">
        <v>731</v>
      </c>
    </row>
    <row r="51" customFormat="false" ht="26.85" hidden="false" customHeight="false" outlineLevel="0" collapsed="false">
      <c r="A51" s="41" t="s">
        <v>922</v>
      </c>
      <c r="B51" s="41" t="s">
        <v>923</v>
      </c>
      <c r="C51" s="41" t="s">
        <v>674</v>
      </c>
      <c r="D51" s="41" t="s">
        <v>676</v>
      </c>
      <c r="E51" s="41" t="s">
        <v>675</v>
      </c>
      <c r="F51" s="41" t="s">
        <v>675</v>
      </c>
      <c r="G51" s="41" t="s">
        <v>924</v>
      </c>
      <c r="H51" s="43" t="s">
        <v>925</v>
      </c>
      <c r="I51" s="33" t="s">
        <v>680</v>
      </c>
      <c r="J51" s="33" t="s">
        <v>679</v>
      </c>
      <c r="K51" s="33" t="s">
        <v>680</v>
      </c>
      <c r="L51" s="33" t="s">
        <v>926</v>
      </c>
      <c r="M51" s="33" t="s">
        <v>679</v>
      </c>
      <c r="N51" s="33" t="s">
        <v>926</v>
      </c>
      <c r="O51" s="33" t="s">
        <v>684</v>
      </c>
      <c r="P51" s="33" t="s">
        <v>927</v>
      </c>
      <c r="Q51" s="33" t="s">
        <v>926</v>
      </c>
      <c r="R51" s="41" t="s">
        <v>928</v>
      </c>
    </row>
    <row r="52" customFormat="false" ht="26.85" hidden="false" customHeight="false" outlineLevel="0" collapsed="false">
      <c r="A52" s="41" t="s">
        <v>929</v>
      </c>
      <c r="B52" s="41" t="s">
        <v>930</v>
      </c>
      <c r="C52" s="41" t="s">
        <v>674</v>
      </c>
      <c r="D52" s="41" t="s">
        <v>676</v>
      </c>
      <c r="E52" s="41" t="s">
        <v>676</v>
      </c>
      <c r="F52" s="41" t="s">
        <v>675</v>
      </c>
      <c r="G52" s="41" t="s">
        <v>924</v>
      </c>
      <c r="H52" s="43" t="s">
        <v>925</v>
      </c>
      <c r="I52" s="33" t="s">
        <v>679</v>
      </c>
      <c r="J52" s="33" t="s">
        <v>684</v>
      </c>
      <c r="K52" s="33" t="s">
        <v>684</v>
      </c>
      <c r="L52" s="33" t="s">
        <v>679</v>
      </c>
      <c r="M52" s="33" t="s">
        <v>931</v>
      </c>
      <c r="N52" s="33" t="s">
        <v>931</v>
      </c>
      <c r="O52" s="33" t="s">
        <v>684</v>
      </c>
      <c r="P52" s="33" t="s">
        <v>932</v>
      </c>
      <c r="Q52" s="33" t="s">
        <v>933</v>
      </c>
      <c r="R52" s="41" t="s">
        <v>934</v>
      </c>
    </row>
    <row r="53" customFormat="false" ht="26.85" hidden="false" customHeight="false" outlineLevel="0" collapsed="false">
      <c r="A53" s="41" t="s">
        <v>935</v>
      </c>
      <c r="B53" s="41" t="s">
        <v>936</v>
      </c>
      <c r="C53" s="41" t="s">
        <v>705</v>
      </c>
      <c r="D53" s="41" t="s">
        <v>675</v>
      </c>
      <c r="E53" s="41" t="s">
        <v>676</v>
      </c>
      <c r="F53" s="41" t="s">
        <v>676</v>
      </c>
      <c r="G53" s="41" t="s">
        <v>924</v>
      </c>
      <c r="H53" s="43" t="s">
        <v>925</v>
      </c>
      <c r="I53" s="33" t="s">
        <v>679</v>
      </c>
      <c r="J53" s="33" t="s">
        <v>680</v>
      </c>
      <c r="K53" s="33" t="s">
        <v>680</v>
      </c>
      <c r="L53" s="33" t="s">
        <v>679</v>
      </c>
      <c r="M53" s="33" t="s">
        <v>937</v>
      </c>
      <c r="N53" s="33" t="s">
        <v>937</v>
      </c>
      <c r="O53" s="33" t="s">
        <v>684</v>
      </c>
      <c r="P53" s="33" t="s">
        <v>937</v>
      </c>
      <c r="Q53" s="33" t="s">
        <v>938</v>
      </c>
      <c r="R53" s="41" t="s">
        <v>939</v>
      </c>
    </row>
    <row r="54" customFormat="false" ht="26.85" hidden="false" customHeight="false" outlineLevel="0" collapsed="false">
      <c r="A54" s="41" t="s">
        <v>940</v>
      </c>
      <c r="B54" s="41" t="s">
        <v>941</v>
      </c>
      <c r="C54" s="41" t="s">
        <v>705</v>
      </c>
      <c r="D54" s="41" t="s">
        <v>675</v>
      </c>
      <c r="E54" s="41" t="s">
        <v>676</v>
      </c>
      <c r="F54" s="41" t="s">
        <v>675</v>
      </c>
      <c r="G54" s="41" t="s">
        <v>924</v>
      </c>
      <c r="H54" s="43" t="s">
        <v>925</v>
      </c>
      <c r="I54" s="33" t="s">
        <v>679</v>
      </c>
      <c r="J54" s="33" t="s">
        <v>680</v>
      </c>
      <c r="K54" s="33" t="s">
        <v>680</v>
      </c>
      <c r="L54" s="33" t="s">
        <v>679</v>
      </c>
      <c r="M54" s="33" t="s">
        <v>942</v>
      </c>
      <c r="N54" s="33" t="s">
        <v>942</v>
      </c>
      <c r="O54" s="33" t="s">
        <v>684</v>
      </c>
      <c r="P54" s="33" t="s">
        <v>943</v>
      </c>
      <c r="Q54" s="33" t="s">
        <v>944</v>
      </c>
      <c r="R54" s="41" t="s">
        <v>945</v>
      </c>
    </row>
    <row r="55" customFormat="false" ht="15" hidden="false" customHeight="false" outlineLevel="0" collapsed="false">
      <c r="A55" s="41" t="s">
        <v>946</v>
      </c>
      <c r="B55" s="41" t="s">
        <v>947</v>
      </c>
      <c r="C55" s="41" t="s">
        <v>705</v>
      </c>
      <c r="D55" s="41" t="s">
        <v>676</v>
      </c>
      <c r="E55" s="41" t="s">
        <v>676</v>
      </c>
      <c r="F55" s="41" t="s">
        <v>676</v>
      </c>
      <c r="G55" s="41" t="s">
        <v>924</v>
      </c>
      <c r="H55" s="43" t="s">
        <v>925</v>
      </c>
      <c r="I55" s="33" t="s">
        <v>679</v>
      </c>
      <c r="J55" s="33" t="s">
        <v>680</v>
      </c>
      <c r="K55" s="33" t="s">
        <v>680</v>
      </c>
      <c r="L55" s="33" t="s">
        <v>679</v>
      </c>
      <c r="M55" s="33" t="s">
        <v>760</v>
      </c>
      <c r="N55" s="33" t="s">
        <v>760</v>
      </c>
      <c r="O55" s="33" t="s">
        <v>680</v>
      </c>
      <c r="P55" s="33" t="s">
        <v>760</v>
      </c>
      <c r="Q55" s="33" t="s">
        <v>760</v>
      </c>
      <c r="R55" s="41" t="s">
        <v>760</v>
      </c>
    </row>
    <row r="56" customFormat="false" ht="15" hidden="false" customHeight="false" outlineLevel="0" collapsed="false">
      <c r="A56" s="41" t="s">
        <v>948</v>
      </c>
      <c r="B56" s="41" t="s">
        <v>949</v>
      </c>
      <c r="C56" s="41" t="s">
        <v>705</v>
      </c>
      <c r="D56" s="41" t="s">
        <v>676</v>
      </c>
      <c r="E56" s="41" t="s">
        <v>676</v>
      </c>
      <c r="F56" s="41" t="s">
        <v>675</v>
      </c>
      <c r="G56" s="41" t="s">
        <v>924</v>
      </c>
      <c r="H56" s="43" t="s">
        <v>925</v>
      </c>
      <c r="I56" s="33" t="s">
        <v>679</v>
      </c>
      <c r="J56" s="33" t="s">
        <v>684</v>
      </c>
      <c r="K56" s="33" t="s">
        <v>684</v>
      </c>
      <c r="L56" s="33" t="s">
        <v>679</v>
      </c>
      <c r="M56" s="33" t="s">
        <v>950</v>
      </c>
      <c r="N56" s="33" t="s">
        <v>950</v>
      </c>
      <c r="O56" s="33" t="s">
        <v>684</v>
      </c>
      <c r="P56" s="33" t="s">
        <v>870</v>
      </c>
      <c r="Q56" s="33" t="s">
        <v>951</v>
      </c>
      <c r="R56" s="41" t="s">
        <v>952</v>
      </c>
    </row>
    <row r="57" customFormat="false" ht="26.85" hidden="false" customHeight="false" outlineLevel="0" collapsed="false">
      <c r="A57" s="41" t="s">
        <v>953</v>
      </c>
      <c r="B57" s="41" t="s">
        <v>954</v>
      </c>
      <c r="C57" s="41" t="s">
        <v>674</v>
      </c>
      <c r="D57" s="41" t="s">
        <v>676</v>
      </c>
      <c r="E57" s="41" t="s">
        <v>676</v>
      </c>
      <c r="F57" s="41" t="s">
        <v>675</v>
      </c>
      <c r="G57" s="41" t="s">
        <v>955</v>
      </c>
      <c r="H57" s="43" t="s">
        <v>956</v>
      </c>
      <c r="I57" s="33" t="s">
        <v>679</v>
      </c>
      <c r="J57" s="33" t="s">
        <v>714</v>
      </c>
      <c r="K57" s="33" t="s">
        <v>714</v>
      </c>
      <c r="L57" s="33" t="s">
        <v>679</v>
      </c>
      <c r="M57" s="33" t="s">
        <v>957</v>
      </c>
      <c r="N57" s="33" t="s">
        <v>957</v>
      </c>
      <c r="O57" s="33" t="s">
        <v>680</v>
      </c>
      <c r="P57" s="33" t="s">
        <v>958</v>
      </c>
      <c r="Q57" s="33" t="s">
        <v>958</v>
      </c>
      <c r="R57" s="41" t="s">
        <v>958</v>
      </c>
    </row>
    <row r="58" customFormat="false" ht="26.85" hidden="false" customHeight="false" outlineLevel="0" collapsed="false">
      <c r="A58" s="41" t="s">
        <v>959</v>
      </c>
      <c r="B58" s="41" t="s">
        <v>960</v>
      </c>
      <c r="C58" s="41" t="s">
        <v>674</v>
      </c>
      <c r="D58" s="41" t="s">
        <v>675</v>
      </c>
      <c r="E58" s="41" t="s">
        <v>676</v>
      </c>
      <c r="F58" s="41" t="s">
        <v>676</v>
      </c>
      <c r="G58" s="41" t="s">
        <v>955</v>
      </c>
      <c r="H58" s="43" t="s">
        <v>956</v>
      </c>
      <c r="I58" s="33" t="s">
        <v>679</v>
      </c>
      <c r="J58" s="33" t="s">
        <v>680</v>
      </c>
      <c r="K58" s="33" t="s">
        <v>680</v>
      </c>
      <c r="L58" s="33" t="s">
        <v>679</v>
      </c>
      <c r="M58" s="33" t="s">
        <v>961</v>
      </c>
      <c r="N58" s="33" t="s">
        <v>961</v>
      </c>
      <c r="O58" s="33" t="s">
        <v>680</v>
      </c>
      <c r="P58" s="33" t="s">
        <v>961</v>
      </c>
      <c r="Q58" s="33" t="s">
        <v>961</v>
      </c>
      <c r="R58" s="41" t="s">
        <v>961</v>
      </c>
    </row>
    <row r="59" customFormat="false" ht="26.85" hidden="false" customHeight="false" outlineLevel="0" collapsed="false">
      <c r="A59" s="41" t="s">
        <v>962</v>
      </c>
      <c r="B59" s="41" t="s">
        <v>963</v>
      </c>
      <c r="C59" s="41" t="s">
        <v>705</v>
      </c>
      <c r="D59" s="41" t="s">
        <v>676</v>
      </c>
      <c r="E59" s="41" t="s">
        <v>675</v>
      </c>
      <c r="F59" s="41" t="s">
        <v>675</v>
      </c>
      <c r="G59" s="41" t="s">
        <v>955</v>
      </c>
      <c r="H59" s="43" t="s">
        <v>956</v>
      </c>
      <c r="I59" s="33" t="s">
        <v>680</v>
      </c>
      <c r="J59" s="33" t="s">
        <v>679</v>
      </c>
      <c r="K59" s="33" t="s">
        <v>680</v>
      </c>
      <c r="L59" s="33" t="s">
        <v>964</v>
      </c>
      <c r="M59" s="33" t="s">
        <v>679</v>
      </c>
      <c r="N59" s="33" t="s">
        <v>964</v>
      </c>
      <c r="O59" s="33" t="s">
        <v>684</v>
      </c>
      <c r="P59" s="33" t="s">
        <v>964</v>
      </c>
      <c r="Q59" s="33" t="s">
        <v>965</v>
      </c>
      <c r="R59" s="41" t="s">
        <v>966</v>
      </c>
    </row>
    <row r="60" customFormat="false" ht="26.85" hidden="false" customHeight="false" outlineLevel="0" collapsed="false">
      <c r="A60" s="41"/>
      <c r="B60" s="41" t="s">
        <v>903</v>
      </c>
      <c r="C60" s="41" t="s">
        <v>674</v>
      </c>
      <c r="D60" s="41" t="s">
        <v>675</v>
      </c>
      <c r="E60" s="41" t="s">
        <v>675</v>
      </c>
      <c r="F60" s="41" t="s">
        <v>676</v>
      </c>
      <c r="G60" s="41" t="s">
        <v>967</v>
      </c>
      <c r="H60" s="43" t="s">
        <v>968</v>
      </c>
      <c r="I60" s="33" t="s">
        <v>679</v>
      </c>
      <c r="J60" s="33" t="s">
        <v>679</v>
      </c>
      <c r="K60" s="33" t="s">
        <v>679</v>
      </c>
      <c r="L60" s="33" t="s">
        <v>679</v>
      </c>
      <c r="M60" s="33" t="s">
        <v>679</v>
      </c>
      <c r="N60" s="33" t="s">
        <v>679</v>
      </c>
      <c r="O60" s="33" t="s">
        <v>679</v>
      </c>
      <c r="P60" s="33"/>
      <c r="Q60" s="33"/>
      <c r="R60" s="41"/>
    </row>
    <row r="61" customFormat="false" ht="26.85" hidden="false" customHeight="false" outlineLevel="0" collapsed="false">
      <c r="A61" s="41" t="s">
        <v>969</v>
      </c>
      <c r="B61" s="41" t="s">
        <v>970</v>
      </c>
      <c r="C61" s="41" t="s">
        <v>674</v>
      </c>
      <c r="D61" s="41" t="s">
        <v>676</v>
      </c>
      <c r="E61" s="41" t="s">
        <v>676</v>
      </c>
      <c r="F61" s="41" t="s">
        <v>676</v>
      </c>
      <c r="G61" s="41" t="s">
        <v>967</v>
      </c>
      <c r="H61" s="43" t="s">
        <v>968</v>
      </c>
      <c r="I61" s="33" t="s">
        <v>679</v>
      </c>
      <c r="J61" s="33" t="s">
        <v>689</v>
      </c>
      <c r="K61" s="33" t="s">
        <v>689</v>
      </c>
      <c r="L61" s="33" t="s">
        <v>679</v>
      </c>
      <c r="M61" s="33" t="s">
        <v>971</v>
      </c>
      <c r="N61" s="33" t="s">
        <v>971</v>
      </c>
      <c r="O61" s="33" t="s">
        <v>680</v>
      </c>
      <c r="P61" s="33" t="s">
        <v>972</v>
      </c>
      <c r="Q61" s="33" t="s">
        <v>972</v>
      </c>
      <c r="R61" s="41" t="s">
        <v>972</v>
      </c>
    </row>
    <row r="62" customFormat="false" ht="15" hidden="false" customHeight="false" outlineLevel="0" collapsed="false">
      <c r="A62" s="41" t="s">
        <v>973</v>
      </c>
      <c r="B62" s="41" t="s">
        <v>974</v>
      </c>
      <c r="C62" s="41" t="s">
        <v>705</v>
      </c>
      <c r="D62" s="41" t="s">
        <v>676</v>
      </c>
      <c r="E62" s="41" t="s">
        <v>675</v>
      </c>
      <c r="F62" s="41" t="s">
        <v>675</v>
      </c>
      <c r="G62" s="41" t="s">
        <v>967</v>
      </c>
      <c r="H62" s="43" t="s">
        <v>968</v>
      </c>
      <c r="I62" s="33" t="s">
        <v>747</v>
      </c>
      <c r="J62" s="33" t="s">
        <v>679</v>
      </c>
      <c r="K62" s="33" t="s">
        <v>747</v>
      </c>
      <c r="L62" s="33" t="s">
        <v>975</v>
      </c>
      <c r="M62" s="33" t="s">
        <v>679</v>
      </c>
      <c r="N62" s="33" t="s">
        <v>975</v>
      </c>
      <c r="O62" s="33" t="s">
        <v>680</v>
      </c>
      <c r="P62" s="33" t="s">
        <v>967</v>
      </c>
      <c r="Q62" s="33" t="s">
        <v>967</v>
      </c>
      <c r="R62" s="41" t="s">
        <v>967</v>
      </c>
    </row>
    <row r="63" customFormat="false" ht="15" hidden="false" customHeight="false" outlineLevel="0" collapsed="false">
      <c r="A63" s="41" t="s">
        <v>976</v>
      </c>
      <c r="B63" s="41" t="s">
        <v>977</v>
      </c>
      <c r="C63" s="41" t="s">
        <v>705</v>
      </c>
      <c r="D63" s="41" t="s">
        <v>676</v>
      </c>
      <c r="E63" s="41" t="s">
        <v>675</v>
      </c>
      <c r="F63" s="41" t="s">
        <v>675</v>
      </c>
      <c r="G63" s="41" t="s">
        <v>967</v>
      </c>
      <c r="H63" s="43" t="s">
        <v>968</v>
      </c>
      <c r="I63" s="33" t="s">
        <v>680</v>
      </c>
      <c r="J63" s="33" t="s">
        <v>679</v>
      </c>
      <c r="K63" s="33" t="s">
        <v>680</v>
      </c>
      <c r="L63" s="33" t="s">
        <v>978</v>
      </c>
      <c r="M63" s="33" t="s">
        <v>679</v>
      </c>
      <c r="N63" s="33" t="s">
        <v>978</v>
      </c>
      <c r="O63" s="33" t="s">
        <v>689</v>
      </c>
      <c r="P63" s="33" t="s">
        <v>979</v>
      </c>
      <c r="Q63" s="33" t="s">
        <v>980</v>
      </c>
      <c r="R63" s="41" t="s">
        <v>981</v>
      </c>
    </row>
    <row r="64" customFormat="false" ht="15" hidden="false" customHeight="false" outlineLevel="0" collapsed="false">
      <c r="A64" s="41" t="s">
        <v>982</v>
      </c>
      <c r="B64" s="41" t="s">
        <v>983</v>
      </c>
      <c r="C64" s="41" t="s">
        <v>705</v>
      </c>
      <c r="D64" s="41" t="s">
        <v>675</v>
      </c>
      <c r="E64" s="41" t="s">
        <v>676</v>
      </c>
      <c r="F64" s="41" t="s">
        <v>675</v>
      </c>
      <c r="G64" s="41" t="s">
        <v>967</v>
      </c>
      <c r="H64" s="43" t="s">
        <v>968</v>
      </c>
      <c r="I64" s="33" t="s">
        <v>679</v>
      </c>
      <c r="J64" s="33" t="s">
        <v>984</v>
      </c>
      <c r="K64" s="33" t="s">
        <v>984</v>
      </c>
      <c r="L64" s="33" t="s">
        <v>679</v>
      </c>
      <c r="M64" s="33" t="s">
        <v>985</v>
      </c>
      <c r="N64" s="33" t="s">
        <v>985</v>
      </c>
      <c r="O64" s="33" t="s">
        <v>680</v>
      </c>
      <c r="P64" s="33" t="s">
        <v>765</v>
      </c>
      <c r="Q64" s="33" t="s">
        <v>765</v>
      </c>
      <c r="R64" s="41" t="s">
        <v>765</v>
      </c>
    </row>
    <row r="65" customFormat="false" ht="15" hidden="false" customHeight="false" outlineLevel="0" collapsed="false">
      <c r="A65" s="41" t="s">
        <v>986</v>
      </c>
      <c r="B65" s="41" t="s">
        <v>197</v>
      </c>
      <c r="C65" s="41" t="s">
        <v>705</v>
      </c>
      <c r="D65" s="41" t="s">
        <v>676</v>
      </c>
      <c r="E65" s="41" t="s">
        <v>675</v>
      </c>
      <c r="F65" s="41" t="s">
        <v>675</v>
      </c>
      <c r="G65" s="41" t="s">
        <v>967</v>
      </c>
      <c r="H65" s="43" t="s">
        <v>968</v>
      </c>
      <c r="I65" s="33" t="s">
        <v>680</v>
      </c>
      <c r="J65" s="33" t="s">
        <v>679</v>
      </c>
      <c r="K65" s="33" t="s">
        <v>680</v>
      </c>
      <c r="L65" s="33" t="s">
        <v>987</v>
      </c>
      <c r="M65" s="33" t="s">
        <v>679</v>
      </c>
      <c r="N65" s="33" t="s">
        <v>987</v>
      </c>
      <c r="O65" s="33" t="s">
        <v>684</v>
      </c>
      <c r="P65" s="33" t="s">
        <v>988</v>
      </c>
      <c r="Q65" s="33" t="s">
        <v>987</v>
      </c>
      <c r="R65" s="41" t="s">
        <v>989</v>
      </c>
    </row>
    <row r="66" customFormat="false" ht="15" hidden="false" customHeight="false" outlineLevel="0" collapsed="false">
      <c r="A66" s="41" t="s">
        <v>990</v>
      </c>
      <c r="B66" s="41" t="s">
        <v>991</v>
      </c>
      <c r="C66" s="41" t="s">
        <v>705</v>
      </c>
      <c r="D66" s="41" t="s">
        <v>676</v>
      </c>
      <c r="E66" s="41" t="s">
        <v>675</v>
      </c>
      <c r="F66" s="41" t="s">
        <v>675</v>
      </c>
      <c r="G66" s="41" t="s">
        <v>967</v>
      </c>
      <c r="H66" s="43" t="s">
        <v>968</v>
      </c>
      <c r="I66" s="33" t="s">
        <v>680</v>
      </c>
      <c r="J66" s="33" t="s">
        <v>679</v>
      </c>
      <c r="K66" s="33" t="s">
        <v>680</v>
      </c>
      <c r="L66" s="33" t="s">
        <v>992</v>
      </c>
      <c r="M66" s="33" t="s">
        <v>679</v>
      </c>
      <c r="N66" s="33" t="s">
        <v>992</v>
      </c>
      <c r="O66" s="33" t="s">
        <v>684</v>
      </c>
      <c r="P66" s="33" t="s">
        <v>992</v>
      </c>
      <c r="Q66" s="33" t="s">
        <v>993</v>
      </c>
      <c r="R66" s="41" t="s">
        <v>994</v>
      </c>
    </row>
    <row r="67" customFormat="false" ht="15" hidden="false" customHeight="false" outlineLevel="0" collapsed="false">
      <c r="A67" s="41" t="s">
        <v>995</v>
      </c>
      <c r="B67" s="41" t="s">
        <v>202</v>
      </c>
      <c r="C67" s="41" t="s">
        <v>705</v>
      </c>
      <c r="D67" s="41" t="s">
        <v>676</v>
      </c>
      <c r="E67" s="41" t="s">
        <v>675</v>
      </c>
      <c r="F67" s="41" t="s">
        <v>675</v>
      </c>
      <c r="G67" s="41" t="s">
        <v>967</v>
      </c>
      <c r="H67" s="43" t="s">
        <v>968</v>
      </c>
      <c r="I67" s="33" t="s">
        <v>680</v>
      </c>
      <c r="J67" s="33" t="s">
        <v>679</v>
      </c>
      <c r="K67" s="33" t="s">
        <v>680</v>
      </c>
      <c r="L67" s="33" t="s">
        <v>996</v>
      </c>
      <c r="M67" s="33" t="s">
        <v>679</v>
      </c>
      <c r="N67" s="33" t="s">
        <v>996</v>
      </c>
      <c r="O67" s="33" t="s">
        <v>680</v>
      </c>
      <c r="P67" s="33" t="s">
        <v>996</v>
      </c>
      <c r="Q67" s="33" t="s">
        <v>996</v>
      </c>
      <c r="R67" s="41" t="s">
        <v>996</v>
      </c>
    </row>
    <row r="68" customFormat="false" ht="26.85" hidden="false" customHeight="false" outlineLevel="0" collapsed="false">
      <c r="A68" s="41" t="s">
        <v>997</v>
      </c>
      <c r="B68" s="41" t="s">
        <v>998</v>
      </c>
      <c r="C68" s="41" t="s">
        <v>674</v>
      </c>
      <c r="D68" s="41" t="s">
        <v>675</v>
      </c>
      <c r="E68" s="41" t="s">
        <v>676</v>
      </c>
      <c r="F68" s="41" t="s">
        <v>676</v>
      </c>
      <c r="G68" s="41" t="s">
        <v>999</v>
      </c>
      <c r="H68" s="43" t="s">
        <v>1000</v>
      </c>
      <c r="I68" s="33" t="s">
        <v>679</v>
      </c>
      <c r="J68" s="33" t="s">
        <v>689</v>
      </c>
      <c r="K68" s="33" t="s">
        <v>689</v>
      </c>
      <c r="L68" s="33" t="s">
        <v>679</v>
      </c>
      <c r="M68" s="33" t="s">
        <v>831</v>
      </c>
      <c r="N68" s="33" t="s">
        <v>831</v>
      </c>
      <c r="O68" s="33" t="s">
        <v>680</v>
      </c>
      <c r="P68" s="33" t="s">
        <v>1001</v>
      </c>
      <c r="Q68" s="33" t="s">
        <v>1001</v>
      </c>
      <c r="R68" s="41" t="s">
        <v>1001</v>
      </c>
    </row>
    <row r="69" customFormat="false" ht="26.85" hidden="false" customHeight="false" outlineLevel="0" collapsed="false">
      <c r="A69" s="41" t="s">
        <v>1002</v>
      </c>
      <c r="B69" s="41" t="s">
        <v>1003</v>
      </c>
      <c r="C69" s="41" t="s">
        <v>674</v>
      </c>
      <c r="D69" s="41" t="s">
        <v>676</v>
      </c>
      <c r="E69" s="41" t="s">
        <v>676</v>
      </c>
      <c r="F69" s="41" t="s">
        <v>675</v>
      </c>
      <c r="G69" s="41" t="s">
        <v>999</v>
      </c>
      <c r="H69" s="43" t="s">
        <v>1000</v>
      </c>
      <c r="I69" s="33" t="s">
        <v>680</v>
      </c>
      <c r="J69" s="33" t="s">
        <v>679</v>
      </c>
      <c r="K69" s="33" t="s">
        <v>680</v>
      </c>
      <c r="L69" s="33" t="s">
        <v>1004</v>
      </c>
      <c r="M69" s="33" t="s">
        <v>679</v>
      </c>
      <c r="N69" s="33" t="s">
        <v>1004</v>
      </c>
      <c r="O69" s="33" t="s">
        <v>684</v>
      </c>
      <c r="P69" s="33" t="s">
        <v>1005</v>
      </c>
      <c r="Q69" s="33" t="s">
        <v>1004</v>
      </c>
      <c r="R69" s="41" t="s">
        <v>1006</v>
      </c>
    </row>
    <row r="70" customFormat="false" ht="26.85" hidden="false" customHeight="false" outlineLevel="0" collapsed="false">
      <c r="A70" s="41" t="s">
        <v>1007</v>
      </c>
      <c r="B70" s="41" t="s">
        <v>1008</v>
      </c>
      <c r="C70" s="41" t="s">
        <v>705</v>
      </c>
      <c r="D70" s="41" t="s">
        <v>675</v>
      </c>
      <c r="E70" s="41" t="s">
        <v>676</v>
      </c>
      <c r="F70" s="41" t="s">
        <v>675</v>
      </c>
      <c r="G70" s="41" t="s">
        <v>999</v>
      </c>
      <c r="H70" s="43" t="s">
        <v>1000</v>
      </c>
      <c r="I70" s="33" t="s">
        <v>679</v>
      </c>
      <c r="J70" s="33" t="s">
        <v>680</v>
      </c>
      <c r="K70" s="33" t="s">
        <v>680</v>
      </c>
      <c r="L70" s="33" t="s">
        <v>679</v>
      </c>
      <c r="M70" s="33" t="s">
        <v>1009</v>
      </c>
      <c r="N70" s="33" t="s">
        <v>1009</v>
      </c>
      <c r="O70" s="33" t="s">
        <v>680</v>
      </c>
      <c r="P70" s="33" t="s">
        <v>1009</v>
      </c>
      <c r="Q70" s="33" t="s">
        <v>1009</v>
      </c>
      <c r="R70" s="41" t="s">
        <v>1009</v>
      </c>
    </row>
    <row r="71" customFormat="false" ht="15" hidden="false" customHeight="false" outlineLevel="0" collapsed="false">
      <c r="A71" s="41" t="s">
        <v>1010</v>
      </c>
      <c r="B71" s="41" t="s">
        <v>1011</v>
      </c>
      <c r="C71" s="41" t="s">
        <v>705</v>
      </c>
      <c r="D71" s="41" t="s">
        <v>676</v>
      </c>
      <c r="E71" s="41" t="s">
        <v>675</v>
      </c>
      <c r="F71" s="41" t="s">
        <v>675</v>
      </c>
      <c r="G71" s="41" t="s">
        <v>999</v>
      </c>
      <c r="H71" s="43" t="s">
        <v>1000</v>
      </c>
      <c r="I71" s="33" t="s">
        <v>747</v>
      </c>
      <c r="J71" s="33" t="s">
        <v>679</v>
      </c>
      <c r="K71" s="33" t="s">
        <v>747</v>
      </c>
      <c r="L71" s="33" t="s">
        <v>878</v>
      </c>
      <c r="M71" s="33" t="s">
        <v>679</v>
      </c>
      <c r="N71" s="33" t="s">
        <v>878</v>
      </c>
      <c r="O71" s="33" t="s">
        <v>680</v>
      </c>
      <c r="P71" s="33" t="s">
        <v>924</v>
      </c>
      <c r="Q71" s="33" t="s">
        <v>924</v>
      </c>
      <c r="R71" s="41" t="s">
        <v>924</v>
      </c>
    </row>
    <row r="72" customFormat="false" ht="26.85" hidden="false" customHeight="false" outlineLevel="0" collapsed="false">
      <c r="A72" s="41" t="s">
        <v>1012</v>
      </c>
      <c r="B72" s="41" t="s">
        <v>1013</v>
      </c>
      <c r="C72" s="41" t="s">
        <v>705</v>
      </c>
      <c r="D72" s="41" t="s">
        <v>676</v>
      </c>
      <c r="E72" s="41" t="s">
        <v>676</v>
      </c>
      <c r="F72" s="41" t="s">
        <v>675</v>
      </c>
      <c r="G72" s="41" t="s">
        <v>1014</v>
      </c>
      <c r="H72" s="43" t="s">
        <v>1015</v>
      </c>
      <c r="I72" s="33" t="s">
        <v>680</v>
      </c>
      <c r="J72" s="33" t="s">
        <v>679</v>
      </c>
      <c r="K72" s="33" t="s">
        <v>680</v>
      </c>
      <c r="L72" s="33" t="s">
        <v>729</v>
      </c>
      <c r="M72" s="33" t="s">
        <v>679</v>
      </c>
      <c r="N72" s="33" t="s">
        <v>729</v>
      </c>
      <c r="O72" s="33" t="s">
        <v>680</v>
      </c>
      <c r="P72" s="33" t="s">
        <v>729</v>
      </c>
      <c r="Q72" s="33" t="s">
        <v>729</v>
      </c>
      <c r="R72" s="41" t="s">
        <v>729</v>
      </c>
    </row>
    <row r="73" customFormat="false" ht="26.85" hidden="false" customHeight="false" outlineLevel="0" collapsed="false">
      <c r="A73" s="41" t="s">
        <v>1016</v>
      </c>
      <c r="B73" s="41" t="s">
        <v>1017</v>
      </c>
      <c r="C73" s="41" t="s">
        <v>705</v>
      </c>
      <c r="D73" s="41" t="s">
        <v>675</v>
      </c>
      <c r="E73" s="41" t="s">
        <v>676</v>
      </c>
      <c r="F73" s="41" t="s">
        <v>676</v>
      </c>
      <c r="G73" s="41" t="s">
        <v>1014</v>
      </c>
      <c r="H73" s="43" t="s">
        <v>1015</v>
      </c>
      <c r="I73" s="33" t="s">
        <v>679</v>
      </c>
      <c r="J73" s="33" t="s">
        <v>714</v>
      </c>
      <c r="K73" s="33" t="s">
        <v>714</v>
      </c>
      <c r="L73" s="33" t="s">
        <v>679</v>
      </c>
      <c r="M73" s="33" t="s">
        <v>1018</v>
      </c>
      <c r="N73" s="33" t="s">
        <v>1018</v>
      </c>
      <c r="O73" s="33" t="s">
        <v>684</v>
      </c>
      <c r="P73" s="33" t="s">
        <v>1019</v>
      </c>
      <c r="Q73" s="33" t="s">
        <v>1020</v>
      </c>
      <c r="R73" s="41" t="s">
        <v>1021</v>
      </c>
    </row>
    <row r="74" customFormat="false" ht="15" hidden="false" customHeight="false" outlineLevel="0" collapsed="false">
      <c r="A74" s="41" t="s">
        <v>1022</v>
      </c>
      <c r="B74" s="41" t="s">
        <v>1023</v>
      </c>
      <c r="C74" s="41" t="s">
        <v>705</v>
      </c>
      <c r="D74" s="41" t="s">
        <v>676</v>
      </c>
      <c r="E74" s="41" t="s">
        <v>676</v>
      </c>
      <c r="F74" s="41" t="s">
        <v>675</v>
      </c>
      <c r="G74" s="41" t="s">
        <v>1014</v>
      </c>
      <c r="H74" s="43" t="s">
        <v>1015</v>
      </c>
      <c r="I74" s="33" t="s">
        <v>680</v>
      </c>
      <c r="J74" s="33" t="s">
        <v>679</v>
      </c>
      <c r="K74" s="33" t="s">
        <v>680</v>
      </c>
      <c r="L74" s="33" t="s">
        <v>1024</v>
      </c>
      <c r="M74" s="33" t="s">
        <v>679</v>
      </c>
      <c r="N74" s="33" t="s">
        <v>1024</v>
      </c>
      <c r="O74" s="33" t="s">
        <v>714</v>
      </c>
      <c r="P74" s="33" t="s">
        <v>1025</v>
      </c>
      <c r="Q74" s="33" t="s">
        <v>1024</v>
      </c>
      <c r="R74" s="41" t="s">
        <v>1026</v>
      </c>
    </row>
    <row r="75" customFormat="false" ht="26.85" hidden="false" customHeight="false" outlineLevel="0" collapsed="false">
      <c r="A75" s="41" t="s">
        <v>1027</v>
      </c>
      <c r="B75" s="41" t="s">
        <v>1028</v>
      </c>
      <c r="C75" s="41" t="s">
        <v>674</v>
      </c>
      <c r="D75" s="41" t="s">
        <v>676</v>
      </c>
      <c r="E75" s="41" t="s">
        <v>675</v>
      </c>
      <c r="F75" s="41" t="s">
        <v>675</v>
      </c>
      <c r="G75" s="41" t="s">
        <v>1029</v>
      </c>
      <c r="H75" s="43" t="s">
        <v>1030</v>
      </c>
      <c r="I75" s="33" t="s">
        <v>714</v>
      </c>
      <c r="J75" s="33" t="s">
        <v>679</v>
      </c>
      <c r="K75" s="33" t="s">
        <v>714</v>
      </c>
      <c r="L75" s="33" t="s">
        <v>1031</v>
      </c>
      <c r="M75" s="33" t="s">
        <v>679</v>
      </c>
      <c r="N75" s="33" t="s">
        <v>1031</v>
      </c>
      <c r="O75" s="33" t="s">
        <v>714</v>
      </c>
      <c r="P75" s="33" t="s">
        <v>1032</v>
      </c>
      <c r="Q75" s="33" t="s">
        <v>1033</v>
      </c>
      <c r="R75" s="41" t="s">
        <v>1034</v>
      </c>
    </row>
    <row r="76" customFormat="false" ht="26.85" hidden="false" customHeight="false" outlineLevel="0" collapsed="false">
      <c r="A76" s="41" t="s">
        <v>1035</v>
      </c>
      <c r="B76" s="41" t="s">
        <v>1036</v>
      </c>
      <c r="C76" s="41" t="s">
        <v>674</v>
      </c>
      <c r="D76" s="41" t="s">
        <v>676</v>
      </c>
      <c r="E76" s="41" t="s">
        <v>676</v>
      </c>
      <c r="F76" s="41" t="s">
        <v>675</v>
      </c>
      <c r="G76" s="41" t="s">
        <v>1029</v>
      </c>
      <c r="H76" s="43" t="s">
        <v>1030</v>
      </c>
      <c r="I76" s="33" t="s">
        <v>679</v>
      </c>
      <c r="J76" s="33" t="s">
        <v>680</v>
      </c>
      <c r="K76" s="33" t="s">
        <v>680</v>
      </c>
      <c r="L76" s="33" t="s">
        <v>679</v>
      </c>
      <c r="M76" s="33" t="s">
        <v>1037</v>
      </c>
      <c r="N76" s="33" t="s">
        <v>1037</v>
      </c>
      <c r="O76" s="33" t="s">
        <v>680</v>
      </c>
      <c r="P76" s="33" t="s">
        <v>1037</v>
      </c>
      <c r="Q76" s="33" t="s">
        <v>1037</v>
      </c>
      <c r="R76" s="41" t="s">
        <v>1037</v>
      </c>
    </row>
    <row r="77" customFormat="false" ht="26.85" hidden="false" customHeight="false" outlineLevel="0" collapsed="false">
      <c r="A77" s="41" t="s">
        <v>1038</v>
      </c>
      <c r="B77" s="41" t="s">
        <v>1039</v>
      </c>
      <c r="C77" s="41" t="s">
        <v>674</v>
      </c>
      <c r="D77" s="41" t="s">
        <v>676</v>
      </c>
      <c r="E77" s="41" t="s">
        <v>676</v>
      </c>
      <c r="F77" s="41" t="s">
        <v>675</v>
      </c>
      <c r="G77" s="41" t="s">
        <v>1029</v>
      </c>
      <c r="H77" s="43" t="s">
        <v>1030</v>
      </c>
      <c r="I77" s="33" t="s">
        <v>1040</v>
      </c>
      <c r="J77" s="33" t="s">
        <v>679</v>
      </c>
      <c r="K77" s="33" t="s">
        <v>1040</v>
      </c>
      <c r="L77" s="33" t="s">
        <v>1041</v>
      </c>
      <c r="M77" s="33" t="s">
        <v>679</v>
      </c>
      <c r="N77" s="33" t="s">
        <v>1041</v>
      </c>
      <c r="O77" s="33" t="s">
        <v>680</v>
      </c>
      <c r="P77" s="33" t="s">
        <v>1042</v>
      </c>
      <c r="Q77" s="33" t="s">
        <v>1042</v>
      </c>
      <c r="R77" s="41" t="s">
        <v>1042</v>
      </c>
    </row>
    <row r="78" customFormat="false" ht="26.85" hidden="false" customHeight="false" outlineLevel="0" collapsed="false">
      <c r="A78" s="41" t="s">
        <v>1043</v>
      </c>
      <c r="B78" s="41" t="s">
        <v>1044</v>
      </c>
      <c r="C78" s="41" t="s">
        <v>674</v>
      </c>
      <c r="D78" s="41" t="s">
        <v>676</v>
      </c>
      <c r="E78" s="41" t="s">
        <v>676</v>
      </c>
      <c r="F78" s="41" t="s">
        <v>676</v>
      </c>
      <c r="G78" s="41" t="s">
        <v>1029</v>
      </c>
      <c r="H78" s="43" t="s">
        <v>1030</v>
      </c>
      <c r="I78" s="33" t="s">
        <v>679</v>
      </c>
      <c r="J78" s="33" t="s">
        <v>1045</v>
      </c>
      <c r="K78" s="33" t="s">
        <v>784</v>
      </c>
      <c r="L78" s="33" t="s">
        <v>679</v>
      </c>
      <c r="M78" s="33" t="s">
        <v>1046</v>
      </c>
      <c r="N78" s="33" t="s">
        <v>1047</v>
      </c>
      <c r="O78" s="33" t="s">
        <v>684</v>
      </c>
      <c r="P78" s="33" t="s">
        <v>1048</v>
      </c>
      <c r="Q78" s="33" t="s">
        <v>1049</v>
      </c>
      <c r="R78" s="41" t="s">
        <v>1050</v>
      </c>
    </row>
    <row r="79" customFormat="false" ht="26.85" hidden="false" customHeight="false" outlineLevel="0" collapsed="false">
      <c r="A79" s="41" t="s">
        <v>1051</v>
      </c>
      <c r="B79" s="41" t="s">
        <v>1052</v>
      </c>
      <c r="C79" s="41" t="s">
        <v>674</v>
      </c>
      <c r="D79" s="41" t="s">
        <v>676</v>
      </c>
      <c r="E79" s="41" t="s">
        <v>675</v>
      </c>
      <c r="F79" s="41" t="s">
        <v>675</v>
      </c>
      <c r="G79" s="41" t="s">
        <v>1029</v>
      </c>
      <c r="H79" s="43" t="s">
        <v>1030</v>
      </c>
      <c r="I79" s="33" t="s">
        <v>689</v>
      </c>
      <c r="J79" s="33" t="s">
        <v>679</v>
      </c>
      <c r="K79" s="33" t="s">
        <v>689</v>
      </c>
      <c r="L79" s="33" t="s">
        <v>1053</v>
      </c>
      <c r="M79" s="33" t="s">
        <v>679</v>
      </c>
      <c r="N79" s="33" t="s">
        <v>1053</v>
      </c>
      <c r="O79" s="33" t="s">
        <v>680</v>
      </c>
      <c r="P79" s="33" t="s">
        <v>1054</v>
      </c>
      <c r="Q79" s="33" t="s">
        <v>1054</v>
      </c>
      <c r="R79" s="41" t="s">
        <v>1054</v>
      </c>
    </row>
    <row r="80" customFormat="false" ht="26.85" hidden="false" customHeight="false" outlineLevel="0" collapsed="false">
      <c r="A80" s="41" t="s">
        <v>1055</v>
      </c>
      <c r="B80" s="41" t="s">
        <v>1056</v>
      </c>
      <c r="C80" s="41" t="s">
        <v>705</v>
      </c>
      <c r="D80" s="41" t="s">
        <v>675</v>
      </c>
      <c r="E80" s="41" t="s">
        <v>676</v>
      </c>
      <c r="F80" s="41" t="s">
        <v>676</v>
      </c>
      <c r="G80" s="41" t="s">
        <v>1029</v>
      </c>
      <c r="H80" s="43" t="s">
        <v>1030</v>
      </c>
      <c r="I80" s="33" t="s">
        <v>679</v>
      </c>
      <c r="J80" s="33" t="s">
        <v>684</v>
      </c>
      <c r="K80" s="33" t="s">
        <v>684</v>
      </c>
      <c r="L80" s="33" t="s">
        <v>679</v>
      </c>
      <c r="M80" s="33" t="s">
        <v>1057</v>
      </c>
      <c r="N80" s="33" t="s">
        <v>1057</v>
      </c>
      <c r="O80" s="33" t="s">
        <v>714</v>
      </c>
      <c r="P80" s="33" t="s">
        <v>1058</v>
      </c>
      <c r="Q80" s="33" t="s">
        <v>1059</v>
      </c>
      <c r="R80" s="41" t="s">
        <v>1060</v>
      </c>
    </row>
    <row r="81" customFormat="false" ht="26.85" hidden="false" customHeight="false" outlineLevel="0" collapsed="false">
      <c r="A81" s="41" t="s">
        <v>1061</v>
      </c>
      <c r="B81" s="41" t="s">
        <v>1062</v>
      </c>
      <c r="C81" s="41" t="s">
        <v>705</v>
      </c>
      <c r="D81" s="41" t="s">
        <v>676</v>
      </c>
      <c r="E81" s="41" t="s">
        <v>675</v>
      </c>
      <c r="F81" s="41" t="s">
        <v>675</v>
      </c>
      <c r="G81" s="41" t="s">
        <v>1029</v>
      </c>
      <c r="H81" s="43" t="s">
        <v>1030</v>
      </c>
      <c r="I81" s="33" t="s">
        <v>680</v>
      </c>
      <c r="J81" s="33" t="s">
        <v>679</v>
      </c>
      <c r="K81" s="33" t="s">
        <v>680</v>
      </c>
      <c r="L81" s="33" t="s">
        <v>889</v>
      </c>
      <c r="M81" s="33" t="s">
        <v>679</v>
      </c>
      <c r="N81" s="33" t="s">
        <v>889</v>
      </c>
      <c r="O81" s="33" t="s">
        <v>680</v>
      </c>
      <c r="P81" s="33" t="s">
        <v>889</v>
      </c>
      <c r="Q81" s="33" t="s">
        <v>889</v>
      </c>
      <c r="R81" s="41" t="s">
        <v>889</v>
      </c>
    </row>
    <row r="82" customFormat="false" ht="15" hidden="false" customHeight="false" outlineLevel="0" collapsed="false">
      <c r="A82" s="41" t="s">
        <v>1063</v>
      </c>
      <c r="B82" s="41" t="s">
        <v>1064</v>
      </c>
      <c r="C82" s="41" t="s">
        <v>705</v>
      </c>
      <c r="D82" s="41" t="s">
        <v>676</v>
      </c>
      <c r="E82" s="41" t="s">
        <v>675</v>
      </c>
      <c r="F82" s="41" t="s">
        <v>675</v>
      </c>
      <c r="G82" s="41" t="s">
        <v>1029</v>
      </c>
      <c r="H82" s="43" t="s">
        <v>1030</v>
      </c>
      <c r="I82" s="33" t="s">
        <v>680</v>
      </c>
      <c r="J82" s="33" t="s">
        <v>679</v>
      </c>
      <c r="K82" s="33" t="s">
        <v>680</v>
      </c>
      <c r="L82" s="33" t="s">
        <v>1065</v>
      </c>
      <c r="M82" s="33" t="s">
        <v>679</v>
      </c>
      <c r="N82" s="33" t="s">
        <v>1065</v>
      </c>
      <c r="O82" s="33" t="s">
        <v>680</v>
      </c>
      <c r="P82" s="33" t="s">
        <v>1065</v>
      </c>
      <c r="Q82" s="33" t="s">
        <v>1065</v>
      </c>
      <c r="R82" s="41" t="s">
        <v>1065</v>
      </c>
    </row>
    <row r="83" customFormat="false" ht="26.85" hidden="false" customHeight="false" outlineLevel="0" collapsed="false">
      <c r="A83" s="41" t="s">
        <v>1066</v>
      </c>
      <c r="B83" s="41" t="s">
        <v>1067</v>
      </c>
      <c r="C83" s="41" t="s">
        <v>705</v>
      </c>
      <c r="D83" s="41" t="s">
        <v>676</v>
      </c>
      <c r="E83" s="41" t="s">
        <v>675</v>
      </c>
      <c r="F83" s="41" t="s">
        <v>675</v>
      </c>
      <c r="G83" s="41" t="s">
        <v>1029</v>
      </c>
      <c r="H83" s="43" t="s">
        <v>1030</v>
      </c>
      <c r="I83" s="33" t="s">
        <v>680</v>
      </c>
      <c r="J83" s="33" t="s">
        <v>679</v>
      </c>
      <c r="K83" s="33" t="s">
        <v>680</v>
      </c>
      <c r="L83" s="33" t="s">
        <v>1068</v>
      </c>
      <c r="M83" s="33" t="s">
        <v>679</v>
      </c>
      <c r="N83" s="33" t="s">
        <v>1068</v>
      </c>
      <c r="O83" s="33" t="s">
        <v>680</v>
      </c>
      <c r="P83" s="33" t="s">
        <v>1068</v>
      </c>
      <c r="Q83" s="33" t="s">
        <v>1068</v>
      </c>
      <c r="R83" s="41" t="s">
        <v>1068</v>
      </c>
    </row>
    <row r="84" customFormat="false" ht="26.85" hidden="false" customHeight="false" outlineLevel="0" collapsed="false">
      <c r="A84" s="41" t="s">
        <v>1069</v>
      </c>
      <c r="B84" s="41" t="s">
        <v>1070</v>
      </c>
      <c r="C84" s="41" t="s">
        <v>705</v>
      </c>
      <c r="D84" s="41" t="s">
        <v>675</v>
      </c>
      <c r="E84" s="41" t="s">
        <v>676</v>
      </c>
      <c r="F84" s="41" t="s">
        <v>676</v>
      </c>
      <c r="G84" s="41" t="s">
        <v>1029</v>
      </c>
      <c r="H84" s="43" t="s">
        <v>1030</v>
      </c>
      <c r="I84" s="33" t="s">
        <v>679</v>
      </c>
      <c r="J84" s="33" t="s">
        <v>714</v>
      </c>
      <c r="K84" s="33" t="s">
        <v>714</v>
      </c>
      <c r="L84" s="33" t="s">
        <v>679</v>
      </c>
      <c r="M84" s="33" t="s">
        <v>1071</v>
      </c>
      <c r="N84" s="33" t="s">
        <v>1071</v>
      </c>
      <c r="O84" s="33" t="s">
        <v>680</v>
      </c>
      <c r="P84" s="33" t="s">
        <v>1068</v>
      </c>
      <c r="Q84" s="33" t="s">
        <v>1068</v>
      </c>
      <c r="R84" s="41" t="s">
        <v>1068</v>
      </c>
    </row>
    <row r="85" customFormat="false" ht="26.85" hidden="false" customHeight="false" outlineLevel="0" collapsed="false">
      <c r="A85" s="41" t="s">
        <v>1072</v>
      </c>
      <c r="B85" s="41" t="s">
        <v>1073</v>
      </c>
      <c r="C85" s="41" t="s">
        <v>674</v>
      </c>
      <c r="D85" s="41" t="s">
        <v>676</v>
      </c>
      <c r="E85" s="41" t="s">
        <v>675</v>
      </c>
      <c r="F85" s="41" t="s">
        <v>675</v>
      </c>
      <c r="G85" s="41" t="s">
        <v>1074</v>
      </c>
      <c r="H85" s="43" t="s">
        <v>1075</v>
      </c>
      <c r="I85" s="33" t="s">
        <v>680</v>
      </c>
      <c r="J85" s="33" t="s">
        <v>679</v>
      </c>
      <c r="K85" s="33" t="s">
        <v>680</v>
      </c>
      <c r="L85" s="33" t="s">
        <v>1076</v>
      </c>
      <c r="M85" s="33" t="s">
        <v>679</v>
      </c>
      <c r="N85" s="33" t="s">
        <v>1076</v>
      </c>
      <c r="O85" s="33" t="s">
        <v>684</v>
      </c>
      <c r="P85" s="33" t="s">
        <v>1077</v>
      </c>
      <c r="Q85" s="33" t="s">
        <v>1076</v>
      </c>
      <c r="R85" s="41" t="s">
        <v>1078</v>
      </c>
    </row>
    <row r="86" customFormat="false" ht="15" hidden="false" customHeight="false" outlineLevel="0" collapsed="false">
      <c r="A86" s="41" t="s">
        <v>1079</v>
      </c>
      <c r="B86" s="41" t="s">
        <v>1080</v>
      </c>
      <c r="C86" s="41" t="s">
        <v>705</v>
      </c>
      <c r="D86" s="41" t="s">
        <v>676</v>
      </c>
      <c r="E86" s="41" t="s">
        <v>676</v>
      </c>
      <c r="F86" s="41" t="s">
        <v>675</v>
      </c>
      <c r="G86" s="41" t="s">
        <v>1074</v>
      </c>
      <c r="H86" s="43" t="s">
        <v>1075</v>
      </c>
      <c r="I86" s="33" t="s">
        <v>680</v>
      </c>
      <c r="J86" s="33" t="s">
        <v>679</v>
      </c>
      <c r="K86" s="33" t="s">
        <v>680</v>
      </c>
      <c r="L86" s="33" t="s">
        <v>1081</v>
      </c>
      <c r="M86" s="33" t="s">
        <v>679</v>
      </c>
      <c r="N86" s="33" t="s">
        <v>1081</v>
      </c>
      <c r="O86" s="33" t="s">
        <v>680</v>
      </c>
      <c r="P86" s="33" t="s">
        <v>1081</v>
      </c>
      <c r="Q86" s="33" t="s">
        <v>1081</v>
      </c>
      <c r="R86" s="41" t="s">
        <v>1081</v>
      </c>
    </row>
    <row r="87" customFormat="false" ht="26.85" hidden="false" customHeight="false" outlineLevel="0" collapsed="false">
      <c r="A87" s="41" t="s">
        <v>1082</v>
      </c>
      <c r="B87" s="41" t="s">
        <v>1083</v>
      </c>
      <c r="C87" s="41" t="s">
        <v>705</v>
      </c>
      <c r="D87" s="41" t="s">
        <v>676</v>
      </c>
      <c r="E87" s="41" t="s">
        <v>675</v>
      </c>
      <c r="F87" s="41" t="s">
        <v>675</v>
      </c>
      <c r="G87" s="41" t="s">
        <v>1074</v>
      </c>
      <c r="H87" s="43" t="s">
        <v>1075</v>
      </c>
      <c r="I87" s="33" t="s">
        <v>984</v>
      </c>
      <c r="J87" s="33" t="s">
        <v>679</v>
      </c>
      <c r="K87" s="33" t="s">
        <v>984</v>
      </c>
      <c r="L87" s="33" t="s">
        <v>1084</v>
      </c>
      <c r="M87" s="33" t="s">
        <v>679</v>
      </c>
      <c r="N87" s="33" t="s">
        <v>1084</v>
      </c>
      <c r="O87" s="33" t="s">
        <v>680</v>
      </c>
      <c r="P87" s="33" t="s">
        <v>731</v>
      </c>
      <c r="Q87" s="33" t="s">
        <v>731</v>
      </c>
      <c r="R87" s="41" t="s">
        <v>731</v>
      </c>
    </row>
    <row r="88" customFormat="false" ht="26.85" hidden="false" customHeight="false" outlineLevel="0" collapsed="false">
      <c r="A88" s="41" t="s">
        <v>1085</v>
      </c>
      <c r="B88" s="41" t="s">
        <v>1086</v>
      </c>
      <c r="C88" s="41" t="s">
        <v>674</v>
      </c>
      <c r="D88" s="41" t="s">
        <v>675</v>
      </c>
      <c r="E88" s="41" t="s">
        <v>676</v>
      </c>
      <c r="F88" s="41" t="s">
        <v>675</v>
      </c>
      <c r="G88" s="41" t="s">
        <v>1087</v>
      </c>
      <c r="H88" s="43" t="s">
        <v>1088</v>
      </c>
      <c r="I88" s="33" t="s">
        <v>679</v>
      </c>
      <c r="J88" s="33" t="s">
        <v>680</v>
      </c>
      <c r="K88" s="33" t="s">
        <v>680</v>
      </c>
      <c r="L88" s="33" t="s">
        <v>679</v>
      </c>
      <c r="M88" s="33" t="s">
        <v>1089</v>
      </c>
      <c r="N88" s="33" t="s">
        <v>1089</v>
      </c>
      <c r="O88" s="33" t="s">
        <v>680</v>
      </c>
      <c r="P88" s="33" t="s">
        <v>1089</v>
      </c>
      <c r="Q88" s="33" t="s">
        <v>1089</v>
      </c>
      <c r="R88" s="41" t="s">
        <v>1089</v>
      </c>
    </row>
    <row r="89" customFormat="false" ht="26.85" hidden="false" customHeight="false" outlineLevel="0" collapsed="false">
      <c r="A89" s="41" t="s">
        <v>1090</v>
      </c>
      <c r="B89" s="41" t="s">
        <v>1091</v>
      </c>
      <c r="C89" s="41" t="s">
        <v>674</v>
      </c>
      <c r="D89" s="41" t="s">
        <v>675</v>
      </c>
      <c r="E89" s="41" t="s">
        <v>676</v>
      </c>
      <c r="F89" s="41" t="s">
        <v>675</v>
      </c>
      <c r="G89" s="41" t="s">
        <v>1087</v>
      </c>
      <c r="H89" s="43" t="s">
        <v>1088</v>
      </c>
      <c r="I89" s="33" t="s">
        <v>679</v>
      </c>
      <c r="J89" s="33" t="s">
        <v>680</v>
      </c>
      <c r="K89" s="33" t="s">
        <v>680</v>
      </c>
      <c r="L89" s="33" t="s">
        <v>679</v>
      </c>
      <c r="M89" s="33" t="s">
        <v>1092</v>
      </c>
      <c r="N89" s="33" t="s">
        <v>1092</v>
      </c>
      <c r="O89" s="33" t="s">
        <v>684</v>
      </c>
      <c r="P89" s="33" t="s">
        <v>1092</v>
      </c>
      <c r="Q89" s="33" t="s">
        <v>1093</v>
      </c>
      <c r="R89" s="41" t="s">
        <v>1094</v>
      </c>
    </row>
    <row r="90" customFormat="false" ht="15" hidden="false" customHeight="false" outlineLevel="0" collapsed="false">
      <c r="A90" s="41"/>
      <c r="B90" s="41" t="s">
        <v>745</v>
      </c>
      <c r="C90" s="41" t="s">
        <v>705</v>
      </c>
      <c r="D90" s="41" t="s">
        <v>675</v>
      </c>
      <c r="E90" s="41" t="s">
        <v>675</v>
      </c>
      <c r="F90" s="41" t="s">
        <v>676</v>
      </c>
      <c r="G90" s="41" t="s">
        <v>1087</v>
      </c>
      <c r="H90" s="43" t="s">
        <v>1088</v>
      </c>
      <c r="I90" s="33" t="s">
        <v>679</v>
      </c>
      <c r="J90" s="33" t="s">
        <v>679</v>
      </c>
      <c r="K90" s="33" t="s">
        <v>679</v>
      </c>
      <c r="L90" s="33" t="s">
        <v>679</v>
      </c>
      <c r="M90" s="33" t="s">
        <v>679</v>
      </c>
      <c r="N90" s="33" t="s">
        <v>679</v>
      </c>
      <c r="O90" s="33" t="s">
        <v>679</v>
      </c>
      <c r="P90" s="33"/>
      <c r="Q90" s="33"/>
      <c r="R90" s="41"/>
    </row>
    <row r="91" customFormat="false" ht="15" hidden="false" customHeight="false" outlineLevel="0" collapsed="false">
      <c r="A91" s="41"/>
      <c r="B91" s="41" t="s">
        <v>795</v>
      </c>
      <c r="C91" s="41" t="s">
        <v>705</v>
      </c>
      <c r="D91" s="41" t="s">
        <v>675</v>
      </c>
      <c r="E91" s="41" t="s">
        <v>675</v>
      </c>
      <c r="F91" s="41" t="s">
        <v>676</v>
      </c>
      <c r="G91" s="41" t="s">
        <v>1087</v>
      </c>
      <c r="H91" s="43" t="s">
        <v>1088</v>
      </c>
      <c r="I91" s="33" t="s">
        <v>679</v>
      </c>
      <c r="J91" s="33" t="s">
        <v>679</v>
      </c>
      <c r="K91" s="33" t="s">
        <v>679</v>
      </c>
      <c r="L91" s="33" t="s">
        <v>679</v>
      </c>
      <c r="M91" s="33" t="s">
        <v>679</v>
      </c>
      <c r="N91" s="33" t="s">
        <v>679</v>
      </c>
      <c r="O91" s="33" t="s">
        <v>679</v>
      </c>
      <c r="P91" s="33"/>
      <c r="Q91" s="33"/>
      <c r="R91" s="41"/>
    </row>
    <row r="92" customFormat="false" ht="15" hidden="false" customHeight="false" outlineLevel="0" collapsed="false">
      <c r="A92" s="41" t="s">
        <v>1095</v>
      </c>
      <c r="B92" s="41" t="s">
        <v>1096</v>
      </c>
      <c r="C92" s="41" t="s">
        <v>705</v>
      </c>
      <c r="D92" s="41" t="s">
        <v>675</v>
      </c>
      <c r="E92" s="41" t="s">
        <v>676</v>
      </c>
      <c r="F92" s="41" t="s">
        <v>675</v>
      </c>
      <c r="G92" s="41" t="s">
        <v>1087</v>
      </c>
      <c r="H92" s="43" t="s">
        <v>1088</v>
      </c>
      <c r="I92" s="33" t="s">
        <v>679</v>
      </c>
      <c r="J92" s="33" t="s">
        <v>680</v>
      </c>
      <c r="K92" s="33" t="s">
        <v>680</v>
      </c>
      <c r="L92" s="33" t="s">
        <v>679</v>
      </c>
      <c r="M92" s="33" t="s">
        <v>1097</v>
      </c>
      <c r="N92" s="33" t="s">
        <v>1097</v>
      </c>
      <c r="O92" s="33" t="s">
        <v>689</v>
      </c>
      <c r="P92" s="33" t="s">
        <v>1098</v>
      </c>
      <c r="Q92" s="33" t="s">
        <v>1099</v>
      </c>
      <c r="R92" s="41" t="s">
        <v>1100</v>
      </c>
    </row>
    <row r="93" customFormat="false" ht="26.85" hidden="false" customHeight="false" outlineLevel="0" collapsed="false">
      <c r="A93" s="41" t="s">
        <v>1101</v>
      </c>
      <c r="B93" s="41" t="s">
        <v>1102</v>
      </c>
      <c r="C93" s="41" t="s">
        <v>705</v>
      </c>
      <c r="D93" s="41" t="s">
        <v>676</v>
      </c>
      <c r="E93" s="41" t="s">
        <v>675</v>
      </c>
      <c r="F93" s="41" t="s">
        <v>675</v>
      </c>
      <c r="G93" s="41" t="s">
        <v>1087</v>
      </c>
      <c r="H93" s="43" t="s">
        <v>1088</v>
      </c>
      <c r="I93" s="33" t="s">
        <v>680</v>
      </c>
      <c r="J93" s="33" t="s">
        <v>679</v>
      </c>
      <c r="K93" s="33" t="s">
        <v>680</v>
      </c>
      <c r="L93" s="33" t="s">
        <v>1103</v>
      </c>
      <c r="M93" s="33" t="s">
        <v>679</v>
      </c>
      <c r="N93" s="33" t="s">
        <v>1103</v>
      </c>
      <c r="O93" s="33" t="s">
        <v>680</v>
      </c>
      <c r="P93" s="33" t="s">
        <v>1103</v>
      </c>
      <c r="Q93" s="33" t="s">
        <v>1103</v>
      </c>
      <c r="R93" s="41" t="s">
        <v>1103</v>
      </c>
    </row>
    <row r="94" customFormat="false" ht="26.85" hidden="false" customHeight="false" outlineLevel="0" collapsed="false">
      <c r="A94" s="41" t="s">
        <v>1104</v>
      </c>
      <c r="B94" s="41" t="s">
        <v>1105</v>
      </c>
      <c r="C94" s="41" t="s">
        <v>705</v>
      </c>
      <c r="D94" s="41" t="s">
        <v>675</v>
      </c>
      <c r="E94" s="41" t="s">
        <v>676</v>
      </c>
      <c r="F94" s="41" t="s">
        <v>675</v>
      </c>
      <c r="G94" s="41" t="s">
        <v>1087</v>
      </c>
      <c r="H94" s="43" t="s">
        <v>1088</v>
      </c>
      <c r="I94" s="33" t="s">
        <v>679</v>
      </c>
      <c r="J94" s="33" t="s">
        <v>680</v>
      </c>
      <c r="K94" s="33" t="s">
        <v>680</v>
      </c>
      <c r="L94" s="33" t="s">
        <v>679</v>
      </c>
      <c r="M94" s="33" t="s">
        <v>1106</v>
      </c>
      <c r="N94" s="33" t="s">
        <v>1106</v>
      </c>
      <c r="O94" s="33" t="s">
        <v>680</v>
      </c>
      <c r="P94" s="33" t="s">
        <v>1106</v>
      </c>
      <c r="Q94" s="33" t="s">
        <v>1106</v>
      </c>
      <c r="R94" s="41" t="s">
        <v>1106</v>
      </c>
    </row>
    <row r="95" customFormat="false" ht="26.85" hidden="false" customHeight="false" outlineLevel="0" collapsed="false">
      <c r="A95" s="41"/>
      <c r="B95" s="41" t="s">
        <v>998</v>
      </c>
      <c r="C95" s="41" t="s">
        <v>674</v>
      </c>
      <c r="D95" s="41" t="s">
        <v>675</v>
      </c>
      <c r="E95" s="41" t="s">
        <v>675</v>
      </c>
      <c r="F95" s="41" t="s">
        <v>676</v>
      </c>
      <c r="G95" s="41" t="s">
        <v>747</v>
      </c>
      <c r="H95" s="43" t="s">
        <v>1107</v>
      </c>
      <c r="I95" s="33" t="s">
        <v>679</v>
      </c>
      <c r="J95" s="33" t="s">
        <v>679</v>
      </c>
      <c r="K95" s="33" t="s">
        <v>679</v>
      </c>
      <c r="L95" s="33" t="s">
        <v>679</v>
      </c>
      <c r="M95" s="33" t="s">
        <v>679</v>
      </c>
      <c r="N95" s="33" t="s">
        <v>679</v>
      </c>
      <c r="O95" s="33" t="s">
        <v>679</v>
      </c>
      <c r="P95" s="33"/>
      <c r="Q95" s="33"/>
      <c r="R95" s="41"/>
    </row>
    <row r="96" customFormat="false" ht="26.85" hidden="false" customHeight="false" outlineLevel="0" collapsed="false">
      <c r="A96" s="41" t="s">
        <v>1108</v>
      </c>
      <c r="B96" s="41" t="s">
        <v>1109</v>
      </c>
      <c r="C96" s="41" t="s">
        <v>674</v>
      </c>
      <c r="D96" s="41" t="s">
        <v>676</v>
      </c>
      <c r="E96" s="41" t="s">
        <v>675</v>
      </c>
      <c r="F96" s="41" t="s">
        <v>675</v>
      </c>
      <c r="G96" s="41" t="s">
        <v>747</v>
      </c>
      <c r="H96" s="43" t="s">
        <v>1107</v>
      </c>
      <c r="I96" s="33" t="s">
        <v>680</v>
      </c>
      <c r="J96" s="33" t="s">
        <v>679</v>
      </c>
      <c r="K96" s="33" t="s">
        <v>680</v>
      </c>
      <c r="L96" s="33" t="s">
        <v>1110</v>
      </c>
      <c r="M96" s="33" t="s">
        <v>679</v>
      </c>
      <c r="N96" s="33" t="s">
        <v>1110</v>
      </c>
      <c r="O96" s="33" t="s">
        <v>684</v>
      </c>
      <c r="P96" s="33" t="s">
        <v>1110</v>
      </c>
      <c r="Q96" s="33" t="s">
        <v>1004</v>
      </c>
      <c r="R96" s="41" t="s">
        <v>1111</v>
      </c>
    </row>
    <row r="97" customFormat="false" ht="26.85" hidden="false" customHeight="false" outlineLevel="0" collapsed="false">
      <c r="A97" s="41" t="s">
        <v>1112</v>
      </c>
      <c r="B97" s="41" t="s">
        <v>1113</v>
      </c>
      <c r="C97" s="41" t="s">
        <v>674</v>
      </c>
      <c r="D97" s="41" t="s">
        <v>675</v>
      </c>
      <c r="E97" s="41" t="s">
        <v>676</v>
      </c>
      <c r="F97" s="41" t="s">
        <v>676</v>
      </c>
      <c r="G97" s="41" t="s">
        <v>747</v>
      </c>
      <c r="H97" s="43" t="s">
        <v>1107</v>
      </c>
      <c r="I97" s="33" t="s">
        <v>679</v>
      </c>
      <c r="J97" s="33" t="s">
        <v>714</v>
      </c>
      <c r="K97" s="33" t="s">
        <v>714</v>
      </c>
      <c r="L97" s="33" t="s">
        <v>679</v>
      </c>
      <c r="M97" s="33" t="s">
        <v>1114</v>
      </c>
      <c r="N97" s="33" t="s">
        <v>1114</v>
      </c>
      <c r="O97" s="33" t="s">
        <v>684</v>
      </c>
      <c r="P97" s="33" t="s">
        <v>1115</v>
      </c>
      <c r="Q97" s="33" t="s">
        <v>1116</v>
      </c>
      <c r="R97" s="41" t="s">
        <v>1117</v>
      </c>
    </row>
    <row r="98" customFormat="false" ht="26.85" hidden="false" customHeight="false" outlineLevel="0" collapsed="false">
      <c r="A98" s="41" t="s">
        <v>1118</v>
      </c>
      <c r="B98" s="41" t="s">
        <v>1119</v>
      </c>
      <c r="C98" s="41" t="s">
        <v>674</v>
      </c>
      <c r="D98" s="41" t="s">
        <v>675</v>
      </c>
      <c r="E98" s="41" t="s">
        <v>676</v>
      </c>
      <c r="F98" s="41" t="s">
        <v>676</v>
      </c>
      <c r="G98" s="41" t="s">
        <v>747</v>
      </c>
      <c r="H98" s="43" t="s">
        <v>1107</v>
      </c>
      <c r="I98" s="33" t="s">
        <v>679</v>
      </c>
      <c r="J98" s="33" t="s">
        <v>680</v>
      </c>
      <c r="K98" s="33" t="s">
        <v>680</v>
      </c>
      <c r="L98" s="33" t="s">
        <v>679</v>
      </c>
      <c r="M98" s="33" t="s">
        <v>1120</v>
      </c>
      <c r="N98" s="33" t="s">
        <v>1120</v>
      </c>
      <c r="O98" s="33" t="s">
        <v>680</v>
      </c>
      <c r="P98" s="33" t="s">
        <v>1120</v>
      </c>
      <c r="Q98" s="33" t="s">
        <v>1120</v>
      </c>
      <c r="R98" s="41" t="s">
        <v>1120</v>
      </c>
    </row>
    <row r="99" customFormat="false" ht="26.85" hidden="false" customHeight="false" outlineLevel="0" collapsed="false">
      <c r="A99" s="41" t="s">
        <v>1121</v>
      </c>
      <c r="B99" s="41" t="s">
        <v>1122</v>
      </c>
      <c r="C99" s="41" t="s">
        <v>674</v>
      </c>
      <c r="D99" s="41" t="s">
        <v>676</v>
      </c>
      <c r="E99" s="41" t="s">
        <v>676</v>
      </c>
      <c r="F99" s="41" t="s">
        <v>676</v>
      </c>
      <c r="G99" s="41" t="s">
        <v>747</v>
      </c>
      <c r="H99" s="43" t="s">
        <v>1107</v>
      </c>
      <c r="I99" s="33" t="s">
        <v>679</v>
      </c>
      <c r="J99" s="33" t="s">
        <v>714</v>
      </c>
      <c r="K99" s="33" t="s">
        <v>714</v>
      </c>
      <c r="L99" s="33" t="s">
        <v>679</v>
      </c>
      <c r="M99" s="33" t="s">
        <v>1123</v>
      </c>
      <c r="N99" s="33" t="s">
        <v>1123</v>
      </c>
      <c r="O99" s="33" t="s">
        <v>684</v>
      </c>
      <c r="P99" s="33" t="s">
        <v>1124</v>
      </c>
      <c r="Q99" s="33" t="s">
        <v>1125</v>
      </c>
      <c r="R99" s="41" t="s">
        <v>1126</v>
      </c>
    </row>
    <row r="100" customFormat="false" ht="26.85" hidden="false" customHeight="false" outlineLevel="0" collapsed="false">
      <c r="A100" s="41" t="s">
        <v>1127</v>
      </c>
      <c r="B100" s="41" t="s">
        <v>1128</v>
      </c>
      <c r="C100" s="41" t="s">
        <v>674</v>
      </c>
      <c r="D100" s="41" t="s">
        <v>676</v>
      </c>
      <c r="E100" s="41" t="s">
        <v>675</v>
      </c>
      <c r="F100" s="41" t="s">
        <v>675</v>
      </c>
      <c r="G100" s="41" t="s">
        <v>747</v>
      </c>
      <c r="H100" s="43" t="s">
        <v>1107</v>
      </c>
      <c r="I100" s="33" t="s">
        <v>680</v>
      </c>
      <c r="J100" s="33" t="s">
        <v>679</v>
      </c>
      <c r="K100" s="33" t="s">
        <v>680</v>
      </c>
      <c r="L100" s="33" t="s">
        <v>1129</v>
      </c>
      <c r="M100" s="33" t="s">
        <v>679</v>
      </c>
      <c r="N100" s="33" t="s">
        <v>1129</v>
      </c>
      <c r="O100" s="33" t="s">
        <v>680</v>
      </c>
      <c r="P100" s="33" t="s">
        <v>1129</v>
      </c>
      <c r="Q100" s="33" t="s">
        <v>1129</v>
      </c>
      <c r="R100" s="41" t="s">
        <v>1129</v>
      </c>
    </row>
    <row r="101" customFormat="false" ht="26.85" hidden="false" customHeight="false" outlineLevel="0" collapsed="false">
      <c r="A101" s="41" t="s">
        <v>1130</v>
      </c>
      <c r="B101" s="41" t="s">
        <v>1131</v>
      </c>
      <c r="C101" s="41" t="s">
        <v>674</v>
      </c>
      <c r="D101" s="41" t="s">
        <v>675</v>
      </c>
      <c r="E101" s="41" t="s">
        <v>676</v>
      </c>
      <c r="F101" s="41" t="s">
        <v>676</v>
      </c>
      <c r="G101" s="41" t="s">
        <v>747</v>
      </c>
      <c r="H101" s="43" t="s">
        <v>1107</v>
      </c>
      <c r="I101" s="33" t="s">
        <v>679</v>
      </c>
      <c r="J101" s="33" t="s">
        <v>680</v>
      </c>
      <c r="K101" s="33" t="s">
        <v>680</v>
      </c>
      <c r="L101" s="33" t="s">
        <v>679</v>
      </c>
      <c r="M101" s="33" t="s">
        <v>1132</v>
      </c>
      <c r="N101" s="33" t="s">
        <v>1132</v>
      </c>
      <c r="O101" s="33" t="s">
        <v>680</v>
      </c>
      <c r="P101" s="33" t="s">
        <v>1132</v>
      </c>
      <c r="Q101" s="33" t="s">
        <v>1132</v>
      </c>
      <c r="R101" s="41" t="s">
        <v>1132</v>
      </c>
    </row>
    <row r="102" customFormat="false" ht="15" hidden="false" customHeight="false" outlineLevel="0" collapsed="false">
      <c r="A102" s="41"/>
      <c r="B102" s="41" t="s">
        <v>758</v>
      </c>
      <c r="C102" s="41" t="s">
        <v>705</v>
      </c>
      <c r="D102" s="41" t="s">
        <v>675</v>
      </c>
      <c r="E102" s="41" t="s">
        <v>675</v>
      </c>
      <c r="F102" s="41" t="s">
        <v>676</v>
      </c>
      <c r="G102" s="41" t="s">
        <v>747</v>
      </c>
      <c r="H102" s="43" t="s">
        <v>1107</v>
      </c>
      <c r="I102" s="33" t="s">
        <v>679</v>
      </c>
      <c r="J102" s="33" t="s">
        <v>679</v>
      </c>
      <c r="K102" s="33" t="s">
        <v>679</v>
      </c>
      <c r="L102" s="33" t="s">
        <v>679</v>
      </c>
      <c r="M102" s="33" t="s">
        <v>679</v>
      </c>
      <c r="N102" s="33" t="s">
        <v>679</v>
      </c>
      <c r="O102" s="33" t="s">
        <v>679</v>
      </c>
      <c r="P102" s="33"/>
      <c r="Q102" s="33"/>
      <c r="R102" s="41"/>
    </row>
    <row r="103" customFormat="false" ht="15" hidden="false" customHeight="false" outlineLevel="0" collapsed="false">
      <c r="A103" s="41" t="s">
        <v>1133</v>
      </c>
      <c r="B103" s="41" t="s">
        <v>1134</v>
      </c>
      <c r="C103" s="41" t="s">
        <v>705</v>
      </c>
      <c r="D103" s="41" t="s">
        <v>676</v>
      </c>
      <c r="E103" s="41" t="s">
        <v>675</v>
      </c>
      <c r="F103" s="41" t="s">
        <v>675</v>
      </c>
      <c r="G103" s="41" t="s">
        <v>747</v>
      </c>
      <c r="H103" s="43" t="s">
        <v>1107</v>
      </c>
      <c r="I103" s="33" t="s">
        <v>747</v>
      </c>
      <c r="J103" s="33" t="s">
        <v>679</v>
      </c>
      <c r="K103" s="33" t="s">
        <v>747</v>
      </c>
      <c r="L103" s="33" t="s">
        <v>975</v>
      </c>
      <c r="M103" s="33" t="s">
        <v>679</v>
      </c>
      <c r="N103" s="33" t="s">
        <v>975</v>
      </c>
      <c r="O103" s="33" t="s">
        <v>680</v>
      </c>
      <c r="P103" s="33" t="s">
        <v>967</v>
      </c>
      <c r="Q103" s="33" t="s">
        <v>967</v>
      </c>
      <c r="R103" s="41" t="s">
        <v>967</v>
      </c>
    </row>
    <row r="104" customFormat="false" ht="26.85" hidden="false" customHeight="false" outlineLevel="0" collapsed="false">
      <c r="A104" s="41" t="s">
        <v>1135</v>
      </c>
      <c r="B104" s="41" t="s">
        <v>1136</v>
      </c>
      <c r="C104" s="41" t="s">
        <v>705</v>
      </c>
      <c r="D104" s="41" t="s">
        <v>675</v>
      </c>
      <c r="E104" s="41" t="s">
        <v>676</v>
      </c>
      <c r="F104" s="41" t="s">
        <v>676</v>
      </c>
      <c r="G104" s="41" t="s">
        <v>747</v>
      </c>
      <c r="H104" s="43" t="s">
        <v>1107</v>
      </c>
      <c r="I104" s="33" t="s">
        <v>679</v>
      </c>
      <c r="J104" s="33" t="s">
        <v>689</v>
      </c>
      <c r="K104" s="33" t="s">
        <v>689</v>
      </c>
      <c r="L104" s="33" t="s">
        <v>679</v>
      </c>
      <c r="M104" s="33" t="s">
        <v>1137</v>
      </c>
      <c r="N104" s="33" t="s">
        <v>1137</v>
      </c>
      <c r="O104" s="33" t="s">
        <v>689</v>
      </c>
      <c r="P104" s="33" t="s">
        <v>1138</v>
      </c>
      <c r="Q104" s="33" t="s">
        <v>1139</v>
      </c>
      <c r="R104" s="41" t="s">
        <v>1140</v>
      </c>
    </row>
    <row r="105" customFormat="false" ht="26.85" hidden="false" customHeight="false" outlineLevel="0" collapsed="false">
      <c r="A105" s="41" t="s">
        <v>1141</v>
      </c>
      <c r="B105" s="41" t="s">
        <v>1142</v>
      </c>
      <c r="C105" s="41" t="s">
        <v>705</v>
      </c>
      <c r="D105" s="41" t="s">
        <v>676</v>
      </c>
      <c r="E105" s="41" t="s">
        <v>675</v>
      </c>
      <c r="F105" s="41" t="s">
        <v>675</v>
      </c>
      <c r="G105" s="41" t="s">
        <v>747</v>
      </c>
      <c r="H105" s="43" t="s">
        <v>1107</v>
      </c>
      <c r="I105" s="33" t="s">
        <v>877</v>
      </c>
      <c r="J105" s="33" t="s">
        <v>679</v>
      </c>
      <c r="K105" s="33" t="s">
        <v>877</v>
      </c>
      <c r="L105" s="33" t="s">
        <v>1143</v>
      </c>
      <c r="M105" s="33" t="s">
        <v>679</v>
      </c>
      <c r="N105" s="33" t="s">
        <v>1143</v>
      </c>
      <c r="O105" s="33" t="s">
        <v>680</v>
      </c>
      <c r="P105" s="33" t="s">
        <v>1144</v>
      </c>
      <c r="Q105" s="33" t="s">
        <v>1144</v>
      </c>
      <c r="R105" s="41" t="s">
        <v>1144</v>
      </c>
    </row>
    <row r="106" customFormat="false" ht="26.85" hidden="false" customHeight="false" outlineLevel="0" collapsed="false">
      <c r="A106" s="41" t="s">
        <v>1145</v>
      </c>
      <c r="B106" s="41" t="s">
        <v>1146</v>
      </c>
      <c r="C106" s="41" t="s">
        <v>705</v>
      </c>
      <c r="D106" s="41" t="s">
        <v>676</v>
      </c>
      <c r="E106" s="41" t="s">
        <v>675</v>
      </c>
      <c r="F106" s="41" t="s">
        <v>675</v>
      </c>
      <c r="G106" s="41" t="s">
        <v>747</v>
      </c>
      <c r="H106" s="43" t="s">
        <v>1107</v>
      </c>
      <c r="I106" s="33" t="s">
        <v>747</v>
      </c>
      <c r="J106" s="33" t="s">
        <v>679</v>
      </c>
      <c r="K106" s="33" t="s">
        <v>747</v>
      </c>
      <c r="L106" s="33" t="s">
        <v>1147</v>
      </c>
      <c r="M106" s="33" t="s">
        <v>679</v>
      </c>
      <c r="N106" s="33" t="s">
        <v>1147</v>
      </c>
      <c r="O106" s="33" t="s">
        <v>680</v>
      </c>
      <c r="P106" s="33" t="s">
        <v>955</v>
      </c>
      <c r="Q106" s="33" t="s">
        <v>955</v>
      </c>
      <c r="R106" s="41" t="s">
        <v>955</v>
      </c>
    </row>
    <row r="107" customFormat="false" ht="26.85" hidden="false" customHeight="false" outlineLevel="0" collapsed="false">
      <c r="A107" s="41" t="s">
        <v>1148</v>
      </c>
      <c r="B107" s="41" t="s">
        <v>1149</v>
      </c>
      <c r="C107" s="41" t="s">
        <v>705</v>
      </c>
      <c r="D107" s="41" t="s">
        <v>676</v>
      </c>
      <c r="E107" s="41" t="s">
        <v>675</v>
      </c>
      <c r="F107" s="41" t="s">
        <v>675</v>
      </c>
      <c r="G107" s="41" t="s">
        <v>747</v>
      </c>
      <c r="H107" s="43" t="s">
        <v>1107</v>
      </c>
      <c r="I107" s="33" t="s">
        <v>680</v>
      </c>
      <c r="J107" s="33" t="s">
        <v>679</v>
      </c>
      <c r="K107" s="33" t="s">
        <v>680</v>
      </c>
      <c r="L107" s="33" t="s">
        <v>1150</v>
      </c>
      <c r="M107" s="33" t="s">
        <v>679</v>
      </c>
      <c r="N107" s="33" t="s">
        <v>1150</v>
      </c>
      <c r="O107" s="33" t="s">
        <v>680</v>
      </c>
      <c r="P107" s="33" t="s">
        <v>1150</v>
      </c>
      <c r="Q107" s="33" t="s">
        <v>1150</v>
      </c>
      <c r="R107" s="41" t="s">
        <v>1150</v>
      </c>
    </row>
    <row r="108" customFormat="false" ht="15" hidden="false" customHeight="false" outlineLevel="0" collapsed="false">
      <c r="A108" s="41" t="s">
        <v>1151</v>
      </c>
      <c r="B108" s="41" t="s">
        <v>1152</v>
      </c>
      <c r="C108" s="41" t="s">
        <v>705</v>
      </c>
      <c r="D108" s="41" t="s">
        <v>675</v>
      </c>
      <c r="E108" s="41" t="s">
        <v>676</v>
      </c>
      <c r="F108" s="41" t="s">
        <v>676</v>
      </c>
      <c r="G108" s="41" t="s">
        <v>747</v>
      </c>
      <c r="H108" s="43" t="s">
        <v>1107</v>
      </c>
      <c r="I108" s="33" t="s">
        <v>679</v>
      </c>
      <c r="J108" s="33" t="s">
        <v>714</v>
      </c>
      <c r="K108" s="33" t="s">
        <v>714</v>
      </c>
      <c r="L108" s="33" t="s">
        <v>679</v>
      </c>
      <c r="M108" s="33" t="s">
        <v>1153</v>
      </c>
      <c r="N108" s="33" t="s">
        <v>1153</v>
      </c>
      <c r="O108" s="33" t="s">
        <v>680</v>
      </c>
      <c r="P108" s="33" t="s">
        <v>1154</v>
      </c>
      <c r="Q108" s="33" t="s">
        <v>1154</v>
      </c>
      <c r="R108" s="41" t="s">
        <v>1154</v>
      </c>
    </row>
    <row r="109" customFormat="false" ht="26.85" hidden="false" customHeight="false" outlineLevel="0" collapsed="false">
      <c r="A109" s="41" t="s">
        <v>1155</v>
      </c>
      <c r="B109" s="41" t="s">
        <v>195</v>
      </c>
      <c r="C109" s="41" t="s">
        <v>705</v>
      </c>
      <c r="D109" s="41" t="s">
        <v>676</v>
      </c>
      <c r="E109" s="41" t="s">
        <v>675</v>
      </c>
      <c r="F109" s="41" t="s">
        <v>675</v>
      </c>
      <c r="G109" s="41" t="s">
        <v>747</v>
      </c>
      <c r="H109" s="43" t="s">
        <v>1107</v>
      </c>
      <c r="I109" s="33" t="s">
        <v>684</v>
      </c>
      <c r="J109" s="33" t="s">
        <v>679</v>
      </c>
      <c r="K109" s="33" t="s">
        <v>684</v>
      </c>
      <c r="L109" s="33" t="s">
        <v>1156</v>
      </c>
      <c r="M109" s="33" t="s">
        <v>679</v>
      </c>
      <c r="N109" s="33" t="s">
        <v>1156</v>
      </c>
      <c r="O109" s="33" t="s">
        <v>680</v>
      </c>
      <c r="P109" s="33" t="s">
        <v>1157</v>
      </c>
      <c r="Q109" s="33" t="s">
        <v>1157</v>
      </c>
      <c r="R109" s="41" t="s">
        <v>1157</v>
      </c>
    </row>
    <row r="110" customFormat="false" ht="15" hidden="false" customHeight="false" outlineLevel="0" collapsed="false">
      <c r="A110" s="41" t="s">
        <v>1158</v>
      </c>
      <c r="B110" s="41" t="s">
        <v>1159</v>
      </c>
      <c r="C110" s="41" t="s">
        <v>705</v>
      </c>
      <c r="D110" s="41" t="s">
        <v>676</v>
      </c>
      <c r="E110" s="41" t="s">
        <v>676</v>
      </c>
      <c r="F110" s="41" t="s">
        <v>676</v>
      </c>
      <c r="G110" s="41" t="s">
        <v>747</v>
      </c>
      <c r="H110" s="43" t="s">
        <v>1107</v>
      </c>
      <c r="I110" s="33" t="s">
        <v>680</v>
      </c>
      <c r="J110" s="33" t="s">
        <v>679</v>
      </c>
      <c r="K110" s="33" t="s">
        <v>680</v>
      </c>
      <c r="L110" s="33" t="s">
        <v>1160</v>
      </c>
      <c r="M110" s="33" t="s">
        <v>679</v>
      </c>
      <c r="N110" s="33" t="s">
        <v>1161</v>
      </c>
      <c r="O110" s="33" t="s">
        <v>714</v>
      </c>
      <c r="P110" s="33" t="s">
        <v>1160</v>
      </c>
      <c r="Q110" s="33" t="s">
        <v>1162</v>
      </c>
      <c r="R110" s="41" t="s">
        <v>1163</v>
      </c>
    </row>
    <row r="111" customFormat="false" ht="15" hidden="false" customHeight="false" outlineLevel="0" collapsed="false">
      <c r="A111" s="41" t="s">
        <v>1164</v>
      </c>
      <c r="B111" s="41" t="s">
        <v>1165</v>
      </c>
      <c r="C111" s="41" t="s">
        <v>705</v>
      </c>
      <c r="D111" s="41" t="s">
        <v>675</v>
      </c>
      <c r="E111" s="41" t="s">
        <v>676</v>
      </c>
      <c r="F111" s="41" t="s">
        <v>676</v>
      </c>
      <c r="G111" s="41" t="s">
        <v>747</v>
      </c>
      <c r="H111" s="43" t="s">
        <v>1107</v>
      </c>
      <c r="I111" s="33" t="s">
        <v>679</v>
      </c>
      <c r="J111" s="33" t="s">
        <v>1166</v>
      </c>
      <c r="K111" s="33" t="s">
        <v>1166</v>
      </c>
      <c r="L111" s="33" t="s">
        <v>679</v>
      </c>
      <c r="M111" s="33" t="s">
        <v>1167</v>
      </c>
      <c r="N111" s="33" t="s">
        <v>1167</v>
      </c>
      <c r="O111" s="33" t="s">
        <v>680</v>
      </c>
      <c r="P111" s="33" t="s">
        <v>1168</v>
      </c>
      <c r="Q111" s="33" t="s">
        <v>1168</v>
      </c>
      <c r="R111" s="41" t="s">
        <v>1168</v>
      </c>
    </row>
    <row r="112" customFormat="false" ht="26.85" hidden="false" customHeight="false" outlineLevel="0" collapsed="false">
      <c r="A112" s="41"/>
      <c r="B112" s="41" t="s">
        <v>881</v>
      </c>
      <c r="C112" s="41" t="s">
        <v>674</v>
      </c>
      <c r="D112" s="41" t="s">
        <v>675</v>
      </c>
      <c r="E112" s="41" t="s">
        <v>675</v>
      </c>
      <c r="F112" s="41" t="s">
        <v>676</v>
      </c>
      <c r="G112" s="41" t="s">
        <v>1169</v>
      </c>
      <c r="H112" s="43" t="s">
        <v>1170</v>
      </c>
      <c r="I112" s="33" t="s">
        <v>679</v>
      </c>
      <c r="J112" s="33" t="s">
        <v>679</v>
      </c>
      <c r="K112" s="33" t="s">
        <v>679</v>
      </c>
      <c r="L112" s="33" t="s">
        <v>679</v>
      </c>
      <c r="M112" s="33" t="s">
        <v>679</v>
      </c>
      <c r="N112" s="33" t="s">
        <v>679</v>
      </c>
      <c r="O112" s="33" t="s">
        <v>679</v>
      </c>
      <c r="P112" s="33"/>
      <c r="Q112" s="33"/>
      <c r="R112" s="41"/>
    </row>
    <row r="113" customFormat="false" ht="26.85" hidden="false" customHeight="false" outlineLevel="0" collapsed="false">
      <c r="A113" s="41" t="s">
        <v>1171</v>
      </c>
      <c r="B113" s="41" t="s">
        <v>1172</v>
      </c>
      <c r="C113" s="41" t="s">
        <v>674</v>
      </c>
      <c r="D113" s="41" t="s">
        <v>675</v>
      </c>
      <c r="E113" s="41" t="s">
        <v>676</v>
      </c>
      <c r="F113" s="41" t="s">
        <v>675</v>
      </c>
      <c r="G113" s="41" t="s">
        <v>1169</v>
      </c>
      <c r="H113" s="43" t="s">
        <v>1170</v>
      </c>
      <c r="I113" s="33" t="s">
        <v>679</v>
      </c>
      <c r="J113" s="33" t="s">
        <v>680</v>
      </c>
      <c r="K113" s="33" t="s">
        <v>680</v>
      </c>
      <c r="L113" s="33" t="s">
        <v>679</v>
      </c>
      <c r="M113" s="33" t="s">
        <v>1173</v>
      </c>
      <c r="N113" s="33" t="s">
        <v>1173</v>
      </c>
      <c r="O113" s="33" t="s">
        <v>684</v>
      </c>
      <c r="P113" s="33" t="s">
        <v>1174</v>
      </c>
      <c r="Q113" s="33" t="s">
        <v>1173</v>
      </c>
      <c r="R113" s="41" t="s">
        <v>1175</v>
      </c>
    </row>
    <row r="114" customFormat="false" ht="26.85" hidden="false" customHeight="false" outlineLevel="0" collapsed="false">
      <c r="A114" s="41" t="s">
        <v>1176</v>
      </c>
      <c r="B114" s="41" t="s">
        <v>1177</v>
      </c>
      <c r="C114" s="41" t="s">
        <v>674</v>
      </c>
      <c r="D114" s="41" t="s">
        <v>676</v>
      </c>
      <c r="E114" s="41" t="s">
        <v>676</v>
      </c>
      <c r="F114" s="41" t="s">
        <v>676</v>
      </c>
      <c r="G114" s="41" t="s">
        <v>1169</v>
      </c>
      <c r="H114" s="43" t="s">
        <v>1170</v>
      </c>
      <c r="I114" s="33" t="s">
        <v>679</v>
      </c>
      <c r="J114" s="33" t="s">
        <v>747</v>
      </c>
      <c r="K114" s="33" t="s">
        <v>1014</v>
      </c>
      <c r="L114" s="33" t="s">
        <v>679</v>
      </c>
      <c r="M114" s="33" t="s">
        <v>1178</v>
      </c>
      <c r="N114" s="33" t="s">
        <v>1179</v>
      </c>
      <c r="O114" s="33" t="s">
        <v>680</v>
      </c>
      <c r="P114" s="33" t="s">
        <v>1042</v>
      </c>
      <c r="Q114" s="33" t="s">
        <v>1042</v>
      </c>
      <c r="R114" s="41" t="s">
        <v>1042</v>
      </c>
    </row>
    <row r="115" customFormat="false" ht="39.55" hidden="false" customHeight="false" outlineLevel="0" collapsed="false">
      <c r="A115" s="41" t="s">
        <v>476</v>
      </c>
      <c r="B115" s="41" t="s">
        <v>1180</v>
      </c>
      <c r="C115" s="41" t="s">
        <v>1181</v>
      </c>
      <c r="D115" s="41" t="s">
        <v>676</v>
      </c>
      <c r="E115" s="41" t="s">
        <v>675</v>
      </c>
      <c r="F115" s="41" t="s">
        <v>675</v>
      </c>
      <c r="G115" s="41" t="s">
        <v>1169</v>
      </c>
      <c r="H115" s="43" t="s">
        <v>1170</v>
      </c>
      <c r="I115" s="33" t="s">
        <v>680</v>
      </c>
      <c r="J115" s="33" t="s">
        <v>679</v>
      </c>
      <c r="K115" s="33" t="s">
        <v>680</v>
      </c>
      <c r="L115" s="33" t="s">
        <v>1182</v>
      </c>
      <c r="M115" s="33" t="s">
        <v>679</v>
      </c>
      <c r="N115" s="33" t="s">
        <v>1182</v>
      </c>
      <c r="O115" s="33" t="s">
        <v>680</v>
      </c>
      <c r="P115" s="33" t="s">
        <v>1182</v>
      </c>
      <c r="Q115" s="33" t="s">
        <v>1182</v>
      </c>
      <c r="R115" s="41" t="s">
        <v>1182</v>
      </c>
    </row>
    <row r="116" customFormat="false" ht="15" hidden="false" customHeight="false" outlineLevel="0" collapsed="false">
      <c r="A116" s="41" t="s">
        <v>982</v>
      </c>
      <c r="B116" s="41" t="s">
        <v>1183</v>
      </c>
      <c r="C116" s="41" t="s">
        <v>705</v>
      </c>
      <c r="D116" s="41" t="s">
        <v>675</v>
      </c>
      <c r="E116" s="41" t="s">
        <v>676</v>
      </c>
      <c r="F116" s="41" t="s">
        <v>676</v>
      </c>
      <c r="G116" s="41" t="s">
        <v>1169</v>
      </c>
      <c r="H116" s="43" t="s">
        <v>1170</v>
      </c>
      <c r="I116" s="33" t="s">
        <v>679</v>
      </c>
      <c r="J116" s="33" t="s">
        <v>689</v>
      </c>
      <c r="K116" s="33" t="s">
        <v>689</v>
      </c>
      <c r="L116" s="33" t="s">
        <v>679</v>
      </c>
      <c r="M116" s="33" t="s">
        <v>678</v>
      </c>
      <c r="N116" s="33" t="s">
        <v>678</v>
      </c>
      <c r="O116" s="33" t="s">
        <v>680</v>
      </c>
      <c r="P116" s="33" t="s">
        <v>765</v>
      </c>
      <c r="Q116" s="33" t="s">
        <v>765</v>
      </c>
      <c r="R116" s="41" t="s">
        <v>765</v>
      </c>
    </row>
    <row r="117" customFormat="false" ht="15" hidden="false" customHeight="false" outlineLevel="0" collapsed="false">
      <c r="A117" s="41" t="s">
        <v>1184</v>
      </c>
      <c r="B117" s="41" t="s">
        <v>1185</v>
      </c>
      <c r="C117" s="41" t="s">
        <v>705</v>
      </c>
      <c r="D117" s="41" t="s">
        <v>675</v>
      </c>
      <c r="E117" s="41" t="s">
        <v>676</v>
      </c>
      <c r="F117" s="41" t="s">
        <v>675</v>
      </c>
      <c r="G117" s="41" t="s">
        <v>1169</v>
      </c>
      <c r="H117" s="43" t="s">
        <v>1170</v>
      </c>
      <c r="I117" s="33" t="s">
        <v>679</v>
      </c>
      <c r="J117" s="33" t="s">
        <v>680</v>
      </c>
      <c r="K117" s="33" t="s">
        <v>680</v>
      </c>
      <c r="L117" s="33" t="s">
        <v>679</v>
      </c>
      <c r="M117" s="33" t="s">
        <v>1186</v>
      </c>
      <c r="N117" s="33" t="s">
        <v>1186</v>
      </c>
      <c r="O117" s="33" t="s">
        <v>680</v>
      </c>
      <c r="P117" s="33" t="s">
        <v>1186</v>
      </c>
      <c r="Q117" s="33" t="s">
        <v>1186</v>
      </c>
      <c r="R117" s="41" t="s">
        <v>1186</v>
      </c>
    </row>
    <row r="118" customFormat="false" ht="26.85" hidden="false" customHeight="false" outlineLevel="0" collapsed="false">
      <c r="A118" s="41" t="s">
        <v>1187</v>
      </c>
      <c r="B118" s="41" t="s">
        <v>1188</v>
      </c>
      <c r="C118" s="41" t="s">
        <v>705</v>
      </c>
      <c r="D118" s="41" t="s">
        <v>676</v>
      </c>
      <c r="E118" s="41" t="s">
        <v>675</v>
      </c>
      <c r="F118" s="41" t="s">
        <v>675</v>
      </c>
      <c r="G118" s="41" t="s">
        <v>1169</v>
      </c>
      <c r="H118" s="43" t="s">
        <v>1170</v>
      </c>
      <c r="I118" s="33" t="s">
        <v>680</v>
      </c>
      <c r="J118" s="33" t="s">
        <v>679</v>
      </c>
      <c r="K118" s="33" t="s">
        <v>680</v>
      </c>
      <c r="L118" s="33" t="s">
        <v>1189</v>
      </c>
      <c r="M118" s="33" t="s">
        <v>679</v>
      </c>
      <c r="N118" s="33" t="s">
        <v>1189</v>
      </c>
      <c r="O118" s="33" t="s">
        <v>680</v>
      </c>
      <c r="P118" s="33" t="s">
        <v>1189</v>
      </c>
      <c r="Q118" s="33" t="s">
        <v>1189</v>
      </c>
      <c r="R118" s="41" t="s">
        <v>1189</v>
      </c>
    </row>
    <row r="119" customFormat="false" ht="15" hidden="false" customHeight="false" outlineLevel="0" collapsed="false">
      <c r="A119" s="41" t="s">
        <v>1190</v>
      </c>
      <c r="B119" s="41" t="s">
        <v>1191</v>
      </c>
      <c r="C119" s="41" t="s">
        <v>705</v>
      </c>
      <c r="D119" s="41" t="s">
        <v>676</v>
      </c>
      <c r="E119" s="41" t="s">
        <v>675</v>
      </c>
      <c r="F119" s="41" t="s">
        <v>675</v>
      </c>
      <c r="G119" s="41" t="s">
        <v>1169</v>
      </c>
      <c r="H119" s="43" t="s">
        <v>1170</v>
      </c>
      <c r="I119" s="33" t="s">
        <v>680</v>
      </c>
      <c r="J119" s="33" t="s">
        <v>679</v>
      </c>
      <c r="K119" s="33" t="s">
        <v>680</v>
      </c>
      <c r="L119" s="33" t="s">
        <v>1192</v>
      </c>
      <c r="M119" s="33" t="s">
        <v>679</v>
      </c>
      <c r="N119" s="33" t="s">
        <v>1192</v>
      </c>
      <c r="O119" s="33" t="s">
        <v>684</v>
      </c>
      <c r="P119" s="33" t="s">
        <v>1193</v>
      </c>
      <c r="Q119" s="33" t="s">
        <v>1192</v>
      </c>
      <c r="R119" s="41" t="s">
        <v>1194</v>
      </c>
    </row>
    <row r="120" customFormat="false" ht="15" hidden="false" customHeight="false" outlineLevel="0" collapsed="false">
      <c r="A120" s="41" t="s">
        <v>1195</v>
      </c>
      <c r="B120" s="41" t="s">
        <v>1196</v>
      </c>
      <c r="C120" s="41" t="s">
        <v>705</v>
      </c>
      <c r="D120" s="41" t="s">
        <v>676</v>
      </c>
      <c r="E120" s="41" t="s">
        <v>675</v>
      </c>
      <c r="F120" s="41" t="s">
        <v>675</v>
      </c>
      <c r="G120" s="41" t="s">
        <v>1169</v>
      </c>
      <c r="H120" s="43" t="s">
        <v>1170</v>
      </c>
      <c r="I120" s="33" t="s">
        <v>680</v>
      </c>
      <c r="J120" s="33" t="s">
        <v>679</v>
      </c>
      <c r="K120" s="33" t="s">
        <v>680</v>
      </c>
      <c r="L120" s="33" t="s">
        <v>1197</v>
      </c>
      <c r="M120" s="33" t="s">
        <v>679</v>
      </c>
      <c r="N120" s="33" t="s">
        <v>1197</v>
      </c>
      <c r="O120" s="33" t="s">
        <v>680</v>
      </c>
      <c r="P120" s="33" t="s">
        <v>1197</v>
      </c>
      <c r="Q120" s="33" t="s">
        <v>1197</v>
      </c>
      <c r="R120" s="41" t="s">
        <v>1197</v>
      </c>
    </row>
    <row r="121" customFormat="false" ht="15" hidden="false" customHeight="false" outlineLevel="0" collapsed="false">
      <c r="A121" s="41" t="s">
        <v>1198</v>
      </c>
      <c r="B121" s="41" t="s">
        <v>1199</v>
      </c>
      <c r="C121" s="41" t="s">
        <v>705</v>
      </c>
      <c r="D121" s="41" t="s">
        <v>676</v>
      </c>
      <c r="E121" s="41" t="s">
        <v>675</v>
      </c>
      <c r="F121" s="41" t="s">
        <v>675</v>
      </c>
      <c r="G121" s="41" t="s">
        <v>1169</v>
      </c>
      <c r="H121" s="43" t="s">
        <v>1170</v>
      </c>
      <c r="I121" s="33" t="s">
        <v>680</v>
      </c>
      <c r="J121" s="33" t="s">
        <v>679</v>
      </c>
      <c r="K121" s="33" t="s">
        <v>680</v>
      </c>
      <c r="L121" s="33" t="s">
        <v>993</v>
      </c>
      <c r="M121" s="33" t="s">
        <v>679</v>
      </c>
      <c r="N121" s="33" t="s">
        <v>993</v>
      </c>
      <c r="O121" s="33" t="s">
        <v>684</v>
      </c>
      <c r="P121" s="33" t="s">
        <v>992</v>
      </c>
      <c r="Q121" s="33" t="s">
        <v>993</v>
      </c>
      <c r="R121" s="41" t="s">
        <v>994</v>
      </c>
    </row>
    <row r="122" customFormat="false" ht="26.85" hidden="false" customHeight="false" outlineLevel="0" collapsed="false">
      <c r="A122" s="41" t="s">
        <v>1200</v>
      </c>
      <c r="B122" s="41" t="s">
        <v>1201</v>
      </c>
      <c r="C122" s="41" t="s">
        <v>705</v>
      </c>
      <c r="D122" s="41" t="s">
        <v>676</v>
      </c>
      <c r="E122" s="41" t="s">
        <v>675</v>
      </c>
      <c r="F122" s="41" t="s">
        <v>675</v>
      </c>
      <c r="G122" s="41" t="s">
        <v>1169</v>
      </c>
      <c r="H122" s="43" t="s">
        <v>1170</v>
      </c>
      <c r="I122" s="33" t="s">
        <v>714</v>
      </c>
      <c r="J122" s="33" t="s">
        <v>679</v>
      </c>
      <c r="K122" s="33" t="s">
        <v>714</v>
      </c>
      <c r="L122" s="33" t="s">
        <v>1202</v>
      </c>
      <c r="M122" s="33" t="s">
        <v>679</v>
      </c>
      <c r="N122" s="33" t="s">
        <v>1202</v>
      </c>
      <c r="O122" s="33" t="s">
        <v>680</v>
      </c>
      <c r="P122" s="33" t="s">
        <v>865</v>
      </c>
      <c r="Q122" s="33" t="s">
        <v>865</v>
      </c>
      <c r="R122" s="41" t="s">
        <v>865</v>
      </c>
    </row>
    <row r="123" customFormat="false" ht="26.85" hidden="false" customHeight="false" outlineLevel="0" collapsed="false">
      <c r="A123" s="41" t="s">
        <v>1203</v>
      </c>
      <c r="B123" s="41" t="s">
        <v>1204</v>
      </c>
      <c r="C123" s="41" t="s">
        <v>705</v>
      </c>
      <c r="D123" s="41" t="s">
        <v>676</v>
      </c>
      <c r="E123" s="41" t="s">
        <v>676</v>
      </c>
      <c r="F123" s="41" t="s">
        <v>675</v>
      </c>
      <c r="G123" s="41" t="s">
        <v>1169</v>
      </c>
      <c r="H123" s="43" t="s">
        <v>1170</v>
      </c>
      <c r="I123" s="33" t="s">
        <v>1205</v>
      </c>
      <c r="J123" s="33" t="s">
        <v>680</v>
      </c>
      <c r="K123" s="33" t="s">
        <v>1169</v>
      </c>
      <c r="L123" s="33" t="s">
        <v>1206</v>
      </c>
      <c r="M123" s="33" t="s">
        <v>865</v>
      </c>
      <c r="N123" s="33" t="s">
        <v>1207</v>
      </c>
      <c r="O123" s="33" t="s">
        <v>680</v>
      </c>
      <c r="P123" s="33" t="s">
        <v>865</v>
      </c>
      <c r="Q123" s="33" t="s">
        <v>865</v>
      </c>
      <c r="R123" s="41" t="s">
        <v>865</v>
      </c>
    </row>
    <row r="124" customFormat="false" ht="26.85" hidden="false" customHeight="false" outlineLevel="0" collapsed="false">
      <c r="A124" s="41" t="s">
        <v>1208</v>
      </c>
      <c r="B124" s="41" t="s">
        <v>1209</v>
      </c>
      <c r="C124" s="41" t="s">
        <v>705</v>
      </c>
      <c r="D124" s="41" t="s">
        <v>676</v>
      </c>
      <c r="E124" s="41" t="s">
        <v>675</v>
      </c>
      <c r="F124" s="41" t="s">
        <v>675</v>
      </c>
      <c r="G124" s="41" t="s">
        <v>1169</v>
      </c>
      <c r="H124" s="43" t="s">
        <v>1170</v>
      </c>
      <c r="I124" s="33" t="s">
        <v>680</v>
      </c>
      <c r="J124" s="33" t="s">
        <v>679</v>
      </c>
      <c r="K124" s="33" t="s">
        <v>680</v>
      </c>
      <c r="L124" s="33" t="s">
        <v>1210</v>
      </c>
      <c r="M124" s="33" t="s">
        <v>679</v>
      </c>
      <c r="N124" s="33" t="s">
        <v>1210</v>
      </c>
      <c r="O124" s="33" t="s">
        <v>680</v>
      </c>
      <c r="P124" s="33" t="s">
        <v>1210</v>
      </c>
      <c r="Q124" s="33" t="s">
        <v>1210</v>
      </c>
      <c r="R124" s="41" t="s">
        <v>1210</v>
      </c>
    </row>
    <row r="125" customFormat="false" ht="26.85" hidden="false" customHeight="false" outlineLevel="0" collapsed="false">
      <c r="A125" s="41"/>
      <c r="B125" s="41" t="s">
        <v>688</v>
      </c>
      <c r="C125" s="41" t="s">
        <v>674</v>
      </c>
      <c r="D125" s="41" t="s">
        <v>675</v>
      </c>
      <c r="E125" s="41" t="s">
        <v>675</v>
      </c>
      <c r="F125" s="41" t="s">
        <v>676</v>
      </c>
      <c r="G125" s="41" t="s">
        <v>1205</v>
      </c>
      <c r="H125" s="43" t="s">
        <v>1211</v>
      </c>
      <c r="I125" s="33" t="s">
        <v>679</v>
      </c>
      <c r="J125" s="33" t="s">
        <v>679</v>
      </c>
      <c r="K125" s="33" t="s">
        <v>679</v>
      </c>
      <c r="L125" s="33" t="s">
        <v>679</v>
      </c>
      <c r="M125" s="33" t="s">
        <v>679</v>
      </c>
      <c r="N125" s="33" t="s">
        <v>679</v>
      </c>
      <c r="O125" s="33" t="s">
        <v>679</v>
      </c>
      <c r="P125" s="33"/>
      <c r="Q125" s="33"/>
      <c r="R125" s="41"/>
    </row>
    <row r="126" customFormat="false" ht="26.85" hidden="false" customHeight="false" outlineLevel="0" collapsed="false">
      <c r="A126" s="41"/>
      <c r="B126" s="41" t="s">
        <v>1044</v>
      </c>
      <c r="C126" s="41" t="s">
        <v>674</v>
      </c>
      <c r="D126" s="41" t="s">
        <v>675</v>
      </c>
      <c r="E126" s="41" t="s">
        <v>675</v>
      </c>
      <c r="F126" s="41" t="s">
        <v>676</v>
      </c>
      <c r="G126" s="41" t="s">
        <v>1205</v>
      </c>
      <c r="H126" s="43" t="s">
        <v>1211</v>
      </c>
      <c r="I126" s="33" t="s">
        <v>679</v>
      </c>
      <c r="J126" s="33" t="s">
        <v>679</v>
      </c>
      <c r="K126" s="33" t="s">
        <v>679</v>
      </c>
      <c r="L126" s="33" t="s">
        <v>679</v>
      </c>
      <c r="M126" s="33" t="s">
        <v>679</v>
      </c>
      <c r="N126" s="33" t="s">
        <v>679</v>
      </c>
      <c r="O126" s="33" t="s">
        <v>679</v>
      </c>
      <c r="P126" s="33"/>
      <c r="Q126" s="33"/>
      <c r="R126" s="41"/>
    </row>
    <row r="127" customFormat="false" ht="26.85" hidden="false" customHeight="false" outlineLevel="0" collapsed="false">
      <c r="A127" s="41" t="s">
        <v>1212</v>
      </c>
      <c r="B127" s="41" t="s">
        <v>1213</v>
      </c>
      <c r="C127" s="41" t="s">
        <v>674</v>
      </c>
      <c r="D127" s="41" t="s">
        <v>676</v>
      </c>
      <c r="E127" s="41" t="s">
        <v>676</v>
      </c>
      <c r="F127" s="41" t="s">
        <v>676</v>
      </c>
      <c r="G127" s="41" t="s">
        <v>1205</v>
      </c>
      <c r="H127" s="43" t="s">
        <v>1211</v>
      </c>
      <c r="I127" s="33" t="s">
        <v>679</v>
      </c>
      <c r="J127" s="33" t="s">
        <v>684</v>
      </c>
      <c r="K127" s="33" t="s">
        <v>684</v>
      </c>
      <c r="L127" s="33" t="s">
        <v>679</v>
      </c>
      <c r="M127" s="33" t="s">
        <v>1214</v>
      </c>
      <c r="N127" s="33" t="s">
        <v>1214</v>
      </c>
      <c r="O127" s="33" t="s">
        <v>684</v>
      </c>
      <c r="P127" s="33" t="s">
        <v>1215</v>
      </c>
      <c r="Q127" s="33" t="s">
        <v>1216</v>
      </c>
      <c r="R127" s="41" t="s">
        <v>1217</v>
      </c>
    </row>
    <row r="128" customFormat="false" ht="26.85" hidden="false" customHeight="false" outlineLevel="0" collapsed="false">
      <c r="A128" s="41" t="s">
        <v>1218</v>
      </c>
      <c r="B128" s="41" t="s">
        <v>1219</v>
      </c>
      <c r="C128" s="41" t="s">
        <v>674</v>
      </c>
      <c r="D128" s="41" t="s">
        <v>675</v>
      </c>
      <c r="E128" s="41" t="s">
        <v>676</v>
      </c>
      <c r="F128" s="41" t="s">
        <v>676</v>
      </c>
      <c r="G128" s="41" t="s">
        <v>1205</v>
      </c>
      <c r="H128" s="43" t="s">
        <v>1211</v>
      </c>
      <c r="I128" s="33" t="s">
        <v>679</v>
      </c>
      <c r="J128" s="33" t="s">
        <v>1166</v>
      </c>
      <c r="K128" s="33" t="s">
        <v>1166</v>
      </c>
      <c r="L128" s="33" t="s">
        <v>679</v>
      </c>
      <c r="M128" s="33" t="s">
        <v>1220</v>
      </c>
      <c r="N128" s="33" t="s">
        <v>1220</v>
      </c>
      <c r="O128" s="33" t="s">
        <v>680</v>
      </c>
      <c r="P128" s="33" t="s">
        <v>1221</v>
      </c>
      <c r="Q128" s="33" t="s">
        <v>1221</v>
      </c>
      <c r="R128" s="41" t="s">
        <v>1221</v>
      </c>
    </row>
    <row r="129" customFormat="false" ht="26.85" hidden="false" customHeight="false" outlineLevel="0" collapsed="false">
      <c r="A129" s="41" t="s">
        <v>1222</v>
      </c>
      <c r="B129" s="41" t="s">
        <v>1223</v>
      </c>
      <c r="C129" s="41" t="s">
        <v>674</v>
      </c>
      <c r="D129" s="41" t="s">
        <v>676</v>
      </c>
      <c r="E129" s="41" t="s">
        <v>675</v>
      </c>
      <c r="F129" s="41" t="s">
        <v>675</v>
      </c>
      <c r="G129" s="41" t="s">
        <v>1205</v>
      </c>
      <c r="H129" s="43" t="s">
        <v>1211</v>
      </c>
      <c r="I129" s="33" t="s">
        <v>680</v>
      </c>
      <c r="J129" s="33" t="s">
        <v>679</v>
      </c>
      <c r="K129" s="33" t="s">
        <v>680</v>
      </c>
      <c r="L129" s="33" t="s">
        <v>1224</v>
      </c>
      <c r="M129" s="33" t="s">
        <v>679</v>
      </c>
      <c r="N129" s="33" t="s">
        <v>1224</v>
      </c>
      <c r="O129" s="33" t="s">
        <v>680</v>
      </c>
      <c r="P129" s="33" t="s">
        <v>1224</v>
      </c>
      <c r="Q129" s="33" t="s">
        <v>1224</v>
      </c>
      <c r="R129" s="41" t="s">
        <v>1224</v>
      </c>
    </row>
    <row r="130" customFormat="false" ht="26.85" hidden="false" customHeight="false" outlineLevel="0" collapsed="false">
      <c r="A130" s="41" t="s">
        <v>1225</v>
      </c>
      <c r="B130" s="41" t="s">
        <v>1226</v>
      </c>
      <c r="C130" s="41" t="s">
        <v>674</v>
      </c>
      <c r="D130" s="41" t="s">
        <v>676</v>
      </c>
      <c r="E130" s="41" t="s">
        <v>676</v>
      </c>
      <c r="F130" s="41" t="s">
        <v>676</v>
      </c>
      <c r="G130" s="41" t="s">
        <v>1205</v>
      </c>
      <c r="H130" s="43" t="s">
        <v>1211</v>
      </c>
      <c r="I130" s="33" t="s">
        <v>1227</v>
      </c>
      <c r="J130" s="33" t="s">
        <v>1166</v>
      </c>
      <c r="K130" s="33" t="s">
        <v>1228</v>
      </c>
      <c r="L130" s="33" t="s">
        <v>1229</v>
      </c>
      <c r="M130" s="33" t="s">
        <v>1230</v>
      </c>
      <c r="N130" s="33" t="s">
        <v>1231</v>
      </c>
      <c r="O130" s="33" t="s">
        <v>680</v>
      </c>
      <c r="P130" s="33" t="s">
        <v>907</v>
      </c>
      <c r="Q130" s="33" t="s">
        <v>907</v>
      </c>
      <c r="R130" s="41" t="s">
        <v>907</v>
      </c>
    </row>
    <row r="131" customFormat="false" ht="26.85" hidden="false" customHeight="false" outlineLevel="0" collapsed="false">
      <c r="A131" s="41" t="s">
        <v>1232</v>
      </c>
      <c r="B131" s="41" t="s">
        <v>1233</v>
      </c>
      <c r="C131" s="41" t="s">
        <v>674</v>
      </c>
      <c r="D131" s="41" t="s">
        <v>676</v>
      </c>
      <c r="E131" s="41" t="s">
        <v>675</v>
      </c>
      <c r="F131" s="41" t="s">
        <v>675</v>
      </c>
      <c r="G131" s="41" t="s">
        <v>1205</v>
      </c>
      <c r="H131" s="43" t="s">
        <v>1211</v>
      </c>
      <c r="I131" s="33" t="s">
        <v>680</v>
      </c>
      <c r="J131" s="33" t="s">
        <v>679</v>
      </c>
      <c r="K131" s="33" t="s">
        <v>680</v>
      </c>
      <c r="L131" s="33" t="s">
        <v>1234</v>
      </c>
      <c r="M131" s="33" t="s">
        <v>679</v>
      </c>
      <c r="N131" s="33" t="s">
        <v>1234</v>
      </c>
      <c r="O131" s="33" t="s">
        <v>680</v>
      </c>
      <c r="P131" s="33" t="s">
        <v>1234</v>
      </c>
      <c r="Q131" s="33" t="s">
        <v>1234</v>
      </c>
      <c r="R131" s="41" t="s">
        <v>1234</v>
      </c>
    </row>
    <row r="132" customFormat="false" ht="26.85" hidden="false" customHeight="false" outlineLevel="0" collapsed="false">
      <c r="A132" s="41" t="s">
        <v>1235</v>
      </c>
      <c r="B132" s="41" t="s">
        <v>1236</v>
      </c>
      <c r="C132" s="41" t="s">
        <v>674</v>
      </c>
      <c r="D132" s="41" t="s">
        <v>676</v>
      </c>
      <c r="E132" s="41" t="s">
        <v>675</v>
      </c>
      <c r="F132" s="41" t="s">
        <v>675</v>
      </c>
      <c r="G132" s="41" t="s">
        <v>1205</v>
      </c>
      <c r="H132" s="43" t="s">
        <v>1211</v>
      </c>
      <c r="I132" s="33" t="s">
        <v>680</v>
      </c>
      <c r="J132" s="33" t="s">
        <v>679</v>
      </c>
      <c r="K132" s="33" t="s">
        <v>680</v>
      </c>
      <c r="L132" s="33" t="s">
        <v>1237</v>
      </c>
      <c r="M132" s="33" t="s">
        <v>679</v>
      </c>
      <c r="N132" s="33" t="s">
        <v>1237</v>
      </c>
      <c r="O132" s="33" t="s">
        <v>680</v>
      </c>
      <c r="P132" s="33" t="s">
        <v>1237</v>
      </c>
      <c r="Q132" s="33" t="s">
        <v>1237</v>
      </c>
      <c r="R132" s="41" t="s">
        <v>1237</v>
      </c>
    </row>
    <row r="133" customFormat="false" ht="26.85" hidden="false" customHeight="false" outlineLevel="0" collapsed="false">
      <c r="A133" s="41" t="s">
        <v>1238</v>
      </c>
      <c r="B133" s="41" t="s">
        <v>1239</v>
      </c>
      <c r="C133" s="41" t="s">
        <v>674</v>
      </c>
      <c r="D133" s="41" t="s">
        <v>675</v>
      </c>
      <c r="E133" s="41" t="s">
        <v>676</v>
      </c>
      <c r="F133" s="41" t="s">
        <v>675</v>
      </c>
      <c r="G133" s="41" t="s">
        <v>1205</v>
      </c>
      <c r="H133" s="43" t="s">
        <v>1211</v>
      </c>
      <c r="I133" s="33" t="s">
        <v>679</v>
      </c>
      <c r="J133" s="33" t="s">
        <v>1227</v>
      </c>
      <c r="K133" s="33" t="s">
        <v>1227</v>
      </c>
      <c r="L133" s="33" t="s">
        <v>679</v>
      </c>
      <c r="M133" s="33" t="s">
        <v>1240</v>
      </c>
      <c r="N133" s="33" t="s">
        <v>1240</v>
      </c>
      <c r="O133" s="33" t="s">
        <v>680</v>
      </c>
      <c r="P133" s="33" t="s">
        <v>1241</v>
      </c>
      <c r="Q133" s="33" t="s">
        <v>1241</v>
      </c>
      <c r="R133" s="41" t="s">
        <v>1241</v>
      </c>
    </row>
    <row r="134" customFormat="false" ht="26.85" hidden="false" customHeight="false" outlineLevel="0" collapsed="false">
      <c r="A134" s="41" t="s">
        <v>1242</v>
      </c>
      <c r="B134" s="41" t="s">
        <v>1243</v>
      </c>
      <c r="C134" s="41" t="s">
        <v>674</v>
      </c>
      <c r="D134" s="41" t="s">
        <v>675</v>
      </c>
      <c r="E134" s="41" t="s">
        <v>676</v>
      </c>
      <c r="F134" s="41" t="s">
        <v>676</v>
      </c>
      <c r="G134" s="41" t="s">
        <v>1205</v>
      </c>
      <c r="H134" s="43" t="s">
        <v>1211</v>
      </c>
      <c r="I134" s="33" t="s">
        <v>679</v>
      </c>
      <c r="J134" s="33" t="s">
        <v>984</v>
      </c>
      <c r="K134" s="33" t="s">
        <v>984</v>
      </c>
      <c r="L134" s="33" t="s">
        <v>679</v>
      </c>
      <c r="M134" s="33" t="s">
        <v>1244</v>
      </c>
      <c r="N134" s="33" t="s">
        <v>1244</v>
      </c>
      <c r="O134" s="33" t="s">
        <v>684</v>
      </c>
      <c r="P134" s="33" t="s">
        <v>1245</v>
      </c>
      <c r="Q134" s="33" t="s">
        <v>1246</v>
      </c>
      <c r="R134" s="41" t="s">
        <v>1247</v>
      </c>
    </row>
    <row r="135" customFormat="false" ht="26.85" hidden="false" customHeight="false" outlineLevel="0" collapsed="false">
      <c r="A135" s="41" t="s">
        <v>474</v>
      </c>
      <c r="B135" s="41" t="s">
        <v>475</v>
      </c>
      <c r="C135" s="41" t="s">
        <v>1181</v>
      </c>
      <c r="D135" s="41" t="s">
        <v>676</v>
      </c>
      <c r="E135" s="41" t="s">
        <v>675</v>
      </c>
      <c r="F135" s="41" t="s">
        <v>675</v>
      </c>
      <c r="G135" s="41" t="s">
        <v>1205</v>
      </c>
      <c r="H135" s="43" t="s">
        <v>1211</v>
      </c>
      <c r="I135" s="33" t="s">
        <v>680</v>
      </c>
      <c r="J135" s="33" t="s">
        <v>679</v>
      </c>
      <c r="K135" s="33" t="s">
        <v>680</v>
      </c>
      <c r="L135" s="33" t="s">
        <v>1248</v>
      </c>
      <c r="M135" s="33" t="s">
        <v>679</v>
      </c>
      <c r="N135" s="33" t="s">
        <v>1248</v>
      </c>
      <c r="O135" s="33" t="s">
        <v>680</v>
      </c>
      <c r="P135" s="33" t="s">
        <v>1248</v>
      </c>
      <c r="Q135" s="33" t="s">
        <v>1248</v>
      </c>
      <c r="R135" s="41" t="s">
        <v>1248</v>
      </c>
    </row>
    <row r="136" customFormat="false" ht="15" hidden="false" customHeight="false" outlineLevel="0" collapsed="false">
      <c r="A136" s="41"/>
      <c r="B136" s="41" t="s">
        <v>753</v>
      </c>
      <c r="C136" s="41" t="s">
        <v>705</v>
      </c>
      <c r="D136" s="41" t="s">
        <v>675</v>
      </c>
      <c r="E136" s="41" t="s">
        <v>675</v>
      </c>
      <c r="F136" s="41" t="s">
        <v>676</v>
      </c>
      <c r="G136" s="41" t="s">
        <v>1205</v>
      </c>
      <c r="H136" s="43" t="s">
        <v>1211</v>
      </c>
      <c r="I136" s="33" t="s">
        <v>679</v>
      </c>
      <c r="J136" s="33" t="s">
        <v>679</v>
      </c>
      <c r="K136" s="33" t="s">
        <v>679</v>
      </c>
      <c r="L136" s="33" t="s">
        <v>679</v>
      </c>
      <c r="M136" s="33" t="s">
        <v>679</v>
      </c>
      <c r="N136" s="33" t="s">
        <v>679</v>
      </c>
      <c r="O136" s="33" t="s">
        <v>679</v>
      </c>
      <c r="P136" s="33"/>
      <c r="Q136" s="33"/>
      <c r="R136" s="41"/>
    </row>
    <row r="137" customFormat="false" ht="26.85" hidden="false" customHeight="false" outlineLevel="0" collapsed="false">
      <c r="A137" s="41" t="s">
        <v>1249</v>
      </c>
      <c r="B137" s="41" t="s">
        <v>1250</v>
      </c>
      <c r="C137" s="41" t="s">
        <v>705</v>
      </c>
      <c r="D137" s="41" t="s">
        <v>676</v>
      </c>
      <c r="E137" s="41" t="s">
        <v>675</v>
      </c>
      <c r="F137" s="41" t="s">
        <v>675</v>
      </c>
      <c r="G137" s="41" t="s">
        <v>1205</v>
      </c>
      <c r="H137" s="43" t="s">
        <v>1211</v>
      </c>
      <c r="I137" s="33" t="s">
        <v>1040</v>
      </c>
      <c r="J137" s="33" t="s">
        <v>679</v>
      </c>
      <c r="K137" s="33" t="s">
        <v>1040</v>
      </c>
      <c r="L137" s="33" t="s">
        <v>1251</v>
      </c>
      <c r="M137" s="33" t="s">
        <v>679</v>
      </c>
      <c r="N137" s="33" t="s">
        <v>1251</v>
      </c>
      <c r="O137" s="33" t="s">
        <v>680</v>
      </c>
      <c r="P137" s="33" t="s">
        <v>1252</v>
      </c>
      <c r="Q137" s="33" t="s">
        <v>1252</v>
      </c>
      <c r="R137" s="41" t="s">
        <v>1252</v>
      </c>
    </row>
    <row r="138" customFormat="false" ht="15" hidden="false" customHeight="false" outlineLevel="0" collapsed="false">
      <c r="A138" s="41" t="s">
        <v>1253</v>
      </c>
      <c r="B138" s="41" t="s">
        <v>1254</v>
      </c>
      <c r="C138" s="41" t="s">
        <v>705</v>
      </c>
      <c r="D138" s="41" t="s">
        <v>676</v>
      </c>
      <c r="E138" s="41" t="s">
        <v>675</v>
      </c>
      <c r="F138" s="41" t="s">
        <v>675</v>
      </c>
      <c r="G138" s="41" t="s">
        <v>1205</v>
      </c>
      <c r="H138" s="43" t="s">
        <v>1211</v>
      </c>
      <c r="I138" s="33" t="s">
        <v>680</v>
      </c>
      <c r="J138" s="33" t="s">
        <v>679</v>
      </c>
      <c r="K138" s="33" t="s">
        <v>680</v>
      </c>
      <c r="L138" s="33" t="s">
        <v>1255</v>
      </c>
      <c r="M138" s="33" t="s">
        <v>679</v>
      </c>
      <c r="N138" s="33" t="s">
        <v>1255</v>
      </c>
      <c r="O138" s="33" t="s">
        <v>680</v>
      </c>
      <c r="P138" s="33" t="s">
        <v>1255</v>
      </c>
      <c r="Q138" s="33" t="s">
        <v>1255</v>
      </c>
      <c r="R138" s="41" t="s">
        <v>1255</v>
      </c>
    </row>
    <row r="139" customFormat="false" ht="26.85" hidden="false" customHeight="false" outlineLevel="0" collapsed="false">
      <c r="A139" s="41" t="s">
        <v>1256</v>
      </c>
      <c r="B139" s="41" t="s">
        <v>1257</v>
      </c>
      <c r="C139" s="41" t="s">
        <v>705</v>
      </c>
      <c r="D139" s="41" t="s">
        <v>676</v>
      </c>
      <c r="E139" s="41" t="s">
        <v>675</v>
      </c>
      <c r="F139" s="41" t="s">
        <v>675</v>
      </c>
      <c r="G139" s="41" t="s">
        <v>1205</v>
      </c>
      <c r="H139" s="43" t="s">
        <v>1211</v>
      </c>
      <c r="I139" s="33" t="s">
        <v>680</v>
      </c>
      <c r="J139" s="33" t="s">
        <v>679</v>
      </c>
      <c r="K139" s="33" t="s">
        <v>680</v>
      </c>
      <c r="L139" s="33" t="s">
        <v>1258</v>
      </c>
      <c r="M139" s="33" t="s">
        <v>679</v>
      </c>
      <c r="N139" s="33" t="s">
        <v>1258</v>
      </c>
      <c r="O139" s="33" t="s">
        <v>680</v>
      </c>
      <c r="P139" s="33" t="s">
        <v>1258</v>
      </c>
      <c r="Q139" s="33" t="s">
        <v>1258</v>
      </c>
      <c r="R139" s="41" t="s">
        <v>1258</v>
      </c>
    </row>
    <row r="140" customFormat="false" ht="26.85" hidden="false" customHeight="false" outlineLevel="0" collapsed="false">
      <c r="A140" s="41"/>
      <c r="B140" s="41" t="s">
        <v>970</v>
      </c>
      <c r="C140" s="41" t="s">
        <v>674</v>
      </c>
      <c r="D140" s="41" t="s">
        <v>675</v>
      </c>
      <c r="E140" s="41" t="s">
        <v>675</v>
      </c>
      <c r="F140" s="41" t="s">
        <v>676</v>
      </c>
      <c r="G140" s="41" t="s">
        <v>784</v>
      </c>
      <c r="H140" s="43" t="s">
        <v>1259</v>
      </c>
      <c r="I140" s="33" t="s">
        <v>679</v>
      </c>
      <c r="J140" s="33" t="s">
        <v>679</v>
      </c>
      <c r="K140" s="33" t="s">
        <v>679</v>
      </c>
      <c r="L140" s="33" t="s">
        <v>679</v>
      </c>
      <c r="M140" s="33" t="s">
        <v>679</v>
      </c>
      <c r="N140" s="33" t="s">
        <v>679</v>
      </c>
      <c r="O140" s="33" t="s">
        <v>679</v>
      </c>
      <c r="P140" s="33"/>
      <c r="Q140" s="33"/>
      <c r="R140" s="41"/>
    </row>
    <row r="141" customFormat="false" ht="26.85" hidden="false" customHeight="false" outlineLevel="0" collapsed="false">
      <c r="A141" s="41" t="s">
        <v>1260</v>
      </c>
      <c r="B141" s="41" t="s">
        <v>1261</v>
      </c>
      <c r="C141" s="41" t="s">
        <v>674</v>
      </c>
      <c r="D141" s="41" t="s">
        <v>675</v>
      </c>
      <c r="E141" s="41" t="s">
        <v>676</v>
      </c>
      <c r="F141" s="41" t="s">
        <v>676</v>
      </c>
      <c r="G141" s="41" t="s">
        <v>784</v>
      </c>
      <c r="H141" s="43" t="s">
        <v>1259</v>
      </c>
      <c r="I141" s="33" t="s">
        <v>679</v>
      </c>
      <c r="J141" s="33" t="s">
        <v>684</v>
      </c>
      <c r="K141" s="33" t="s">
        <v>684</v>
      </c>
      <c r="L141" s="33" t="s">
        <v>679</v>
      </c>
      <c r="M141" s="33" t="s">
        <v>1262</v>
      </c>
      <c r="N141" s="33" t="s">
        <v>1262</v>
      </c>
      <c r="O141" s="33" t="s">
        <v>680</v>
      </c>
      <c r="P141" s="33" t="s">
        <v>1263</v>
      </c>
      <c r="Q141" s="33" t="s">
        <v>1263</v>
      </c>
      <c r="R141" s="41" t="s">
        <v>1263</v>
      </c>
    </row>
    <row r="142" customFormat="false" ht="26.85" hidden="false" customHeight="false" outlineLevel="0" collapsed="false">
      <c r="A142" s="41" t="s">
        <v>1264</v>
      </c>
      <c r="B142" s="41" t="s">
        <v>1265</v>
      </c>
      <c r="C142" s="41" t="s">
        <v>705</v>
      </c>
      <c r="D142" s="41" t="s">
        <v>675</v>
      </c>
      <c r="E142" s="41" t="s">
        <v>676</v>
      </c>
      <c r="F142" s="41" t="s">
        <v>676</v>
      </c>
      <c r="G142" s="41" t="s">
        <v>784</v>
      </c>
      <c r="H142" s="43" t="s">
        <v>1259</v>
      </c>
      <c r="I142" s="33" t="s">
        <v>679</v>
      </c>
      <c r="J142" s="33" t="s">
        <v>680</v>
      </c>
      <c r="K142" s="33" t="s">
        <v>680</v>
      </c>
      <c r="L142" s="33" t="s">
        <v>679</v>
      </c>
      <c r="M142" s="33" t="s">
        <v>1266</v>
      </c>
      <c r="N142" s="33" t="s">
        <v>1266</v>
      </c>
      <c r="O142" s="33" t="s">
        <v>684</v>
      </c>
      <c r="P142" s="33" t="s">
        <v>1266</v>
      </c>
      <c r="Q142" s="33" t="s">
        <v>1267</v>
      </c>
      <c r="R142" s="41" t="s">
        <v>1268</v>
      </c>
    </row>
    <row r="143" customFormat="false" ht="26.85" hidden="false" customHeight="false" outlineLevel="0" collapsed="false">
      <c r="A143" s="41" t="s">
        <v>1269</v>
      </c>
      <c r="B143" s="41" t="s">
        <v>1270</v>
      </c>
      <c r="C143" s="41" t="s">
        <v>705</v>
      </c>
      <c r="D143" s="41" t="s">
        <v>676</v>
      </c>
      <c r="E143" s="41" t="s">
        <v>675</v>
      </c>
      <c r="F143" s="41" t="s">
        <v>675</v>
      </c>
      <c r="G143" s="41" t="s">
        <v>784</v>
      </c>
      <c r="H143" s="43" t="s">
        <v>1259</v>
      </c>
      <c r="I143" s="33" t="s">
        <v>680</v>
      </c>
      <c r="J143" s="33" t="s">
        <v>679</v>
      </c>
      <c r="K143" s="33" t="s">
        <v>680</v>
      </c>
      <c r="L143" s="33" t="s">
        <v>1271</v>
      </c>
      <c r="M143" s="33" t="s">
        <v>679</v>
      </c>
      <c r="N143" s="33" t="s">
        <v>1271</v>
      </c>
      <c r="O143" s="33" t="s">
        <v>680</v>
      </c>
      <c r="P143" s="33" t="s">
        <v>1271</v>
      </c>
      <c r="Q143" s="33" t="s">
        <v>1271</v>
      </c>
      <c r="R143" s="41" t="s">
        <v>1271</v>
      </c>
    </row>
    <row r="144" customFormat="false" ht="15" hidden="false" customHeight="false" outlineLevel="0" collapsed="false">
      <c r="A144" s="41" t="s">
        <v>1272</v>
      </c>
      <c r="B144" s="41" t="s">
        <v>1273</v>
      </c>
      <c r="C144" s="41" t="s">
        <v>705</v>
      </c>
      <c r="D144" s="41" t="s">
        <v>676</v>
      </c>
      <c r="E144" s="41" t="s">
        <v>675</v>
      </c>
      <c r="F144" s="41" t="s">
        <v>675</v>
      </c>
      <c r="G144" s="41" t="s">
        <v>784</v>
      </c>
      <c r="H144" s="43" t="s">
        <v>1259</v>
      </c>
      <c r="I144" s="33" t="s">
        <v>680</v>
      </c>
      <c r="J144" s="33" t="s">
        <v>679</v>
      </c>
      <c r="K144" s="33" t="s">
        <v>680</v>
      </c>
      <c r="L144" s="33" t="s">
        <v>914</v>
      </c>
      <c r="M144" s="33" t="s">
        <v>679</v>
      </c>
      <c r="N144" s="33" t="s">
        <v>914</v>
      </c>
      <c r="O144" s="33" t="s">
        <v>684</v>
      </c>
      <c r="P144" s="33" t="s">
        <v>1274</v>
      </c>
      <c r="Q144" s="33" t="s">
        <v>914</v>
      </c>
      <c r="R144" s="41" t="s">
        <v>1275</v>
      </c>
    </row>
    <row r="145" customFormat="false" ht="15" hidden="false" customHeight="false" outlineLevel="0" collapsed="false">
      <c r="A145" s="41" t="s">
        <v>1276</v>
      </c>
      <c r="B145" s="41" t="s">
        <v>204</v>
      </c>
      <c r="C145" s="41" t="s">
        <v>705</v>
      </c>
      <c r="D145" s="41" t="s">
        <v>676</v>
      </c>
      <c r="E145" s="41" t="s">
        <v>675</v>
      </c>
      <c r="F145" s="41" t="s">
        <v>675</v>
      </c>
      <c r="G145" s="41" t="s">
        <v>784</v>
      </c>
      <c r="H145" s="43" t="s">
        <v>1259</v>
      </c>
      <c r="I145" s="33" t="s">
        <v>680</v>
      </c>
      <c r="J145" s="33" t="s">
        <v>679</v>
      </c>
      <c r="K145" s="33" t="s">
        <v>680</v>
      </c>
      <c r="L145" s="33" t="s">
        <v>1277</v>
      </c>
      <c r="M145" s="33" t="s">
        <v>679</v>
      </c>
      <c r="N145" s="33" t="s">
        <v>1277</v>
      </c>
      <c r="O145" s="33" t="s">
        <v>684</v>
      </c>
      <c r="P145" s="33" t="s">
        <v>1277</v>
      </c>
      <c r="Q145" s="33" t="s">
        <v>1278</v>
      </c>
      <c r="R145" s="41" t="s">
        <v>1279</v>
      </c>
    </row>
    <row r="146" customFormat="false" ht="26.85" hidden="false" customHeight="false" outlineLevel="0" collapsed="false">
      <c r="A146" s="41" t="s">
        <v>1280</v>
      </c>
      <c r="B146" s="41" t="s">
        <v>201</v>
      </c>
      <c r="C146" s="41" t="s">
        <v>705</v>
      </c>
      <c r="D146" s="41" t="s">
        <v>676</v>
      </c>
      <c r="E146" s="41" t="s">
        <v>675</v>
      </c>
      <c r="F146" s="41" t="s">
        <v>675</v>
      </c>
      <c r="G146" s="41" t="s">
        <v>784</v>
      </c>
      <c r="H146" s="43" t="s">
        <v>1259</v>
      </c>
      <c r="I146" s="33" t="s">
        <v>714</v>
      </c>
      <c r="J146" s="33" t="s">
        <v>679</v>
      </c>
      <c r="K146" s="33" t="s">
        <v>714</v>
      </c>
      <c r="L146" s="33" t="s">
        <v>1281</v>
      </c>
      <c r="M146" s="33" t="s">
        <v>679</v>
      </c>
      <c r="N146" s="33" t="s">
        <v>1281</v>
      </c>
      <c r="O146" s="33" t="s">
        <v>680</v>
      </c>
      <c r="P146" s="33" t="s">
        <v>1282</v>
      </c>
      <c r="Q146" s="33" t="s">
        <v>1282</v>
      </c>
      <c r="R146" s="41" t="s">
        <v>1282</v>
      </c>
    </row>
    <row r="147" customFormat="false" ht="15" hidden="false" customHeight="false" outlineLevel="0" collapsed="false">
      <c r="A147" s="41" t="s">
        <v>1283</v>
      </c>
      <c r="B147" s="41" t="s">
        <v>1284</v>
      </c>
      <c r="C147" s="41" t="s">
        <v>705</v>
      </c>
      <c r="D147" s="41" t="s">
        <v>676</v>
      </c>
      <c r="E147" s="41" t="s">
        <v>675</v>
      </c>
      <c r="F147" s="41" t="s">
        <v>675</v>
      </c>
      <c r="G147" s="41" t="s">
        <v>784</v>
      </c>
      <c r="H147" s="43" t="s">
        <v>1259</v>
      </c>
      <c r="I147" s="33" t="s">
        <v>680</v>
      </c>
      <c r="J147" s="33" t="s">
        <v>679</v>
      </c>
      <c r="K147" s="33" t="s">
        <v>680</v>
      </c>
      <c r="L147" s="33" t="s">
        <v>992</v>
      </c>
      <c r="M147" s="33" t="s">
        <v>679</v>
      </c>
      <c r="N147" s="33" t="s">
        <v>992</v>
      </c>
      <c r="O147" s="33" t="s">
        <v>684</v>
      </c>
      <c r="P147" s="33" t="s">
        <v>992</v>
      </c>
      <c r="Q147" s="33" t="s">
        <v>993</v>
      </c>
      <c r="R147" s="41" t="s">
        <v>994</v>
      </c>
    </row>
    <row r="148" customFormat="false" ht="26.85" hidden="false" customHeight="false" outlineLevel="0" collapsed="false">
      <c r="A148" s="41" t="s">
        <v>1285</v>
      </c>
      <c r="B148" s="41" t="s">
        <v>1286</v>
      </c>
      <c r="C148" s="41" t="s">
        <v>705</v>
      </c>
      <c r="D148" s="41" t="s">
        <v>676</v>
      </c>
      <c r="E148" s="41" t="s">
        <v>675</v>
      </c>
      <c r="F148" s="41" t="s">
        <v>675</v>
      </c>
      <c r="G148" s="41" t="s">
        <v>784</v>
      </c>
      <c r="H148" s="43" t="s">
        <v>1259</v>
      </c>
      <c r="I148" s="33" t="s">
        <v>689</v>
      </c>
      <c r="J148" s="33" t="s">
        <v>679</v>
      </c>
      <c r="K148" s="33" t="s">
        <v>689</v>
      </c>
      <c r="L148" s="33" t="s">
        <v>1287</v>
      </c>
      <c r="M148" s="33" t="s">
        <v>679</v>
      </c>
      <c r="N148" s="33" t="s">
        <v>1287</v>
      </c>
      <c r="O148" s="33" t="s">
        <v>684</v>
      </c>
      <c r="P148" s="33" t="s">
        <v>866</v>
      </c>
      <c r="Q148" s="33" t="s">
        <v>865</v>
      </c>
      <c r="R148" s="41" t="s">
        <v>867</v>
      </c>
    </row>
    <row r="149" customFormat="false" ht="15" hidden="false" customHeight="false" outlineLevel="0" collapsed="false">
      <c r="A149" s="41" t="s">
        <v>1288</v>
      </c>
      <c r="B149" s="41" t="s">
        <v>1289</v>
      </c>
      <c r="C149" s="41" t="s">
        <v>705</v>
      </c>
      <c r="D149" s="41" t="s">
        <v>676</v>
      </c>
      <c r="E149" s="41" t="s">
        <v>676</v>
      </c>
      <c r="F149" s="41" t="s">
        <v>676</v>
      </c>
      <c r="G149" s="41" t="s">
        <v>784</v>
      </c>
      <c r="H149" s="43" t="s">
        <v>1259</v>
      </c>
      <c r="I149" s="33" t="s">
        <v>679</v>
      </c>
      <c r="J149" s="33" t="s">
        <v>714</v>
      </c>
      <c r="K149" s="33" t="s">
        <v>714</v>
      </c>
      <c r="L149" s="33" t="s">
        <v>679</v>
      </c>
      <c r="M149" s="33" t="s">
        <v>1290</v>
      </c>
      <c r="N149" s="33" t="s">
        <v>1290</v>
      </c>
      <c r="O149" s="33" t="s">
        <v>684</v>
      </c>
      <c r="P149" s="33" t="s">
        <v>799</v>
      </c>
      <c r="Q149" s="33" t="s">
        <v>1291</v>
      </c>
      <c r="R149" s="41" t="s">
        <v>1292</v>
      </c>
    </row>
    <row r="150" customFormat="false" ht="39.55" hidden="false" customHeight="false" outlineLevel="0" collapsed="false">
      <c r="A150" s="41" t="s">
        <v>1293</v>
      </c>
      <c r="B150" s="41" t="s">
        <v>1294</v>
      </c>
      <c r="C150" s="41" t="s">
        <v>705</v>
      </c>
      <c r="D150" s="41" t="s">
        <v>675</v>
      </c>
      <c r="E150" s="41" t="s">
        <v>676</v>
      </c>
      <c r="F150" s="41" t="s">
        <v>675</v>
      </c>
      <c r="G150" s="41" t="s">
        <v>784</v>
      </c>
      <c r="H150" s="43" t="s">
        <v>1259</v>
      </c>
      <c r="I150" s="33" t="s">
        <v>679</v>
      </c>
      <c r="J150" s="33" t="s">
        <v>680</v>
      </c>
      <c r="K150" s="33" t="s">
        <v>680</v>
      </c>
      <c r="L150" s="33" t="s">
        <v>679</v>
      </c>
      <c r="M150" s="33" t="s">
        <v>1295</v>
      </c>
      <c r="N150" s="33" t="s">
        <v>1295</v>
      </c>
      <c r="O150" s="33" t="s">
        <v>684</v>
      </c>
      <c r="P150" s="33" t="s">
        <v>1296</v>
      </c>
      <c r="Q150" s="33" t="s">
        <v>1295</v>
      </c>
      <c r="R150" s="41" t="s">
        <v>1297</v>
      </c>
    </row>
    <row r="151" customFormat="false" ht="26.85" hidden="false" customHeight="false" outlineLevel="0" collapsed="false">
      <c r="A151" s="41" t="s">
        <v>1298</v>
      </c>
      <c r="B151" s="41" t="s">
        <v>1299</v>
      </c>
      <c r="C151" s="41" t="s">
        <v>674</v>
      </c>
      <c r="D151" s="41" t="s">
        <v>676</v>
      </c>
      <c r="E151" s="41" t="s">
        <v>675</v>
      </c>
      <c r="F151" s="41" t="s">
        <v>675</v>
      </c>
      <c r="G151" s="41" t="s">
        <v>1045</v>
      </c>
      <c r="H151" s="43" t="s">
        <v>1300</v>
      </c>
      <c r="I151" s="33" t="s">
        <v>680</v>
      </c>
      <c r="J151" s="33" t="s">
        <v>679</v>
      </c>
      <c r="K151" s="33" t="s">
        <v>680</v>
      </c>
      <c r="L151" s="33" t="s">
        <v>1301</v>
      </c>
      <c r="M151" s="33" t="s">
        <v>679</v>
      </c>
      <c r="N151" s="33" t="s">
        <v>1301</v>
      </c>
      <c r="O151" s="33" t="s">
        <v>684</v>
      </c>
      <c r="P151" s="33" t="s">
        <v>1302</v>
      </c>
      <c r="Q151" s="33" t="s">
        <v>1301</v>
      </c>
      <c r="R151" s="41" t="s">
        <v>1303</v>
      </c>
    </row>
    <row r="152" customFormat="false" ht="26.85" hidden="false" customHeight="false" outlineLevel="0" collapsed="false">
      <c r="A152" s="41" t="s">
        <v>1304</v>
      </c>
      <c r="B152" s="41" t="s">
        <v>1305</v>
      </c>
      <c r="C152" s="41" t="s">
        <v>674</v>
      </c>
      <c r="D152" s="41" t="s">
        <v>675</v>
      </c>
      <c r="E152" s="41" t="s">
        <v>676</v>
      </c>
      <c r="F152" s="41" t="s">
        <v>676</v>
      </c>
      <c r="G152" s="41" t="s">
        <v>1045</v>
      </c>
      <c r="H152" s="43" t="s">
        <v>1300</v>
      </c>
      <c r="I152" s="33" t="s">
        <v>679</v>
      </c>
      <c r="J152" s="33" t="s">
        <v>714</v>
      </c>
      <c r="K152" s="33" t="s">
        <v>714</v>
      </c>
      <c r="L152" s="33" t="s">
        <v>679</v>
      </c>
      <c r="M152" s="33" t="s">
        <v>1306</v>
      </c>
      <c r="N152" s="33" t="s">
        <v>1306</v>
      </c>
      <c r="O152" s="33" t="s">
        <v>684</v>
      </c>
      <c r="P152" s="33" t="s">
        <v>1307</v>
      </c>
      <c r="Q152" s="33" t="s">
        <v>1308</v>
      </c>
      <c r="R152" s="41" t="s">
        <v>1309</v>
      </c>
    </row>
    <row r="153" customFormat="false" ht="26.85" hidden="false" customHeight="false" outlineLevel="0" collapsed="false">
      <c r="A153" s="41" t="s">
        <v>1310</v>
      </c>
      <c r="B153" s="41" t="s">
        <v>1311</v>
      </c>
      <c r="C153" s="41" t="s">
        <v>674</v>
      </c>
      <c r="D153" s="41" t="s">
        <v>676</v>
      </c>
      <c r="E153" s="41" t="s">
        <v>675</v>
      </c>
      <c r="F153" s="41" t="s">
        <v>675</v>
      </c>
      <c r="G153" s="41" t="s">
        <v>1045</v>
      </c>
      <c r="H153" s="43" t="s">
        <v>1300</v>
      </c>
      <c r="I153" s="33" t="s">
        <v>680</v>
      </c>
      <c r="J153" s="33" t="s">
        <v>679</v>
      </c>
      <c r="K153" s="33" t="s">
        <v>680</v>
      </c>
      <c r="L153" s="33" t="s">
        <v>1312</v>
      </c>
      <c r="M153" s="33" t="s">
        <v>679</v>
      </c>
      <c r="N153" s="33" t="s">
        <v>1312</v>
      </c>
      <c r="O153" s="33" t="s">
        <v>680</v>
      </c>
      <c r="P153" s="33" t="s">
        <v>1312</v>
      </c>
      <c r="Q153" s="33" t="s">
        <v>1312</v>
      </c>
      <c r="R153" s="41" t="s">
        <v>1312</v>
      </c>
    </row>
    <row r="154" customFormat="false" ht="26.85" hidden="false" customHeight="false" outlineLevel="0" collapsed="false">
      <c r="A154" s="41" t="s">
        <v>1313</v>
      </c>
      <c r="B154" s="41" t="s">
        <v>1314</v>
      </c>
      <c r="C154" s="41" t="s">
        <v>674</v>
      </c>
      <c r="D154" s="41" t="s">
        <v>676</v>
      </c>
      <c r="E154" s="41" t="s">
        <v>676</v>
      </c>
      <c r="F154" s="41" t="s">
        <v>675</v>
      </c>
      <c r="G154" s="41" t="s">
        <v>1045</v>
      </c>
      <c r="H154" s="43" t="s">
        <v>1300</v>
      </c>
      <c r="I154" s="33" t="s">
        <v>680</v>
      </c>
      <c r="J154" s="33" t="s">
        <v>679</v>
      </c>
      <c r="K154" s="33" t="s">
        <v>1227</v>
      </c>
      <c r="L154" s="33" t="s">
        <v>1315</v>
      </c>
      <c r="M154" s="33" t="s">
        <v>679</v>
      </c>
      <c r="N154" s="33" t="s">
        <v>1316</v>
      </c>
      <c r="O154" s="33" t="s">
        <v>684</v>
      </c>
      <c r="P154" s="33" t="s">
        <v>1315</v>
      </c>
      <c r="Q154" s="33" t="s">
        <v>1317</v>
      </c>
      <c r="R154" s="41" t="s">
        <v>1318</v>
      </c>
    </row>
    <row r="155" customFormat="false" ht="26.85" hidden="false" customHeight="false" outlineLevel="0" collapsed="false">
      <c r="A155" s="41" t="s">
        <v>1319</v>
      </c>
      <c r="B155" s="41" t="s">
        <v>1320</v>
      </c>
      <c r="C155" s="41" t="s">
        <v>674</v>
      </c>
      <c r="D155" s="41" t="s">
        <v>676</v>
      </c>
      <c r="E155" s="41" t="s">
        <v>675</v>
      </c>
      <c r="F155" s="41" t="s">
        <v>675</v>
      </c>
      <c r="G155" s="41" t="s">
        <v>1045</v>
      </c>
      <c r="H155" s="43" t="s">
        <v>1300</v>
      </c>
      <c r="I155" s="33" t="s">
        <v>680</v>
      </c>
      <c r="J155" s="33" t="s">
        <v>679</v>
      </c>
      <c r="K155" s="33" t="s">
        <v>680</v>
      </c>
      <c r="L155" s="33" t="s">
        <v>1321</v>
      </c>
      <c r="M155" s="33" t="s">
        <v>679</v>
      </c>
      <c r="N155" s="33" t="s">
        <v>1321</v>
      </c>
      <c r="O155" s="33" t="s">
        <v>680</v>
      </c>
      <c r="P155" s="33" t="s">
        <v>1321</v>
      </c>
      <c r="Q155" s="33" t="s">
        <v>1321</v>
      </c>
      <c r="R155" s="41" t="s">
        <v>1321</v>
      </c>
    </row>
    <row r="156" customFormat="false" ht="26.85" hidden="false" customHeight="false" outlineLevel="0" collapsed="false">
      <c r="A156" s="41" t="s">
        <v>1322</v>
      </c>
      <c r="B156" s="41" t="s">
        <v>1323</v>
      </c>
      <c r="C156" s="41" t="s">
        <v>674</v>
      </c>
      <c r="D156" s="41" t="s">
        <v>676</v>
      </c>
      <c r="E156" s="41" t="s">
        <v>676</v>
      </c>
      <c r="F156" s="41" t="s">
        <v>676</v>
      </c>
      <c r="G156" s="41" t="s">
        <v>1045</v>
      </c>
      <c r="H156" s="43" t="s">
        <v>1300</v>
      </c>
      <c r="I156" s="33" t="s">
        <v>680</v>
      </c>
      <c r="J156" s="33" t="s">
        <v>684</v>
      </c>
      <c r="K156" s="33" t="s">
        <v>714</v>
      </c>
      <c r="L156" s="33" t="s">
        <v>1324</v>
      </c>
      <c r="M156" s="33" t="s">
        <v>1325</v>
      </c>
      <c r="N156" s="33" t="s">
        <v>1326</v>
      </c>
      <c r="O156" s="33" t="s">
        <v>680</v>
      </c>
      <c r="P156" s="33" t="s">
        <v>1324</v>
      </c>
      <c r="Q156" s="33" t="s">
        <v>1324</v>
      </c>
      <c r="R156" s="41" t="s">
        <v>1324</v>
      </c>
    </row>
    <row r="157" customFormat="false" ht="26.85" hidden="false" customHeight="false" outlineLevel="0" collapsed="false">
      <c r="A157" s="41" t="s">
        <v>1327</v>
      </c>
      <c r="B157" s="41" t="s">
        <v>1328</v>
      </c>
      <c r="C157" s="41" t="s">
        <v>674</v>
      </c>
      <c r="D157" s="41" t="s">
        <v>675</v>
      </c>
      <c r="E157" s="41" t="s">
        <v>676</v>
      </c>
      <c r="F157" s="41" t="s">
        <v>675</v>
      </c>
      <c r="G157" s="41" t="s">
        <v>1045</v>
      </c>
      <c r="H157" s="43" t="s">
        <v>1300</v>
      </c>
      <c r="I157" s="33" t="s">
        <v>679</v>
      </c>
      <c r="J157" s="33" t="s">
        <v>1227</v>
      </c>
      <c r="K157" s="33" t="s">
        <v>1227</v>
      </c>
      <c r="L157" s="33" t="s">
        <v>679</v>
      </c>
      <c r="M157" s="33" t="s">
        <v>1329</v>
      </c>
      <c r="N157" s="33" t="s">
        <v>1329</v>
      </c>
      <c r="O157" s="33" t="s">
        <v>684</v>
      </c>
      <c r="P157" s="33" t="s">
        <v>1330</v>
      </c>
      <c r="Q157" s="33" t="s">
        <v>1331</v>
      </c>
      <c r="R157" s="41" t="s">
        <v>1332</v>
      </c>
    </row>
    <row r="158" customFormat="false" ht="26.85" hidden="false" customHeight="false" outlineLevel="0" collapsed="false">
      <c r="A158" s="41" t="s">
        <v>518</v>
      </c>
      <c r="B158" s="41" t="s">
        <v>1333</v>
      </c>
      <c r="C158" s="41" t="s">
        <v>1181</v>
      </c>
      <c r="D158" s="41" t="s">
        <v>676</v>
      </c>
      <c r="E158" s="41" t="s">
        <v>675</v>
      </c>
      <c r="F158" s="41" t="s">
        <v>675</v>
      </c>
      <c r="G158" s="41" t="s">
        <v>1045</v>
      </c>
      <c r="H158" s="43" t="s">
        <v>1300</v>
      </c>
      <c r="I158" s="33" t="s">
        <v>680</v>
      </c>
      <c r="J158" s="33" t="s">
        <v>679</v>
      </c>
      <c r="K158" s="33" t="s">
        <v>680</v>
      </c>
      <c r="L158" s="33" t="s">
        <v>1334</v>
      </c>
      <c r="M158" s="33" t="s">
        <v>679</v>
      </c>
      <c r="N158" s="33" t="s">
        <v>1334</v>
      </c>
      <c r="O158" s="33" t="s">
        <v>684</v>
      </c>
      <c r="P158" s="33" t="s">
        <v>1334</v>
      </c>
      <c r="Q158" s="33" t="s">
        <v>1335</v>
      </c>
      <c r="R158" s="41" t="s">
        <v>1336</v>
      </c>
    </row>
    <row r="159" customFormat="false" ht="26.85" hidden="false" customHeight="false" outlineLevel="0" collapsed="false">
      <c r="A159" s="41" t="s">
        <v>472</v>
      </c>
      <c r="B159" s="41" t="s">
        <v>473</v>
      </c>
      <c r="C159" s="41" t="s">
        <v>1181</v>
      </c>
      <c r="D159" s="41" t="s">
        <v>676</v>
      </c>
      <c r="E159" s="41" t="s">
        <v>675</v>
      </c>
      <c r="F159" s="41" t="s">
        <v>675</v>
      </c>
      <c r="G159" s="41" t="s">
        <v>1045</v>
      </c>
      <c r="H159" s="43" t="s">
        <v>1300</v>
      </c>
      <c r="I159" s="33" t="s">
        <v>680</v>
      </c>
      <c r="J159" s="33" t="s">
        <v>679</v>
      </c>
      <c r="K159" s="33" t="s">
        <v>680</v>
      </c>
      <c r="L159" s="33" t="s">
        <v>1248</v>
      </c>
      <c r="M159" s="33" t="s">
        <v>679</v>
      </c>
      <c r="N159" s="33" t="s">
        <v>1248</v>
      </c>
      <c r="O159" s="33" t="s">
        <v>684</v>
      </c>
      <c r="P159" s="33" t="s">
        <v>1337</v>
      </c>
      <c r="Q159" s="33" t="s">
        <v>1248</v>
      </c>
      <c r="R159" s="41" t="s">
        <v>1338</v>
      </c>
    </row>
    <row r="160" customFormat="false" ht="15" hidden="false" customHeight="false" outlineLevel="0" collapsed="false">
      <c r="A160" s="41"/>
      <c r="B160" s="41" t="s">
        <v>1165</v>
      </c>
      <c r="C160" s="41" t="s">
        <v>705</v>
      </c>
      <c r="D160" s="41" t="s">
        <v>675</v>
      </c>
      <c r="E160" s="41" t="s">
        <v>675</v>
      </c>
      <c r="F160" s="41" t="s">
        <v>676</v>
      </c>
      <c r="G160" s="41" t="s">
        <v>1045</v>
      </c>
      <c r="H160" s="43" t="s">
        <v>1300</v>
      </c>
      <c r="I160" s="33" t="s">
        <v>679</v>
      </c>
      <c r="J160" s="33" t="s">
        <v>679</v>
      </c>
      <c r="K160" s="33" t="s">
        <v>679</v>
      </c>
      <c r="L160" s="33" t="s">
        <v>679</v>
      </c>
      <c r="M160" s="33" t="s">
        <v>679</v>
      </c>
      <c r="N160" s="33" t="s">
        <v>679</v>
      </c>
      <c r="O160" s="33" t="s">
        <v>679</v>
      </c>
      <c r="P160" s="33"/>
      <c r="Q160" s="33"/>
      <c r="R160" s="41"/>
    </row>
    <row r="161" customFormat="false" ht="26.85" hidden="false" customHeight="false" outlineLevel="0" collapsed="false">
      <c r="A161" s="41" t="s">
        <v>1339</v>
      </c>
      <c r="B161" s="41" t="s">
        <v>1340</v>
      </c>
      <c r="C161" s="41" t="s">
        <v>705</v>
      </c>
      <c r="D161" s="41" t="s">
        <v>676</v>
      </c>
      <c r="E161" s="41" t="s">
        <v>675</v>
      </c>
      <c r="F161" s="41" t="s">
        <v>675</v>
      </c>
      <c r="G161" s="41" t="s">
        <v>1045</v>
      </c>
      <c r="H161" s="43" t="s">
        <v>1300</v>
      </c>
      <c r="I161" s="33" t="s">
        <v>680</v>
      </c>
      <c r="J161" s="33" t="s">
        <v>679</v>
      </c>
      <c r="K161" s="33" t="s">
        <v>680</v>
      </c>
      <c r="L161" s="33" t="s">
        <v>1341</v>
      </c>
      <c r="M161" s="33" t="s">
        <v>679</v>
      </c>
      <c r="N161" s="33" t="s">
        <v>1341</v>
      </c>
      <c r="O161" s="33" t="s">
        <v>684</v>
      </c>
      <c r="P161" s="33" t="s">
        <v>889</v>
      </c>
      <c r="Q161" s="33" t="s">
        <v>1341</v>
      </c>
      <c r="R161" s="41" t="s">
        <v>1342</v>
      </c>
    </row>
    <row r="162" customFormat="false" ht="26.85" hidden="false" customHeight="false" outlineLevel="0" collapsed="false">
      <c r="A162" s="41" t="s">
        <v>1343</v>
      </c>
      <c r="B162" s="41" t="s">
        <v>1344</v>
      </c>
      <c r="C162" s="41" t="s">
        <v>705</v>
      </c>
      <c r="D162" s="41" t="s">
        <v>676</v>
      </c>
      <c r="E162" s="41" t="s">
        <v>675</v>
      </c>
      <c r="F162" s="41" t="s">
        <v>675</v>
      </c>
      <c r="G162" s="41" t="s">
        <v>1045</v>
      </c>
      <c r="H162" s="43" t="s">
        <v>1300</v>
      </c>
      <c r="I162" s="33" t="s">
        <v>689</v>
      </c>
      <c r="J162" s="33" t="s">
        <v>679</v>
      </c>
      <c r="K162" s="33" t="s">
        <v>689</v>
      </c>
      <c r="L162" s="33" t="s">
        <v>1345</v>
      </c>
      <c r="M162" s="33" t="s">
        <v>679</v>
      </c>
      <c r="N162" s="33" t="s">
        <v>1345</v>
      </c>
      <c r="O162" s="33" t="s">
        <v>714</v>
      </c>
      <c r="P162" s="33" t="s">
        <v>1144</v>
      </c>
      <c r="Q162" s="33" t="s">
        <v>889</v>
      </c>
      <c r="R162" s="41" t="s">
        <v>1346</v>
      </c>
    </row>
    <row r="163" customFormat="false" ht="15" hidden="false" customHeight="false" outlineLevel="0" collapsed="false">
      <c r="A163" s="41" t="s">
        <v>1347</v>
      </c>
      <c r="B163" s="41" t="s">
        <v>1348</v>
      </c>
      <c r="C163" s="41" t="s">
        <v>705</v>
      </c>
      <c r="D163" s="41" t="s">
        <v>676</v>
      </c>
      <c r="E163" s="41" t="s">
        <v>675</v>
      </c>
      <c r="F163" s="41" t="s">
        <v>675</v>
      </c>
      <c r="G163" s="41" t="s">
        <v>1045</v>
      </c>
      <c r="H163" s="43" t="s">
        <v>1300</v>
      </c>
      <c r="I163" s="33" t="s">
        <v>727</v>
      </c>
      <c r="J163" s="33" t="s">
        <v>679</v>
      </c>
      <c r="K163" s="33" t="s">
        <v>727</v>
      </c>
      <c r="L163" s="33" t="s">
        <v>1349</v>
      </c>
      <c r="M163" s="33" t="s">
        <v>679</v>
      </c>
      <c r="N163" s="33" t="s">
        <v>1349</v>
      </c>
      <c r="O163" s="33" t="s">
        <v>680</v>
      </c>
      <c r="P163" s="33" t="s">
        <v>999</v>
      </c>
      <c r="Q163" s="33" t="s">
        <v>999</v>
      </c>
      <c r="R163" s="41" t="s">
        <v>999</v>
      </c>
    </row>
    <row r="164" customFormat="false" ht="39.55" hidden="false" customHeight="false" outlineLevel="0" collapsed="false">
      <c r="A164" s="41" t="s">
        <v>1350</v>
      </c>
      <c r="B164" s="41" t="s">
        <v>1351</v>
      </c>
      <c r="C164" s="41" t="s">
        <v>705</v>
      </c>
      <c r="D164" s="41" t="s">
        <v>676</v>
      </c>
      <c r="E164" s="41" t="s">
        <v>675</v>
      </c>
      <c r="F164" s="41" t="s">
        <v>675</v>
      </c>
      <c r="G164" s="41" t="s">
        <v>1045</v>
      </c>
      <c r="H164" s="43" t="s">
        <v>1300</v>
      </c>
      <c r="I164" s="33" t="s">
        <v>1352</v>
      </c>
      <c r="J164" s="33" t="s">
        <v>679</v>
      </c>
      <c r="K164" s="33" t="s">
        <v>1352</v>
      </c>
      <c r="L164" s="33" t="s">
        <v>1353</v>
      </c>
      <c r="M164" s="33" t="s">
        <v>679</v>
      </c>
      <c r="N164" s="33" t="s">
        <v>1353</v>
      </c>
      <c r="O164" s="33" t="s">
        <v>680</v>
      </c>
      <c r="P164" s="33" t="s">
        <v>1354</v>
      </c>
      <c r="Q164" s="33" t="s">
        <v>1354</v>
      </c>
      <c r="R164" s="41" t="s">
        <v>1354</v>
      </c>
    </row>
    <row r="165" customFormat="false" ht="15" hidden="false" customHeight="false" outlineLevel="0" collapsed="false">
      <c r="A165" s="41" t="s">
        <v>1355</v>
      </c>
      <c r="B165" s="41" t="s">
        <v>1356</v>
      </c>
      <c r="C165" s="41" t="s">
        <v>705</v>
      </c>
      <c r="D165" s="41" t="s">
        <v>676</v>
      </c>
      <c r="E165" s="41" t="s">
        <v>675</v>
      </c>
      <c r="F165" s="41" t="s">
        <v>675</v>
      </c>
      <c r="G165" s="41" t="s">
        <v>1045</v>
      </c>
      <c r="H165" s="43" t="s">
        <v>1300</v>
      </c>
      <c r="I165" s="33" t="s">
        <v>680</v>
      </c>
      <c r="J165" s="33" t="s">
        <v>679</v>
      </c>
      <c r="K165" s="33" t="s">
        <v>680</v>
      </c>
      <c r="L165" s="33" t="s">
        <v>1357</v>
      </c>
      <c r="M165" s="33" t="s">
        <v>679</v>
      </c>
      <c r="N165" s="33" t="s">
        <v>1357</v>
      </c>
      <c r="O165" s="33" t="s">
        <v>684</v>
      </c>
      <c r="P165" s="33" t="s">
        <v>1358</v>
      </c>
      <c r="Q165" s="33" t="s">
        <v>1357</v>
      </c>
      <c r="R165" s="41" t="s">
        <v>1359</v>
      </c>
    </row>
    <row r="166" customFormat="false" ht="26.85" hidden="false" customHeight="false" outlineLevel="0" collapsed="false">
      <c r="A166" s="41" t="s">
        <v>1360</v>
      </c>
      <c r="B166" s="41" t="s">
        <v>198</v>
      </c>
      <c r="C166" s="41" t="s">
        <v>705</v>
      </c>
      <c r="D166" s="41" t="s">
        <v>676</v>
      </c>
      <c r="E166" s="41" t="s">
        <v>675</v>
      </c>
      <c r="F166" s="41" t="s">
        <v>675</v>
      </c>
      <c r="G166" s="41" t="s">
        <v>1045</v>
      </c>
      <c r="H166" s="43" t="s">
        <v>1300</v>
      </c>
      <c r="I166" s="33" t="s">
        <v>680</v>
      </c>
      <c r="J166" s="33" t="s">
        <v>679</v>
      </c>
      <c r="K166" s="33" t="s">
        <v>680</v>
      </c>
      <c r="L166" s="33" t="s">
        <v>1361</v>
      </c>
      <c r="M166" s="33" t="s">
        <v>679</v>
      </c>
      <c r="N166" s="33" t="s">
        <v>1361</v>
      </c>
      <c r="O166" s="33" t="s">
        <v>680</v>
      </c>
      <c r="P166" s="33" t="s">
        <v>1361</v>
      </c>
      <c r="Q166" s="33" t="s">
        <v>1361</v>
      </c>
      <c r="R166" s="41" t="s">
        <v>1361</v>
      </c>
    </row>
    <row r="167" customFormat="false" ht="26.85" hidden="false" customHeight="false" outlineLevel="0" collapsed="false">
      <c r="A167" s="41" t="s">
        <v>1362</v>
      </c>
      <c r="B167" s="41" t="s">
        <v>1363</v>
      </c>
      <c r="C167" s="41" t="s">
        <v>705</v>
      </c>
      <c r="D167" s="41" t="s">
        <v>676</v>
      </c>
      <c r="E167" s="41" t="s">
        <v>675</v>
      </c>
      <c r="F167" s="41" t="s">
        <v>675</v>
      </c>
      <c r="G167" s="41" t="s">
        <v>1045</v>
      </c>
      <c r="H167" s="43" t="s">
        <v>1300</v>
      </c>
      <c r="I167" s="33" t="s">
        <v>680</v>
      </c>
      <c r="J167" s="33" t="s">
        <v>679</v>
      </c>
      <c r="K167" s="33" t="s">
        <v>680</v>
      </c>
      <c r="L167" s="33" t="s">
        <v>1364</v>
      </c>
      <c r="M167" s="33" t="s">
        <v>679</v>
      </c>
      <c r="N167" s="33" t="s">
        <v>1364</v>
      </c>
      <c r="O167" s="33" t="s">
        <v>680</v>
      </c>
      <c r="P167" s="33" t="s">
        <v>1364</v>
      </c>
      <c r="Q167" s="33" t="s">
        <v>1364</v>
      </c>
      <c r="R167" s="41" t="s">
        <v>1364</v>
      </c>
    </row>
    <row r="168" customFormat="false" ht="15" hidden="false" customHeight="false" outlineLevel="0" collapsed="false">
      <c r="A168" s="41" t="s">
        <v>1365</v>
      </c>
      <c r="B168" s="41" t="s">
        <v>1366</v>
      </c>
      <c r="C168" s="41" t="s">
        <v>705</v>
      </c>
      <c r="D168" s="41" t="s">
        <v>676</v>
      </c>
      <c r="E168" s="41" t="s">
        <v>675</v>
      </c>
      <c r="F168" s="41" t="s">
        <v>675</v>
      </c>
      <c r="G168" s="41" t="s">
        <v>1045</v>
      </c>
      <c r="H168" s="43" t="s">
        <v>1300</v>
      </c>
      <c r="I168" s="33" t="s">
        <v>727</v>
      </c>
      <c r="J168" s="33" t="s">
        <v>679</v>
      </c>
      <c r="K168" s="33" t="s">
        <v>727</v>
      </c>
      <c r="L168" s="33" t="s">
        <v>1367</v>
      </c>
      <c r="M168" s="33" t="s">
        <v>679</v>
      </c>
      <c r="N168" s="33" t="s">
        <v>1367</v>
      </c>
      <c r="O168" s="33" t="s">
        <v>680</v>
      </c>
      <c r="P168" s="33" t="s">
        <v>734</v>
      </c>
      <c r="Q168" s="33" t="s">
        <v>734</v>
      </c>
      <c r="R168" s="41" t="s">
        <v>734</v>
      </c>
    </row>
    <row r="169" customFormat="false" ht="15" hidden="false" customHeight="false" outlineLevel="0" collapsed="false">
      <c r="A169" s="41" t="s">
        <v>1368</v>
      </c>
      <c r="B169" s="41" t="s">
        <v>1369</v>
      </c>
      <c r="C169" s="41" t="s">
        <v>705</v>
      </c>
      <c r="D169" s="41" t="s">
        <v>675</v>
      </c>
      <c r="E169" s="41" t="s">
        <v>676</v>
      </c>
      <c r="F169" s="41" t="s">
        <v>676</v>
      </c>
      <c r="G169" s="41" t="s">
        <v>1045</v>
      </c>
      <c r="H169" s="43" t="s">
        <v>1300</v>
      </c>
      <c r="I169" s="33" t="s">
        <v>679</v>
      </c>
      <c r="J169" s="33" t="s">
        <v>784</v>
      </c>
      <c r="K169" s="33" t="s">
        <v>784</v>
      </c>
      <c r="L169" s="33" t="s">
        <v>679</v>
      </c>
      <c r="M169" s="33" t="s">
        <v>1370</v>
      </c>
      <c r="N169" s="33" t="s">
        <v>1370</v>
      </c>
      <c r="O169" s="33" t="s">
        <v>684</v>
      </c>
      <c r="P169" s="33" t="s">
        <v>1371</v>
      </c>
      <c r="Q169" s="33" t="s">
        <v>1372</v>
      </c>
      <c r="R169" s="41" t="s">
        <v>1373</v>
      </c>
    </row>
    <row r="170" customFormat="false" ht="26.85" hidden="false" customHeight="false" outlineLevel="0" collapsed="false">
      <c r="A170" s="41" t="s">
        <v>1374</v>
      </c>
      <c r="B170" s="41" t="s">
        <v>1375</v>
      </c>
      <c r="C170" s="41" t="s">
        <v>705</v>
      </c>
      <c r="D170" s="41" t="s">
        <v>675</v>
      </c>
      <c r="E170" s="41" t="s">
        <v>676</v>
      </c>
      <c r="F170" s="41" t="s">
        <v>675</v>
      </c>
      <c r="G170" s="41" t="s">
        <v>1045</v>
      </c>
      <c r="H170" s="43" t="s">
        <v>1300</v>
      </c>
      <c r="I170" s="33" t="s">
        <v>679</v>
      </c>
      <c r="J170" s="33" t="s">
        <v>727</v>
      </c>
      <c r="K170" s="33" t="s">
        <v>727</v>
      </c>
      <c r="L170" s="33" t="s">
        <v>679</v>
      </c>
      <c r="M170" s="33" t="s">
        <v>1215</v>
      </c>
      <c r="N170" s="33" t="s">
        <v>1215</v>
      </c>
      <c r="O170" s="33" t="s">
        <v>680</v>
      </c>
      <c r="P170" s="33" t="s">
        <v>1376</v>
      </c>
      <c r="Q170" s="33" t="s">
        <v>1376</v>
      </c>
      <c r="R170" s="41" t="s">
        <v>1376</v>
      </c>
    </row>
    <row r="171" customFormat="false" ht="26.85" hidden="false" customHeight="false" outlineLevel="0" collapsed="false">
      <c r="A171" s="41" t="s">
        <v>1377</v>
      </c>
      <c r="B171" s="41" t="s">
        <v>1378</v>
      </c>
      <c r="C171" s="41" t="s">
        <v>705</v>
      </c>
      <c r="D171" s="41" t="s">
        <v>675</v>
      </c>
      <c r="E171" s="41" t="s">
        <v>676</v>
      </c>
      <c r="F171" s="41" t="s">
        <v>675</v>
      </c>
      <c r="G171" s="41" t="s">
        <v>1045</v>
      </c>
      <c r="H171" s="43" t="s">
        <v>1300</v>
      </c>
      <c r="I171" s="33" t="s">
        <v>679</v>
      </c>
      <c r="J171" s="33" t="s">
        <v>680</v>
      </c>
      <c r="K171" s="33" t="s">
        <v>680</v>
      </c>
      <c r="L171" s="33" t="s">
        <v>679</v>
      </c>
      <c r="M171" s="33" t="s">
        <v>1379</v>
      </c>
      <c r="N171" s="33" t="s">
        <v>1379</v>
      </c>
      <c r="O171" s="33" t="s">
        <v>684</v>
      </c>
      <c r="P171" s="33" t="s">
        <v>1380</v>
      </c>
      <c r="Q171" s="33" t="s">
        <v>1379</v>
      </c>
      <c r="R171" s="41" t="s">
        <v>1381</v>
      </c>
    </row>
    <row r="172" customFormat="false" ht="15" hidden="false" customHeight="false" outlineLevel="0" collapsed="false">
      <c r="A172" s="41" t="s">
        <v>1382</v>
      </c>
      <c r="B172" s="41" t="s">
        <v>1383</v>
      </c>
      <c r="C172" s="41" t="s">
        <v>705</v>
      </c>
      <c r="D172" s="41" t="s">
        <v>676</v>
      </c>
      <c r="E172" s="41" t="s">
        <v>675</v>
      </c>
      <c r="F172" s="41" t="s">
        <v>675</v>
      </c>
      <c r="G172" s="41" t="s">
        <v>1045</v>
      </c>
      <c r="H172" s="43" t="s">
        <v>1300</v>
      </c>
      <c r="I172" s="33" t="s">
        <v>680</v>
      </c>
      <c r="J172" s="33" t="s">
        <v>679</v>
      </c>
      <c r="K172" s="33" t="s">
        <v>680</v>
      </c>
      <c r="L172" s="33" t="s">
        <v>1384</v>
      </c>
      <c r="M172" s="33" t="s">
        <v>679</v>
      </c>
      <c r="N172" s="33" t="s">
        <v>1384</v>
      </c>
      <c r="O172" s="33" t="s">
        <v>684</v>
      </c>
      <c r="P172" s="33" t="s">
        <v>1385</v>
      </c>
      <c r="Q172" s="33" t="s">
        <v>1386</v>
      </c>
      <c r="R172" s="41" t="s">
        <v>1387</v>
      </c>
    </row>
    <row r="173" customFormat="false" ht="26.85" hidden="false" customHeight="false" outlineLevel="0" collapsed="false">
      <c r="A173" s="41" t="s">
        <v>1388</v>
      </c>
      <c r="B173" s="41" t="s">
        <v>1389</v>
      </c>
      <c r="C173" s="41" t="s">
        <v>705</v>
      </c>
      <c r="D173" s="41" t="s">
        <v>675</v>
      </c>
      <c r="E173" s="41" t="s">
        <v>676</v>
      </c>
      <c r="F173" s="41" t="s">
        <v>675</v>
      </c>
      <c r="G173" s="41" t="s">
        <v>1045</v>
      </c>
      <c r="H173" s="43" t="s">
        <v>1300</v>
      </c>
      <c r="I173" s="33" t="s">
        <v>679</v>
      </c>
      <c r="J173" s="33" t="s">
        <v>680</v>
      </c>
      <c r="K173" s="33" t="s">
        <v>680</v>
      </c>
      <c r="L173" s="33" t="s">
        <v>679</v>
      </c>
      <c r="M173" s="33" t="s">
        <v>785</v>
      </c>
      <c r="N173" s="33" t="s">
        <v>785</v>
      </c>
      <c r="O173" s="33" t="s">
        <v>680</v>
      </c>
      <c r="P173" s="33" t="s">
        <v>785</v>
      </c>
      <c r="Q173" s="33" t="s">
        <v>785</v>
      </c>
      <c r="R173" s="41" t="s">
        <v>785</v>
      </c>
    </row>
    <row r="174" customFormat="false" ht="15" hidden="false" customHeight="false" outlineLevel="0" collapsed="false">
      <c r="A174" s="41" t="s">
        <v>1390</v>
      </c>
      <c r="B174" s="41" t="s">
        <v>1391</v>
      </c>
      <c r="C174" s="41" t="s">
        <v>705</v>
      </c>
      <c r="D174" s="41" t="s">
        <v>676</v>
      </c>
      <c r="E174" s="41" t="s">
        <v>676</v>
      </c>
      <c r="F174" s="41" t="s">
        <v>675</v>
      </c>
      <c r="G174" s="41" t="s">
        <v>1045</v>
      </c>
      <c r="H174" s="43" t="s">
        <v>1300</v>
      </c>
      <c r="I174" s="33" t="s">
        <v>679</v>
      </c>
      <c r="J174" s="33" t="s">
        <v>680</v>
      </c>
      <c r="K174" s="33" t="s">
        <v>680</v>
      </c>
      <c r="L174" s="33" t="s">
        <v>679</v>
      </c>
      <c r="M174" s="33" t="s">
        <v>1392</v>
      </c>
      <c r="N174" s="33" t="s">
        <v>1392</v>
      </c>
      <c r="O174" s="33" t="s">
        <v>680</v>
      </c>
      <c r="P174" s="33" t="s">
        <v>1392</v>
      </c>
      <c r="Q174" s="33" t="s">
        <v>1392</v>
      </c>
      <c r="R174" s="41" t="s">
        <v>1392</v>
      </c>
    </row>
    <row r="175" customFormat="false" ht="26.85" hidden="false" customHeight="false" outlineLevel="0" collapsed="false">
      <c r="A175" s="41"/>
      <c r="B175" s="41" t="s">
        <v>683</v>
      </c>
      <c r="C175" s="41" t="s">
        <v>674</v>
      </c>
      <c r="D175" s="41" t="s">
        <v>675</v>
      </c>
      <c r="E175" s="41" t="s">
        <v>675</v>
      </c>
      <c r="F175" s="41" t="s">
        <v>676</v>
      </c>
      <c r="G175" s="41" t="s">
        <v>727</v>
      </c>
      <c r="H175" s="43" t="s">
        <v>1393</v>
      </c>
      <c r="I175" s="33" t="s">
        <v>679</v>
      </c>
      <c r="J175" s="33" t="s">
        <v>679</v>
      </c>
      <c r="K175" s="33" t="s">
        <v>679</v>
      </c>
      <c r="L175" s="33" t="s">
        <v>679</v>
      </c>
      <c r="M175" s="33" t="s">
        <v>679</v>
      </c>
      <c r="N175" s="33" t="s">
        <v>679</v>
      </c>
      <c r="O175" s="33" t="s">
        <v>679</v>
      </c>
      <c r="P175" s="33"/>
      <c r="Q175" s="33"/>
      <c r="R175" s="41"/>
    </row>
    <row r="176" customFormat="false" ht="26.85" hidden="false" customHeight="false" outlineLevel="0" collapsed="false">
      <c r="A176" s="41" t="s">
        <v>1394</v>
      </c>
      <c r="B176" s="41" t="s">
        <v>1395</v>
      </c>
      <c r="C176" s="41" t="s">
        <v>674</v>
      </c>
      <c r="D176" s="41" t="s">
        <v>675</v>
      </c>
      <c r="E176" s="41" t="s">
        <v>676</v>
      </c>
      <c r="F176" s="41" t="s">
        <v>675</v>
      </c>
      <c r="G176" s="41" t="s">
        <v>727</v>
      </c>
      <c r="H176" s="43" t="s">
        <v>1393</v>
      </c>
      <c r="I176" s="33" t="s">
        <v>679</v>
      </c>
      <c r="J176" s="33" t="s">
        <v>680</v>
      </c>
      <c r="K176" s="33" t="s">
        <v>680</v>
      </c>
      <c r="L176" s="33" t="s">
        <v>679</v>
      </c>
      <c r="M176" s="33" t="s">
        <v>1396</v>
      </c>
      <c r="N176" s="33" t="s">
        <v>1396</v>
      </c>
      <c r="O176" s="33" t="s">
        <v>684</v>
      </c>
      <c r="P176" s="33" t="s">
        <v>1396</v>
      </c>
      <c r="Q176" s="33" t="s">
        <v>1397</v>
      </c>
      <c r="R176" s="41" t="s">
        <v>1398</v>
      </c>
    </row>
    <row r="177" customFormat="false" ht="26.85" hidden="false" customHeight="false" outlineLevel="0" collapsed="false">
      <c r="A177" s="41" t="s">
        <v>1399</v>
      </c>
      <c r="B177" s="41" t="s">
        <v>1400</v>
      </c>
      <c r="C177" s="41" t="s">
        <v>674</v>
      </c>
      <c r="D177" s="41" t="s">
        <v>676</v>
      </c>
      <c r="E177" s="41" t="s">
        <v>675</v>
      </c>
      <c r="F177" s="41" t="s">
        <v>675</v>
      </c>
      <c r="G177" s="41" t="s">
        <v>727</v>
      </c>
      <c r="H177" s="43" t="s">
        <v>1393</v>
      </c>
      <c r="I177" s="33" t="s">
        <v>714</v>
      </c>
      <c r="J177" s="33" t="s">
        <v>679</v>
      </c>
      <c r="K177" s="33" t="s">
        <v>714</v>
      </c>
      <c r="L177" s="33" t="s">
        <v>1401</v>
      </c>
      <c r="M177" s="33" t="s">
        <v>679</v>
      </c>
      <c r="N177" s="33" t="s">
        <v>1401</v>
      </c>
      <c r="O177" s="33" t="s">
        <v>680</v>
      </c>
      <c r="P177" s="33" t="s">
        <v>1234</v>
      </c>
      <c r="Q177" s="33" t="s">
        <v>1234</v>
      </c>
      <c r="R177" s="41" t="s">
        <v>1234</v>
      </c>
    </row>
    <row r="178" customFormat="false" ht="26.85" hidden="false" customHeight="false" outlineLevel="0" collapsed="false">
      <c r="A178" s="41" t="s">
        <v>1402</v>
      </c>
      <c r="B178" s="41" t="s">
        <v>1403</v>
      </c>
      <c r="C178" s="41" t="s">
        <v>674</v>
      </c>
      <c r="D178" s="41" t="s">
        <v>676</v>
      </c>
      <c r="E178" s="41" t="s">
        <v>676</v>
      </c>
      <c r="F178" s="41" t="s">
        <v>676</v>
      </c>
      <c r="G178" s="41" t="s">
        <v>727</v>
      </c>
      <c r="H178" s="43" t="s">
        <v>1393</v>
      </c>
      <c r="I178" s="33" t="s">
        <v>680</v>
      </c>
      <c r="J178" s="33" t="s">
        <v>684</v>
      </c>
      <c r="K178" s="33" t="s">
        <v>689</v>
      </c>
      <c r="L178" s="33" t="s">
        <v>1324</v>
      </c>
      <c r="M178" s="33" t="s">
        <v>1325</v>
      </c>
      <c r="N178" s="33" t="s">
        <v>1404</v>
      </c>
      <c r="O178" s="33" t="s">
        <v>680</v>
      </c>
      <c r="P178" s="33" t="s">
        <v>1324</v>
      </c>
      <c r="Q178" s="33" t="s">
        <v>1324</v>
      </c>
      <c r="R178" s="41" t="s">
        <v>1324</v>
      </c>
    </row>
    <row r="179" customFormat="false" ht="15" hidden="false" customHeight="false" outlineLevel="0" collapsed="false">
      <c r="A179" s="41" t="s">
        <v>1405</v>
      </c>
      <c r="B179" s="41" t="s">
        <v>1406</v>
      </c>
      <c r="C179" s="41" t="s">
        <v>705</v>
      </c>
      <c r="D179" s="41" t="s">
        <v>676</v>
      </c>
      <c r="E179" s="41" t="s">
        <v>675</v>
      </c>
      <c r="F179" s="41" t="s">
        <v>675</v>
      </c>
      <c r="G179" s="41" t="s">
        <v>727</v>
      </c>
      <c r="H179" s="43" t="s">
        <v>1393</v>
      </c>
      <c r="I179" s="33" t="s">
        <v>680</v>
      </c>
      <c r="J179" s="33" t="s">
        <v>679</v>
      </c>
      <c r="K179" s="33" t="s">
        <v>680</v>
      </c>
      <c r="L179" s="33" t="s">
        <v>1192</v>
      </c>
      <c r="M179" s="33" t="s">
        <v>679</v>
      </c>
      <c r="N179" s="33" t="s">
        <v>1192</v>
      </c>
      <c r="O179" s="33" t="s">
        <v>680</v>
      </c>
      <c r="P179" s="33" t="s">
        <v>1192</v>
      </c>
      <c r="Q179" s="33" t="s">
        <v>1192</v>
      </c>
      <c r="R179" s="41" t="s">
        <v>1192</v>
      </c>
    </row>
    <row r="180" customFormat="false" ht="26.85" hidden="false" customHeight="false" outlineLevel="0" collapsed="false">
      <c r="A180" s="41" t="s">
        <v>1407</v>
      </c>
      <c r="B180" s="41" t="s">
        <v>1408</v>
      </c>
      <c r="C180" s="41" t="s">
        <v>705</v>
      </c>
      <c r="D180" s="41" t="s">
        <v>676</v>
      </c>
      <c r="E180" s="41" t="s">
        <v>676</v>
      </c>
      <c r="F180" s="41" t="s">
        <v>675</v>
      </c>
      <c r="G180" s="41" t="s">
        <v>727</v>
      </c>
      <c r="H180" s="43" t="s">
        <v>1393</v>
      </c>
      <c r="I180" s="33" t="s">
        <v>680</v>
      </c>
      <c r="J180" s="33" t="s">
        <v>679</v>
      </c>
      <c r="K180" s="33" t="s">
        <v>680</v>
      </c>
      <c r="L180" s="33" t="s">
        <v>866</v>
      </c>
      <c r="M180" s="33" t="s">
        <v>679</v>
      </c>
      <c r="N180" s="33" t="s">
        <v>866</v>
      </c>
      <c r="O180" s="33" t="s">
        <v>684</v>
      </c>
      <c r="P180" s="33" t="s">
        <v>866</v>
      </c>
      <c r="Q180" s="33" t="s">
        <v>865</v>
      </c>
      <c r="R180" s="41" t="s">
        <v>867</v>
      </c>
    </row>
    <row r="181" customFormat="false" ht="26.85" hidden="false" customHeight="false" outlineLevel="0" collapsed="false">
      <c r="A181" s="41" t="s">
        <v>1409</v>
      </c>
      <c r="B181" s="41" t="s">
        <v>1410</v>
      </c>
      <c r="C181" s="41" t="s">
        <v>705</v>
      </c>
      <c r="D181" s="41" t="s">
        <v>675</v>
      </c>
      <c r="E181" s="41" t="s">
        <v>676</v>
      </c>
      <c r="F181" s="41" t="s">
        <v>676</v>
      </c>
      <c r="G181" s="41" t="s">
        <v>727</v>
      </c>
      <c r="H181" s="43" t="s">
        <v>1393</v>
      </c>
      <c r="I181" s="33" t="s">
        <v>679</v>
      </c>
      <c r="J181" s="33" t="s">
        <v>1045</v>
      </c>
      <c r="K181" s="33" t="s">
        <v>1045</v>
      </c>
      <c r="L181" s="33" t="s">
        <v>679</v>
      </c>
      <c r="M181" s="33" t="s">
        <v>1411</v>
      </c>
      <c r="N181" s="33" t="s">
        <v>1411</v>
      </c>
      <c r="O181" s="33" t="s">
        <v>680</v>
      </c>
      <c r="P181" s="33" t="s">
        <v>1412</v>
      </c>
      <c r="Q181" s="33" t="s">
        <v>1412</v>
      </c>
      <c r="R181" s="41" t="s">
        <v>1412</v>
      </c>
    </row>
    <row r="182" customFormat="false" ht="26.85" hidden="false" customHeight="false" outlineLevel="0" collapsed="false">
      <c r="A182" s="41" t="s">
        <v>1413</v>
      </c>
      <c r="B182" s="41" t="s">
        <v>1414</v>
      </c>
      <c r="C182" s="41" t="s">
        <v>674</v>
      </c>
      <c r="D182" s="41" t="s">
        <v>675</v>
      </c>
      <c r="E182" s="41" t="s">
        <v>676</v>
      </c>
      <c r="F182" s="41" t="s">
        <v>676</v>
      </c>
      <c r="G182" s="41" t="s">
        <v>689</v>
      </c>
      <c r="H182" s="43" t="s">
        <v>1415</v>
      </c>
      <c r="I182" s="33" t="s">
        <v>679</v>
      </c>
      <c r="J182" s="33" t="s">
        <v>1416</v>
      </c>
      <c r="K182" s="33" t="s">
        <v>1416</v>
      </c>
      <c r="L182" s="33" t="s">
        <v>679</v>
      </c>
      <c r="M182" s="33" t="s">
        <v>1417</v>
      </c>
      <c r="N182" s="33" t="s">
        <v>1417</v>
      </c>
      <c r="O182" s="33" t="s">
        <v>680</v>
      </c>
      <c r="P182" s="33" t="s">
        <v>1418</v>
      </c>
      <c r="Q182" s="33" t="s">
        <v>1418</v>
      </c>
      <c r="R182" s="41" t="s">
        <v>1418</v>
      </c>
    </row>
    <row r="183" customFormat="false" ht="26.85" hidden="false" customHeight="false" outlineLevel="0" collapsed="false">
      <c r="A183" s="41" t="s">
        <v>1419</v>
      </c>
      <c r="B183" s="41" t="s">
        <v>1420</v>
      </c>
      <c r="C183" s="41" t="s">
        <v>674</v>
      </c>
      <c r="D183" s="41" t="s">
        <v>676</v>
      </c>
      <c r="E183" s="41" t="s">
        <v>675</v>
      </c>
      <c r="F183" s="41" t="s">
        <v>675</v>
      </c>
      <c r="G183" s="41" t="s">
        <v>689</v>
      </c>
      <c r="H183" s="43" t="s">
        <v>1415</v>
      </c>
      <c r="I183" s="33" t="s">
        <v>680</v>
      </c>
      <c r="J183" s="33" t="s">
        <v>679</v>
      </c>
      <c r="K183" s="33" t="s">
        <v>680</v>
      </c>
      <c r="L183" s="33" t="s">
        <v>1421</v>
      </c>
      <c r="M183" s="33" t="s">
        <v>679</v>
      </c>
      <c r="N183" s="33" t="s">
        <v>1421</v>
      </c>
      <c r="O183" s="33" t="s">
        <v>684</v>
      </c>
      <c r="P183" s="33" t="s">
        <v>1422</v>
      </c>
      <c r="Q183" s="33" t="s">
        <v>1423</v>
      </c>
      <c r="R183" s="41" t="s">
        <v>1424</v>
      </c>
    </row>
    <row r="184" customFormat="false" ht="26.85" hidden="false" customHeight="false" outlineLevel="0" collapsed="false">
      <c r="A184" s="41" t="s">
        <v>1425</v>
      </c>
      <c r="B184" s="41" t="s">
        <v>1426</v>
      </c>
      <c r="C184" s="41" t="s">
        <v>674</v>
      </c>
      <c r="D184" s="41" t="s">
        <v>676</v>
      </c>
      <c r="E184" s="41" t="s">
        <v>675</v>
      </c>
      <c r="F184" s="41" t="s">
        <v>675</v>
      </c>
      <c r="G184" s="41" t="s">
        <v>689</v>
      </c>
      <c r="H184" s="43" t="s">
        <v>1415</v>
      </c>
      <c r="I184" s="33" t="s">
        <v>680</v>
      </c>
      <c r="J184" s="33" t="s">
        <v>679</v>
      </c>
      <c r="K184" s="33" t="s">
        <v>680</v>
      </c>
      <c r="L184" s="33" t="s">
        <v>761</v>
      </c>
      <c r="M184" s="33" t="s">
        <v>679</v>
      </c>
      <c r="N184" s="33" t="s">
        <v>761</v>
      </c>
      <c r="O184" s="33" t="s">
        <v>680</v>
      </c>
      <c r="P184" s="33" t="s">
        <v>761</v>
      </c>
      <c r="Q184" s="33" t="s">
        <v>761</v>
      </c>
      <c r="R184" s="41" t="s">
        <v>761</v>
      </c>
    </row>
    <row r="185" customFormat="false" ht="26.85" hidden="false" customHeight="false" outlineLevel="0" collapsed="false">
      <c r="A185" s="41" t="s">
        <v>1313</v>
      </c>
      <c r="B185" s="41" t="s">
        <v>1427</v>
      </c>
      <c r="C185" s="41" t="s">
        <v>674</v>
      </c>
      <c r="D185" s="41" t="s">
        <v>676</v>
      </c>
      <c r="E185" s="41" t="s">
        <v>675</v>
      </c>
      <c r="F185" s="41" t="s">
        <v>675</v>
      </c>
      <c r="G185" s="41" t="s">
        <v>689</v>
      </c>
      <c r="H185" s="43" t="s">
        <v>1415</v>
      </c>
      <c r="I185" s="33" t="s">
        <v>680</v>
      </c>
      <c r="J185" s="33" t="s">
        <v>679</v>
      </c>
      <c r="K185" s="33" t="s">
        <v>680</v>
      </c>
      <c r="L185" s="33" t="s">
        <v>1317</v>
      </c>
      <c r="M185" s="33" t="s">
        <v>679</v>
      </c>
      <c r="N185" s="33" t="s">
        <v>1317</v>
      </c>
      <c r="O185" s="33" t="s">
        <v>684</v>
      </c>
      <c r="P185" s="33" t="s">
        <v>1315</v>
      </c>
      <c r="Q185" s="33" t="s">
        <v>1317</v>
      </c>
      <c r="R185" s="41" t="s">
        <v>1318</v>
      </c>
    </row>
    <row r="186" customFormat="false" ht="26.85" hidden="false" customHeight="false" outlineLevel="0" collapsed="false">
      <c r="A186" s="41" t="s">
        <v>1428</v>
      </c>
      <c r="B186" s="41" t="s">
        <v>1429</v>
      </c>
      <c r="C186" s="41" t="s">
        <v>674</v>
      </c>
      <c r="D186" s="41" t="s">
        <v>676</v>
      </c>
      <c r="E186" s="41" t="s">
        <v>675</v>
      </c>
      <c r="F186" s="41" t="s">
        <v>675</v>
      </c>
      <c r="G186" s="41" t="s">
        <v>689</v>
      </c>
      <c r="H186" s="43" t="s">
        <v>1415</v>
      </c>
      <c r="I186" s="33" t="s">
        <v>680</v>
      </c>
      <c r="J186" s="33" t="s">
        <v>679</v>
      </c>
      <c r="K186" s="33" t="s">
        <v>680</v>
      </c>
      <c r="L186" s="33" t="s">
        <v>1430</v>
      </c>
      <c r="M186" s="33" t="s">
        <v>679</v>
      </c>
      <c r="N186" s="33" t="s">
        <v>1430</v>
      </c>
      <c r="O186" s="33" t="s">
        <v>680</v>
      </c>
      <c r="P186" s="33" t="s">
        <v>1430</v>
      </c>
      <c r="Q186" s="33" t="s">
        <v>1430</v>
      </c>
      <c r="R186" s="41" t="s">
        <v>1430</v>
      </c>
    </row>
    <row r="187" customFormat="false" ht="26.85" hidden="false" customHeight="false" outlineLevel="0" collapsed="false">
      <c r="A187" s="41" t="s">
        <v>1431</v>
      </c>
      <c r="B187" s="41" t="s">
        <v>1432</v>
      </c>
      <c r="C187" s="41" t="s">
        <v>674</v>
      </c>
      <c r="D187" s="41" t="s">
        <v>675</v>
      </c>
      <c r="E187" s="41" t="s">
        <v>676</v>
      </c>
      <c r="F187" s="41" t="s">
        <v>676</v>
      </c>
      <c r="G187" s="41" t="s">
        <v>689</v>
      </c>
      <c r="H187" s="43" t="s">
        <v>1415</v>
      </c>
      <c r="I187" s="33" t="s">
        <v>679</v>
      </c>
      <c r="J187" s="33" t="s">
        <v>727</v>
      </c>
      <c r="K187" s="33" t="s">
        <v>727</v>
      </c>
      <c r="L187" s="33" t="s">
        <v>679</v>
      </c>
      <c r="M187" s="33" t="s">
        <v>1215</v>
      </c>
      <c r="N187" s="33" t="s">
        <v>1215</v>
      </c>
      <c r="O187" s="33" t="s">
        <v>684</v>
      </c>
      <c r="P187" s="33" t="s">
        <v>1087</v>
      </c>
      <c r="Q187" s="33" t="s">
        <v>1376</v>
      </c>
      <c r="R187" s="41" t="s">
        <v>1433</v>
      </c>
    </row>
    <row r="188" customFormat="false" ht="52.2" hidden="false" customHeight="false" outlineLevel="0" collapsed="false">
      <c r="A188" s="41" t="s">
        <v>484</v>
      </c>
      <c r="B188" s="41" t="s">
        <v>485</v>
      </c>
      <c r="C188" s="41" t="s">
        <v>1181</v>
      </c>
      <c r="D188" s="41" t="s">
        <v>676</v>
      </c>
      <c r="E188" s="41" t="s">
        <v>675</v>
      </c>
      <c r="F188" s="41" t="s">
        <v>675</v>
      </c>
      <c r="G188" s="41" t="s">
        <v>689</v>
      </c>
      <c r="H188" s="43" t="s">
        <v>1415</v>
      </c>
      <c r="I188" s="33" t="s">
        <v>680</v>
      </c>
      <c r="J188" s="33" t="s">
        <v>679</v>
      </c>
      <c r="K188" s="33" t="s">
        <v>680</v>
      </c>
      <c r="L188" s="33" t="s">
        <v>1434</v>
      </c>
      <c r="M188" s="33" t="s">
        <v>679</v>
      </c>
      <c r="N188" s="33" t="s">
        <v>1434</v>
      </c>
      <c r="O188" s="33" t="s">
        <v>680</v>
      </c>
      <c r="P188" s="33" t="s">
        <v>1434</v>
      </c>
      <c r="Q188" s="33" t="s">
        <v>1434</v>
      </c>
      <c r="R188" s="41" t="s">
        <v>1434</v>
      </c>
    </row>
    <row r="189" customFormat="false" ht="39.55" hidden="false" customHeight="false" outlineLevel="0" collapsed="false">
      <c r="A189" s="41"/>
      <c r="B189" s="41" t="s">
        <v>911</v>
      </c>
      <c r="C189" s="41" t="s">
        <v>705</v>
      </c>
      <c r="D189" s="41" t="s">
        <v>675</v>
      </c>
      <c r="E189" s="41" t="s">
        <v>675</v>
      </c>
      <c r="F189" s="41" t="s">
        <v>676</v>
      </c>
      <c r="G189" s="41" t="s">
        <v>689</v>
      </c>
      <c r="H189" s="43" t="s">
        <v>1415</v>
      </c>
      <c r="I189" s="33" t="s">
        <v>679</v>
      </c>
      <c r="J189" s="33" t="s">
        <v>679</v>
      </c>
      <c r="K189" s="33" t="s">
        <v>679</v>
      </c>
      <c r="L189" s="33" t="s">
        <v>679</v>
      </c>
      <c r="M189" s="33" t="s">
        <v>679</v>
      </c>
      <c r="N189" s="33" t="s">
        <v>679</v>
      </c>
      <c r="O189" s="33" t="s">
        <v>679</v>
      </c>
      <c r="P189" s="33"/>
      <c r="Q189" s="33"/>
      <c r="R189" s="41"/>
    </row>
    <row r="190" customFormat="false" ht="15" hidden="false" customHeight="false" outlineLevel="0" collapsed="false">
      <c r="A190" s="41"/>
      <c r="B190" s="41" t="s">
        <v>1289</v>
      </c>
      <c r="C190" s="41" t="s">
        <v>705</v>
      </c>
      <c r="D190" s="41" t="s">
        <v>675</v>
      </c>
      <c r="E190" s="41" t="s">
        <v>675</v>
      </c>
      <c r="F190" s="41" t="s">
        <v>676</v>
      </c>
      <c r="G190" s="41" t="s">
        <v>689</v>
      </c>
      <c r="H190" s="43" t="s">
        <v>1415</v>
      </c>
      <c r="I190" s="33" t="s">
        <v>679</v>
      </c>
      <c r="J190" s="33" t="s">
        <v>679</v>
      </c>
      <c r="K190" s="33" t="s">
        <v>679</v>
      </c>
      <c r="L190" s="33" t="s">
        <v>679</v>
      </c>
      <c r="M190" s="33" t="s">
        <v>679</v>
      </c>
      <c r="N190" s="33" t="s">
        <v>679</v>
      </c>
      <c r="O190" s="33" t="s">
        <v>679</v>
      </c>
      <c r="P190" s="33"/>
      <c r="Q190" s="33"/>
      <c r="R190" s="41"/>
    </row>
    <row r="191" customFormat="false" ht="15" hidden="false" customHeight="false" outlineLevel="0" collapsed="false">
      <c r="A191" s="41" t="s">
        <v>1435</v>
      </c>
      <c r="B191" s="41" t="s">
        <v>1436</v>
      </c>
      <c r="C191" s="41" t="s">
        <v>705</v>
      </c>
      <c r="D191" s="41" t="s">
        <v>675</v>
      </c>
      <c r="E191" s="41" t="s">
        <v>676</v>
      </c>
      <c r="F191" s="41" t="s">
        <v>675</v>
      </c>
      <c r="G191" s="41" t="s">
        <v>689</v>
      </c>
      <c r="H191" s="43" t="s">
        <v>1415</v>
      </c>
      <c r="I191" s="33" t="s">
        <v>679</v>
      </c>
      <c r="J191" s="33" t="s">
        <v>680</v>
      </c>
      <c r="K191" s="33" t="s">
        <v>680</v>
      </c>
      <c r="L191" s="33" t="s">
        <v>679</v>
      </c>
      <c r="M191" s="33" t="s">
        <v>1437</v>
      </c>
      <c r="N191" s="33" t="s">
        <v>1437</v>
      </c>
      <c r="O191" s="33" t="s">
        <v>714</v>
      </c>
      <c r="P191" s="33" t="s">
        <v>1438</v>
      </c>
      <c r="Q191" s="33" t="s">
        <v>1439</v>
      </c>
      <c r="R191" s="41" t="s">
        <v>1440</v>
      </c>
    </row>
    <row r="192" customFormat="false" ht="26.85" hidden="false" customHeight="false" outlineLevel="0" collapsed="false">
      <c r="A192" s="41" t="s">
        <v>1441</v>
      </c>
      <c r="B192" s="41" t="s">
        <v>1442</v>
      </c>
      <c r="C192" s="41" t="s">
        <v>705</v>
      </c>
      <c r="D192" s="41" t="s">
        <v>675</v>
      </c>
      <c r="E192" s="41" t="s">
        <v>676</v>
      </c>
      <c r="F192" s="41" t="s">
        <v>675</v>
      </c>
      <c r="G192" s="41" t="s">
        <v>689</v>
      </c>
      <c r="H192" s="43" t="s">
        <v>1415</v>
      </c>
      <c r="I192" s="33" t="s">
        <v>679</v>
      </c>
      <c r="J192" s="33" t="s">
        <v>684</v>
      </c>
      <c r="K192" s="33" t="s">
        <v>684</v>
      </c>
      <c r="L192" s="33" t="s">
        <v>679</v>
      </c>
      <c r="M192" s="33" t="s">
        <v>1179</v>
      </c>
      <c r="N192" s="33" t="s">
        <v>1179</v>
      </c>
      <c r="O192" s="33" t="s">
        <v>680</v>
      </c>
      <c r="P192" s="33" t="s">
        <v>760</v>
      </c>
      <c r="Q192" s="33" t="s">
        <v>760</v>
      </c>
      <c r="R192" s="41" t="s">
        <v>760</v>
      </c>
    </row>
    <row r="193" customFormat="false" ht="39.55" hidden="false" customHeight="false" outlineLevel="0" collapsed="false">
      <c r="A193" s="41" t="s">
        <v>1443</v>
      </c>
      <c r="B193" s="41" t="s">
        <v>1444</v>
      </c>
      <c r="C193" s="41" t="s">
        <v>705</v>
      </c>
      <c r="D193" s="41" t="s">
        <v>676</v>
      </c>
      <c r="E193" s="41" t="s">
        <v>675</v>
      </c>
      <c r="F193" s="41" t="s">
        <v>675</v>
      </c>
      <c r="G193" s="41" t="s">
        <v>689</v>
      </c>
      <c r="H193" s="43" t="s">
        <v>1415</v>
      </c>
      <c r="I193" s="33" t="s">
        <v>680</v>
      </c>
      <c r="J193" s="33" t="s">
        <v>679</v>
      </c>
      <c r="K193" s="33" t="s">
        <v>680</v>
      </c>
      <c r="L193" s="33" t="s">
        <v>1445</v>
      </c>
      <c r="M193" s="33" t="s">
        <v>679</v>
      </c>
      <c r="N193" s="33" t="s">
        <v>1445</v>
      </c>
      <c r="O193" s="33" t="s">
        <v>680</v>
      </c>
      <c r="P193" s="33" t="s">
        <v>1445</v>
      </c>
      <c r="Q193" s="33" t="s">
        <v>1445</v>
      </c>
      <c r="R193" s="41" t="s">
        <v>1445</v>
      </c>
    </row>
    <row r="194" customFormat="false" ht="15" hidden="false" customHeight="false" outlineLevel="0" collapsed="false">
      <c r="A194" s="41" t="s">
        <v>1446</v>
      </c>
      <c r="B194" s="41" t="s">
        <v>203</v>
      </c>
      <c r="C194" s="41" t="s">
        <v>705</v>
      </c>
      <c r="D194" s="41" t="s">
        <v>676</v>
      </c>
      <c r="E194" s="41" t="s">
        <v>675</v>
      </c>
      <c r="F194" s="41" t="s">
        <v>675</v>
      </c>
      <c r="G194" s="41" t="s">
        <v>689</v>
      </c>
      <c r="H194" s="43" t="s">
        <v>1415</v>
      </c>
      <c r="I194" s="33" t="s">
        <v>714</v>
      </c>
      <c r="J194" s="33" t="s">
        <v>679</v>
      </c>
      <c r="K194" s="33" t="s">
        <v>714</v>
      </c>
      <c r="L194" s="33" t="s">
        <v>1447</v>
      </c>
      <c r="M194" s="33" t="s">
        <v>679</v>
      </c>
      <c r="N194" s="33" t="s">
        <v>1447</v>
      </c>
      <c r="O194" s="33" t="s">
        <v>680</v>
      </c>
      <c r="P194" s="33" t="s">
        <v>1448</v>
      </c>
      <c r="Q194" s="33" t="s">
        <v>1448</v>
      </c>
      <c r="R194" s="41" t="s">
        <v>1448</v>
      </c>
    </row>
    <row r="195" customFormat="false" ht="26.85" hidden="false" customHeight="false" outlineLevel="0" collapsed="false">
      <c r="A195" s="41" t="s">
        <v>1449</v>
      </c>
      <c r="B195" s="41" t="s">
        <v>199</v>
      </c>
      <c r="C195" s="41" t="s">
        <v>705</v>
      </c>
      <c r="D195" s="41" t="s">
        <v>676</v>
      </c>
      <c r="E195" s="41" t="s">
        <v>675</v>
      </c>
      <c r="F195" s="41" t="s">
        <v>675</v>
      </c>
      <c r="G195" s="41" t="s">
        <v>689</v>
      </c>
      <c r="H195" s="43" t="s">
        <v>1415</v>
      </c>
      <c r="I195" s="33" t="s">
        <v>680</v>
      </c>
      <c r="J195" s="33" t="s">
        <v>679</v>
      </c>
      <c r="K195" s="33" t="s">
        <v>680</v>
      </c>
      <c r="L195" s="33" t="s">
        <v>1361</v>
      </c>
      <c r="M195" s="33" t="s">
        <v>679</v>
      </c>
      <c r="N195" s="33" t="s">
        <v>1361</v>
      </c>
      <c r="O195" s="33" t="s">
        <v>680</v>
      </c>
      <c r="P195" s="33" t="s">
        <v>1361</v>
      </c>
      <c r="Q195" s="33" t="s">
        <v>1361</v>
      </c>
      <c r="R195" s="41" t="s">
        <v>1361</v>
      </c>
    </row>
    <row r="196" customFormat="false" ht="15" hidden="false" customHeight="false" outlineLevel="0" collapsed="false">
      <c r="A196" s="41" t="s">
        <v>1450</v>
      </c>
      <c r="B196" s="41" t="s">
        <v>1451</v>
      </c>
      <c r="C196" s="41" t="s">
        <v>705</v>
      </c>
      <c r="D196" s="41" t="s">
        <v>676</v>
      </c>
      <c r="E196" s="41" t="s">
        <v>675</v>
      </c>
      <c r="F196" s="41" t="s">
        <v>675</v>
      </c>
      <c r="G196" s="41" t="s">
        <v>689</v>
      </c>
      <c r="H196" s="43" t="s">
        <v>1415</v>
      </c>
      <c r="I196" s="33" t="s">
        <v>684</v>
      </c>
      <c r="J196" s="33" t="s">
        <v>679</v>
      </c>
      <c r="K196" s="33" t="s">
        <v>684</v>
      </c>
      <c r="L196" s="33" t="s">
        <v>1452</v>
      </c>
      <c r="M196" s="33" t="s">
        <v>679</v>
      </c>
      <c r="N196" s="33" t="s">
        <v>1452</v>
      </c>
      <c r="O196" s="33" t="s">
        <v>680</v>
      </c>
      <c r="P196" s="33" t="s">
        <v>1453</v>
      </c>
      <c r="Q196" s="33" t="s">
        <v>1453</v>
      </c>
      <c r="R196" s="41" t="s">
        <v>1453</v>
      </c>
    </row>
    <row r="197" customFormat="false" ht="15" hidden="false" customHeight="false" outlineLevel="0" collapsed="false">
      <c r="A197" s="41" t="s">
        <v>1454</v>
      </c>
      <c r="B197" s="41" t="s">
        <v>1455</v>
      </c>
      <c r="C197" s="41" t="s">
        <v>705</v>
      </c>
      <c r="D197" s="41" t="s">
        <v>675</v>
      </c>
      <c r="E197" s="41" t="s">
        <v>676</v>
      </c>
      <c r="F197" s="41" t="s">
        <v>676</v>
      </c>
      <c r="G197" s="41" t="s">
        <v>689</v>
      </c>
      <c r="H197" s="43" t="s">
        <v>1415</v>
      </c>
      <c r="I197" s="33" t="s">
        <v>679</v>
      </c>
      <c r="J197" s="33" t="s">
        <v>1227</v>
      </c>
      <c r="K197" s="33" t="s">
        <v>1227</v>
      </c>
      <c r="L197" s="33" t="s">
        <v>679</v>
      </c>
      <c r="M197" s="33" t="s">
        <v>1456</v>
      </c>
      <c r="N197" s="33" t="s">
        <v>1456</v>
      </c>
      <c r="O197" s="33" t="s">
        <v>684</v>
      </c>
      <c r="P197" s="33" t="s">
        <v>751</v>
      </c>
      <c r="Q197" s="33" t="s">
        <v>1457</v>
      </c>
      <c r="R197" s="41" t="s">
        <v>1458</v>
      </c>
    </row>
    <row r="198" customFormat="false" ht="15" hidden="false" customHeight="false" outlineLevel="0" collapsed="false">
      <c r="A198" s="41" t="s">
        <v>1459</v>
      </c>
      <c r="B198" s="41" t="s">
        <v>1460</v>
      </c>
      <c r="C198" s="41" t="s">
        <v>705</v>
      </c>
      <c r="D198" s="41" t="s">
        <v>676</v>
      </c>
      <c r="E198" s="41" t="s">
        <v>676</v>
      </c>
      <c r="F198" s="41" t="s">
        <v>676</v>
      </c>
      <c r="G198" s="41" t="s">
        <v>689</v>
      </c>
      <c r="H198" s="43" t="s">
        <v>1415</v>
      </c>
      <c r="I198" s="33" t="s">
        <v>679</v>
      </c>
      <c r="J198" s="33" t="s">
        <v>714</v>
      </c>
      <c r="K198" s="33" t="s">
        <v>714</v>
      </c>
      <c r="L198" s="33" t="s">
        <v>679</v>
      </c>
      <c r="M198" s="33" t="s">
        <v>1461</v>
      </c>
      <c r="N198" s="33" t="s">
        <v>1461</v>
      </c>
      <c r="O198" s="33" t="s">
        <v>680</v>
      </c>
      <c r="P198" s="33" t="s">
        <v>1462</v>
      </c>
      <c r="Q198" s="33" t="s">
        <v>1462</v>
      </c>
      <c r="R198" s="41" t="s">
        <v>1462</v>
      </c>
    </row>
    <row r="199" customFormat="false" ht="26.85" hidden="false" customHeight="false" outlineLevel="0" collapsed="false">
      <c r="A199" s="41"/>
      <c r="B199" s="41" t="s">
        <v>1119</v>
      </c>
      <c r="C199" s="41" t="s">
        <v>674</v>
      </c>
      <c r="D199" s="41" t="s">
        <v>675</v>
      </c>
      <c r="E199" s="41" t="s">
        <v>675</v>
      </c>
      <c r="F199" s="41" t="s">
        <v>676</v>
      </c>
      <c r="G199" s="41" t="s">
        <v>714</v>
      </c>
      <c r="H199" s="43" t="s">
        <v>1463</v>
      </c>
      <c r="I199" s="33" t="s">
        <v>679</v>
      </c>
      <c r="J199" s="33" t="s">
        <v>679</v>
      </c>
      <c r="K199" s="33" t="s">
        <v>679</v>
      </c>
      <c r="L199" s="33" t="s">
        <v>679</v>
      </c>
      <c r="M199" s="33" t="s">
        <v>679</v>
      </c>
      <c r="N199" s="33" t="s">
        <v>679</v>
      </c>
      <c r="O199" s="33" t="s">
        <v>679</v>
      </c>
      <c r="P199" s="33"/>
      <c r="Q199" s="33"/>
      <c r="R199" s="41"/>
    </row>
    <row r="200" customFormat="false" ht="26.85" hidden="false" customHeight="false" outlineLevel="0" collapsed="false">
      <c r="A200" s="41"/>
      <c r="B200" s="41" t="s">
        <v>1122</v>
      </c>
      <c r="C200" s="41" t="s">
        <v>674</v>
      </c>
      <c r="D200" s="41" t="s">
        <v>675</v>
      </c>
      <c r="E200" s="41" t="s">
        <v>675</v>
      </c>
      <c r="F200" s="41" t="s">
        <v>676</v>
      </c>
      <c r="G200" s="41" t="s">
        <v>714</v>
      </c>
      <c r="H200" s="43" t="s">
        <v>1463</v>
      </c>
      <c r="I200" s="33" t="s">
        <v>679</v>
      </c>
      <c r="J200" s="33" t="s">
        <v>679</v>
      </c>
      <c r="K200" s="33" t="s">
        <v>679</v>
      </c>
      <c r="L200" s="33" t="s">
        <v>679</v>
      </c>
      <c r="M200" s="33" t="s">
        <v>679</v>
      </c>
      <c r="N200" s="33" t="s">
        <v>679</v>
      </c>
      <c r="O200" s="33" t="s">
        <v>679</v>
      </c>
      <c r="P200" s="33"/>
      <c r="Q200" s="33"/>
      <c r="R200" s="41"/>
    </row>
    <row r="201" customFormat="false" ht="26.85" hidden="false" customHeight="false" outlineLevel="0" collapsed="false">
      <c r="A201" s="41" t="s">
        <v>1464</v>
      </c>
      <c r="B201" s="41" t="s">
        <v>1465</v>
      </c>
      <c r="C201" s="41" t="s">
        <v>674</v>
      </c>
      <c r="D201" s="41" t="s">
        <v>676</v>
      </c>
      <c r="E201" s="41" t="s">
        <v>675</v>
      </c>
      <c r="F201" s="41" t="s">
        <v>675</v>
      </c>
      <c r="G201" s="41" t="s">
        <v>714</v>
      </c>
      <c r="H201" s="43" t="s">
        <v>1463</v>
      </c>
      <c r="I201" s="33" t="s">
        <v>689</v>
      </c>
      <c r="J201" s="33" t="s">
        <v>679</v>
      </c>
      <c r="K201" s="33" t="s">
        <v>689</v>
      </c>
      <c r="L201" s="33" t="s">
        <v>1466</v>
      </c>
      <c r="M201" s="33" t="s">
        <v>679</v>
      </c>
      <c r="N201" s="33" t="s">
        <v>1466</v>
      </c>
      <c r="O201" s="33" t="s">
        <v>680</v>
      </c>
      <c r="P201" s="33" t="s">
        <v>1467</v>
      </c>
      <c r="Q201" s="33" t="s">
        <v>1467</v>
      </c>
      <c r="R201" s="41" t="s">
        <v>1467</v>
      </c>
    </row>
    <row r="202" customFormat="false" ht="26.85" hidden="false" customHeight="false" outlineLevel="0" collapsed="false">
      <c r="A202" s="41" t="s">
        <v>1468</v>
      </c>
      <c r="B202" s="41" t="s">
        <v>1469</v>
      </c>
      <c r="C202" s="41" t="s">
        <v>674</v>
      </c>
      <c r="D202" s="41" t="s">
        <v>675</v>
      </c>
      <c r="E202" s="41" t="s">
        <v>676</v>
      </c>
      <c r="F202" s="41" t="s">
        <v>676</v>
      </c>
      <c r="G202" s="41" t="s">
        <v>714</v>
      </c>
      <c r="H202" s="43" t="s">
        <v>1463</v>
      </c>
      <c r="I202" s="33" t="s">
        <v>679</v>
      </c>
      <c r="J202" s="33" t="s">
        <v>680</v>
      </c>
      <c r="K202" s="33" t="s">
        <v>680</v>
      </c>
      <c r="L202" s="33" t="s">
        <v>679</v>
      </c>
      <c r="M202" s="33" t="s">
        <v>1470</v>
      </c>
      <c r="N202" s="33" t="s">
        <v>1470</v>
      </c>
      <c r="O202" s="33" t="s">
        <v>684</v>
      </c>
      <c r="P202" s="33" t="s">
        <v>1471</v>
      </c>
      <c r="Q202" s="33" t="s">
        <v>1470</v>
      </c>
      <c r="R202" s="41" t="s">
        <v>1472</v>
      </c>
    </row>
    <row r="203" customFormat="false" ht="26.85" hidden="false" customHeight="false" outlineLevel="0" collapsed="false">
      <c r="A203" s="41" t="s">
        <v>1473</v>
      </c>
      <c r="B203" s="41" t="s">
        <v>1474</v>
      </c>
      <c r="C203" s="41" t="s">
        <v>674</v>
      </c>
      <c r="D203" s="41" t="s">
        <v>676</v>
      </c>
      <c r="E203" s="41" t="s">
        <v>675</v>
      </c>
      <c r="F203" s="41" t="s">
        <v>675</v>
      </c>
      <c r="G203" s="41" t="s">
        <v>714</v>
      </c>
      <c r="H203" s="43" t="s">
        <v>1463</v>
      </c>
      <c r="I203" s="33" t="s">
        <v>680</v>
      </c>
      <c r="J203" s="33" t="s">
        <v>679</v>
      </c>
      <c r="K203" s="33" t="s">
        <v>680</v>
      </c>
      <c r="L203" s="33" t="s">
        <v>1475</v>
      </c>
      <c r="M203" s="33" t="s">
        <v>679</v>
      </c>
      <c r="N203" s="33" t="s">
        <v>1475</v>
      </c>
      <c r="O203" s="33" t="s">
        <v>684</v>
      </c>
      <c r="P203" s="33" t="s">
        <v>1476</v>
      </c>
      <c r="Q203" s="33" t="s">
        <v>1475</v>
      </c>
      <c r="R203" s="41" t="s">
        <v>1477</v>
      </c>
    </row>
    <row r="204" customFormat="false" ht="26.85" hidden="false" customHeight="false" outlineLevel="0" collapsed="false">
      <c r="A204" s="41" t="s">
        <v>1478</v>
      </c>
      <c r="B204" s="41" t="s">
        <v>1479</v>
      </c>
      <c r="C204" s="41" t="s">
        <v>674</v>
      </c>
      <c r="D204" s="41" t="s">
        <v>676</v>
      </c>
      <c r="E204" s="41" t="s">
        <v>675</v>
      </c>
      <c r="F204" s="41" t="s">
        <v>675</v>
      </c>
      <c r="G204" s="41" t="s">
        <v>714</v>
      </c>
      <c r="H204" s="43" t="s">
        <v>1463</v>
      </c>
      <c r="I204" s="33" t="s">
        <v>680</v>
      </c>
      <c r="J204" s="33" t="s">
        <v>679</v>
      </c>
      <c r="K204" s="33" t="s">
        <v>680</v>
      </c>
      <c r="L204" s="33" t="s">
        <v>1480</v>
      </c>
      <c r="M204" s="33" t="s">
        <v>679</v>
      </c>
      <c r="N204" s="33" t="s">
        <v>1480</v>
      </c>
      <c r="O204" s="33" t="s">
        <v>680</v>
      </c>
      <c r="P204" s="33" t="s">
        <v>1480</v>
      </c>
      <c r="Q204" s="33" t="s">
        <v>1480</v>
      </c>
      <c r="R204" s="41" t="s">
        <v>1480</v>
      </c>
    </row>
    <row r="205" customFormat="false" ht="26.85" hidden="false" customHeight="false" outlineLevel="0" collapsed="false">
      <c r="A205" s="41" t="s">
        <v>1413</v>
      </c>
      <c r="B205" s="41" t="s">
        <v>1481</v>
      </c>
      <c r="C205" s="41" t="s">
        <v>674</v>
      </c>
      <c r="D205" s="41" t="s">
        <v>675</v>
      </c>
      <c r="E205" s="41" t="s">
        <v>676</v>
      </c>
      <c r="F205" s="41" t="s">
        <v>675</v>
      </c>
      <c r="G205" s="41" t="s">
        <v>714</v>
      </c>
      <c r="H205" s="43" t="s">
        <v>1463</v>
      </c>
      <c r="I205" s="33" t="s">
        <v>679</v>
      </c>
      <c r="J205" s="33" t="s">
        <v>680</v>
      </c>
      <c r="K205" s="33" t="s">
        <v>680</v>
      </c>
      <c r="L205" s="33" t="s">
        <v>679</v>
      </c>
      <c r="M205" s="33" t="s">
        <v>1418</v>
      </c>
      <c r="N205" s="33" t="s">
        <v>1418</v>
      </c>
      <c r="O205" s="33" t="s">
        <v>680</v>
      </c>
      <c r="P205" s="33" t="s">
        <v>1418</v>
      </c>
      <c r="Q205" s="33" t="s">
        <v>1418</v>
      </c>
      <c r="R205" s="41" t="s">
        <v>1418</v>
      </c>
    </row>
    <row r="206" customFormat="false" ht="26.85" hidden="false" customHeight="false" outlineLevel="0" collapsed="false">
      <c r="A206" s="41" t="s">
        <v>1482</v>
      </c>
      <c r="B206" s="41" t="s">
        <v>1483</v>
      </c>
      <c r="C206" s="41" t="s">
        <v>674</v>
      </c>
      <c r="D206" s="41" t="s">
        <v>676</v>
      </c>
      <c r="E206" s="41" t="s">
        <v>675</v>
      </c>
      <c r="F206" s="41" t="s">
        <v>675</v>
      </c>
      <c r="G206" s="41" t="s">
        <v>714</v>
      </c>
      <c r="H206" s="43" t="s">
        <v>1463</v>
      </c>
      <c r="I206" s="33" t="s">
        <v>680</v>
      </c>
      <c r="J206" s="33" t="s">
        <v>679</v>
      </c>
      <c r="K206" s="33" t="s">
        <v>680</v>
      </c>
      <c r="L206" s="33" t="s">
        <v>1484</v>
      </c>
      <c r="M206" s="33" t="s">
        <v>679</v>
      </c>
      <c r="N206" s="33" t="s">
        <v>1484</v>
      </c>
      <c r="O206" s="33" t="s">
        <v>680</v>
      </c>
      <c r="P206" s="33" t="s">
        <v>1484</v>
      </c>
      <c r="Q206" s="33" t="s">
        <v>1484</v>
      </c>
      <c r="R206" s="41" t="s">
        <v>1484</v>
      </c>
    </row>
    <row r="207" customFormat="false" ht="26.85" hidden="false" customHeight="false" outlineLevel="0" collapsed="false">
      <c r="A207" s="41" t="s">
        <v>1485</v>
      </c>
      <c r="B207" s="41" t="s">
        <v>1486</v>
      </c>
      <c r="C207" s="41" t="s">
        <v>674</v>
      </c>
      <c r="D207" s="41" t="s">
        <v>676</v>
      </c>
      <c r="E207" s="41" t="s">
        <v>675</v>
      </c>
      <c r="F207" s="41" t="s">
        <v>675</v>
      </c>
      <c r="G207" s="41" t="s">
        <v>714</v>
      </c>
      <c r="H207" s="43" t="s">
        <v>1463</v>
      </c>
      <c r="I207" s="33" t="s">
        <v>680</v>
      </c>
      <c r="J207" s="33" t="s">
        <v>679</v>
      </c>
      <c r="K207" s="33" t="s">
        <v>680</v>
      </c>
      <c r="L207" s="33" t="s">
        <v>1487</v>
      </c>
      <c r="M207" s="33" t="s">
        <v>679</v>
      </c>
      <c r="N207" s="33" t="s">
        <v>1487</v>
      </c>
      <c r="O207" s="33" t="s">
        <v>680</v>
      </c>
      <c r="P207" s="33" t="s">
        <v>1487</v>
      </c>
      <c r="Q207" s="33" t="s">
        <v>1487</v>
      </c>
      <c r="R207" s="41" t="s">
        <v>1487</v>
      </c>
    </row>
    <row r="208" customFormat="false" ht="26.85" hidden="false" customHeight="false" outlineLevel="0" collapsed="false">
      <c r="A208" s="41" t="s">
        <v>1488</v>
      </c>
      <c r="B208" s="41" t="s">
        <v>1489</v>
      </c>
      <c r="C208" s="41" t="s">
        <v>674</v>
      </c>
      <c r="D208" s="41" t="s">
        <v>675</v>
      </c>
      <c r="E208" s="41" t="s">
        <v>676</v>
      </c>
      <c r="F208" s="41" t="s">
        <v>676</v>
      </c>
      <c r="G208" s="41" t="s">
        <v>714</v>
      </c>
      <c r="H208" s="43" t="s">
        <v>1463</v>
      </c>
      <c r="I208" s="33" t="s">
        <v>679</v>
      </c>
      <c r="J208" s="33" t="s">
        <v>680</v>
      </c>
      <c r="K208" s="33" t="s">
        <v>680</v>
      </c>
      <c r="L208" s="33" t="s">
        <v>679</v>
      </c>
      <c r="M208" s="33" t="s">
        <v>1490</v>
      </c>
      <c r="N208" s="33" t="s">
        <v>1490</v>
      </c>
      <c r="O208" s="33" t="s">
        <v>680</v>
      </c>
      <c r="P208" s="33" t="s">
        <v>1490</v>
      </c>
      <c r="Q208" s="33" t="s">
        <v>1490</v>
      </c>
      <c r="R208" s="41" t="s">
        <v>1490</v>
      </c>
    </row>
    <row r="209" customFormat="false" ht="26.85" hidden="false" customHeight="false" outlineLevel="0" collapsed="false">
      <c r="A209" s="41" t="s">
        <v>1491</v>
      </c>
      <c r="B209" s="41" t="s">
        <v>1492</v>
      </c>
      <c r="C209" s="41" t="s">
        <v>674</v>
      </c>
      <c r="D209" s="41" t="s">
        <v>675</v>
      </c>
      <c r="E209" s="41" t="s">
        <v>676</v>
      </c>
      <c r="F209" s="41" t="s">
        <v>676</v>
      </c>
      <c r="G209" s="41" t="s">
        <v>714</v>
      </c>
      <c r="H209" s="43" t="s">
        <v>1463</v>
      </c>
      <c r="I209" s="33" t="s">
        <v>679</v>
      </c>
      <c r="J209" s="33" t="s">
        <v>680</v>
      </c>
      <c r="K209" s="33" t="s">
        <v>680</v>
      </c>
      <c r="L209" s="33" t="s">
        <v>679</v>
      </c>
      <c r="M209" s="33" t="s">
        <v>1493</v>
      </c>
      <c r="N209" s="33" t="s">
        <v>1493</v>
      </c>
      <c r="O209" s="33" t="s">
        <v>684</v>
      </c>
      <c r="P209" s="33" t="s">
        <v>1494</v>
      </c>
      <c r="Q209" s="33" t="s">
        <v>1493</v>
      </c>
      <c r="R209" s="41" t="s">
        <v>1495</v>
      </c>
    </row>
    <row r="210" customFormat="false" ht="26.85" hidden="false" customHeight="false" outlineLevel="0" collapsed="false">
      <c r="A210" s="41" t="s">
        <v>1496</v>
      </c>
      <c r="B210" s="41" t="s">
        <v>1497</v>
      </c>
      <c r="C210" s="41" t="s">
        <v>674</v>
      </c>
      <c r="D210" s="41" t="s">
        <v>675</v>
      </c>
      <c r="E210" s="41" t="s">
        <v>676</v>
      </c>
      <c r="F210" s="41" t="s">
        <v>675</v>
      </c>
      <c r="G210" s="41" t="s">
        <v>714</v>
      </c>
      <c r="H210" s="43" t="s">
        <v>1463</v>
      </c>
      <c r="I210" s="33" t="s">
        <v>679</v>
      </c>
      <c r="J210" s="33" t="s">
        <v>684</v>
      </c>
      <c r="K210" s="33" t="s">
        <v>684</v>
      </c>
      <c r="L210" s="33" t="s">
        <v>679</v>
      </c>
      <c r="M210" s="33" t="s">
        <v>877</v>
      </c>
      <c r="N210" s="33" t="s">
        <v>877</v>
      </c>
      <c r="O210" s="33" t="s">
        <v>684</v>
      </c>
      <c r="P210" s="33" t="s">
        <v>1498</v>
      </c>
      <c r="Q210" s="33" t="s">
        <v>1499</v>
      </c>
      <c r="R210" s="41" t="s">
        <v>1500</v>
      </c>
    </row>
    <row r="211" customFormat="false" ht="26.85" hidden="false" customHeight="false" outlineLevel="0" collapsed="false">
      <c r="A211" s="41" t="s">
        <v>1501</v>
      </c>
      <c r="B211" s="41" t="s">
        <v>1502</v>
      </c>
      <c r="C211" s="41" t="s">
        <v>674</v>
      </c>
      <c r="D211" s="41" t="s">
        <v>675</v>
      </c>
      <c r="E211" s="41" t="s">
        <v>676</v>
      </c>
      <c r="F211" s="41" t="s">
        <v>675</v>
      </c>
      <c r="G211" s="41" t="s">
        <v>714</v>
      </c>
      <c r="H211" s="43" t="s">
        <v>1463</v>
      </c>
      <c r="I211" s="33" t="s">
        <v>679</v>
      </c>
      <c r="J211" s="33" t="s">
        <v>680</v>
      </c>
      <c r="K211" s="33" t="s">
        <v>680</v>
      </c>
      <c r="L211" s="33" t="s">
        <v>679</v>
      </c>
      <c r="M211" s="33" t="s">
        <v>1132</v>
      </c>
      <c r="N211" s="33" t="s">
        <v>1132</v>
      </c>
      <c r="O211" s="33" t="s">
        <v>680</v>
      </c>
      <c r="P211" s="33" t="s">
        <v>1132</v>
      </c>
      <c r="Q211" s="33" t="s">
        <v>1132</v>
      </c>
      <c r="R211" s="41" t="s">
        <v>1132</v>
      </c>
    </row>
    <row r="212" customFormat="false" ht="26.85" hidden="false" customHeight="false" outlineLevel="0" collapsed="false">
      <c r="A212" s="41" t="s">
        <v>468</v>
      </c>
      <c r="B212" s="41" t="s">
        <v>469</v>
      </c>
      <c r="C212" s="41" t="s">
        <v>1181</v>
      </c>
      <c r="D212" s="41" t="s">
        <v>676</v>
      </c>
      <c r="E212" s="41" t="s">
        <v>675</v>
      </c>
      <c r="F212" s="41" t="s">
        <v>675</v>
      </c>
      <c r="G212" s="41" t="s">
        <v>714</v>
      </c>
      <c r="H212" s="43" t="s">
        <v>1463</v>
      </c>
      <c r="I212" s="33" t="s">
        <v>680</v>
      </c>
      <c r="J212" s="33" t="s">
        <v>679</v>
      </c>
      <c r="K212" s="33" t="s">
        <v>680</v>
      </c>
      <c r="L212" s="33" t="s">
        <v>1503</v>
      </c>
      <c r="M212" s="33" t="s">
        <v>679</v>
      </c>
      <c r="N212" s="33" t="s">
        <v>1503</v>
      </c>
      <c r="O212" s="33" t="s">
        <v>684</v>
      </c>
      <c r="P212" s="33" t="s">
        <v>1504</v>
      </c>
      <c r="Q212" s="33" t="s">
        <v>1503</v>
      </c>
      <c r="R212" s="41" t="s">
        <v>1505</v>
      </c>
    </row>
    <row r="213" customFormat="false" ht="26.85" hidden="false" customHeight="false" outlineLevel="0" collapsed="false">
      <c r="A213" s="41" t="s">
        <v>412</v>
      </c>
      <c r="B213" s="41" t="s">
        <v>413</v>
      </c>
      <c r="C213" s="41" t="s">
        <v>1181</v>
      </c>
      <c r="D213" s="41" t="s">
        <v>676</v>
      </c>
      <c r="E213" s="41" t="s">
        <v>675</v>
      </c>
      <c r="F213" s="41" t="s">
        <v>675</v>
      </c>
      <c r="G213" s="41" t="s">
        <v>714</v>
      </c>
      <c r="H213" s="43" t="s">
        <v>1463</v>
      </c>
      <c r="I213" s="33" t="s">
        <v>680</v>
      </c>
      <c r="J213" s="33" t="s">
        <v>679</v>
      </c>
      <c r="K213" s="33" t="s">
        <v>680</v>
      </c>
      <c r="L213" s="33" t="s">
        <v>1506</v>
      </c>
      <c r="M213" s="33" t="s">
        <v>679</v>
      </c>
      <c r="N213" s="33" t="s">
        <v>1506</v>
      </c>
      <c r="O213" s="33" t="s">
        <v>680</v>
      </c>
      <c r="P213" s="33" t="s">
        <v>1506</v>
      </c>
      <c r="Q213" s="33" t="s">
        <v>1506</v>
      </c>
      <c r="R213" s="41" t="s">
        <v>1506</v>
      </c>
    </row>
    <row r="214" customFormat="false" ht="39.55" hidden="false" customHeight="false" outlineLevel="0" collapsed="false">
      <c r="A214" s="41" t="s">
        <v>500</v>
      </c>
      <c r="B214" s="41" t="s">
        <v>1507</v>
      </c>
      <c r="C214" s="41" t="s">
        <v>1181</v>
      </c>
      <c r="D214" s="41" t="s">
        <v>676</v>
      </c>
      <c r="E214" s="41" t="s">
        <v>675</v>
      </c>
      <c r="F214" s="41" t="s">
        <v>675</v>
      </c>
      <c r="G214" s="41" t="s">
        <v>714</v>
      </c>
      <c r="H214" s="43" t="s">
        <v>1463</v>
      </c>
      <c r="I214" s="33" t="s">
        <v>680</v>
      </c>
      <c r="J214" s="33" t="s">
        <v>679</v>
      </c>
      <c r="K214" s="33" t="s">
        <v>680</v>
      </c>
      <c r="L214" s="33" t="s">
        <v>1508</v>
      </c>
      <c r="M214" s="33" t="s">
        <v>679</v>
      </c>
      <c r="N214" s="33" t="s">
        <v>1508</v>
      </c>
      <c r="O214" s="33" t="s">
        <v>680</v>
      </c>
      <c r="P214" s="33" t="s">
        <v>1508</v>
      </c>
      <c r="Q214" s="33" t="s">
        <v>1508</v>
      </c>
      <c r="R214" s="41" t="s">
        <v>1508</v>
      </c>
    </row>
    <row r="215" customFormat="false" ht="26.85" hidden="false" customHeight="false" outlineLevel="0" collapsed="false">
      <c r="A215" s="41" t="s">
        <v>502</v>
      </c>
      <c r="B215" s="41" t="s">
        <v>503</v>
      </c>
      <c r="C215" s="41" t="s">
        <v>1181</v>
      </c>
      <c r="D215" s="41" t="s">
        <v>676</v>
      </c>
      <c r="E215" s="41" t="s">
        <v>675</v>
      </c>
      <c r="F215" s="41" t="s">
        <v>675</v>
      </c>
      <c r="G215" s="41" t="s">
        <v>714</v>
      </c>
      <c r="H215" s="43" t="s">
        <v>1463</v>
      </c>
      <c r="I215" s="33" t="s">
        <v>680</v>
      </c>
      <c r="J215" s="33" t="s">
        <v>679</v>
      </c>
      <c r="K215" s="33" t="s">
        <v>680</v>
      </c>
      <c r="L215" s="33" t="s">
        <v>1508</v>
      </c>
      <c r="M215" s="33" t="s">
        <v>679</v>
      </c>
      <c r="N215" s="33" t="s">
        <v>1508</v>
      </c>
      <c r="O215" s="33" t="s">
        <v>680</v>
      </c>
      <c r="P215" s="33" t="s">
        <v>1508</v>
      </c>
      <c r="Q215" s="33" t="s">
        <v>1508</v>
      </c>
      <c r="R215" s="41" t="s">
        <v>1508</v>
      </c>
    </row>
    <row r="216" customFormat="false" ht="26.85" hidden="false" customHeight="false" outlineLevel="0" collapsed="false">
      <c r="A216" s="41"/>
      <c r="B216" s="41" t="s">
        <v>1136</v>
      </c>
      <c r="C216" s="41" t="s">
        <v>705</v>
      </c>
      <c r="D216" s="41" t="s">
        <v>675</v>
      </c>
      <c r="E216" s="41" t="s">
        <v>675</v>
      </c>
      <c r="F216" s="41" t="s">
        <v>676</v>
      </c>
      <c r="G216" s="41" t="s">
        <v>714</v>
      </c>
      <c r="H216" s="43" t="s">
        <v>1463</v>
      </c>
      <c r="I216" s="33" t="s">
        <v>679</v>
      </c>
      <c r="J216" s="33" t="s">
        <v>679</v>
      </c>
      <c r="K216" s="33" t="s">
        <v>679</v>
      </c>
      <c r="L216" s="33" t="s">
        <v>679</v>
      </c>
      <c r="M216" s="33" t="s">
        <v>679</v>
      </c>
      <c r="N216" s="33" t="s">
        <v>679</v>
      </c>
      <c r="O216" s="33" t="s">
        <v>679</v>
      </c>
      <c r="P216" s="33"/>
      <c r="Q216" s="33"/>
      <c r="R216" s="41"/>
    </row>
    <row r="217" customFormat="false" ht="26.85" hidden="false" customHeight="false" outlineLevel="0" collapsed="false">
      <c r="A217" s="41"/>
      <c r="B217" s="41" t="s">
        <v>1070</v>
      </c>
      <c r="C217" s="41" t="s">
        <v>705</v>
      </c>
      <c r="D217" s="41" t="s">
        <v>675</v>
      </c>
      <c r="E217" s="41" t="s">
        <v>675</v>
      </c>
      <c r="F217" s="41" t="s">
        <v>676</v>
      </c>
      <c r="G217" s="41" t="s">
        <v>714</v>
      </c>
      <c r="H217" s="43" t="s">
        <v>1463</v>
      </c>
      <c r="I217" s="33" t="s">
        <v>679</v>
      </c>
      <c r="J217" s="33" t="s">
        <v>679</v>
      </c>
      <c r="K217" s="33" t="s">
        <v>679</v>
      </c>
      <c r="L217" s="33" t="s">
        <v>679</v>
      </c>
      <c r="M217" s="33" t="s">
        <v>679</v>
      </c>
      <c r="N217" s="33" t="s">
        <v>679</v>
      </c>
      <c r="O217" s="33" t="s">
        <v>679</v>
      </c>
      <c r="P217" s="33"/>
      <c r="Q217" s="33"/>
      <c r="R217" s="41"/>
    </row>
    <row r="218" customFormat="false" ht="26.85" hidden="false" customHeight="false" outlineLevel="0" collapsed="false">
      <c r="A218" s="41" t="s">
        <v>1509</v>
      </c>
      <c r="B218" s="41" t="s">
        <v>1510</v>
      </c>
      <c r="C218" s="41" t="s">
        <v>705</v>
      </c>
      <c r="D218" s="41" t="s">
        <v>675</v>
      </c>
      <c r="E218" s="41" t="s">
        <v>676</v>
      </c>
      <c r="F218" s="41" t="s">
        <v>675</v>
      </c>
      <c r="G218" s="41" t="s">
        <v>714</v>
      </c>
      <c r="H218" s="43" t="s">
        <v>1463</v>
      </c>
      <c r="I218" s="33" t="s">
        <v>679</v>
      </c>
      <c r="J218" s="33" t="s">
        <v>680</v>
      </c>
      <c r="K218" s="33" t="s">
        <v>680</v>
      </c>
      <c r="L218" s="33" t="s">
        <v>679</v>
      </c>
      <c r="M218" s="33" t="s">
        <v>1511</v>
      </c>
      <c r="N218" s="33" t="s">
        <v>1511</v>
      </c>
      <c r="O218" s="33" t="s">
        <v>680</v>
      </c>
      <c r="P218" s="33" t="s">
        <v>1511</v>
      </c>
      <c r="Q218" s="33" t="s">
        <v>1511</v>
      </c>
      <c r="R218" s="41" t="s">
        <v>1511</v>
      </c>
    </row>
    <row r="219" customFormat="false" ht="26.85" hidden="false" customHeight="false" outlineLevel="0" collapsed="false">
      <c r="A219" s="41" t="s">
        <v>1512</v>
      </c>
      <c r="B219" s="41" t="s">
        <v>1513</v>
      </c>
      <c r="C219" s="41" t="s">
        <v>705</v>
      </c>
      <c r="D219" s="41" t="s">
        <v>676</v>
      </c>
      <c r="E219" s="41" t="s">
        <v>675</v>
      </c>
      <c r="F219" s="41" t="s">
        <v>675</v>
      </c>
      <c r="G219" s="41" t="s">
        <v>714</v>
      </c>
      <c r="H219" s="43" t="s">
        <v>1463</v>
      </c>
      <c r="I219" s="33" t="s">
        <v>680</v>
      </c>
      <c r="J219" s="33" t="s">
        <v>679</v>
      </c>
      <c r="K219" s="33" t="s">
        <v>680</v>
      </c>
      <c r="L219" s="33" t="s">
        <v>1514</v>
      </c>
      <c r="M219" s="33" t="s">
        <v>679</v>
      </c>
      <c r="N219" s="33" t="s">
        <v>1514</v>
      </c>
      <c r="O219" s="33" t="s">
        <v>684</v>
      </c>
      <c r="P219" s="33" t="s">
        <v>1514</v>
      </c>
      <c r="Q219" s="33" t="s">
        <v>1515</v>
      </c>
      <c r="R219" s="41" t="s">
        <v>1516</v>
      </c>
    </row>
    <row r="220" customFormat="false" ht="15" hidden="false" customHeight="false" outlineLevel="0" collapsed="false">
      <c r="A220" s="41" t="s">
        <v>1517</v>
      </c>
      <c r="B220" s="41" t="s">
        <v>1518</v>
      </c>
      <c r="C220" s="41" t="s">
        <v>705</v>
      </c>
      <c r="D220" s="41" t="s">
        <v>675</v>
      </c>
      <c r="E220" s="41" t="s">
        <v>676</v>
      </c>
      <c r="F220" s="41" t="s">
        <v>675</v>
      </c>
      <c r="G220" s="41" t="s">
        <v>714</v>
      </c>
      <c r="H220" s="43" t="s">
        <v>1463</v>
      </c>
      <c r="I220" s="33" t="s">
        <v>679</v>
      </c>
      <c r="J220" s="33" t="s">
        <v>680</v>
      </c>
      <c r="K220" s="33" t="s">
        <v>680</v>
      </c>
      <c r="L220" s="33" t="s">
        <v>679</v>
      </c>
      <c r="M220" s="33" t="s">
        <v>1519</v>
      </c>
      <c r="N220" s="33" t="s">
        <v>1519</v>
      </c>
      <c r="O220" s="33" t="s">
        <v>680</v>
      </c>
      <c r="P220" s="33" t="s">
        <v>1519</v>
      </c>
      <c r="Q220" s="33" t="s">
        <v>1519</v>
      </c>
      <c r="R220" s="41" t="s">
        <v>1519</v>
      </c>
    </row>
    <row r="221" customFormat="false" ht="26.85" hidden="false" customHeight="false" outlineLevel="0" collapsed="false">
      <c r="A221" s="41" t="s">
        <v>1520</v>
      </c>
      <c r="B221" s="41" t="s">
        <v>1521</v>
      </c>
      <c r="C221" s="41" t="s">
        <v>705</v>
      </c>
      <c r="D221" s="41" t="s">
        <v>676</v>
      </c>
      <c r="E221" s="41" t="s">
        <v>675</v>
      </c>
      <c r="F221" s="41" t="s">
        <v>675</v>
      </c>
      <c r="G221" s="41" t="s">
        <v>714</v>
      </c>
      <c r="H221" s="43" t="s">
        <v>1463</v>
      </c>
      <c r="I221" s="33" t="s">
        <v>680</v>
      </c>
      <c r="J221" s="33" t="s">
        <v>679</v>
      </c>
      <c r="K221" s="33" t="s">
        <v>680</v>
      </c>
      <c r="L221" s="33" t="s">
        <v>760</v>
      </c>
      <c r="M221" s="33" t="s">
        <v>679</v>
      </c>
      <c r="N221" s="33" t="s">
        <v>760</v>
      </c>
      <c r="O221" s="33" t="s">
        <v>680</v>
      </c>
      <c r="P221" s="33" t="s">
        <v>760</v>
      </c>
      <c r="Q221" s="33" t="s">
        <v>760</v>
      </c>
      <c r="R221" s="41" t="s">
        <v>760</v>
      </c>
    </row>
    <row r="222" customFormat="false" ht="26.85" hidden="false" customHeight="false" outlineLevel="0" collapsed="false">
      <c r="A222" s="41" t="s">
        <v>1522</v>
      </c>
      <c r="B222" s="41" t="s">
        <v>1523</v>
      </c>
      <c r="C222" s="41" t="s">
        <v>705</v>
      </c>
      <c r="D222" s="41" t="s">
        <v>675</v>
      </c>
      <c r="E222" s="41" t="s">
        <v>676</v>
      </c>
      <c r="F222" s="41" t="s">
        <v>676</v>
      </c>
      <c r="G222" s="41" t="s">
        <v>714</v>
      </c>
      <c r="H222" s="43" t="s">
        <v>1463</v>
      </c>
      <c r="I222" s="33" t="s">
        <v>679</v>
      </c>
      <c r="J222" s="33" t="s">
        <v>680</v>
      </c>
      <c r="K222" s="33" t="s">
        <v>680</v>
      </c>
      <c r="L222" s="33" t="s">
        <v>679</v>
      </c>
      <c r="M222" s="33" t="s">
        <v>1524</v>
      </c>
      <c r="N222" s="33" t="s">
        <v>1524</v>
      </c>
      <c r="O222" s="33" t="s">
        <v>680</v>
      </c>
      <c r="P222" s="33" t="s">
        <v>1524</v>
      </c>
      <c r="Q222" s="33" t="s">
        <v>1524</v>
      </c>
      <c r="R222" s="41" t="s">
        <v>1524</v>
      </c>
    </row>
    <row r="223" customFormat="false" ht="26.85" hidden="false" customHeight="false" outlineLevel="0" collapsed="false">
      <c r="A223" s="41" t="s">
        <v>1525</v>
      </c>
      <c r="B223" s="41" t="s">
        <v>200</v>
      </c>
      <c r="C223" s="41" t="s">
        <v>705</v>
      </c>
      <c r="D223" s="41" t="s">
        <v>676</v>
      </c>
      <c r="E223" s="41" t="s">
        <v>675</v>
      </c>
      <c r="F223" s="41" t="s">
        <v>675</v>
      </c>
      <c r="G223" s="41" t="s">
        <v>714</v>
      </c>
      <c r="H223" s="43" t="s">
        <v>1463</v>
      </c>
      <c r="I223" s="33" t="s">
        <v>680</v>
      </c>
      <c r="J223" s="33" t="s">
        <v>679</v>
      </c>
      <c r="K223" s="33" t="s">
        <v>680</v>
      </c>
      <c r="L223" s="33" t="s">
        <v>1526</v>
      </c>
      <c r="M223" s="33" t="s">
        <v>679</v>
      </c>
      <c r="N223" s="33" t="s">
        <v>1526</v>
      </c>
      <c r="O223" s="33" t="s">
        <v>680</v>
      </c>
      <c r="P223" s="33" t="s">
        <v>1526</v>
      </c>
      <c r="Q223" s="33" t="s">
        <v>1526</v>
      </c>
      <c r="R223" s="41" t="s">
        <v>1526</v>
      </c>
    </row>
    <row r="224" customFormat="false" ht="26.85" hidden="false" customHeight="false" outlineLevel="0" collapsed="false">
      <c r="A224" s="41" t="s">
        <v>1527</v>
      </c>
      <c r="B224" s="41" t="s">
        <v>1528</v>
      </c>
      <c r="C224" s="41" t="s">
        <v>705</v>
      </c>
      <c r="D224" s="41" t="s">
        <v>676</v>
      </c>
      <c r="E224" s="41" t="s">
        <v>675</v>
      </c>
      <c r="F224" s="41" t="s">
        <v>675</v>
      </c>
      <c r="G224" s="41" t="s">
        <v>714</v>
      </c>
      <c r="H224" s="43" t="s">
        <v>1463</v>
      </c>
      <c r="I224" s="33" t="s">
        <v>680</v>
      </c>
      <c r="J224" s="33" t="s">
        <v>679</v>
      </c>
      <c r="K224" s="33" t="s">
        <v>680</v>
      </c>
      <c r="L224" s="33" t="s">
        <v>336</v>
      </c>
      <c r="M224" s="33" t="s">
        <v>679</v>
      </c>
      <c r="N224" s="33" t="s">
        <v>336</v>
      </c>
      <c r="O224" s="33" t="s">
        <v>680</v>
      </c>
      <c r="P224" s="33" t="s">
        <v>336</v>
      </c>
      <c r="Q224" s="33" t="s">
        <v>336</v>
      </c>
      <c r="R224" s="41" t="s">
        <v>336</v>
      </c>
    </row>
    <row r="225" customFormat="false" ht="15" hidden="false" customHeight="false" outlineLevel="0" collapsed="false">
      <c r="A225" s="41" t="s">
        <v>1529</v>
      </c>
      <c r="B225" s="41" t="s">
        <v>1530</v>
      </c>
      <c r="C225" s="41" t="s">
        <v>705</v>
      </c>
      <c r="D225" s="41" t="s">
        <v>676</v>
      </c>
      <c r="E225" s="41" t="s">
        <v>675</v>
      </c>
      <c r="F225" s="41" t="s">
        <v>675</v>
      </c>
      <c r="G225" s="41" t="s">
        <v>714</v>
      </c>
      <c r="H225" s="43" t="s">
        <v>1463</v>
      </c>
      <c r="I225" s="33" t="s">
        <v>680</v>
      </c>
      <c r="J225" s="33" t="s">
        <v>679</v>
      </c>
      <c r="K225" s="33" t="s">
        <v>680</v>
      </c>
      <c r="L225" s="33" t="s">
        <v>1081</v>
      </c>
      <c r="M225" s="33" t="s">
        <v>679</v>
      </c>
      <c r="N225" s="33" t="s">
        <v>1081</v>
      </c>
      <c r="O225" s="33" t="s">
        <v>680</v>
      </c>
      <c r="P225" s="33" t="s">
        <v>1081</v>
      </c>
      <c r="Q225" s="33" t="s">
        <v>1081</v>
      </c>
      <c r="R225" s="41" t="s">
        <v>1081</v>
      </c>
    </row>
    <row r="226" customFormat="false" ht="26.85" hidden="false" customHeight="false" outlineLevel="0" collapsed="false">
      <c r="A226" s="41" t="s">
        <v>1531</v>
      </c>
      <c r="B226" s="41" t="s">
        <v>1532</v>
      </c>
      <c r="C226" s="41" t="s">
        <v>705</v>
      </c>
      <c r="D226" s="41" t="s">
        <v>676</v>
      </c>
      <c r="E226" s="41" t="s">
        <v>675</v>
      </c>
      <c r="F226" s="41" t="s">
        <v>675</v>
      </c>
      <c r="G226" s="41" t="s">
        <v>714</v>
      </c>
      <c r="H226" s="43" t="s">
        <v>1463</v>
      </c>
      <c r="I226" s="33" t="s">
        <v>680</v>
      </c>
      <c r="J226" s="33" t="s">
        <v>679</v>
      </c>
      <c r="K226" s="33" t="s">
        <v>680</v>
      </c>
      <c r="L226" s="33" t="s">
        <v>1533</v>
      </c>
      <c r="M226" s="33" t="s">
        <v>679</v>
      </c>
      <c r="N226" s="33" t="s">
        <v>1533</v>
      </c>
      <c r="O226" s="33" t="s">
        <v>680</v>
      </c>
      <c r="P226" s="33" t="s">
        <v>1533</v>
      </c>
      <c r="Q226" s="33" t="s">
        <v>1533</v>
      </c>
      <c r="R226" s="41" t="s">
        <v>1533</v>
      </c>
    </row>
    <row r="227" customFormat="false" ht="15" hidden="false" customHeight="false" outlineLevel="0" collapsed="false">
      <c r="A227" s="41" t="s">
        <v>1534</v>
      </c>
      <c r="B227" s="41" t="s">
        <v>1535</v>
      </c>
      <c r="C227" s="41" t="s">
        <v>705</v>
      </c>
      <c r="D227" s="41" t="s">
        <v>676</v>
      </c>
      <c r="E227" s="41" t="s">
        <v>676</v>
      </c>
      <c r="F227" s="41" t="s">
        <v>675</v>
      </c>
      <c r="G227" s="41" t="s">
        <v>714</v>
      </c>
      <c r="H227" s="43" t="s">
        <v>1463</v>
      </c>
      <c r="I227" s="33" t="s">
        <v>680</v>
      </c>
      <c r="J227" s="33" t="s">
        <v>679</v>
      </c>
      <c r="K227" s="33" t="s">
        <v>684</v>
      </c>
      <c r="L227" s="33" t="s">
        <v>1536</v>
      </c>
      <c r="M227" s="33" t="s">
        <v>679</v>
      </c>
      <c r="N227" s="33" t="s">
        <v>1537</v>
      </c>
      <c r="O227" s="33" t="s">
        <v>684</v>
      </c>
      <c r="P227" s="33" t="s">
        <v>1536</v>
      </c>
      <c r="Q227" s="33" t="s">
        <v>1538</v>
      </c>
      <c r="R227" s="41" t="s">
        <v>1539</v>
      </c>
    </row>
    <row r="228" customFormat="false" ht="26.85" hidden="false" customHeight="false" outlineLevel="0" collapsed="false">
      <c r="A228" s="41" t="s">
        <v>1540</v>
      </c>
      <c r="B228" s="41" t="s">
        <v>1541</v>
      </c>
      <c r="C228" s="41" t="s">
        <v>705</v>
      </c>
      <c r="D228" s="41" t="s">
        <v>676</v>
      </c>
      <c r="E228" s="41" t="s">
        <v>675</v>
      </c>
      <c r="F228" s="41" t="s">
        <v>675</v>
      </c>
      <c r="G228" s="41" t="s">
        <v>714</v>
      </c>
      <c r="H228" s="43" t="s">
        <v>1463</v>
      </c>
      <c r="I228" s="33" t="s">
        <v>747</v>
      </c>
      <c r="J228" s="33" t="s">
        <v>679</v>
      </c>
      <c r="K228" s="33" t="s">
        <v>747</v>
      </c>
      <c r="L228" s="33" t="s">
        <v>921</v>
      </c>
      <c r="M228" s="33" t="s">
        <v>679</v>
      </c>
      <c r="N228" s="33" t="s">
        <v>921</v>
      </c>
      <c r="O228" s="33" t="s">
        <v>680</v>
      </c>
      <c r="P228" s="33" t="s">
        <v>731</v>
      </c>
      <c r="Q228" s="33" t="s">
        <v>731</v>
      </c>
      <c r="R228" s="41" t="s">
        <v>731</v>
      </c>
    </row>
    <row r="229" customFormat="false" ht="26.85" hidden="false" customHeight="false" outlineLevel="0" collapsed="false">
      <c r="A229" s="41" t="s">
        <v>1542</v>
      </c>
      <c r="B229" s="41" t="s">
        <v>1543</v>
      </c>
      <c r="C229" s="41" t="s">
        <v>705</v>
      </c>
      <c r="D229" s="41" t="s">
        <v>676</v>
      </c>
      <c r="E229" s="41" t="s">
        <v>675</v>
      </c>
      <c r="F229" s="41" t="s">
        <v>675</v>
      </c>
      <c r="G229" s="41" t="s">
        <v>714</v>
      </c>
      <c r="H229" s="43" t="s">
        <v>1463</v>
      </c>
      <c r="I229" s="33" t="s">
        <v>689</v>
      </c>
      <c r="J229" s="33" t="s">
        <v>679</v>
      </c>
      <c r="K229" s="33" t="s">
        <v>689</v>
      </c>
      <c r="L229" s="33" t="s">
        <v>1544</v>
      </c>
      <c r="M229" s="33" t="s">
        <v>679</v>
      </c>
      <c r="N229" s="33" t="s">
        <v>1544</v>
      </c>
      <c r="O229" s="33" t="s">
        <v>680</v>
      </c>
      <c r="P229" s="33" t="s">
        <v>1545</v>
      </c>
      <c r="Q229" s="33" t="s">
        <v>1545</v>
      </c>
      <c r="R229" s="41" t="s">
        <v>1545</v>
      </c>
    </row>
    <row r="230" customFormat="false" ht="15" hidden="false" customHeight="false" outlineLevel="0" collapsed="false">
      <c r="A230" s="41" t="s">
        <v>1546</v>
      </c>
      <c r="B230" s="41" t="s">
        <v>1547</v>
      </c>
      <c r="C230" s="41" t="s">
        <v>705</v>
      </c>
      <c r="D230" s="41" t="s">
        <v>676</v>
      </c>
      <c r="E230" s="41" t="s">
        <v>676</v>
      </c>
      <c r="F230" s="41" t="s">
        <v>676</v>
      </c>
      <c r="G230" s="41" t="s">
        <v>714</v>
      </c>
      <c r="H230" s="43" t="s">
        <v>1463</v>
      </c>
      <c r="I230" s="33" t="s">
        <v>679</v>
      </c>
      <c r="J230" s="33" t="s">
        <v>727</v>
      </c>
      <c r="K230" s="33" t="s">
        <v>1045</v>
      </c>
      <c r="L230" s="33" t="s">
        <v>679</v>
      </c>
      <c r="M230" s="33" t="s">
        <v>1068</v>
      </c>
      <c r="N230" s="33" t="s">
        <v>1548</v>
      </c>
      <c r="O230" s="33" t="s">
        <v>680</v>
      </c>
      <c r="P230" s="33" t="s">
        <v>1549</v>
      </c>
      <c r="Q230" s="33" t="s">
        <v>1549</v>
      </c>
      <c r="R230" s="41" t="s">
        <v>1549</v>
      </c>
    </row>
    <row r="231" customFormat="false" ht="26.85" hidden="false" customHeight="false" outlineLevel="0" collapsed="false">
      <c r="A231" s="41" t="s">
        <v>1550</v>
      </c>
      <c r="B231" s="41" t="s">
        <v>1551</v>
      </c>
      <c r="C231" s="41" t="s">
        <v>705</v>
      </c>
      <c r="D231" s="41" t="s">
        <v>675</v>
      </c>
      <c r="E231" s="41" t="s">
        <v>676</v>
      </c>
      <c r="F231" s="41" t="s">
        <v>675</v>
      </c>
      <c r="G231" s="41" t="s">
        <v>714</v>
      </c>
      <c r="H231" s="43" t="s">
        <v>1463</v>
      </c>
      <c r="I231" s="33" t="s">
        <v>679</v>
      </c>
      <c r="J231" s="33" t="s">
        <v>680</v>
      </c>
      <c r="K231" s="33" t="s">
        <v>680</v>
      </c>
      <c r="L231" s="33" t="s">
        <v>679</v>
      </c>
      <c r="M231" s="33" t="s">
        <v>1552</v>
      </c>
      <c r="N231" s="33" t="s">
        <v>1552</v>
      </c>
      <c r="O231" s="33" t="s">
        <v>680</v>
      </c>
      <c r="P231" s="33" t="s">
        <v>1552</v>
      </c>
      <c r="Q231" s="33" t="s">
        <v>1552</v>
      </c>
      <c r="R231" s="41" t="s">
        <v>1552</v>
      </c>
    </row>
    <row r="232" customFormat="false" ht="15" hidden="false" customHeight="false" outlineLevel="0" collapsed="false">
      <c r="A232" s="41" t="s">
        <v>1553</v>
      </c>
      <c r="B232" s="41" t="s">
        <v>1554</v>
      </c>
      <c r="C232" s="41" t="s">
        <v>705</v>
      </c>
      <c r="D232" s="41" t="s">
        <v>675</v>
      </c>
      <c r="E232" s="41" t="s">
        <v>676</v>
      </c>
      <c r="F232" s="41" t="s">
        <v>675</v>
      </c>
      <c r="G232" s="41" t="s">
        <v>714</v>
      </c>
      <c r="H232" s="43" t="s">
        <v>1463</v>
      </c>
      <c r="I232" s="33" t="s">
        <v>679</v>
      </c>
      <c r="J232" s="33" t="s">
        <v>680</v>
      </c>
      <c r="K232" s="33" t="s">
        <v>680</v>
      </c>
      <c r="L232" s="33" t="s">
        <v>679</v>
      </c>
      <c r="M232" s="33" t="s">
        <v>1555</v>
      </c>
      <c r="N232" s="33" t="s">
        <v>1555</v>
      </c>
      <c r="O232" s="33" t="s">
        <v>684</v>
      </c>
      <c r="P232" s="33" t="s">
        <v>1555</v>
      </c>
      <c r="Q232" s="33" t="s">
        <v>898</v>
      </c>
      <c r="R232" s="41" t="s">
        <v>1556</v>
      </c>
    </row>
    <row r="233" customFormat="false" ht="26.85" hidden="false" customHeight="false" outlineLevel="0" collapsed="false">
      <c r="A233" s="41"/>
      <c r="B233" s="41" t="s">
        <v>1213</v>
      </c>
      <c r="C233" s="41" t="s">
        <v>674</v>
      </c>
      <c r="D233" s="41" t="s">
        <v>675</v>
      </c>
      <c r="E233" s="41" t="s">
        <v>675</v>
      </c>
      <c r="F233" s="41" t="s">
        <v>676</v>
      </c>
      <c r="G233" s="41" t="s">
        <v>684</v>
      </c>
      <c r="H233" s="43" t="s">
        <v>1557</v>
      </c>
      <c r="I233" s="33" t="s">
        <v>679</v>
      </c>
      <c r="J233" s="33" t="s">
        <v>679</v>
      </c>
      <c r="K233" s="33" t="s">
        <v>679</v>
      </c>
      <c r="L233" s="33" t="s">
        <v>679</v>
      </c>
      <c r="M233" s="33" t="s">
        <v>679</v>
      </c>
      <c r="N233" s="33" t="s">
        <v>679</v>
      </c>
      <c r="O233" s="33" t="s">
        <v>679</v>
      </c>
      <c r="P233" s="33"/>
      <c r="Q233" s="33"/>
      <c r="R233" s="41"/>
    </row>
    <row r="234" customFormat="false" ht="26.85" hidden="false" customHeight="false" outlineLevel="0" collapsed="false">
      <c r="A234" s="41"/>
      <c r="B234" s="41" t="s">
        <v>1177</v>
      </c>
      <c r="C234" s="41" t="s">
        <v>674</v>
      </c>
      <c r="D234" s="41" t="s">
        <v>675</v>
      </c>
      <c r="E234" s="41" t="s">
        <v>675</v>
      </c>
      <c r="F234" s="41" t="s">
        <v>676</v>
      </c>
      <c r="G234" s="41" t="s">
        <v>684</v>
      </c>
      <c r="H234" s="43" t="s">
        <v>1557</v>
      </c>
      <c r="I234" s="33" t="s">
        <v>679</v>
      </c>
      <c r="J234" s="33" t="s">
        <v>679</v>
      </c>
      <c r="K234" s="33" t="s">
        <v>679</v>
      </c>
      <c r="L234" s="33" t="s">
        <v>679</v>
      </c>
      <c r="M234" s="33" t="s">
        <v>679</v>
      </c>
      <c r="N234" s="33" t="s">
        <v>679</v>
      </c>
      <c r="O234" s="33" t="s">
        <v>679</v>
      </c>
      <c r="P234" s="33"/>
      <c r="Q234" s="33"/>
      <c r="R234" s="41"/>
    </row>
    <row r="235" customFormat="false" ht="26.85" hidden="false" customHeight="false" outlineLevel="0" collapsed="false">
      <c r="A235" s="41"/>
      <c r="B235" s="41" t="s">
        <v>1489</v>
      </c>
      <c r="C235" s="41" t="s">
        <v>674</v>
      </c>
      <c r="D235" s="41" t="s">
        <v>675</v>
      </c>
      <c r="E235" s="41" t="s">
        <v>675</v>
      </c>
      <c r="F235" s="41" t="s">
        <v>676</v>
      </c>
      <c r="G235" s="41" t="s">
        <v>684</v>
      </c>
      <c r="H235" s="43" t="s">
        <v>1557</v>
      </c>
      <c r="I235" s="33" t="s">
        <v>679</v>
      </c>
      <c r="J235" s="33" t="s">
        <v>679</v>
      </c>
      <c r="K235" s="33" t="s">
        <v>679</v>
      </c>
      <c r="L235" s="33" t="s">
        <v>679</v>
      </c>
      <c r="M235" s="33" t="s">
        <v>679</v>
      </c>
      <c r="N235" s="33" t="s">
        <v>679</v>
      </c>
      <c r="O235" s="33" t="s">
        <v>679</v>
      </c>
      <c r="P235" s="33"/>
      <c r="Q235" s="33"/>
      <c r="R235" s="41"/>
    </row>
    <row r="236" customFormat="false" ht="26.85" hidden="false" customHeight="false" outlineLevel="0" collapsed="false">
      <c r="A236" s="41"/>
      <c r="B236" s="41" t="s">
        <v>1243</v>
      </c>
      <c r="C236" s="41" t="s">
        <v>674</v>
      </c>
      <c r="D236" s="41" t="s">
        <v>675</v>
      </c>
      <c r="E236" s="41" t="s">
        <v>675</v>
      </c>
      <c r="F236" s="41" t="s">
        <v>676</v>
      </c>
      <c r="G236" s="41" t="s">
        <v>684</v>
      </c>
      <c r="H236" s="43" t="s">
        <v>1557</v>
      </c>
      <c r="I236" s="33" t="s">
        <v>679</v>
      </c>
      <c r="J236" s="33" t="s">
        <v>679</v>
      </c>
      <c r="K236" s="33" t="s">
        <v>679</v>
      </c>
      <c r="L236" s="33" t="s">
        <v>679</v>
      </c>
      <c r="M236" s="33" t="s">
        <v>679</v>
      </c>
      <c r="N236" s="33" t="s">
        <v>679</v>
      </c>
      <c r="O236" s="33" t="s">
        <v>679</v>
      </c>
      <c r="P236" s="33"/>
      <c r="Q236" s="33"/>
      <c r="R236" s="41"/>
    </row>
    <row r="237" customFormat="false" ht="26.85" hidden="false" customHeight="false" outlineLevel="0" collapsed="false">
      <c r="A237" s="41" t="s">
        <v>1558</v>
      </c>
      <c r="B237" s="41" t="s">
        <v>1559</v>
      </c>
      <c r="C237" s="41" t="s">
        <v>674</v>
      </c>
      <c r="D237" s="41" t="s">
        <v>676</v>
      </c>
      <c r="E237" s="41" t="s">
        <v>675</v>
      </c>
      <c r="F237" s="41" t="s">
        <v>675</v>
      </c>
      <c r="G237" s="41" t="s">
        <v>684</v>
      </c>
      <c r="H237" s="43" t="s">
        <v>1557</v>
      </c>
      <c r="I237" s="33" t="s">
        <v>684</v>
      </c>
      <c r="J237" s="33" t="s">
        <v>679</v>
      </c>
      <c r="K237" s="33" t="s">
        <v>684</v>
      </c>
      <c r="L237" s="33" t="s">
        <v>1560</v>
      </c>
      <c r="M237" s="33" t="s">
        <v>679</v>
      </c>
      <c r="N237" s="33" t="s">
        <v>1560</v>
      </c>
      <c r="O237" s="33" t="s">
        <v>680</v>
      </c>
      <c r="P237" s="33" t="s">
        <v>1561</v>
      </c>
      <c r="Q237" s="33" t="s">
        <v>1561</v>
      </c>
      <c r="R237" s="41" t="s">
        <v>1561</v>
      </c>
    </row>
    <row r="238" customFormat="false" ht="26.85" hidden="false" customHeight="false" outlineLevel="0" collapsed="false">
      <c r="A238" s="41" t="s">
        <v>1562</v>
      </c>
      <c r="B238" s="41" t="s">
        <v>1563</v>
      </c>
      <c r="C238" s="41" t="s">
        <v>674</v>
      </c>
      <c r="D238" s="41" t="s">
        <v>675</v>
      </c>
      <c r="E238" s="41" t="s">
        <v>676</v>
      </c>
      <c r="F238" s="41" t="s">
        <v>675</v>
      </c>
      <c r="G238" s="41" t="s">
        <v>684</v>
      </c>
      <c r="H238" s="43" t="s">
        <v>1557</v>
      </c>
      <c r="I238" s="33" t="s">
        <v>679</v>
      </c>
      <c r="J238" s="33" t="s">
        <v>680</v>
      </c>
      <c r="K238" s="33" t="s">
        <v>680</v>
      </c>
      <c r="L238" s="33" t="s">
        <v>679</v>
      </c>
      <c r="M238" s="33" t="s">
        <v>1564</v>
      </c>
      <c r="N238" s="33" t="s">
        <v>1564</v>
      </c>
      <c r="O238" s="33" t="s">
        <v>680</v>
      </c>
      <c r="P238" s="33" t="s">
        <v>1564</v>
      </c>
      <c r="Q238" s="33" t="s">
        <v>1564</v>
      </c>
      <c r="R238" s="41" t="s">
        <v>1564</v>
      </c>
    </row>
    <row r="239" customFormat="false" ht="26.85" hidden="false" customHeight="false" outlineLevel="0" collapsed="false">
      <c r="A239" s="41" t="s">
        <v>1565</v>
      </c>
      <c r="B239" s="41" t="s">
        <v>1566</v>
      </c>
      <c r="C239" s="41" t="s">
        <v>674</v>
      </c>
      <c r="D239" s="41" t="s">
        <v>675</v>
      </c>
      <c r="E239" s="41" t="s">
        <v>676</v>
      </c>
      <c r="F239" s="41" t="s">
        <v>675</v>
      </c>
      <c r="G239" s="41" t="s">
        <v>684</v>
      </c>
      <c r="H239" s="43" t="s">
        <v>1557</v>
      </c>
      <c r="I239" s="33" t="s">
        <v>679</v>
      </c>
      <c r="J239" s="33" t="s">
        <v>680</v>
      </c>
      <c r="K239" s="33" t="s">
        <v>680</v>
      </c>
      <c r="L239" s="33" t="s">
        <v>679</v>
      </c>
      <c r="M239" s="33" t="s">
        <v>1205</v>
      </c>
      <c r="N239" s="33" t="s">
        <v>1205</v>
      </c>
      <c r="O239" s="33" t="s">
        <v>680</v>
      </c>
      <c r="P239" s="33" t="s">
        <v>1205</v>
      </c>
      <c r="Q239" s="33" t="s">
        <v>1205</v>
      </c>
      <c r="R239" s="41" t="s">
        <v>1205</v>
      </c>
    </row>
    <row r="240" customFormat="false" ht="26.85" hidden="false" customHeight="false" outlineLevel="0" collapsed="false">
      <c r="A240" s="41" t="s">
        <v>1567</v>
      </c>
      <c r="B240" s="41" t="s">
        <v>1568</v>
      </c>
      <c r="C240" s="41" t="s">
        <v>674</v>
      </c>
      <c r="D240" s="41" t="s">
        <v>675</v>
      </c>
      <c r="E240" s="41" t="s">
        <v>676</v>
      </c>
      <c r="F240" s="41" t="s">
        <v>675</v>
      </c>
      <c r="G240" s="41" t="s">
        <v>684</v>
      </c>
      <c r="H240" s="43" t="s">
        <v>1557</v>
      </c>
      <c r="I240" s="33" t="s">
        <v>679</v>
      </c>
      <c r="J240" s="33" t="s">
        <v>877</v>
      </c>
      <c r="K240" s="33" t="s">
        <v>877</v>
      </c>
      <c r="L240" s="33" t="s">
        <v>679</v>
      </c>
      <c r="M240" s="33" t="s">
        <v>1569</v>
      </c>
      <c r="N240" s="33" t="s">
        <v>1569</v>
      </c>
      <c r="O240" s="33" t="s">
        <v>684</v>
      </c>
      <c r="P240" s="33" t="s">
        <v>1570</v>
      </c>
      <c r="Q240" s="33" t="s">
        <v>1571</v>
      </c>
      <c r="R240" s="41" t="s">
        <v>1572</v>
      </c>
    </row>
    <row r="241" customFormat="false" ht="26.85" hidden="false" customHeight="false" outlineLevel="0" collapsed="false">
      <c r="A241" s="41" t="s">
        <v>1573</v>
      </c>
      <c r="B241" s="41" t="s">
        <v>1574</v>
      </c>
      <c r="C241" s="41" t="s">
        <v>674</v>
      </c>
      <c r="D241" s="41" t="s">
        <v>676</v>
      </c>
      <c r="E241" s="41" t="s">
        <v>675</v>
      </c>
      <c r="F241" s="41" t="s">
        <v>675</v>
      </c>
      <c r="G241" s="41" t="s">
        <v>684</v>
      </c>
      <c r="H241" s="43" t="s">
        <v>1557</v>
      </c>
      <c r="I241" s="33" t="s">
        <v>680</v>
      </c>
      <c r="J241" s="33" t="s">
        <v>679</v>
      </c>
      <c r="K241" s="33" t="s">
        <v>680</v>
      </c>
      <c r="L241" s="33" t="s">
        <v>1575</v>
      </c>
      <c r="M241" s="33" t="s">
        <v>679</v>
      </c>
      <c r="N241" s="33" t="s">
        <v>1575</v>
      </c>
      <c r="O241" s="33" t="s">
        <v>680</v>
      </c>
      <c r="P241" s="33" t="s">
        <v>1575</v>
      </c>
      <c r="Q241" s="33" t="s">
        <v>1575</v>
      </c>
      <c r="R241" s="41" t="s">
        <v>1575</v>
      </c>
    </row>
    <row r="242" customFormat="false" ht="26.85" hidden="false" customHeight="false" outlineLevel="0" collapsed="false">
      <c r="A242" s="41" t="s">
        <v>1576</v>
      </c>
      <c r="B242" s="41" t="s">
        <v>1577</v>
      </c>
      <c r="C242" s="41" t="s">
        <v>674</v>
      </c>
      <c r="D242" s="41" t="s">
        <v>675</v>
      </c>
      <c r="E242" s="41" t="s">
        <v>676</v>
      </c>
      <c r="F242" s="41" t="s">
        <v>675</v>
      </c>
      <c r="G242" s="41" t="s">
        <v>684</v>
      </c>
      <c r="H242" s="43" t="s">
        <v>1557</v>
      </c>
      <c r="I242" s="33" t="s">
        <v>679</v>
      </c>
      <c r="J242" s="33" t="s">
        <v>680</v>
      </c>
      <c r="K242" s="33" t="s">
        <v>680</v>
      </c>
      <c r="L242" s="33" t="s">
        <v>679</v>
      </c>
      <c r="M242" s="33" t="s">
        <v>1578</v>
      </c>
      <c r="N242" s="33" t="s">
        <v>1578</v>
      </c>
      <c r="O242" s="33" t="s">
        <v>680</v>
      </c>
      <c r="P242" s="33" t="s">
        <v>1578</v>
      </c>
      <c r="Q242" s="33" t="s">
        <v>1578</v>
      </c>
      <c r="R242" s="41" t="s">
        <v>1578</v>
      </c>
    </row>
    <row r="243" customFormat="false" ht="26.85" hidden="false" customHeight="false" outlineLevel="0" collapsed="false">
      <c r="A243" s="41" t="s">
        <v>1579</v>
      </c>
      <c r="B243" s="41" t="s">
        <v>1580</v>
      </c>
      <c r="C243" s="41" t="s">
        <v>674</v>
      </c>
      <c r="D243" s="41" t="s">
        <v>676</v>
      </c>
      <c r="E243" s="41" t="s">
        <v>676</v>
      </c>
      <c r="F243" s="41" t="s">
        <v>675</v>
      </c>
      <c r="G243" s="41" t="s">
        <v>684</v>
      </c>
      <c r="H243" s="43" t="s">
        <v>1557</v>
      </c>
      <c r="I243" s="33" t="s">
        <v>680</v>
      </c>
      <c r="J243" s="33" t="s">
        <v>1416</v>
      </c>
      <c r="K243" s="33" t="s">
        <v>1227</v>
      </c>
      <c r="L243" s="33" t="s">
        <v>1581</v>
      </c>
      <c r="M243" s="33" t="s">
        <v>1582</v>
      </c>
      <c r="N243" s="33" t="s">
        <v>1583</v>
      </c>
      <c r="O243" s="33" t="s">
        <v>680</v>
      </c>
      <c r="P243" s="33" t="s">
        <v>1581</v>
      </c>
      <c r="Q243" s="33" t="s">
        <v>1581</v>
      </c>
      <c r="R243" s="41" t="s">
        <v>1581</v>
      </c>
    </row>
    <row r="244" customFormat="false" ht="26.85" hidden="false" customHeight="false" outlineLevel="0" collapsed="false">
      <c r="A244" s="41" t="s">
        <v>1584</v>
      </c>
      <c r="B244" s="41" t="s">
        <v>1585</v>
      </c>
      <c r="C244" s="41" t="s">
        <v>674</v>
      </c>
      <c r="D244" s="41" t="s">
        <v>676</v>
      </c>
      <c r="E244" s="41" t="s">
        <v>676</v>
      </c>
      <c r="F244" s="41" t="s">
        <v>675</v>
      </c>
      <c r="G244" s="41" t="s">
        <v>684</v>
      </c>
      <c r="H244" s="43" t="s">
        <v>1557</v>
      </c>
      <c r="I244" s="33" t="s">
        <v>680</v>
      </c>
      <c r="J244" s="33" t="s">
        <v>1416</v>
      </c>
      <c r="K244" s="33" t="s">
        <v>1227</v>
      </c>
      <c r="L244" s="33" t="s">
        <v>1586</v>
      </c>
      <c r="M244" s="33" t="s">
        <v>1587</v>
      </c>
      <c r="N244" s="33" t="s">
        <v>1588</v>
      </c>
      <c r="O244" s="33" t="s">
        <v>680</v>
      </c>
      <c r="P244" s="33" t="s">
        <v>1586</v>
      </c>
      <c r="Q244" s="33" t="s">
        <v>1586</v>
      </c>
      <c r="R244" s="41" t="s">
        <v>1586</v>
      </c>
    </row>
    <row r="245" customFormat="false" ht="26.85" hidden="false" customHeight="false" outlineLevel="0" collapsed="false">
      <c r="A245" s="41" t="s">
        <v>1589</v>
      </c>
      <c r="B245" s="41" t="s">
        <v>1590</v>
      </c>
      <c r="C245" s="41" t="s">
        <v>674</v>
      </c>
      <c r="D245" s="41" t="s">
        <v>675</v>
      </c>
      <c r="E245" s="41" t="s">
        <v>676</v>
      </c>
      <c r="F245" s="41" t="s">
        <v>675</v>
      </c>
      <c r="G245" s="41" t="s">
        <v>684</v>
      </c>
      <c r="H245" s="43" t="s">
        <v>1557</v>
      </c>
      <c r="I245" s="33" t="s">
        <v>679</v>
      </c>
      <c r="J245" s="33" t="s">
        <v>1045</v>
      </c>
      <c r="K245" s="33" t="s">
        <v>1045</v>
      </c>
      <c r="L245" s="33" t="s">
        <v>679</v>
      </c>
      <c r="M245" s="33" t="s">
        <v>1591</v>
      </c>
      <c r="N245" s="33" t="s">
        <v>1591</v>
      </c>
      <c r="O245" s="33" t="s">
        <v>680</v>
      </c>
      <c r="P245" s="33" t="s">
        <v>1592</v>
      </c>
      <c r="Q245" s="33" t="s">
        <v>1592</v>
      </c>
      <c r="R245" s="41" t="s">
        <v>1592</v>
      </c>
    </row>
    <row r="246" customFormat="false" ht="26.85" hidden="false" customHeight="false" outlineLevel="0" collapsed="false">
      <c r="A246" s="41" t="s">
        <v>1593</v>
      </c>
      <c r="B246" s="41" t="s">
        <v>1594</v>
      </c>
      <c r="C246" s="41" t="s">
        <v>674</v>
      </c>
      <c r="D246" s="41" t="s">
        <v>675</v>
      </c>
      <c r="E246" s="41" t="s">
        <v>676</v>
      </c>
      <c r="F246" s="41" t="s">
        <v>675</v>
      </c>
      <c r="G246" s="41" t="s">
        <v>684</v>
      </c>
      <c r="H246" s="43" t="s">
        <v>1557</v>
      </c>
      <c r="I246" s="33" t="s">
        <v>679</v>
      </c>
      <c r="J246" s="33" t="s">
        <v>984</v>
      </c>
      <c r="K246" s="33" t="s">
        <v>984</v>
      </c>
      <c r="L246" s="33" t="s">
        <v>679</v>
      </c>
      <c r="M246" s="33" t="s">
        <v>1595</v>
      </c>
      <c r="N246" s="33" t="s">
        <v>1595</v>
      </c>
      <c r="O246" s="33" t="s">
        <v>680</v>
      </c>
      <c r="P246" s="33" t="s">
        <v>1596</v>
      </c>
      <c r="Q246" s="33" t="s">
        <v>1596</v>
      </c>
      <c r="R246" s="41" t="s">
        <v>1596</v>
      </c>
    </row>
    <row r="247" customFormat="false" ht="26.85" hidden="false" customHeight="false" outlineLevel="0" collapsed="false">
      <c r="A247" s="41" t="s">
        <v>1597</v>
      </c>
      <c r="B247" s="41" t="s">
        <v>1598</v>
      </c>
      <c r="C247" s="41" t="s">
        <v>674</v>
      </c>
      <c r="D247" s="41" t="s">
        <v>675</v>
      </c>
      <c r="E247" s="41" t="s">
        <v>676</v>
      </c>
      <c r="F247" s="41" t="s">
        <v>675</v>
      </c>
      <c r="G247" s="41" t="s">
        <v>684</v>
      </c>
      <c r="H247" s="43" t="s">
        <v>1557</v>
      </c>
      <c r="I247" s="33" t="s">
        <v>679</v>
      </c>
      <c r="J247" s="33" t="s">
        <v>984</v>
      </c>
      <c r="K247" s="33" t="s">
        <v>984</v>
      </c>
      <c r="L247" s="33" t="s">
        <v>679</v>
      </c>
      <c r="M247" s="33" t="s">
        <v>1599</v>
      </c>
      <c r="N247" s="33" t="s">
        <v>1599</v>
      </c>
      <c r="O247" s="33" t="s">
        <v>684</v>
      </c>
      <c r="P247" s="33" t="s">
        <v>1600</v>
      </c>
      <c r="Q247" s="33" t="s">
        <v>1601</v>
      </c>
      <c r="R247" s="41" t="s">
        <v>1602</v>
      </c>
    </row>
    <row r="248" customFormat="false" ht="26.85" hidden="false" customHeight="false" outlineLevel="0" collapsed="false">
      <c r="A248" s="41" t="s">
        <v>1603</v>
      </c>
      <c r="B248" s="41" t="s">
        <v>1604</v>
      </c>
      <c r="C248" s="41" t="s">
        <v>674</v>
      </c>
      <c r="D248" s="41" t="s">
        <v>675</v>
      </c>
      <c r="E248" s="41" t="s">
        <v>676</v>
      </c>
      <c r="F248" s="41" t="s">
        <v>675</v>
      </c>
      <c r="G248" s="41" t="s">
        <v>684</v>
      </c>
      <c r="H248" s="43" t="s">
        <v>1557</v>
      </c>
      <c r="I248" s="33" t="s">
        <v>679</v>
      </c>
      <c r="J248" s="33" t="s">
        <v>680</v>
      </c>
      <c r="K248" s="33" t="s">
        <v>680</v>
      </c>
      <c r="L248" s="33" t="s">
        <v>679</v>
      </c>
      <c r="M248" s="33" t="s">
        <v>1605</v>
      </c>
      <c r="N248" s="33" t="s">
        <v>1605</v>
      </c>
      <c r="O248" s="33" t="s">
        <v>680</v>
      </c>
      <c r="P248" s="33" t="s">
        <v>1605</v>
      </c>
      <c r="Q248" s="33" t="s">
        <v>1605</v>
      </c>
      <c r="R248" s="41" t="s">
        <v>1605</v>
      </c>
    </row>
    <row r="249" customFormat="false" ht="26.85" hidden="false" customHeight="false" outlineLevel="0" collapsed="false">
      <c r="A249" s="41" t="s">
        <v>1606</v>
      </c>
      <c r="B249" s="41" t="s">
        <v>1607</v>
      </c>
      <c r="C249" s="41" t="s">
        <v>674</v>
      </c>
      <c r="D249" s="41" t="s">
        <v>675</v>
      </c>
      <c r="E249" s="41" t="s">
        <v>676</v>
      </c>
      <c r="F249" s="41" t="s">
        <v>675</v>
      </c>
      <c r="G249" s="41" t="s">
        <v>684</v>
      </c>
      <c r="H249" s="43" t="s">
        <v>1557</v>
      </c>
      <c r="I249" s="33" t="s">
        <v>679</v>
      </c>
      <c r="J249" s="33" t="s">
        <v>680</v>
      </c>
      <c r="K249" s="33" t="s">
        <v>680</v>
      </c>
      <c r="L249" s="33" t="s">
        <v>679</v>
      </c>
      <c r="M249" s="33" t="s">
        <v>1608</v>
      </c>
      <c r="N249" s="33" t="s">
        <v>1608</v>
      </c>
      <c r="O249" s="33" t="s">
        <v>680</v>
      </c>
      <c r="P249" s="33" t="s">
        <v>1608</v>
      </c>
      <c r="Q249" s="33" t="s">
        <v>1608</v>
      </c>
      <c r="R249" s="41" t="s">
        <v>1608</v>
      </c>
    </row>
    <row r="250" customFormat="false" ht="26.85" hidden="false" customHeight="false" outlineLevel="0" collapsed="false">
      <c r="A250" s="41" t="s">
        <v>1609</v>
      </c>
      <c r="B250" s="41" t="s">
        <v>1610</v>
      </c>
      <c r="C250" s="41" t="s">
        <v>674</v>
      </c>
      <c r="D250" s="41" t="s">
        <v>676</v>
      </c>
      <c r="E250" s="41" t="s">
        <v>675</v>
      </c>
      <c r="F250" s="41" t="s">
        <v>675</v>
      </c>
      <c r="G250" s="41" t="s">
        <v>684</v>
      </c>
      <c r="H250" s="43" t="s">
        <v>1557</v>
      </c>
      <c r="I250" s="33" t="s">
        <v>680</v>
      </c>
      <c r="J250" s="33" t="s">
        <v>679</v>
      </c>
      <c r="K250" s="33" t="s">
        <v>680</v>
      </c>
      <c r="L250" s="33" t="s">
        <v>1354</v>
      </c>
      <c r="M250" s="33" t="s">
        <v>679</v>
      </c>
      <c r="N250" s="33" t="s">
        <v>1354</v>
      </c>
      <c r="O250" s="33" t="s">
        <v>680</v>
      </c>
      <c r="P250" s="33" t="s">
        <v>1354</v>
      </c>
      <c r="Q250" s="33" t="s">
        <v>1354</v>
      </c>
      <c r="R250" s="41" t="s">
        <v>1354</v>
      </c>
    </row>
    <row r="251" customFormat="false" ht="26.85" hidden="false" customHeight="false" outlineLevel="0" collapsed="false">
      <c r="A251" s="41" t="s">
        <v>1611</v>
      </c>
      <c r="B251" s="41" t="s">
        <v>1612</v>
      </c>
      <c r="C251" s="41" t="s">
        <v>674</v>
      </c>
      <c r="D251" s="41" t="s">
        <v>676</v>
      </c>
      <c r="E251" s="41" t="s">
        <v>675</v>
      </c>
      <c r="F251" s="41" t="s">
        <v>675</v>
      </c>
      <c r="G251" s="41" t="s">
        <v>684</v>
      </c>
      <c r="H251" s="43" t="s">
        <v>1557</v>
      </c>
      <c r="I251" s="33" t="s">
        <v>684</v>
      </c>
      <c r="J251" s="33" t="s">
        <v>679</v>
      </c>
      <c r="K251" s="33" t="s">
        <v>684</v>
      </c>
      <c r="L251" s="33" t="s">
        <v>1613</v>
      </c>
      <c r="M251" s="33" t="s">
        <v>679</v>
      </c>
      <c r="N251" s="33" t="s">
        <v>1613</v>
      </c>
      <c r="O251" s="33" t="s">
        <v>680</v>
      </c>
      <c r="P251" s="33" t="s">
        <v>1614</v>
      </c>
      <c r="Q251" s="33" t="s">
        <v>1614</v>
      </c>
      <c r="R251" s="41" t="s">
        <v>1614</v>
      </c>
    </row>
    <row r="252" customFormat="false" ht="26.85" hidden="false" customHeight="false" outlineLevel="0" collapsed="false">
      <c r="A252" s="41" t="s">
        <v>1615</v>
      </c>
      <c r="B252" s="41" t="s">
        <v>1616</v>
      </c>
      <c r="C252" s="41" t="s">
        <v>674</v>
      </c>
      <c r="D252" s="41" t="s">
        <v>675</v>
      </c>
      <c r="E252" s="41" t="s">
        <v>676</v>
      </c>
      <c r="F252" s="41" t="s">
        <v>675</v>
      </c>
      <c r="G252" s="41" t="s">
        <v>684</v>
      </c>
      <c r="H252" s="43" t="s">
        <v>1557</v>
      </c>
      <c r="I252" s="33" t="s">
        <v>679</v>
      </c>
      <c r="J252" s="33" t="s">
        <v>680</v>
      </c>
      <c r="K252" s="33" t="s">
        <v>680</v>
      </c>
      <c r="L252" s="33" t="s">
        <v>679</v>
      </c>
      <c r="M252" s="33" t="s">
        <v>1617</v>
      </c>
      <c r="N252" s="33" t="s">
        <v>1617</v>
      </c>
      <c r="O252" s="33" t="s">
        <v>680</v>
      </c>
      <c r="P252" s="33" t="s">
        <v>1617</v>
      </c>
      <c r="Q252" s="33" t="s">
        <v>1617</v>
      </c>
      <c r="R252" s="41" t="s">
        <v>1617</v>
      </c>
    </row>
    <row r="253" customFormat="false" ht="26.85" hidden="false" customHeight="false" outlineLevel="0" collapsed="false">
      <c r="A253" s="41" t="s">
        <v>1618</v>
      </c>
      <c r="B253" s="41" t="s">
        <v>1619</v>
      </c>
      <c r="C253" s="41" t="s">
        <v>674</v>
      </c>
      <c r="D253" s="41" t="s">
        <v>676</v>
      </c>
      <c r="E253" s="41" t="s">
        <v>675</v>
      </c>
      <c r="F253" s="41" t="s">
        <v>675</v>
      </c>
      <c r="G253" s="41" t="s">
        <v>684</v>
      </c>
      <c r="H253" s="43" t="s">
        <v>1557</v>
      </c>
      <c r="I253" s="33" t="s">
        <v>984</v>
      </c>
      <c r="J253" s="33" t="s">
        <v>679</v>
      </c>
      <c r="K253" s="33" t="s">
        <v>984</v>
      </c>
      <c r="L253" s="33" t="s">
        <v>1620</v>
      </c>
      <c r="M253" s="33" t="s">
        <v>679</v>
      </c>
      <c r="N253" s="33" t="s">
        <v>1620</v>
      </c>
      <c r="O253" s="33" t="s">
        <v>680</v>
      </c>
      <c r="P253" s="33" t="s">
        <v>1621</v>
      </c>
      <c r="Q253" s="33" t="s">
        <v>1621</v>
      </c>
      <c r="R253" s="41" t="s">
        <v>1621</v>
      </c>
    </row>
    <row r="254" customFormat="false" ht="26.85" hidden="false" customHeight="false" outlineLevel="0" collapsed="false">
      <c r="A254" s="41" t="s">
        <v>1622</v>
      </c>
      <c r="B254" s="41" t="s">
        <v>1623</v>
      </c>
      <c r="C254" s="41" t="s">
        <v>674</v>
      </c>
      <c r="D254" s="41" t="s">
        <v>675</v>
      </c>
      <c r="E254" s="41" t="s">
        <v>676</v>
      </c>
      <c r="F254" s="41" t="s">
        <v>675</v>
      </c>
      <c r="G254" s="41" t="s">
        <v>684</v>
      </c>
      <c r="H254" s="43" t="s">
        <v>1557</v>
      </c>
      <c r="I254" s="33" t="s">
        <v>679</v>
      </c>
      <c r="J254" s="33" t="s">
        <v>684</v>
      </c>
      <c r="K254" s="33" t="s">
        <v>684</v>
      </c>
      <c r="L254" s="33" t="s">
        <v>679</v>
      </c>
      <c r="M254" s="33" t="s">
        <v>1624</v>
      </c>
      <c r="N254" s="33" t="s">
        <v>1624</v>
      </c>
      <c r="O254" s="33" t="s">
        <v>684</v>
      </c>
      <c r="P254" s="33" t="s">
        <v>1625</v>
      </c>
      <c r="Q254" s="33" t="s">
        <v>854</v>
      </c>
      <c r="R254" s="41" t="s">
        <v>1626</v>
      </c>
    </row>
    <row r="255" customFormat="false" ht="26.85" hidden="false" customHeight="false" outlineLevel="0" collapsed="false">
      <c r="A255" s="41" t="s">
        <v>1627</v>
      </c>
      <c r="B255" s="41" t="s">
        <v>1628</v>
      </c>
      <c r="C255" s="41" t="s">
        <v>674</v>
      </c>
      <c r="D255" s="41" t="s">
        <v>675</v>
      </c>
      <c r="E255" s="41" t="s">
        <v>676</v>
      </c>
      <c r="F255" s="41" t="s">
        <v>675</v>
      </c>
      <c r="G255" s="41" t="s">
        <v>684</v>
      </c>
      <c r="H255" s="43" t="s">
        <v>1557</v>
      </c>
      <c r="I255" s="33" t="s">
        <v>679</v>
      </c>
      <c r="J255" s="33" t="s">
        <v>680</v>
      </c>
      <c r="K255" s="33" t="s">
        <v>680</v>
      </c>
      <c r="L255" s="33" t="s">
        <v>679</v>
      </c>
      <c r="M255" s="33" t="s">
        <v>1629</v>
      </c>
      <c r="N255" s="33" t="s">
        <v>1629</v>
      </c>
      <c r="O255" s="33" t="s">
        <v>684</v>
      </c>
      <c r="P255" s="33" t="s">
        <v>1630</v>
      </c>
      <c r="Q255" s="33" t="s">
        <v>1631</v>
      </c>
      <c r="R255" s="41" t="s">
        <v>1632</v>
      </c>
    </row>
    <row r="256" customFormat="false" ht="26.85" hidden="false" customHeight="false" outlineLevel="0" collapsed="false">
      <c r="A256" s="41" t="s">
        <v>1633</v>
      </c>
      <c r="B256" s="41" t="s">
        <v>1634</v>
      </c>
      <c r="C256" s="41" t="s">
        <v>674</v>
      </c>
      <c r="D256" s="41" t="s">
        <v>675</v>
      </c>
      <c r="E256" s="41" t="s">
        <v>676</v>
      </c>
      <c r="F256" s="41" t="s">
        <v>676</v>
      </c>
      <c r="G256" s="41" t="s">
        <v>684</v>
      </c>
      <c r="H256" s="43" t="s">
        <v>1557</v>
      </c>
      <c r="I256" s="33" t="s">
        <v>679</v>
      </c>
      <c r="J256" s="33" t="s">
        <v>1416</v>
      </c>
      <c r="K256" s="33" t="s">
        <v>1416</v>
      </c>
      <c r="L256" s="33" t="s">
        <v>679</v>
      </c>
      <c r="M256" s="33" t="s">
        <v>1635</v>
      </c>
      <c r="N256" s="33" t="s">
        <v>1635</v>
      </c>
      <c r="O256" s="33" t="s">
        <v>680</v>
      </c>
      <c r="P256" s="33" t="s">
        <v>1490</v>
      </c>
      <c r="Q256" s="33" t="s">
        <v>1490</v>
      </c>
      <c r="R256" s="41" t="s">
        <v>1490</v>
      </c>
    </row>
    <row r="257" customFormat="false" ht="26.85" hidden="false" customHeight="false" outlineLevel="0" collapsed="false">
      <c r="A257" s="41" t="s">
        <v>1636</v>
      </c>
      <c r="B257" s="41" t="s">
        <v>1637</v>
      </c>
      <c r="C257" s="41" t="s">
        <v>674</v>
      </c>
      <c r="D257" s="41" t="s">
        <v>676</v>
      </c>
      <c r="E257" s="41" t="s">
        <v>675</v>
      </c>
      <c r="F257" s="41" t="s">
        <v>675</v>
      </c>
      <c r="G257" s="41" t="s">
        <v>684</v>
      </c>
      <c r="H257" s="43" t="s">
        <v>1557</v>
      </c>
      <c r="I257" s="33" t="s">
        <v>984</v>
      </c>
      <c r="J257" s="33" t="s">
        <v>679</v>
      </c>
      <c r="K257" s="33" t="s">
        <v>984</v>
      </c>
      <c r="L257" s="33" t="s">
        <v>1638</v>
      </c>
      <c r="M257" s="33" t="s">
        <v>679</v>
      </c>
      <c r="N257" s="33" t="s">
        <v>1638</v>
      </c>
      <c r="O257" s="33" t="s">
        <v>680</v>
      </c>
      <c r="P257" s="33" t="s">
        <v>1639</v>
      </c>
      <c r="Q257" s="33" t="s">
        <v>1639</v>
      </c>
      <c r="R257" s="41" t="s">
        <v>1639</v>
      </c>
    </row>
    <row r="258" customFormat="false" ht="26.85" hidden="false" customHeight="false" outlineLevel="0" collapsed="false">
      <c r="A258" s="41" t="s">
        <v>1640</v>
      </c>
      <c r="B258" s="41" t="s">
        <v>1641</v>
      </c>
      <c r="C258" s="41" t="s">
        <v>674</v>
      </c>
      <c r="D258" s="41" t="s">
        <v>676</v>
      </c>
      <c r="E258" s="41" t="s">
        <v>675</v>
      </c>
      <c r="F258" s="41" t="s">
        <v>675</v>
      </c>
      <c r="G258" s="41" t="s">
        <v>684</v>
      </c>
      <c r="H258" s="43" t="s">
        <v>1557</v>
      </c>
      <c r="I258" s="33" t="s">
        <v>1227</v>
      </c>
      <c r="J258" s="33" t="s">
        <v>679</v>
      </c>
      <c r="K258" s="33" t="s">
        <v>1227</v>
      </c>
      <c r="L258" s="33" t="s">
        <v>1642</v>
      </c>
      <c r="M258" s="33" t="s">
        <v>679</v>
      </c>
      <c r="N258" s="33" t="s">
        <v>1642</v>
      </c>
      <c r="O258" s="33" t="s">
        <v>680</v>
      </c>
      <c r="P258" s="33" t="s">
        <v>806</v>
      </c>
      <c r="Q258" s="33" t="s">
        <v>806</v>
      </c>
      <c r="R258" s="41" t="s">
        <v>806</v>
      </c>
    </row>
    <row r="259" customFormat="false" ht="26.85" hidden="false" customHeight="false" outlineLevel="0" collapsed="false">
      <c r="A259" s="41" t="s">
        <v>1643</v>
      </c>
      <c r="B259" s="41" t="s">
        <v>1644</v>
      </c>
      <c r="C259" s="41" t="s">
        <v>674</v>
      </c>
      <c r="D259" s="41" t="s">
        <v>675</v>
      </c>
      <c r="E259" s="41" t="s">
        <v>676</v>
      </c>
      <c r="F259" s="41" t="s">
        <v>675</v>
      </c>
      <c r="G259" s="41" t="s">
        <v>684</v>
      </c>
      <c r="H259" s="43" t="s">
        <v>1557</v>
      </c>
      <c r="I259" s="33" t="s">
        <v>679</v>
      </c>
      <c r="J259" s="33" t="s">
        <v>684</v>
      </c>
      <c r="K259" s="33" t="s">
        <v>684</v>
      </c>
      <c r="L259" s="33" t="s">
        <v>679</v>
      </c>
      <c r="M259" s="33" t="s">
        <v>1645</v>
      </c>
      <c r="N259" s="33" t="s">
        <v>1645</v>
      </c>
      <c r="O259" s="33" t="s">
        <v>680</v>
      </c>
      <c r="P259" s="33" t="s">
        <v>1646</v>
      </c>
      <c r="Q259" s="33" t="s">
        <v>1646</v>
      </c>
      <c r="R259" s="41" t="s">
        <v>1646</v>
      </c>
    </row>
    <row r="260" customFormat="false" ht="26.85" hidden="false" customHeight="false" outlineLevel="0" collapsed="false">
      <c r="A260" s="41" t="s">
        <v>1647</v>
      </c>
      <c r="B260" s="41" t="s">
        <v>1648</v>
      </c>
      <c r="C260" s="41" t="s">
        <v>674</v>
      </c>
      <c r="D260" s="41" t="s">
        <v>675</v>
      </c>
      <c r="E260" s="41" t="s">
        <v>676</v>
      </c>
      <c r="F260" s="41" t="s">
        <v>675</v>
      </c>
      <c r="G260" s="41" t="s">
        <v>684</v>
      </c>
      <c r="H260" s="43" t="s">
        <v>1557</v>
      </c>
      <c r="I260" s="33" t="s">
        <v>679</v>
      </c>
      <c r="J260" s="33" t="s">
        <v>684</v>
      </c>
      <c r="K260" s="33" t="s">
        <v>684</v>
      </c>
      <c r="L260" s="33" t="s">
        <v>679</v>
      </c>
      <c r="M260" s="33" t="s">
        <v>1255</v>
      </c>
      <c r="N260" s="33" t="s">
        <v>1255</v>
      </c>
      <c r="O260" s="33" t="s">
        <v>680</v>
      </c>
      <c r="P260" s="33" t="s">
        <v>1649</v>
      </c>
      <c r="Q260" s="33" t="s">
        <v>1649</v>
      </c>
      <c r="R260" s="41" t="s">
        <v>1649</v>
      </c>
    </row>
    <row r="261" customFormat="false" ht="26.85" hidden="false" customHeight="false" outlineLevel="0" collapsed="false">
      <c r="A261" s="41" t="s">
        <v>1650</v>
      </c>
      <c r="B261" s="41" t="s">
        <v>1651</v>
      </c>
      <c r="C261" s="41" t="s">
        <v>674</v>
      </c>
      <c r="D261" s="41" t="s">
        <v>676</v>
      </c>
      <c r="E261" s="41" t="s">
        <v>675</v>
      </c>
      <c r="F261" s="41" t="s">
        <v>675</v>
      </c>
      <c r="G261" s="41" t="s">
        <v>684</v>
      </c>
      <c r="H261" s="43" t="s">
        <v>1557</v>
      </c>
      <c r="I261" s="33" t="s">
        <v>684</v>
      </c>
      <c r="J261" s="33" t="s">
        <v>679</v>
      </c>
      <c r="K261" s="33" t="s">
        <v>684</v>
      </c>
      <c r="L261" s="33" t="s">
        <v>1652</v>
      </c>
      <c r="M261" s="33" t="s">
        <v>679</v>
      </c>
      <c r="N261" s="33" t="s">
        <v>1652</v>
      </c>
      <c r="O261" s="33" t="s">
        <v>680</v>
      </c>
      <c r="P261" s="33" t="s">
        <v>1139</v>
      </c>
      <c r="Q261" s="33" t="s">
        <v>1139</v>
      </c>
      <c r="R261" s="41" t="s">
        <v>1139</v>
      </c>
    </row>
    <row r="262" customFormat="false" ht="26.85" hidden="false" customHeight="false" outlineLevel="0" collapsed="false">
      <c r="A262" s="41" t="s">
        <v>1653</v>
      </c>
      <c r="B262" s="41" t="s">
        <v>1654</v>
      </c>
      <c r="C262" s="41" t="s">
        <v>674</v>
      </c>
      <c r="D262" s="41" t="s">
        <v>675</v>
      </c>
      <c r="E262" s="41" t="s">
        <v>676</v>
      </c>
      <c r="F262" s="41" t="s">
        <v>675</v>
      </c>
      <c r="G262" s="41" t="s">
        <v>684</v>
      </c>
      <c r="H262" s="43" t="s">
        <v>1557</v>
      </c>
      <c r="I262" s="33" t="s">
        <v>679</v>
      </c>
      <c r="J262" s="33" t="s">
        <v>684</v>
      </c>
      <c r="K262" s="33" t="s">
        <v>684</v>
      </c>
      <c r="L262" s="33" t="s">
        <v>679</v>
      </c>
      <c r="M262" s="33" t="s">
        <v>1655</v>
      </c>
      <c r="N262" s="33" t="s">
        <v>1655</v>
      </c>
      <c r="O262" s="33" t="s">
        <v>680</v>
      </c>
      <c r="P262" s="33" t="s">
        <v>1656</v>
      </c>
      <c r="Q262" s="33" t="s">
        <v>1656</v>
      </c>
      <c r="R262" s="41" t="s">
        <v>1656</v>
      </c>
    </row>
    <row r="263" customFormat="false" ht="26.85" hidden="false" customHeight="false" outlineLevel="0" collapsed="false">
      <c r="A263" s="41" t="s">
        <v>1657</v>
      </c>
      <c r="B263" s="41" t="s">
        <v>1658</v>
      </c>
      <c r="C263" s="41" t="s">
        <v>674</v>
      </c>
      <c r="D263" s="41" t="s">
        <v>675</v>
      </c>
      <c r="E263" s="41" t="s">
        <v>676</v>
      </c>
      <c r="F263" s="41" t="s">
        <v>675</v>
      </c>
      <c r="G263" s="41" t="s">
        <v>684</v>
      </c>
      <c r="H263" s="43" t="s">
        <v>1557</v>
      </c>
      <c r="I263" s="33" t="s">
        <v>679</v>
      </c>
      <c r="J263" s="33" t="s">
        <v>684</v>
      </c>
      <c r="K263" s="33" t="s">
        <v>684</v>
      </c>
      <c r="L263" s="33" t="s">
        <v>679</v>
      </c>
      <c r="M263" s="33" t="s">
        <v>1659</v>
      </c>
      <c r="N263" s="33" t="s">
        <v>1659</v>
      </c>
      <c r="O263" s="33" t="s">
        <v>680</v>
      </c>
      <c r="P263" s="33" t="s">
        <v>1660</v>
      </c>
      <c r="Q263" s="33" t="s">
        <v>1660</v>
      </c>
      <c r="R263" s="41" t="s">
        <v>1660</v>
      </c>
    </row>
    <row r="264" customFormat="false" ht="26.85" hidden="false" customHeight="false" outlineLevel="0" collapsed="false">
      <c r="A264" s="41" t="s">
        <v>1661</v>
      </c>
      <c r="B264" s="41" t="s">
        <v>1662</v>
      </c>
      <c r="C264" s="41" t="s">
        <v>674</v>
      </c>
      <c r="D264" s="41" t="s">
        <v>675</v>
      </c>
      <c r="E264" s="41" t="s">
        <v>676</v>
      </c>
      <c r="F264" s="41" t="s">
        <v>675</v>
      </c>
      <c r="G264" s="41" t="s">
        <v>684</v>
      </c>
      <c r="H264" s="43" t="s">
        <v>1557</v>
      </c>
      <c r="I264" s="33" t="s">
        <v>679</v>
      </c>
      <c r="J264" s="33" t="s">
        <v>689</v>
      </c>
      <c r="K264" s="33" t="s">
        <v>689</v>
      </c>
      <c r="L264" s="33" t="s">
        <v>679</v>
      </c>
      <c r="M264" s="33" t="s">
        <v>1663</v>
      </c>
      <c r="N264" s="33" t="s">
        <v>1663</v>
      </c>
      <c r="O264" s="33" t="s">
        <v>684</v>
      </c>
      <c r="P264" s="33" t="s">
        <v>1664</v>
      </c>
      <c r="Q264" s="33" t="s">
        <v>1665</v>
      </c>
      <c r="R264" s="41" t="s">
        <v>1666</v>
      </c>
    </row>
    <row r="265" customFormat="false" ht="26.85" hidden="false" customHeight="false" outlineLevel="0" collapsed="false">
      <c r="A265" s="41" t="s">
        <v>1667</v>
      </c>
      <c r="B265" s="41" t="s">
        <v>1668</v>
      </c>
      <c r="C265" s="41" t="s">
        <v>674</v>
      </c>
      <c r="D265" s="41" t="s">
        <v>675</v>
      </c>
      <c r="E265" s="41" t="s">
        <v>676</v>
      </c>
      <c r="F265" s="41" t="s">
        <v>675</v>
      </c>
      <c r="G265" s="41" t="s">
        <v>684</v>
      </c>
      <c r="H265" s="43" t="s">
        <v>1557</v>
      </c>
      <c r="I265" s="33" t="s">
        <v>679</v>
      </c>
      <c r="J265" s="33" t="s">
        <v>1227</v>
      </c>
      <c r="K265" s="33" t="s">
        <v>1227</v>
      </c>
      <c r="L265" s="33" t="s">
        <v>679</v>
      </c>
      <c r="M265" s="33" t="s">
        <v>1669</v>
      </c>
      <c r="N265" s="33" t="s">
        <v>1669</v>
      </c>
      <c r="O265" s="33" t="s">
        <v>680</v>
      </c>
      <c r="P265" s="33" t="s">
        <v>1670</v>
      </c>
      <c r="Q265" s="33" t="s">
        <v>1670</v>
      </c>
      <c r="R265" s="41" t="s">
        <v>1670</v>
      </c>
    </row>
    <row r="266" customFormat="false" ht="39.55" hidden="false" customHeight="false" outlineLevel="0" collapsed="false">
      <c r="A266" s="41" t="s">
        <v>356</v>
      </c>
      <c r="B266" s="41" t="s">
        <v>1671</v>
      </c>
      <c r="C266" s="41" t="s">
        <v>1181</v>
      </c>
      <c r="D266" s="41" t="s">
        <v>676</v>
      </c>
      <c r="E266" s="41" t="s">
        <v>675</v>
      </c>
      <c r="F266" s="41" t="s">
        <v>675</v>
      </c>
      <c r="G266" s="41" t="s">
        <v>684</v>
      </c>
      <c r="H266" s="43" t="s">
        <v>1557</v>
      </c>
      <c r="I266" s="33" t="s">
        <v>680</v>
      </c>
      <c r="J266" s="33" t="s">
        <v>679</v>
      </c>
      <c r="K266" s="33" t="s">
        <v>680</v>
      </c>
      <c r="L266" s="33" t="s">
        <v>1672</v>
      </c>
      <c r="M266" s="33" t="s">
        <v>679</v>
      </c>
      <c r="N266" s="33" t="s">
        <v>1672</v>
      </c>
      <c r="O266" s="33" t="s">
        <v>680</v>
      </c>
      <c r="P266" s="33" t="s">
        <v>1672</v>
      </c>
      <c r="Q266" s="33" t="s">
        <v>1672</v>
      </c>
      <c r="R266" s="41" t="s">
        <v>1672</v>
      </c>
    </row>
    <row r="267" customFormat="false" ht="39.55" hidden="false" customHeight="false" outlineLevel="0" collapsed="false">
      <c r="A267" s="41" t="s">
        <v>376</v>
      </c>
      <c r="B267" s="41" t="s">
        <v>377</v>
      </c>
      <c r="C267" s="41" t="s">
        <v>1181</v>
      </c>
      <c r="D267" s="41" t="s">
        <v>676</v>
      </c>
      <c r="E267" s="41" t="s">
        <v>675</v>
      </c>
      <c r="F267" s="41" t="s">
        <v>675</v>
      </c>
      <c r="G267" s="41" t="s">
        <v>684</v>
      </c>
      <c r="H267" s="43" t="s">
        <v>1557</v>
      </c>
      <c r="I267" s="33" t="s">
        <v>680</v>
      </c>
      <c r="J267" s="33" t="s">
        <v>679</v>
      </c>
      <c r="K267" s="33" t="s">
        <v>680</v>
      </c>
      <c r="L267" s="33" t="s">
        <v>1672</v>
      </c>
      <c r="M267" s="33" t="s">
        <v>679</v>
      </c>
      <c r="N267" s="33" t="s">
        <v>1672</v>
      </c>
      <c r="O267" s="33" t="s">
        <v>680</v>
      </c>
      <c r="P267" s="33" t="s">
        <v>1672</v>
      </c>
      <c r="Q267" s="33" t="s">
        <v>1672</v>
      </c>
      <c r="R267" s="41" t="s">
        <v>1672</v>
      </c>
    </row>
    <row r="268" customFormat="false" ht="39.55" hidden="false" customHeight="false" outlineLevel="0" collapsed="false">
      <c r="A268" s="41" t="s">
        <v>382</v>
      </c>
      <c r="B268" s="41" t="s">
        <v>383</v>
      </c>
      <c r="C268" s="41" t="s">
        <v>1181</v>
      </c>
      <c r="D268" s="41" t="s">
        <v>676</v>
      </c>
      <c r="E268" s="41" t="s">
        <v>675</v>
      </c>
      <c r="F268" s="41" t="s">
        <v>675</v>
      </c>
      <c r="G268" s="41" t="s">
        <v>684</v>
      </c>
      <c r="H268" s="43" t="s">
        <v>1557</v>
      </c>
      <c r="I268" s="33" t="s">
        <v>680</v>
      </c>
      <c r="J268" s="33" t="s">
        <v>679</v>
      </c>
      <c r="K268" s="33" t="s">
        <v>680</v>
      </c>
      <c r="L268" s="33" t="s">
        <v>1672</v>
      </c>
      <c r="M268" s="33" t="s">
        <v>679</v>
      </c>
      <c r="N268" s="33" t="s">
        <v>1672</v>
      </c>
      <c r="O268" s="33" t="s">
        <v>680</v>
      </c>
      <c r="P268" s="33" t="s">
        <v>1672</v>
      </c>
      <c r="Q268" s="33" t="s">
        <v>1672</v>
      </c>
      <c r="R268" s="41" t="s">
        <v>1672</v>
      </c>
    </row>
    <row r="269" customFormat="false" ht="64.9" hidden="false" customHeight="false" outlineLevel="0" collapsed="false">
      <c r="A269" s="41" t="s">
        <v>421</v>
      </c>
      <c r="B269" s="41" t="s">
        <v>422</v>
      </c>
      <c r="C269" s="41" t="s">
        <v>1181</v>
      </c>
      <c r="D269" s="41" t="s">
        <v>676</v>
      </c>
      <c r="E269" s="41" t="s">
        <v>675</v>
      </c>
      <c r="F269" s="41" t="s">
        <v>675</v>
      </c>
      <c r="G269" s="41" t="s">
        <v>684</v>
      </c>
      <c r="H269" s="43" t="s">
        <v>1557</v>
      </c>
      <c r="I269" s="33" t="s">
        <v>680</v>
      </c>
      <c r="J269" s="33" t="s">
        <v>679</v>
      </c>
      <c r="K269" s="33" t="s">
        <v>680</v>
      </c>
      <c r="L269" s="33" t="s">
        <v>1506</v>
      </c>
      <c r="M269" s="33" t="s">
        <v>679</v>
      </c>
      <c r="N269" s="33" t="s">
        <v>1506</v>
      </c>
      <c r="O269" s="33" t="s">
        <v>680</v>
      </c>
      <c r="P269" s="33" t="s">
        <v>1506</v>
      </c>
      <c r="Q269" s="33" t="s">
        <v>1506</v>
      </c>
      <c r="R269" s="41" t="s">
        <v>1506</v>
      </c>
    </row>
    <row r="270" customFormat="false" ht="26.85" hidden="false" customHeight="false" outlineLevel="0" collapsed="false">
      <c r="A270" s="41" t="s">
        <v>409</v>
      </c>
      <c r="B270" s="41" t="s">
        <v>410</v>
      </c>
      <c r="C270" s="41" t="s">
        <v>1181</v>
      </c>
      <c r="D270" s="41" t="s">
        <v>676</v>
      </c>
      <c r="E270" s="41" t="s">
        <v>675</v>
      </c>
      <c r="F270" s="41" t="s">
        <v>675</v>
      </c>
      <c r="G270" s="41" t="s">
        <v>684</v>
      </c>
      <c r="H270" s="43" t="s">
        <v>1557</v>
      </c>
      <c r="I270" s="33" t="s">
        <v>680</v>
      </c>
      <c r="J270" s="33" t="s">
        <v>679</v>
      </c>
      <c r="K270" s="33" t="s">
        <v>680</v>
      </c>
      <c r="L270" s="33" t="s">
        <v>1506</v>
      </c>
      <c r="M270" s="33" t="s">
        <v>679</v>
      </c>
      <c r="N270" s="33" t="s">
        <v>1506</v>
      </c>
      <c r="O270" s="33" t="s">
        <v>680</v>
      </c>
      <c r="P270" s="33" t="s">
        <v>1506</v>
      </c>
      <c r="Q270" s="33" t="s">
        <v>1506</v>
      </c>
      <c r="R270" s="41" t="s">
        <v>1506</v>
      </c>
    </row>
    <row r="271" customFormat="false" ht="52.2" hidden="false" customHeight="false" outlineLevel="0" collapsed="false">
      <c r="A271" s="41" t="s">
        <v>409</v>
      </c>
      <c r="B271" s="41" t="s">
        <v>1673</v>
      </c>
      <c r="C271" s="41" t="s">
        <v>1181</v>
      </c>
      <c r="D271" s="41" t="s">
        <v>676</v>
      </c>
      <c r="E271" s="41" t="s">
        <v>675</v>
      </c>
      <c r="F271" s="41" t="s">
        <v>675</v>
      </c>
      <c r="G271" s="41" t="s">
        <v>684</v>
      </c>
      <c r="H271" s="43" t="s">
        <v>1557</v>
      </c>
      <c r="I271" s="33" t="s">
        <v>680</v>
      </c>
      <c r="J271" s="33" t="s">
        <v>679</v>
      </c>
      <c r="K271" s="33" t="s">
        <v>680</v>
      </c>
      <c r="L271" s="33" t="s">
        <v>1506</v>
      </c>
      <c r="M271" s="33" t="s">
        <v>679</v>
      </c>
      <c r="N271" s="33" t="s">
        <v>1506</v>
      </c>
      <c r="O271" s="33" t="s">
        <v>680</v>
      </c>
      <c r="P271" s="33" t="s">
        <v>1506</v>
      </c>
      <c r="Q271" s="33" t="s">
        <v>1506</v>
      </c>
      <c r="R271" s="41" t="s">
        <v>1506</v>
      </c>
    </row>
    <row r="272" customFormat="false" ht="39.55" hidden="false" customHeight="false" outlineLevel="0" collapsed="false">
      <c r="A272" s="41" t="s">
        <v>456</v>
      </c>
      <c r="B272" s="41" t="s">
        <v>1674</v>
      </c>
      <c r="C272" s="41" t="s">
        <v>1181</v>
      </c>
      <c r="D272" s="41" t="s">
        <v>676</v>
      </c>
      <c r="E272" s="41" t="s">
        <v>675</v>
      </c>
      <c r="F272" s="41" t="s">
        <v>675</v>
      </c>
      <c r="G272" s="41" t="s">
        <v>684</v>
      </c>
      <c r="H272" s="43" t="s">
        <v>1557</v>
      </c>
      <c r="I272" s="33" t="s">
        <v>680</v>
      </c>
      <c r="J272" s="33" t="s">
        <v>679</v>
      </c>
      <c r="K272" s="33" t="s">
        <v>680</v>
      </c>
      <c r="L272" s="33" t="s">
        <v>1503</v>
      </c>
      <c r="M272" s="33" t="s">
        <v>679</v>
      </c>
      <c r="N272" s="33" t="s">
        <v>1503</v>
      </c>
      <c r="O272" s="33" t="s">
        <v>680</v>
      </c>
      <c r="P272" s="33" t="s">
        <v>1503</v>
      </c>
      <c r="Q272" s="33" t="s">
        <v>1503</v>
      </c>
      <c r="R272" s="41" t="s">
        <v>1503</v>
      </c>
    </row>
    <row r="273" customFormat="false" ht="26.85" hidden="false" customHeight="false" outlineLevel="0" collapsed="false">
      <c r="A273" s="41" t="s">
        <v>510</v>
      </c>
      <c r="B273" s="41" t="s">
        <v>511</v>
      </c>
      <c r="C273" s="41" t="s">
        <v>1181</v>
      </c>
      <c r="D273" s="41" t="s">
        <v>676</v>
      </c>
      <c r="E273" s="41" t="s">
        <v>675</v>
      </c>
      <c r="F273" s="41" t="s">
        <v>675</v>
      </c>
      <c r="G273" s="41" t="s">
        <v>684</v>
      </c>
      <c r="H273" s="43" t="s">
        <v>1557</v>
      </c>
      <c r="I273" s="33" t="s">
        <v>680</v>
      </c>
      <c r="J273" s="33" t="s">
        <v>679</v>
      </c>
      <c r="K273" s="33" t="s">
        <v>680</v>
      </c>
      <c r="L273" s="33" t="s">
        <v>1675</v>
      </c>
      <c r="M273" s="33" t="s">
        <v>679</v>
      </c>
      <c r="N273" s="33" t="s">
        <v>1675</v>
      </c>
      <c r="O273" s="33" t="s">
        <v>684</v>
      </c>
      <c r="P273" s="33" t="s">
        <v>1337</v>
      </c>
      <c r="Q273" s="33" t="s">
        <v>1248</v>
      </c>
      <c r="R273" s="41" t="s">
        <v>1338</v>
      </c>
    </row>
    <row r="274" customFormat="false" ht="26.85" hidden="false" customHeight="false" outlineLevel="0" collapsed="false">
      <c r="A274" s="41"/>
      <c r="B274" s="41" t="s">
        <v>1056</v>
      </c>
      <c r="C274" s="41" t="s">
        <v>705</v>
      </c>
      <c r="D274" s="41" t="s">
        <v>675</v>
      </c>
      <c r="E274" s="41" t="s">
        <v>675</v>
      </c>
      <c r="F274" s="41" t="s">
        <v>676</v>
      </c>
      <c r="G274" s="41" t="s">
        <v>684</v>
      </c>
      <c r="H274" s="43" t="s">
        <v>1557</v>
      </c>
      <c r="I274" s="33" t="s">
        <v>679</v>
      </c>
      <c r="J274" s="33" t="s">
        <v>679</v>
      </c>
      <c r="K274" s="33" t="s">
        <v>679</v>
      </c>
      <c r="L274" s="33" t="s">
        <v>679</v>
      </c>
      <c r="M274" s="33" t="s">
        <v>679</v>
      </c>
      <c r="N274" s="33" t="s">
        <v>679</v>
      </c>
      <c r="O274" s="33" t="s">
        <v>679</v>
      </c>
      <c r="P274" s="33"/>
      <c r="Q274" s="33"/>
      <c r="R274" s="41"/>
    </row>
    <row r="275" customFormat="false" ht="15" hidden="false" customHeight="false" outlineLevel="0" collapsed="false">
      <c r="A275" s="41"/>
      <c r="B275" s="41" t="s">
        <v>1159</v>
      </c>
      <c r="C275" s="41" t="s">
        <v>705</v>
      </c>
      <c r="D275" s="41" t="s">
        <v>675</v>
      </c>
      <c r="E275" s="41" t="s">
        <v>675</v>
      </c>
      <c r="F275" s="41" t="s">
        <v>676</v>
      </c>
      <c r="G275" s="41" t="s">
        <v>684</v>
      </c>
      <c r="H275" s="43" t="s">
        <v>1557</v>
      </c>
      <c r="I275" s="33" t="s">
        <v>679</v>
      </c>
      <c r="J275" s="33" t="s">
        <v>679</v>
      </c>
      <c r="K275" s="33" t="s">
        <v>679</v>
      </c>
      <c r="L275" s="33" t="s">
        <v>679</v>
      </c>
      <c r="M275" s="33" t="s">
        <v>679</v>
      </c>
      <c r="N275" s="33" t="s">
        <v>679</v>
      </c>
      <c r="O275" s="33" t="s">
        <v>679</v>
      </c>
      <c r="P275" s="33"/>
      <c r="Q275" s="33"/>
      <c r="R275" s="41"/>
    </row>
    <row r="276" customFormat="false" ht="26.85" hidden="false" customHeight="false" outlineLevel="0" collapsed="false">
      <c r="A276" s="41"/>
      <c r="B276" s="41" t="s">
        <v>1676</v>
      </c>
      <c r="C276" s="41" t="s">
        <v>705</v>
      </c>
      <c r="D276" s="41" t="s">
        <v>675</v>
      </c>
      <c r="E276" s="41" t="s">
        <v>675</v>
      </c>
      <c r="F276" s="41" t="s">
        <v>676</v>
      </c>
      <c r="G276" s="41" t="s">
        <v>684</v>
      </c>
      <c r="H276" s="43" t="s">
        <v>1557</v>
      </c>
      <c r="I276" s="33" t="s">
        <v>679</v>
      </c>
      <c r="J276" s="33" t="s">
        <v>679</v>
      </c>
      <c r="K276" s="33" t="s">
        <v>679</v>
      </c>
      <c r="L276" s="33" t="s">
        <v>679</v>
      </c>
      <c r="M276" s="33" t="s">
        <v>679</v>
      </c>
      <c r="N276" s="33" t="s">
        <v>679</v>
      </c>
      <c r="O276" s="33" t="s">
        <v>679</v>
      </c>
      <c r="P276" s="33"/>
      <c r="Q276" s="33"/>
      <c r="R276" s="41"/>
    </row>
    <row r="277" customFormat="false" ht="15" hidden="false" customHeight="false" outlineLevel="0" collapsed="false">
      <c r="A277" s="41"/>
      <c r="B277" s="41" t="s">
        <v>1547</v>
      </c>
      <c r="C277" s="41" t="s">
        <v>705</v>
      </c>
      <c r="D277" s="41" t="s">
        <v>675</v>
      </c>
      <c r="E277" s="41" t="s">
        <v>675</v>
      </c>
      <c r="F277" s="41" t="s">
        <v>676</v>
      </c>
      <c r="G277" s="41" t="s">
        <v>684</v>
      </c>
      <c r="H277" s="43" t="s">
        <v>1557</v>
      </c>
      <c r="I277" s="33" t="s">
        <v>679</v>
      </c>
      <c r="J277" s="33" t="s">
        <v>679</v>
      </c>
      <c r="K277" s="33" t="s">
        <v>679</v>
      </c>
      <c r="L277" s="33" t="s">
        <v>679</v>
      </c>
      <c r="M277" s="33" t="s">
        <v>679</v>
      </c>
      <c r="N277" s="33" t="s">
        <v>679</v>
      </c>
      <c r="O277" s="33" t="s">
        <v>679</v>
      </c>
      <c r="P277" s="33"/>
      <c r="Q277" s="33"/>
      <c r="R277" s="41"/>
    </row>
    <row r="278" customFormat="false" ht="15" hidden="false" customHeight="false" outlineLevel="0" collapsed="false">
      <c r="A278" s="41"/>
      <c r="B278" s="41" t="s">
        <v>1369</v>
      </c>
      <c r="C278" s="41" t="s">
        <v>705</v>
      </c>
      <c r="D278" s="41" t="s">
        <v>675</v>
      </c>
      <c r="E278" s="41" t="s">
        <v>675</v>
      </c>
      <c r="F278" s="41" t="s">
        <v>676</v>
      </c>
      <c r="G278" s="41" t="s">
        <v>684</v>
      </c>
      <c r="H278" s="43" t="s">
        <v>1557</v>
      </c>
      <c r="I278" s="33" t="s">
        <v>679</v>
      </c>
      <c r="J278" s="33" t="s">
        <v>679</v>
      </c>
      <c r="K278" s="33" t="s">
        <v>679</v>
      </c>
      <c r="L278" s="33" t="s">
        <v>679</v>
      </c>
      <c r="M278" s="33" t="s">
        <v>679</v>
      </c>
      <c r="N278" s="33" t="s">
        <v>679</v>
      </c>
      <c r="O278" s="33" t="s">
        <v>679</v>
      </c>
      <c r="P278" s="33"/>
      <c r="Q278" s="33"/>
      <c r="R278" s="41"/>
    </row>
    <row r="279" customFormat="false" ht="15" hidden="false" customHeight="false" outlineLevel="0" collapsed="false">
      <c r="A279" s="41"/>
      <c r="B279" s="41" t="s">
        <v>1677</v>
      </c>
      <c r="C279" s="41" t="s">
        <v>705</v>
      </c>
      <c r="D279" s="41" t="s">
        <v>675</v>
      </c>
      <c r="E279" s="41" t="s">
        <v>675</v>
      </c>
      <c r="F279" s="41" t="s">
        <v>676</v>
      </c>
      <c r="G279" s="41" t="s">
        <v>684</v>
      </c>
      <c r="H279" s="43" t="s">
        <v>1557</v>
      </c>
      <c r="I279" s="33" t="s">
        <v>679</v>
      </c>
      <c r="J279" s="33" t="s">
        <v>679</v>
      </c>
      <c r="K279" s="33" t="s">
        <v>679</v>
      </c>
      <c r="L279" s="33" t="s">
        <v>679</v>
      </c>
      <c r="M279" s="33" t="s">
        <v>679</v>
      </c>
      <c r="N279" s="33" t="s">
        <v>679</v>
      </c>
      <c r="O279" s="33" t="s">
        <v>679</v>
      </c>
      <c r="P279" s="33"/>
      <c r="Q279" s="33"/>
      <c r="R279" s="41"/>
    </row>
    <row r="280" customFormat="false" ht="15" hidden="false" customHeight="false" outlineLevel="0" collapsed="false">
      <c r="A280" s="41"/>
      <c r="B280" s="41" t="s">
        <v>1460</v>
      </c>
      <c r="C280" s="41" t="s">
        <v>705</v>
      </c>
      <c r="D280" s="41" t="s">
        <v>675</v>
      </c>
      <c r="E280" s="41" t="s">
        <v>675</v>
      </c>
      <c r="F280" s="41" t="s">
        <v>676</v>
      </c>
      <c r="G280" s="41" t="s">
        <v>684</v>
      </c>
      <c r="H280" s="43" t="s">
        <v>1557</v>
      </c>
      <c r="I280" s="33" t="s">
        <v>679</v>
      </c>
      <c r="J280" s="33" t="s">
        <v>679</v>
      </c>
      <c r="K280" s="33" t="s">
        <v>679</v>
      </c>
      <c r="L280" s="33" t="s">
        <v>679</v>
      </c>
      <c r="M280" s="33" t="s">
        <v>679</v>
      </c>
      <c r="N280" s="33" t="s">
        <v>679</v>
      </c>
      <c r="O280" s="33" t="s">
        <v>679</v>
      </c>
      <c r="P280" s="33"/>
      <c r="Q280" s="33"/>
      <c r="R280" s="41"/>
    </row>
    <row r="281" customFormat="false" ht="26.85" hidden="false" customHeight="false" outlineLevel="0" collapsed="false">
      <c r="A281" s="41"/>
      <c r="B281" s="41" t="s">
        <v>1410</v>
      </c>
      <c r="C281" s="41" t="s">
        <v>705</v>
      </c>
      <c r="D281" s="41" t="s">
        <v>675</v>
      </c>
      <c r="E281" s="41" t="s">
        <v>675</v>
      </c>
      <c r="F281" s="41" t="s">
        <v>676</v>
      </c>
      <c r="G281" s="41" t="s">
        <v>684</v>
      </c>
      <c r="H281" s="43" t="s">
        <v>1557</v>
      </c>
      <c r="I281" s="33" t="s">
        <v>679</v>
      </c>
      <c r="J281" s="33" t="s">
        <v>679</v>
      </c>
      <c r="K281" s="33" t="s">
        <v>679</v>
      </c>
      <c r="L281" s="33" t="s">
        <v>679</v>
      </c>
      <c r="M281" s="33" t="s">
        <v>679</v>
      </c>
      <c r="N281" s="33" t="s">
        <v>679</v>
      </c>
      <c r="O281" s="33" t="s">
        <v>679</v>
      </c>
      <c r="P281" s="33"/>
      <c r="Q281" s="33"/>
      <c r="R281" s="41"/>
    </row>
    <row r="282" customFormat="false" ht="15" hidden="false" customHeight="false" outlineLevel="0" collapsed="false">
      <c r="A282" s="41" t="s">
        <v>1678</v>
      </c>
      <c r="B282" s="41" t="s">
        <v>1679</v>
      </c>
      <c r="C282" s="41" t="s">
        <v>705</v>
      </c>
      <c r="D282" s="41" t="s">
        <v>676</v>
      </c>
      <c r="E282" s="41" t="s">
        <v>675</v>
      </c>
      <c r="F282" s="41" t="s">
        <v>675</v>
      </c>
      <c r="G282" s="41" t="s">
        <v>684</v>
      </c>
      <c r="H282" s="43" t="s">
        <v>1557</v>
      </c>
      <c r="I282" s="33" t="s">
        <v>680</v>
      </c>
      <c r="J282" s="33" t="s">
        <v>679</v>
      </c>
      <c r="K282" s="33" t="s">
        <v>680</v>
      </c>
      <c r="L282" s="33" t="s">
        <v>1680</v>
      </c>
      <c r="M282" s="33" t="s">
        <v>679</v>
      </c>
      <c r="N282" s="33" t="s">
        <v>1680</v>
      </c>
      <c r="O282" s="33" t="s">
        <v>680</v>
      </c>
      <c r="P282" s="33" t="s">
        <v>1680</v>
      </c>
      <c r="Q282" s="33" t="s">
        <v>1680</v>
      </c>
      <c r="R282" s="41" t="s">
        <v>1680</v>
      </c>
    </row>
    <row r="283" customFormat="false" ht="15" hidden="false" customHeight="false" outlineLevel="0" collapsed="false">
      <c r="A283" s="41" t="s">
        <v>1681</v>
      </c>
      <c r="B283" s="41" t="s">
        <v>1682</v>
      </c>
      <c r="C283" s="41" t="s">
        <v>705</v>
      </c>
      <c r="D283" s="41" t="s">
        <v>676</v>
      </c>
      <c r="E283" s="41" t="s">
        <v>675</v>
      </c>
      <c r="F283" s="41" t="s">
        <v>675</v>
      </c>
      <c r="G283" s="41" t="s">
        <v>684</v>
      </c>
      <c r="H283" s="43" t="s">
        <v>1557</v>
      </c>
      <c r="I283" s="33" t="s">
        <v>727</v>
      </c>
      <c r="J283" s="33" t="s">
        <v>679</v>
      </c>
      <c r="K283" s="33" t="s">
        <v>727</v>
      </c>
      <c r="L283" s="33" t="s">
        <v>1683</v>
      </c>
      <c r="M283" s="33" t="s">
        <v>679</v>
      </c>
      <c r="N283" s="33" t="s">
        <v>1683</v>
      </c>
      <c r="O283" s="33" t="s">
        <v>680</v>
      </c>
      <c r="P283" s="33" t="s">
        <v>1684</v>
      </c>
      <c r="Q283" s="33" t="s">
        <v>1684</v>
      </c>
      <c r="R283" s="41" t="s">
        <v>1684</v>
      </c>
    </row>
    <row r="284" customFormat="false" ht="15" hidden="false" customHeight="false" outlineLevel="0" collapsed="false">
      <c r="A284" s="41" t="s">
        <v>1685</v>
      </c>
      <c r="B284" s="41" t="s">
        <v>1686</v>
      </c>
      <c r="C284" s="41" t="s">
        <v>705</v>
      </c>
      <c r="D284" s="41" t="s">
        <v>675</v>
      </c>
      <c r="E284" s="41" t="s">
        <v>676</v>
      </c>
      <c r="F284" s="41" t="s">
        <v>675</v>
      </c>
      <c r="G284" s="41" t="s">
        <v>684</v>
      </c>
      <c r="H284" s="43" t="s">
        <v>1557</v>
      </c>
      <c r="I284" s="33" t="s">
        <v>679</v>
      </c>
      <c r="J284" s="33" t="s">
        <v>680</v>
      </c>
      <c r="K284" s="33" t="s">
        <v>680</v>
      </c>
      <c r="L284" s="33" t="s">
        <v>679</v>
      </c>
      <c r="M284" s="33" t="s">
        <v>1687</v>
      </c>
      <c r="N284" s="33" t="s">
        <v>1687</v>
      </c>
      <c r="O284" s="33" t="s">
        <v>684</v>
      </c>
      <c r="P284" s="33" t="s">
        <v>761</v>
      </c>
      <c r="Q284" s="33" t="s">
        <v>1688</v>
      </c>
      <c r="R284" s="41" t="s">
        <v>1689</v>
      </c>
    </row>
    <row r="285" customFormat="false" ht="15" hidden="false" customHeight="false" outlineLevel="0" collapsed="false">
      <c r="A285" s="41" t="s">
        <v>1690</v>
      </c>
      <c r="B285" s="41" t="s">
        <v>1691</v>
      </c>
      <c r="C285" s="41" t="s">
        <v>705</v>
      </c>
      <c r="D285" s="41" t="s">
        <v>676</v>
      </c>
      <c r="E285" s="41" t="s">
        <v>675</v>
      </c>
      <c r="F285" s="41" t="s">
        <v>675</v>
      </c>
      <c r="G285" s="41" t="s">
        <v>684</v>
      </c>
      <c r="H285" s="43" t="s">
        <v>1557</v>
      </c>
      <c r="I285" s="33" t="s">
        <v>680</v>
      </c>
      <c r="J285" s="33" t="s">
        <v>679</v>
      </c>
      <c r="K285" s="33" t="s">
        <v>680</v>
      </c>
      <c r="L285" s="33" t="s">
        <v>1692</v>
      </c>
      <c r="M285" s="33" t="s">
        <v>679</v>
      </c>
      <c r="N285" s="33" t="s">
        <v>1692</v>
      </c>
      <c r="O285" s="33" t="s">
        <v>680</v>
      </c>
      <c r="P285" s="33" t="s">
        <v>1692</v>
      </c>
      <c r="Q285" s="33" t="s">
        <v>1692</v>
      </c>
      <c r="R285" s="41" t="s">
        <v>1692</v>
      </c>
    </row>
    <row r="286" customFormat="false" ht="15" hidden="false" customHeight="false" outlineLevel="0" collapsed="false">
      <c r="A286" s="41" t="s">
        <v>1693</v>
      </c>
      <c r="B286" s="41" t="s">
        <v>1694</v>
      </c>
      <c r="C286" s="41" t="s">
        <v>705</v>
      </c>
      <c r="D286" s="41" t="s">
        <v>676</v>
      </c>
      <c r="E286" s="41" t="s">
        <v>675</v>
      </c>
      <c r="F286" s="41" t="s">
        <v>675</v>
      </c>
      <c r="G286" s="41" t="s">
        <v>684</v>
      </c>
      <c r="H286" s="43" t="s">
        <v>1557</v>
      </c>
      <c r="I286" s="33" t="s">
        <v>877</v>
      </c>
      <c r="J286" s="33" t="s">
        <v>679</v>
      </c>
      <c r="K286" s="33" t="s">
        <v>877</v>
      </c>
      <c r="L286" s="33" t="s">
        <v>1695</v>
      </c>
      <c r="M286" s="33" t="s">
        <v>679</v>
      </c>
      <c r="N286" s="33" t="s">
        <v>1695</v>
      </c>
      <c r="O286" s="33" t="s">
        <v>684</v>
      </c>
      <c r="P286" s="33" t="s">
        <v>1696</v>
      </c>
      <c r="Q286" s="33" t="s">
        <v>1697</v>
      </c>
      <c r="R286" s="41" t="s">
        <v>1698</v>
      </c>
    </row>
    <row r="287" customFormat="false" ht="26.85" hidden="false" customHeight="false" outlineLevel="0" collapsed="false">
      <c r="A287" s="41" t="s">
        <v>1699</v>
      </c>
      <c r="B287" s="41" t="s">
        <v>1700</v>
      </c>
      <c r="C287" s="41" t="s">
        <v>705</v>
      </c>
      <c r="D287" s="41" t="s">
        <v>675</v>
      </c>
      <c r="E287" s="41" t="s">
        <v>676</v>
      </c>
      <c r="F287" s="41" t="s">
        <v>675</v>
      </c>
      <c r="G287" s="41" t="s">
        <v>684</v>
      </c>
      <c r="H287" s="43" t="s">
        <v>1557</v>
      </c>
      <c r="I287" s="33" t="s">
        <v>679</v>
      </c>
      <c r="J287" s="33" t="s">
        <v>784</v>
      </c>
      <c r="K287" s="33" t="s">
        <v>784</v>
      </c>
      <c r="L287" s="33" t="s">
        <v>679</v>
      </c>
      <c r="M287" s="33" t="s">
        <v>1701</v>
      </c>
      <c r="N287" s="33" t="s">
        <v>1701</v>
      </c>
      <c r="O287" s="33" t="s">
        <v>684</v>
      </c>
      <c r="P287" s="33" t="s">
        <v>1702</v>
      </c>
      <c r="Q287" s="33" t="s">
        <v>1703</v>
      </c>
      <c r="R287" s="41" t="s">
        <v>1704</v>
      </c>
    </row>
    <row r="288" customFormat="false" ht="26.85" hidden="false" customHeight="false" outlineLevel="0" collapsed="false">
      <c r="A288" s="41" t="s">
        <v>1705</v>
      </c>
      <c r="B288" s="41" t="s">
        <v>1706</v>
      </c>
      <c r="C288" s="41" t="s">
        <v>705</v>
      </c>
      <c r="D288" s="41" t="s">
        <v>676</v>
      </c>
      <c r="E288" s="41" t="s">
        <v>675</v>
      </c>
      <c r="F288" s="41" t="s">
        <v>675</v>
      </c>
      <c r="G288" s="41" t="s">
        <v>684</v>
      </c>
      <c r="H288" s="43" t="s">
        <v>1557</v>
      </c>
      <c r="I288" s="33" t="s">
        <v>1166</v>
      </c>
      <c r="J288" s="33" t="s">
        <v>679</v>
      </c>
      <c r="K288" s="33" t="s">
        <v>1166</v>
      </c>
      <c r="L288" s="33" t="s">
        <v>1707</v>
      </c>
      <c r="M288" s="33" t="s">
        <v>679</v>
      </c>
      <c r="N288" s="33" t="s">
        <v>1707</v>
      </c>
      <c r="O288" s="33" t="s">
        <v>684</v>
      </c>
      <c r="P288" s="33" t="s">
        <v>1708</v>
      </c>
      <c r="Q288" s="33" t="s">
        <v>1147</v>
      </c>
      <c r="R288" s="41" t="s">
        <v>1709</v>
      </c>
    </row>
    <row r="289" customFormat="false" ht="15" hidden="false" customHeight="false" outlineLevel="0" collapsed="false">
      <c r="A289" s="41" t="s">
        <v>1710</v>
      </c>
      <c r="B289" s="41" t="s">
        <v>1711</v>
      </c>
      <c r="C289" s="41" t="s">
        <v>705</v>
      </c>
      <c r="D289" s="41" t="s">
        <v>675</v>
      </c>
      <c r="E289" s="41" t="s">
        <v>676</v>
      </c>
      <c r="F289" s="41" t="s">
        <v>675</v>
      </c>
      <c r="G289" s="41" t="s">
        <v>684</v>
      </c>
      <c r="H289" s="43" t="s">
        <v>1557</v>
      </c>
      <c r="I289" s="33" t="s">
        <v>679</v>
      </c>
      <c r="J289" s="33" t="s">
        <v>680</v>
      </c>
      <c r="K289" s="33" t="s">
        <v>680</v>
      </c>
      <c r="L289" s="33" t="s">
        <v>679</v>
      </c>
      <c r="M289" s="33" t="s">
        <v>871</v>
      </c>
      <c r="N289" s="33" t="s">
        <v>871</v>
      </c>
      <c r="O289" s="33" t="s">
        <v>680</v>
      </c>
      <c r="P289" s="33" t="s">
        <v>871</v>
      </c>
      <c r="Q289" s="33" t="s">
        <v>871</v>
      </c>
      <c r="R289" s="41" t="s">
        <v>871</v>
      </c>
    </row>
    <row r="290" customFormat="false" ht="15" hidden="false" customHeight="false" outlineLevel="0" collapsed="false">
      <c r="A290" s="41" t="s">
        <v>1712</v>
      </c>
      <c r="B290" s="41" t="s">
        <v>1713</v>
      </c>
      <c r="C290" s="41" t="s">
        <v>705</v>
      </c>
      <c r="D290" s="41" t="s">
        <v>676</v>
      </c>
      <c r="E290" s="41" t="s">
        <v>675</v>
      </c>
      <c r="F290" s="41" t="s">
        <v>675</v>
      </c>
      <c r="G290" s="41" t="s">
        <v>684</v>
      </c>
      <c r="H290" s="43" t="s">
        <v>1557</v>
      </c>
      <c r="I290" s="33" t="s">
        <v>680</v>
      </c>
      <c r="J290" s="33" t="s">
        <v>679</v>
      </c>
      <c r="K290" s="33" t="s">
        <v>680</v>
      </c>
      <c r="L290" s="33" t="s">
        <v>1714</v>
      </c>
      <c r="M290" s="33" t="s">
        <v>679</v>
      </c>
      <c r="N290" s="33" t="s">
        <v>1714</v>
      </c>
      <c r="O290" s="33" t="s">
        <v>680</v>
      </c>
      <c r="P290" s="33" t="s">
        <v>1714</v>
      </c>
      <c r="Q290" s="33" t="s">
        <v>1714</v>
      </c>
      <c r="R290" s="41" t="s">
        <v>1714</v>
      </c>
    </row>
    <row r="291" customFormat="false" ht="26.85" hidden="false" customHeight="false" outlineLevel="0" collapsed="false">
      <c r="A291" s="41" t="s">
        <v>1715</v>
      </c>
      <c r="B291" s="41" t="s">
        <v>1716</v>
      </c>
      <c r="C291" s="41" t="s">
        <v>705</v>
      </c>
      <c r="D291" s="41" t="s">
        <v>676</v>
      </c>
      <c r="E291" s="41" t="s">
        <v>675</v>
      </c>
      <c r="F291" s="41" t="s">
        <v>675</v>
      </c>
      <c r="G291" s="41" t="s">
        <v>684</v>
      </c>
      <c r="H291" s="43" t="s">
        <v>1557</v>
      </c>
      <c r="I291" s="33" t="s">
        <v>680</v>
      </c>
      <c r="J291" s="33" t="s">
        <v>679</v>
      </c>
      <c r="K291" s="33" t="s">
        <v>680</v>
      </c>
      <c r="L291" s="33" t="s">
        <v>760</v>
      </c>
      <c r="M291" s="33" t="s">
        <v>679</v>
      </c>
      <c r="N291" s="33" t="s">
        <v>760</v>
      </c>
      <c r="O291" s="33" t="s">
        <v>680</v>
      </c>
      <c r="P291" s="33" t="s">
        <v>760</v>
      </c>
      <c r="Q291" s="33" t="s">
        <v>760</v>
      </c>
      <c r="R291" s="41" t="s">
        <v>760</v>
      </c>
    </row>
    <row r="292" customFormat="false" ht="26.85" hidden="false" customHeight="false" outlineLevel="0" collapsed="false">
      <c r="A292" s="41" t="s">
        <v>1717</v>
      </c>
      <c r="B292" s="41" t="s">
        <v>1718</v>
      </c>
      <c r="C292" s="41" t="s">
        <v>705</v>
      </c>
      <c r="D292" s="41" t="s">
        <v>676</v>
      </c>
      <c r="E292" s="41" t="s">
        <v>676</v>
      </c>
      <c r="F292" s="41" t="s">
        <v>675</v>
      </c>
      <c r="G292" s="41" t="s">
        <v>684</v>
      </c>
      <c r="H292" s="43" t="s">
        <v>1557</v>
      </c>
      <c r="I292" s="33" t="s">
        <v>1416</v>
      </c>
      <c r="J292" s="33" t="s">
        <v>1416</v>
      </c>
      <c r="K292" s="33" t="s">
        <v>680</v>
      </c>
      <c r="L292" s="33" t="s">
        <v>1719</v>
      </c>
      <c r="M292" s="33" t="s">
        <v>1719</v>
      </c>
      <c r="N292" s="33" t="s">
        <v>1720</v>
      </c>
      <c r="O292" s="33" t="s">
        <v>680</v>
      </c>
      <c r="P292" s="33" t="s">
        <v>1720</v>
      </c>
      <c r="Q292" s="33" t="s">
        <v>1720</v>
      </c>
      <c r="R292" s="41" t="s">
        <v>1720</v>
      </c>
    </row>
    <row r="293" customFormat="false" ht="15" hidden="false" customHeight="false" outlineLevel="0" collapsed="false">
      <c r="A293" s="41" t="s">
        <v>1721</v>
      </c>
      <c r="B293" s="41" t="s">
        <v>1722</v>
      </c>
      <c r="C293" s="41" t="s">
        <v>705</v>
      </c>
      <c r="D293" s="41" t="s">
        <v>675</v>
      </c>
      <c r="E293" s="41" t="s">
        <v>676</v>
      </c>
      <c r="F293" s="41" t="s">
        <v>676</v>
      </c>
      <c r="G293" s="41" t="s">
        <v>684</v>
      </c>
      <c r="H293" s="43" t="s">
        <v>1557</v>
      </c>
      <c r="I293" s="33" t="s">
        <v>679</v>
      </c>
      <c r="J293" s="33" t="s">
        <v>684</v>
      </c>
      <c r="K293" s="33" t="s">
        <v>684</v>
      </c>
      <c r="L293" s="33" t="s">
        <v>679</v>
      </c>
      <c r="M293" s="33" t="s">
        <v>1723</v>
      </c>
      <c r="N293" s="33" t="s">
        <v>1723</v>
      </c>
      <c r="O293" s="33" t="s">
        <v>684</v>
      </c>
      <c r="P293" s="33" t="s">
        <v>1724</v>
      </c>
      <c r="Q293" s="33" t="s">
        <v>1725</v>
      </c>
      <c r="R293" s="41" t="s">
        <v>1726</v>
      </c>
    </row>
    <row r="294" customFormat="false" ht="15" hidden="false" customHeight="false" outlineLevel="0" collapsed="false">
      <c r="A294" s="41" t="s">
        <v>1727</v>
      </c>
      <c r="B294" s="41" t="s">
        <v>1728</v>
      </c>
      <c r="C294" s="41" t="s">
        <v>705</v>
      </c>
      <c r="D294" s="41" t="s">
        <v>676</v>
      </c>
      <c r="E294" s="41" t="s">
        <v>675</v>
      </c>
      <c r="F294" s="41" t="s">
        <v>675</v>
      </c>
      <c r="G294" s="41" t="s">
        <v>684</v>
      </c>
      <c r="H294" s="43" t="s">
        <v>1557</v>
      </c>
      <c r="I294" s="33" t="s">
        <v>680</v>
      </c>
      <c r="J294" s="33" t="s">
        <v>679</v>
      </c>
      <c r="K294" s="33" t="s">
        <v>680</v>
      </c>
      <c r="L294" s="33" t="s">
        <v>1729</v>
      </c>
      <c r="M294" s="33" t="s">
        <v>679</v>
      </c>
      <c r="N294" s="33" t="s">
        <v>1729</v>
      </c>
      <c r="O294" s="33" t="s">
        <v>684</v>
      </c>
      <c r="P294" s="33" t="s">
        <v>1730</v>
      </c>
      <c r="Q294" s="33" t="s">
        <v>1731</v>
      </c>
      <c r="R294" s="41" t="s">
        <v>1732</v>
      </c>
    </row>
    <row r="295" customFormat="false" ht="15" hidden="false" customHeight="false" outlineLevel="0" collapsed="false">
      <c r="A295" s="41" t="s">
        <v>1733</v>
      </c>
      <c r="B295" s="41" t="s">
        <v>1734</v>
      </c>
      <c r="C295" s="41" t="s">
        <v>705</v>
      </c>
      <c r="D295" s="41" t="s">
        <v>675</v>
      </c>
      <c r="E295" s="41" t="s">
        <v>676</v>
      </c>
      <c r="F295" s="41" t="s">
        <v>675</v>
      </c>
      <c r="G295" s="41" t="s">
        <v>684</v>
      </c>
      <c r="H295" s="43" t="s">
        <v>1557</v>
      </c>
      <c r="I295" s="33" t="s">
        <v>679</v>
      </c>
      <c r="J295" s="33" t="s">
        <v>680</v>
      </c>
      <c r="K295" s="33" t="s">
        <v>680</v>
      </c>
      <c r="L295" s="33" t="s">
        <v>679</v>
      </c>
      <c r="M295" s="33" t="s">
        <v>1735</v>
      </c>
      <c r="N295" s="33" t="s">
        <v>1735</v>
      </c>
      <c r="O295" s="33" t="s">
        <v>680</v>
      </c>
      <c r="P295" s="33" t="s">
        <v>1735</v>
      </c>
      <c r="Q295" s="33" t="s">
        <v>1735</v>
      </c>
      <c r="R295" s="41" t="s">
        <v>1735</v>
      </c>
    </row>
    <row r="296" customFormat="false" ht="26.85" hidden="false" customHeight="false" outlineLevel="0" collapsed="false">
      <c r="A296" s="41" t="s">
        <v>1736</v>
      </c>
      <c r="B296" s="41" t="s">
        <v>1737</v>
      </c>
      <c r="C296" s="41" t="s">
        <v>705</v>
      </c>
      <c r="D296" s="41" t="s">
        <v>676</v>
      </c>
      <c r="E296" s="41" t="s">
        <v>675</v>
      </c>
      <c r="F296" s="41" t="s">
        <v>675</v>
      </c>
      <c r="G296" s="41" t="s">
        <v>684</v>
      </c>
      <c r="H296" s="43" t="s">
        <v>1557</v>
      </c>
      <c r="I296" s="33" t="s">
        <v>1169</v>
      </c>
      <c r="J296" s="33" t="s">
        <v>679</v>
      </c>
      <c r="K296" s="33" t="s">
        <v>1169</v>
      </c>
      <c r="L296" s="33" t="s">
        <v>1738</v>
      </c>
      <c r="M296" s="33" t="s">
        <v>679</v>
      </c>
      <c r="N296" s="33" t="s">
        <v>1738</v>
      </c>
      <c r="O296" s="33" t="s">
        <v>680</v>
      </c>
      <c r="P296" s="33" t="s">
        <v>731</v>
      </c>
      <c r="Q296" s="33" t="s">
        <v>731</v>
      </c>
      <c r="R296" s="41" t="s">
        <v>731</v>
      </c>
    </row>
    <row r="297" customFormat="false" ht="15" hidden="false" customHeight="false" outlineLevel="0" collapsed="false">
      <c r="A297" s="41" t="s">
        <v>1739</v>
      </c>
      <c r="B297" s="41" t="s">
        <v>1677</v>
      </c>
      <c r="C297" s="41" t="s">
        <v>705</v>
      </c>
      <c r="D297" s="41" t="s">
        <v>676</v>
      </c>
      <c r="E297" s="41" t="s">
        <v>676</v>
      </c>
      <c r="F297" s="41" t="s">
        <v>676</v>
      </c>
      <c r="G297" s="41" t="s">
        <v>684</v>
      </c>
      <c r="H297" s="43" t="s">
        <v>1557</v>
      </c>
      <c r="I297" s="33" t="s">
        <v>680</v>
      </c>
      <c r="J297" s="33" t="s">
        <v>727</v>
      </c>
      <c r="K297" s="33" t="s">
        <v>1045</v>
      </c>
      <c r="L297" s="33" t="s">
        <v>1740</v>
      </c>
      <c r="M297" s="33" t="s">
        <v>1741</v>
      </c>
      <c r="N297" s="33" t="s">
        <v>1742</v>
      </c>
      <c r="O297" s="33" t="s">
        <v>680</v>
      </c>
      <c r="P297" s="33" t="s">
        <v>1740</v>
      </c>
      <c r="Q297" s="33" t="s">
        <v>1740</v>
      </c>
      <c r="R297" s="41" t="s">
        <v>1740</v>
      </c>
    </row>
    <row r="298" customFormat="false" ht="26.85" hidden="false" customHeight="false" outlineLevel="0" collapsed="false">
      <c r="A298" s="41" t="s">
        <v>1743</v>
      </c>
      <c r="B298" s="41" t="s">
        <v>1676</v>
      </c>
      <c r="C298" s="41" t="s">
        <v>705</v>
      </c>
      <c r="D298" s="41" t="s">
        <v>675</v>
      </c>
      <c r="E298" s="41" t="s">
        <v>676</v>
      </c>
      <c r="F298" s="41" t="s">
        <v>676</v>
      </c>
      <c r="G298" s="41" t="s">
        <v>684</v>
      </c>
      <c r="H298" s="43" t="s">
        <v>1557</v>
      </c>
      <c r="I298" s="33" t="s">
        <v>679</v>
      </c>
      <c r="J298" s="33" t="s">
        <v>1166</v>
      </c>
      <c r="K298" s="33" t="s">
        <v>1166</v>
      </c>
      <c r="L298" s="33" t="s">
        <v>679</v>
      </c>
      <c r="M298" s="33" t="s">
        <v>1744</v>
      </c>
      <c r="N298" s="33" t="s">
        <v>1744</v>
      </c>
      <c r="O298" s="33" t="s">
        <v>680</v>
      </c>
      <c r="P298" s="33" t="s">
        <v>1745</v>
      </c>
      <c r="Q298" s="33" t="s">
        <v>1745</v>
      </c>
      <c r="R298" s="41" t="s">
        <v>1745</v>
      </c>
    </row>
    <row r="299" customFormat="false" ht="15" hidden="false" customHeight="false" outlineLevel="0" collapsed="false">
      <c r="A299" s="41" t="s">
        <v>1746</v>
      </c>
      <c r="B299" s="41" t="s">
        <v>1747</v>
      </c>
      <c r="C299" s="41" t="s">
        <v>705</v>
      </c>
      <c r="D299" s="41" t="s">
        <v>676</v>
      </c>
      <c r="E299" s="41" t="s">
        <v>675</v>
      </c>
      <c r="F299" s="41" t="s">
        <v>675</v>
      </c>
      <c r="G299" s="41" t="s">
        <v>684</v>
      </c>
      <c r="H299" s="43" t="s">
        <v>1557</v>
      </c>
      <c r="I299" s="33" t="s">
        <v>680</v>
      </c>
      <c r="J299" s="33" t="s">
        <v>679</v>
      </c>
      <c r="K299" s="33" t="s">
        <v>680</v>
      </c>
      <c r="L299" s="33" t="s">
        <v>1748</v>
      </c>
      <c r="M299" s="33" t="s">
        <v>679</v>
      </c>
      <c r="N299" s="33" t="s">
        <v>1748</v>
      </c>
      <c r="O299" s="33" t="s">
        <v>680</v>
      </c>
      <c r="P299" s="33" t="s">
        <v>1748</v>
      </c>
      <c r="Q299" s="33" t="s">
        <v>1748</v>
      </c>
      <c r="R299" s="41" t="s">
        <v>1748</v>
      </c>
    </row>
    <row r="300" customFormat="false" ht="26.85" hidden="false" customHeight="false" outlineLevel="0" collapsed="false">
      <c r="A300" s="41" t="s">
        <v>1388</v>
      </c>
      <c r="B300" s="41" t="s">
        <v>1749</v>
      </c>
      <c r="C300" s="41" t="s">
        <v>705</v>
      </c>
      <c r="D300" s="41" t="s">
        <v>675</v>
      </c>
      <c r="E300" s="41" t="s">
        <v>676</v>
      </c>
      <c r="F300" s="41" t="s">
        <v>675</v>
      </c>
      <c r="G300" s="41" t="s">
        <v>684</v>
      </c>
      <c r="H300" s="43" t="s">
        <v>1557</v>
      </c>
      <c r="I300" s="33" t="s">
        <v>679</v>
      </c>
      <c r="J300" s="33" t="s">
        <v>680</v>
      </c>
      <c r="K300" s="33" t="s">
        <v>680</v>
      </c>
      <c r="L300" s="33" t="s">
        <v>679</v>
      </c>
      <c r="M300" s="33" t="s">
        <v>785</v>
      </c>
      <c r="N300" s="33" t="s">
        <v>785</v>
      </c>
      <c r="O300" s="33" t="s">
        <v>680</v>
      </c>
      <c r="P300" s="33" t="s">
        <v>785</v>
      </c>
      <c r="Q300" s="33" t="s">
        <v>785</v>
      </c>
      <c r="R300" s="41" t="s">
        <v>785</v>
      </c>
    </row>
    <row r="301" customFormat="false" ht="26.85" hidden="false" customHeight="false" outlineLevel="0" collapsed="false">
      <c r="A301" s="41"/>
      <c r="B301" s="41" t="s">
        <v>1113</v>
      </c>
      <c r="C301" s="41" t="s">
        <v>674</v>
      </c>
      <c r="D301" s="41" t="s">
        <v>675</v>
      </c>
      <c r="E301" s="41" t="s">
        <v>675</v>
      </c>
      <c r="F301" s="41" t="s">
        <v>676</v>
      </c>
      <c r="G301" s="41" t="s">
        <v>680</v>
      </c>
      <c r="H301" s="43" t="s">
        <v>1750</v>
      </c>
      <c r="I301" s="33" t="s">
        <v>679</v>
      </c>
      <c r="J301" s="33" t="s">
        <v>679</v>
      </c>
      <c r="K301" s="33" t="s">
        <v>679</v>
      </c>
      <c r="L301" s="33" t="s">
        <v>679</v>
      </c>
      <c r="M301" s="33" t="s">
        <v>679</v>
      </c>
      <c r="N301" s="33" t="s">
        <v>679</v>
      </c>
      <c r="O301" s="33" t="s">
        <v>679</v>
      </c>
      <c r="P301" s="33"/>
      <c r="Q301" s="33"/>
      <c r="R301" s="41"/>
    </row>
    <row r="302" customFormat="false" ht="26.85" hidden="false" customHeight="false" outlineLevel="0" collapsed="false">
      <c r="A302" s="41"/>
      <c r="B302" s="41" t="s">
        <v>1261</v>
      </c>
      <c r="C302" s="41" t="s">
        <v>674</v>
      </c>
      <c r="D302" s="41" t="s">
        <v>675</v>
      </c>
      <c r="E302" s="41" t="s">
        <v>675</v>
      </c>
      <c r="F302" s="41" t="s">
        <v>676</v>
      </c>
      <c r="G302" s="41" t="s">
        <v>680</v>
      </c>
      <c r="H302" s="43" t="s">
        <v>1750</v>
      </c>
      <c r="I302" s="33" t="s">
        <v>679</v>
      </c>
      <c r="J302" s="33" t="s">
        <v>679</v>
      </c>
      <c r="K302" s="33" t="s">
        <v>679</v>
      </c>
      <c r="L302" s="33" t="s">
        <v>679</v>
      </c>
      <c r="M302" s="33" t="s">
        <v>679</v>
      </c>
      <c r="N302" s="33" t="s">
        <v>679</v>
      </c>
      <c r="O302" s="33" t="s">
        <v>679</v>
      </c>
      <c r="P302" s="33"/>
      <c r="Q302" s="33"/>
      <c r="R302" s="41"/>
    </row>
    <row r="303" customFormat="false" ht="26.85" hidden="false" customHeight="false" outlineLevel="0" collapsed="false">
      <c r="A303" s="41"/>
      <c r="B303" s="41" t="s">
        <v>874</v>
      </c>
      <c r="C303" s="41" t="s">
        <v>674</v>
      </c>
      <c r="D303" s="41" t="s">
        <v>675</v>
      </c>
      <c r="E303" s="41" t="s">
        <v>675</v>
      </c>
      <c r="F303" s="41" t="s">
        <v>676</v>
      </c>
      <c r="G303" s="41" t="s">
        <v>680</v>
      </c>
      <c r="H303" s="43" t="s">
        <v>1750</v>
      </c>
      <c r="I303" s="33" t="s">
        <v>679</v>
      </c>
      <c r="J303" s="33" t="s">
        <v>679</v>
      </c>
      <c r="K303" s="33" t="s">
        <v>679</v>
      </c>
      <c r="L303" s="33" t="s">
        <v>679</v>
      </c>
      <c r="M303" s="33" t="s">
        <v>679</v>
      </c>
      <c r="N303" s="33" t="s">
        <v>679</v>
      </c>
      <c r="O303" s="33" t="s">
        <v>679</v>
      </c>
      <c r="P303" s="33"/>
      <c r="Q303" s="33"/>
      <c r="R303" s="41"/>
    </row>
    <row r="304" customFormat="false" ht="26.85" hidden="false" customHeight="false" outlineLevel="0" collapsed="false">
      <c r="A304" s="41"/>
      <c r="B304" s="41" t="s">
        <v>1414</v>
      </c>
      <c r="C304" s="41" t="s">
        <v>674</v>
      </c>
      <c r="D304" s="41" t="s">
        <v>675</v>
      </c>
      <c r="E304" s="41" t="s">
        <v>675</v>
      </c>
      <c r="F304" s="41" t="s">
        <v>676</v>
      </c>
      <c r="G304" s="41" t="s">
        <v>680</v>
      </c>
      <c r="H304" s="43" t="s">
        <v>1750</v>
      </c>
      <c r="I304" s="33" t="s">
        <v>679</v>
      </c>
      <c r="J304" s="33" t="s">
        <v>679</v>
      </c>
      <c r="K304" s="33" t="s">
        <v>679</v>
      </c>
      <c r="L304" s="33" t="s">
        <v>679</v>
      </c>
      <c r="M304" s="33" t="s">
        <v>679</v>
      </c>
      <c r="N304" s="33" t="s">
        <v>679</v>
      </c>
      <c r="O304" s="33" t="s">
        <v>679</v>
      </c>
      <c r="P304" s="33"/>
      <c r="Q304" s="33"/>
      <c r="R304" s="41"/>
    </row>
    <row r="305" customFormat="false" ht="26.85" hidden="false" customHeight="false" outlineLevel="0" collapsed="false">
      <c r="A305" s="41"/>
      <c r="B305" s="41" t="s">
        <v>1219</v>
      </c>
      <c r="C305" s="41" t="s">
        <v>674</v>
      </c>
      <c r="D305" s="41" t="s">
        <v>675</v>
      </c>
      <c r="E305" s="41" t="s">
        <v>675</v>
      </c>
      <c r="F305" s="41" t="s">
        <v>676</v>
      </c>
      <c r="G305" s="41" t="s">
        <v>680</v>
      </c>
      <c r="H305" s="43" t="s">
        <v>1750</v>
      </c>
      <c r="I305" s="33" t="s">
        <v>679</v>
      </c>
      <c r="J305" s="33" t="s">
        <v>679</v>
      </c>
      <c r="K305" s="33" t="s">
        <v>679</v>
      </c>
      <c r="L305" s="33" t="s">
        <v>679</v>
      </c>
      <c r="M305" s="33" t="s">
        <v>679</v>
      </c>
      <c r="N305" s="33" t="s">
        <v>679</v>
      </c>
      <c r="O305" s="33" t="s">
        <v>679</v>
      </c>
      <c r="P305" s="33"/>
      <c r="Q305" s="33"/>
      <c r="R305" s="41"/>
    </row>
    <row r="306" customFormat="false" ht="26.85" hidden="false" customHeight="false" outlineLevel="0" collapsed="false">
      <c r="A306" s="41"/>
      <c r="B306" s="41" t="s">
        <v>1305</v>
      </c>
      <c r="C306" s="41" t="s">
        <v>674</v>
      </c>
      <c r="D306" s="41" t="s">
        <v>675</v>
      </c>
      <c r="E306" s="41" t="s">
        <v>675</v>
      </c>
      <c r="F306" s="41" t="s">
        <v>676</v>
      </c>
      <c r="G306" s="41" t="s">
        <v>680</v>
      </c>
      <c r="H306" s="43" t="s">
        <v>1750</v>
      </c>
      <c r="I306" s="33" t="s">
        <v>679</v>
      </c>
      <c r="J306" s="33" t="s">
        <v>679</v>
      </c>
      <c r="K306" s="33" t="s">
        <v>679</v>
      </c>
      <c r="L306" s="33" t="s">
        <v>679</v>
      </c>
      <c r="M306" s="33" t="s">
        <v>679</v>
      </c>
      <c r="N306" s="33" t="s">
        <v>679</v>
      </c>
      <c r="O306" s="33" t="s">
        <v>679</v>
      </c>
      <c r="P306" s="33"/>
      <c r="Q306" s="33"/>
      <c r="R306" s="41"/>
    </row>
    <row r="307" customFormat="false" ht="26.85" hidden="false" customHeight="false" outlineLevel="0" collapsed="false">
      <c r="A307" s="41"/>
      <c r="B307" s="41" t="s">
        <v>1751</v>
      </c>
      <c r="C307" s="41" t="s">
        <v>674</v>
      </c>
      <c r="D307" s="41" t="s">
        <v>675</v>
      </c>
      <c r="E307" s="41" t="s">
        <v>675</v>
      </c>
      <c r="F307" s="41" t="s">
        <v>676</v>
      </c>
      <c r="G307" s="41" t="s">
        <v>680</v>
      </c>
      <c r="H307" s="43" t="s">
        <v>1750</v>
      </c>
      <c r="I307" s="33" t="s">
        <v>679</v>
      </c>
      <c r="J307" s="33" t="s">
        <v>679</v>
      </c>
      <c r="K307" s="33" t="s">
        <v>679</v>
      </c>
      <c r="L307" s="33" t="s">
        <v>679</v>
      </c>
      <c r="M307" s="33" t="s">
        <v>679</v>
      </c>
      <c r="N307" s="33" t="s">
        <v>679</v>
      </c>
      <c r="O307" s="33" t="s">
        <v>679</v>
      </c>
      <c r="P307" s="33"/>
      <c r="Q307" s="33"/>
      <c r="R307" s="41"/>
    </row>
    <row r="308" customFormat="false" ht="26.85" hidden="false" customHeight="false" outlineLevel="0" collapsed="false">
      <c r="A308" s="41"/>
      <c r="B308" s="41" t="s">
        <v>1226</v>
      </c>
      <c r="C308" s="41" t="s">
        <v>674</v>
      </c>
      <c r="D308" s="41" t="s">
        <v>675</v>
      </c>
      <c r="E308" s="41" t="s">
        <v>675</v>
      </c>
      <c r="F308" s="41" t="s">
        <v>676</v>
      </c>
      <c r="G308" s="41" t="s">
        <v>680</v>
      </c>
      <c r="H308" s="43" t="s">
        <v>1750</v>
      </c>
      <c r="I308" s="33" t="s">
        <v>679</v>
      </c>
      <c r="J308" s="33" t="s">
        <v>679</v>
      </c>
      <c r="K308" s="33" t="s">
        <v>679</v>
      </c>
      <c r="L308" s="33" t="s">
        <v>679</v>
      </c>
      <c r="M308" s="33" t="s">
        <v>679</v>
      </c>
      <c r="N308" s="33" t="s">
        <v>679</v>
      </c>
      <c r="O308" s="33" t="s">
        <v>679</v>
      </c>
      <c r="P308" s="33"/>
      <c r="Q308" s="33"/>
      <c r="R308" s="41"/>
    </row>
    <row r="309" customFormat="false" ht="26.85" hidden="false" customHeight="false" outlineLevel="0" collapsed="false">
      <c r="A309" s="41"/>
      <c r="B309" s="41" t="s">
        <v>859</v>
      </c>
      <c r="C309" s="41" t="s">
        <v>674</v>
      </c>
      <c r="D309" s="41" t="s">
        <v>675</v>
      </c>
      <c r="E309" s="41" t="s">
        <v>675</v>
      </c>
      <c r="F309" s="41" t="s">
        <v>676</v>
      </c>
      <c r="G309" s="41" t="s">
        <v>680</v>
      </c>
      <c r="H309" s="43" t="s">
        <v>1750</v>
      </c>
      <c r="I309" s="33" t="s">
        <v>679</v>
      </c>
      <c r="J309" s="33" t="s">
        <v>679</v>
      </c>
      <c r="K309" s="33" t="s">
        <v>679</v>
      </c>
      <c r="L309" s="33" t="s">
        <v>679</v>
      </c>
      <c r="M309" s="33" t="s">
        <v>679</v>
      </c>
      <c r="N309" s="33" t="s">
        <v>679</v>
      </c>
      <c r="O309" s="33" t="s">
        <v>679</v>
      </c>
      <c r="P309" s="33"/>
      <c r="Q309" s="33"/>
      <c r="R309" s="41"/>
    </row>
    <row r="310" customFormat="false" ht="26.85" hidden="false" customHeight="false" outlineLevel="0" collapsed="false">
      <c r="A310" s="41"/>
      <c r="B310" s="41" t="s">
        <v>693</v>
      </c>
      <c r="C310" s="41" t="s">
        <v>674</v>
      </c>
      <c r="D310" s="41" t="s">
        <v>675</v>
      </c>
      <c r="E310" s="41" t="s">
        <v>675</v>
      </c>
      <c r="F310" s="41" t="s">
        <v>676</v>
      </c>
      <c r="G310" s="41" t="s">
        <v>680</v>
      </c>
      <c r="H310" s="43" t="s">
        <v>1750</v>
      </c>
      <c r="I310" s="33" t="s">
        <v>679</v>
      </c>
      <c r="J310" s="33" t="s">
        <v>679</v>
      </c>
      <c r="K310" s="33" t="s">
        <v>679</v>
      </c>
      <c r="L310" s="33" t="s">
        <v>679</v>
      </c>
      <c r="M310" s="33" t="s">
        <v>679</v>
      </c>
      <c r="N310" s="33" t="s">
        <v>679</v>
      </c>
      <c r="O310" s="33" t="s">
        <v>679</v>
      </c>
      <c r="P310" s="33"/>
      <c r="Q310" s="33"/>
      <c r="R310" s="41"/>
    </row>
    <row r="311" customFormat="false" ht="26.85" hidden="false" customHeight="false" outlineLevel="0" collapsed="false">
      <c r="A311" s="41"/>
      <c r="B311" s="41" t="s">
        <v>960</v>
      </c>
      <c r="C311" s="41" t="s">
        <v>674</v>
      </c>
      <c r="D311" s="41" t="s">
        <v>675</v>
      </c>
      <c r="E311" s="41" t="s">
        <v>675</v>
      </c>
      <c r="F311" s="41" t="s">
        <v>676</v>
      </c>
      <c r="G311" s="41" t="s">
        <v>680</v>
      </c>
      <c r="H311" s="43" t="s">
        <v>1750</v>
      </c>
      <c r="I311" s="33" t="s">
        <v>679</v>
      </c>
      <c r="J311" s="33" t="s">
        <v>679</v>
      </c>
      <c r="K311" s="33" t="s">
        <v>679</v>
      </c>
      <c r="L311" s="33" t="s">
        <v>679</v>
      </c>
      <c r="M311" s="33" t="s">
        <v>679</v>
      </c>
      <c r="N311" s="33" t="s">
        <v>679</v>
      </c>
      <c r="O311" s="33" t="s">
        <v>679</v>
      </c>
      <c r="P311" s="33"/>
      <c r="Q311" s="33"/>
      <c r="R311" s="41"/>
    </row>
    <row r="312" customFormat="false" ht="26.85" hidden="false" customHeight="false" outlineLevel="0" collapsed="false">
      <c r="A312" s="41"/>
      <c r="B312" s="41" t="s">
        <v>1432</v>
      </c>
      <c r="C312" s="41" t="s">
        <v>674</v>
      </c>
      <c r="D312" s="41" t="s">
        <v>675</v>
      </c>
      <c r="E312" s="41" t="s">
        <v>675</v>
      </c>
      <c r="F312" s="41" t="s">
        <v>676</v>
      </c>
      <c r="G312" s="41" t="s">
        <v>680</v>
      </c>
      <c r="H312" s="43" t="s">
        <v>1750</v>
      </c>
      <c r="I312" s="33" t="s">
        <v>679</v>
      </c>
      <c r="J312" s="33" t="s">
        <v>679</v>
      </c>
      <c r="K312" s="33" t="s">
        <v>679</v>
      </c>
      <c r="L312" s="33" t="s">
        <v>679</v>
      </c>
      <c r="M312" s="33" t="s">
        <v>679</v>
      </c>
      <c r="N312" s="33" t="s">
        <v>679</v>
      </c>
      <c r="O312" s="33" t="s">
        <v>679</v>
      </c>
      <c r="P312" s="33"/>
      <c r="Q312" s="33"/>
      <c r="R312" s="41"/>
    </row>
    <row r="313" customFormat="false" ht="26.85" hidden="false" customHeight="false" outlineLevel="0" collapsed="false">
      <c r="A313" s="41"/>
      <c r="B313" s="41" t="s">
        <v>1752</v>
      </c>
      <c r="C313" s="41" t="s">
        <v>674</v>
      </c>
      <c r="D313" s="41" t="s">
        <v>675</v>
      </c>
      <c r="E313" s="41" t="s">
        <v>675</v>
      </c>
      <c r="F313" s="41" t="s">
        <v>676</v>
      </c>
      <c r="G313" s="41" t="s">
        <v>680</v>
      </c>
      <c r="H313" s="43" t="s">
        <v>1750</v>
      </c>
      <c r="I313" s="33" t="s">
        <v>679</v>
      </c>
      <c r="J313" s="33" t="s">
        <v>679</v>
      </c>
      <c r="K313" s="33" t="s">
        <v>679</v>
      </c>
      <c r="L313" s="33" t="s">
        <v>679</v>
      </c>
      <c r="M313" s="33" t="s">
        <v>679</v>
      </c>
      <c r="N313" s="33" t="s">
        <v>679</v>
      </c>
      <c r="O313" s="33" t="s">
        <v>679</v>
      </c>
      <c r="P313" s="33"/>
      <c r="Q313" s="33"/>
      <c r="R313" s="41"/>
    </row>
    <row r="314" customFormat="false" ht="26.85" hidden="false" customHeight="false" outlineLevel="0" collapsed="false">
      <c r="A314" s="41"/>
      <c r="B314" s="41" t="s">
        <v>1131</v>
      </c>
      <c r="C314" s="41" t="s">
        <v>674</v>
      </c>
      <c r="D314" s="41" t="s">
        <v>675</v>
      </c>
      <c r="E314" s="41" t="s">
        <v>675</v>
      </c>
      <c r="F314" s="41" t="s">
        <v>676</v>
      </c>
      <c r="G314" s="41" t="s">
        <v>680</v>
      </c>
      <c r="H314" s="43" t="s">
        <v>1750</v>
      </c>
      <c r="I314" s="33" t="s">
        <v>679</v>
      </c>
      <c r="J314" s="33" t="s">
        <v>679</v>
      </c>
      <c r="K314" s="33" t="s">
        <v>679</v>
      </c>
      <c r="L314" s="33" t="s">
        <v>679</v>
      </c>
      <c r="M314" s="33" t="s">
        <v>679</v>
      </c>
      <c r="N314" s="33" t="s">
        <v>679</v>
      </c>
      <c r="O314" s="33" t="s">
        <v>679</v>
      </c>
      <c r="P314" s="33"/>
      <c r="Q314" s="33"/>
      <c r="R314" s="41"/>
    </row>
    <row r="315" customFormat="false" ht="26.85" hidden="false" customHeight="false" outlineLevel="0" collapsed="false">
      <c r="A315" s="41" t="s">
        <v>1753</v>
      </c>
      <c r="B315" s="41" t="s">
        <v>1754</v>
      </c>
      <c r="C315" s="41" t="s">
        <v>674</v>
      </c>
      <c r="D315" s="41" t="s">
        <v>675</v>
      </c>
      <c r="E315" s="41" t="s">
        <v>676</v>
      </c>
      <c r="F315" s="41" t="s">
        <v>675</v>
      </c>
      <c r="G315" s="41" t="s">
        <v>680</v>
      </c>
      <c r="H315" s="43" t="s">
        <v>1750</v>
      </c>
      <c r="I315" s="33" t="s">
        <v>679</v>
      </c>
      <c r="J315" s="33" t="s">
        <v>680</v>
      </c>
      <c r="K315" s="33" t="s">
        <v>680</v>
      </c>
      <c r="L315" s="33" t="s">
        <v>679</v>
      </c>
      <c r="M315" s="33" t="s">
        <v>1649</v>
      </c>
      <c r="N315" s="33" t="s">
        <v>1649</v>
      </c>
      <c r="O315" s="33" t="s">
        <v>680</v>
      </c>
      <c r="P315" s="33" t="s">
        <v>1649</v>
      </c>
      <c r="Q315" s="33" t="s">
        <v>1649</v>
      </c>
      <c r="R315" s="41" t="s">
        <v>1649</v>
      </c>
    </row>
    <row r="316" customFormat="false" ht="26.85" hidden="false" customHeight="false" outlineLevel="0" collapsed="false">
      <c r="A316" s="41" t="s">
        <v>1755</v>
      </c>
      <c r="B316" s="41" t="s">
        <v>1756</v>
      </c>
      <c r="C316" s="41" t="s">
        <v>674</v>
      </c>
      <c r="D316" s="41" t="s">
        <v>675</v>
      </c>
      <c r="E316" s="41" t="s">
        <v>676</v>
      </c>
      <c r="F316" s="41" t="s">
        <v>675</v>
      </c>
      <c r="G316" s="41" t="s">
        <v>680</v>
      </c>
      <c r="H316" s="43" t="s">
        <v>1750</v>
      </c>
      <c r="I316" s="33" t="s">
        <v>679</v>
      </c>
      <c r="J316" s="33" t="s">
        <v>680</v>
      </c>
      <c r="K316" s="33" t="s">
        <v>680</v>
      </c>
      <c r="L316" s="33" t="s">
        <v>679</v>
      </c>
      <c r="M316" s="33" t="s">
        <v>1757</v>
      </c>
      <c r="N316" s="33" t="s">
        <v>1757</v>
      </c>
      <c r="O316" s="33" t="s">
        <v>680</v>
      </c>
      <c r="P316" s="33" t="s">
        <v>1757</v>
      </c>
      <c r="Q316" s="33" t="s">
        <v>1757</v>
      </c>
      <c r="R316" s="41" t="s">
        <v>1757</v>
      </c>
    </row>
    <row r="317" customFormat="false" ht="26.85" hidden="false" customHeight="false" outlineLevel="0" collapsed="false">
      <c r="A317" s="41" t="s">
        <v>1758</v>
      </c>
      <c r="B317" s="41" t="s">
        <v>1759</v>
      </c>
      <c r="C317" s="41" t="s">
        <v>674</v>
      </c>
      <c r="D317" s="41" t="s">
        <v>676</v>
      </c>
      <c r="E317" s="41" t="s">
        <v>675</v>
      </c>
      <c r="F317" s="41" t="s">
        <v>675</v>
      </c>
      <c r="G317" s="41" t="s">
        <v>680</v>
      </c>
      <c r="H317" s="43" t="s">
        <v>1750</v>
      </c>
      <c r="I317" s="33" t="s">
        <v>727</v>
      </c>
      <c r="J317" s="33" t="s">
        <v>679</v>
      </c>
      <c r="K317" s="33" t="s">
        <v>727</v>
      </c>
      <c r="L317" s="33" t="s">
        <v>1760</v>
      </c>
      <c r="M317" s="33" t="s">
        <v>679</v>
      </c>
      <c r="N317" s="33" t="s">
        <v>1760</v>
      </c>
      <c r="O317" s="33" t="s">
        <v>680</v>
      </c>
      <c r="P317" s="33" t="s">
        <v>1761</v>
      </c>
      <c r="Q317" s="33" t="s">
        <v>1761</v>
      </c>
      <c r="R317" s="41" t="s">
        <v>1761</v>
      </c>
    </row>
    <row r="318" customFormat="false" ht="26.85" hidden="false" customHeight="false" outlineLevel="0" collapsed="false">
      <c r="A318" s="41" t="s">
        <v>1762</v>
      </c>
      <c r="B318" s="41" t="s">
        <v>1763</v>
      </c>
      <c r="C318" s="41" t="s">
        <v>674</v>
      </c>
      <c r="D318" s="41" t="s">
        <v>675</v>
      </c>
      <c r="E318" s="41" t="s">
        <v>676</v>
      </c>
      <c r="F318" s="41" t="s">
        <v>675</v>
      </c>
      <c r="G318" s="41" t="s">
        <v>680</v>
      </c>
      <c r="H318" s="43" t="s">
        <v>1750</v>
      </c>
      <c r="I318" s="33" t="s">
        <v>679</v>
      </c>
      <c r="J318" s="33" t="s">
        <v>680</v>
      </c>
      <c r="K318" s="33" t="s">
        <v>680</v>
      </c>
      <c r="L318" s="33" t="s">
        <v>679</v>
      </c>
      <c r="M318" s="33" t="s">
        <v>1764</v>
      </c>
      <c r="N318" s="33" t="s">
        <v>1764</v>
      </c>
      <c r="O318" s="33" t="s">
        <v>680</v>
      </c>
      <c r="P318" s="33" t="s">
        <v>1764</v>
      </c>
      <c r="Q318" s="33" t="s">
        <v>1764</v>
      </c>
      <c r="R318" s="41" t="s">
        <v>1764</v>
      </c>
    </row>
    <row r="319" customFormat="false" ht="26.85" hidden="false" customHeight="false" outlineLevel="0" collapsed="false">
      <c r="A319" s="41" t="s">
        <v>1765</v>
      </c>
      <c r="B319" s="41" t="s">
        <v>1766</v>
      </c>
      <c r="C319" s="41" t="s">
        <v>674</v>
      </c>
      <c r="D319" s="41" t="s">
        <v>675</v>
      </c>
      <c r="E319" s="41" t="s">
        <v>676</v>
      </c>
      <c r="F319" s="41" t="s">
        <v>675</v>
      </c>
      <c r="G319" s="41" t="s">
        <v>680</v>
      </c>
      <c r="H319" s="43" t="s">
        <v>1750</v>
      </c>
      <c r="I319" s="33" t="s">
        <v>679</v>
      </c>
      <c r="J319" s="33" t="s">
        <v>680</v>
      </c>
      <c r="K319" s="33" t="s">
        <v>680</v>
      </c>
      <c r="L319" s="33" t="s">
        <v>679</v>
      </c>
      <c r="M319" s="33" t="s">
        <v>1767</v>
      </c>
      <c r="N319" s="33" t="s">
        <v>1767</v>
      </c>
      <c r="O319" s="33" t="s">
        <v>680</v>
      </c>
      <c r="P319" s="33" t="s">
        <v>1767</v>
      </c>
      <c r="Q319" s="33" t="s">
        <v>1767</v>
      </c>
      <c r="R319" s="41" t="s">
        <v>1767</v>
      </c>
    </row>
    <row r="320" customFormat="false" ht="26.85" hidden="false" customHeight="false" outlineLevel="0" collapsed="false">
      <c r="A320" s="41" t="s">
        <v>1768</v>
      </c>
      <c r="B320" s="41" t="s">
        <v>1769</v>
      </c>
      <c r="C320" s="41" t="s">
        <v>674</v>
      </c>
      <c r="D320" s="41" t="s">
        <v>675</v>
      </c>
      <c r="E320" s="41" t="s">
        <v>676</v>
      </c>
      <c r="F320" s="41" t="s">
        <v>675</v>
      </c>
      <c r="G320" s="41" t="s">
        <v>680</v>
      </c>
      <c r="H320" s="43" t="s">
        <v>1750</v>
      </c>
      <c r="I320" s="33" t="s">
        <v>679</v>
      </c>
      <c r="J320" s="33" t="s">
        <v>680</v>
      </c>
      <c r="K320" s="33" t="s">
        <v>680</v>
      </c>
      <c r="L320" s="33" t="s">
        <v>679</v>
      </c>
      <c r="M320" s="33" t="s">
        <v>1770</v>
      </c>
      <c r="N320" s="33" t="s">
        <v>1770</v>
      </c>
      <c r="O320" s="33" t="s">
        <v>680</v>
      </c>
      <c r="P320" s="33" t="s">
        <v>1770</v>
      </c>
      <c r="Q320" s="33" t="s">
        <v>1770</v>
      </c>
      <c r="R320" s="41" t="s">
        <v>1770</v>
      </c>
    </row>
    <row r="321" customFormat="false" ht="26.85" hidden="false" customHeight="false" outlineLevel="0" collapsed="false">
      <c r="A321" s="41" t="s">
        <v>1771</v>
      </c>
      <c r="B321" s="41" t="s">
        <v>1772</v>
      </c>
      <c r="C321" s="41" t="s">
        <v>674</v>
      </c>
      <c r="D321" s="41" t="s">
        <v>675</v>
      </c>
      <c r="E321" s="41" t="s">
        <v>676</v>
      </c>
      <c r="F321" s="41" t="s">
        <v>675</v>
      </c>
      <c r="G321" s="41" t="s">
        <v>680</v>
      </c>
      <c r="H321" s="43" t="s">
        <v>1750</v>
      </c>
      <c r="I321" s="33" t="s">
        <v>679</v>
      </c>
      <c r="J321" s="33" t="s">
        <v>1045</v>
      </c>
      <c r="K321" s="33" t="s">
        <v>1045</v>
      </c>
      <c r="L321" s="33" t="s">
        <v>679</v>
      </c>
      <c r="M321" s="33" t="s">
        <v>1773</v>
      </c>
      <c r="N321" s="33" t="s">
        <v>1773</v>
      </c>
      <c r="O321" s="33" t="s">
        <v>680</v>
      </c>
      <c r="P321" s="33" t="s">
        <v>1774</v>
      </c>
      <c r="Q321" s="33" t="s">
        <v>1774</v>
      </c>
      <c r="R321" s="41" t="s">
        <v>1774</v>
      </c>
    </row>
    <row r="322" customFormat="false" ht="26.85" hidden="false" customHeight="false" outlineLevel="0" collapsed="false">
      <c r="A322" s="41" t="s">
        <v>1775</v>
      </c>
      <c r="B322" s="41" t="s">
        <v>1776</v>
      </c>
      <c r="C322" s="41" t="s">
        <v>674</v>
      </c>
      <c r="D322" s="41" t="s">
        <v>675</v>
      </c>
      <c r="E322" s="41" t="s">
        <v>676</v>
      </c>
      <c r="F322" s="41" t="s">
        <v>675</v>
      </c>
      <c r="G322" s="41" t="s">
        <v>680</v>
      </c>
      <c r="H322" s="43" t="s">
        <v>1750</v>
      </c>
      <c r="I322" s="33" t="s">
        <v>679</v>
      </c>
      <c r="J322" s="33" t="s">
        <v>680</v>
      </c>
      <c r="K322" s="33" t="s">
        <v>680</v>
      </c>
      <c r="L322" s="33" t="s">
        <v>679</v>
      </c>
      <c r="M322" s="33" t="s">
        <v>1777</v>
      </c>
      <c r="N322" s="33" t="s">
        <v>1777</v>
      </c>
      <c r="O322" s="33" t="s">
        <v>680</v>
      </c>
      <c r="P322" s="33" t="s">
        <v>1777</v>
      </c>
      <c r="Q322" s="33" t="s">
        <v>1777</v>
      </c>
      <c r="R322" s="41" t="s">
        <v>1777</v>
      </c>
    </row>
    <row r="323" customFormat="false" ht="26.85" hidden="false" customHeight="false" outlineLevel="0" collapsed="false">
      <c r="A323" s="41" t="s">
        <v>1778</v>
      </c>
      <c r="B323" s="41" t="s">
        <v>1779</v>
      </c>
      <c r="C323" s="41" t="s">
        <v>674</v>
      </c>
      <c r="D323" s="41" t="s">
        <v>675</v>
      </c>
      <c r="E323" s="41" t="s">
        <v>676</v>
      </c>
      <c r="F323" s="41" t="s">
        <v>675</v>
      </c>
      <c r="G323" s="41" t="s">
        <v>680</v>
      </c>
      <c r="H323" s="43" t="s">
        <v>1750</v>
      </c>
      <c r="I323" s="33" t="s">
        <v>679</v>
      </c>
      <c r="J323" s="33" t="s">
        <v>680</v>
      </c>
      <c r="K323" s="33" t="s">
        <v>680</v>
      </c>
      <c r="L323" s="33" t="s">
        <v>679</v>
      </c>
      <c r="M323" s="33" t="s">
        <v>1780</v>
      </c>
      <c r="N323" s="33" t="s">
        <v>1780</v>
      </c>
      <c r="O323" s="33" t="s">
        <v>680</v>
      </c>
      <c r="P323" s="33" t="s">
        <v>1780</v>
      </c>
      <c r="Q323" s="33" t="s">
        <v>1780</v>
      </c>
      <c r="R323" s="41" t="s">
        <v>1780</v>
      </c>
    </row>
    <row r="324" customFormat="false" ht="26.85" hidden="false" customHeight="false" outlineLevel="0" collapsed="false">
      <c r="A324" s="41" t="s">
        <v>1781</v>
      </c>
      <c r="B324" s="41" t="s">
        <v>1782</v>
      </c>
      <c r="C324" s="41" t="s">
        <v>674</v>
      </c>
      <c r="D324" s="41" t="s">
        <v>675</v>
      </c>
      <c r="E324" s="41" t="s">
        <v>676</v>
      </c>
      <c r="F324" s="41" t="s">
        <v>675</v>
      </c>
      <c r="G324" s="41" t="s">
        <v>680</v>
      </c>
      <c r="H324" s="43" t="s">
        <v>1750</v>
      </c>
      <c r="I324" s="33" t="s">
        <v>679</v>
      </c>
      <c r="J324" s="33" t="s">
        <v>1205</v>
      </c>
      <c r="K324" s="33" t="s">
        <v>1205</v>
      </c>
      <c r="L324" s="33" t="s">
        <v>679</v>
      </c>
      <c r="M324" s="33" t="s">
        <v>1783</v>
      </c>
      <c r="N324" s="33" t="s">
        <v>1783</v>
      </c>
      <c r="O324" s="33" t="s">
        <v>680</v>
      </c>
      <c r="P324" s="33" t="s">
        <v>1784</v>
      </c>
      <c r="Q324" s="33" t="s">
        <v>1784</v>
      </c>
      <c r="R324" s="41" t="s">
        <v>1784</v>
      </c>
    </row>
    <row r="325" customFormat="false" ht="26.85" hidden="false" customHeight="false" outlineLevel="0" collapsed="false">
      <c r="A325" s="41" t="s">
        <v>1785</v>
      </c>
      <c r="B325" s="41" t="s">
        <v>1786</v>
      </c>
      <c r="C325" s="41" t="s">
        <v>674</v>
      </c>
      <c r="D325" s="41" t="s">
        <v>675</v>
      </c>
      <c r="E325" s="41" t="s">
        <v>676</v>
      </c>
      <c r="F325" s="41" t="s">
        <v>675</v>
      </c>
      <c r="G325" s="41" t="s">
        <v>680</v>
      </c>
      <c r="H325" s="43" t="s">
        <v>1750</v>
      </c>
      <c r="I325" s="33" t="s">
        <v>679</v>
      </c>
      <c r="J325" s="33" t="s">
        <v>680</v>
      </c>
      <c r="K325" s="33" t="s">
        <v>680</v>
      </c>
      <c r="L325" s="33" t="s">
        <v>679</v>
      </c>
      <c r="M325" s="33" t="s">
        <v>1787</v>
      </c>
      <c r="N325" s="33" t="s">
        <v>1787</v>
      </c>
      <c r="O325" s="33" t="s">
        <v>680</v>
      </c>
      <c r="P325" s="33" t="s">
        <v>1787</v>
      </c>
      <c r="Q325" s="33" t="s">
        <v>1787</v>
      </c>
      <c r="R325" s="41" t="s">
        <v>1787</v>
      </c>
    </row>
    <row r="326" customFormat="false" ht="26.85" hidden="false" customHeight="false" outlineLevel="0" collapsed="false">
      <c r="A326" s="41" t="s">
        <v>1788</v>
      </c>
      <c r="B326" s="41" t="s">
        <v>1789</v>
      </c>
      <c r="C326" s="41" t="s">
        <v>674</v>
      </c>
      <c r="D326" s="41" t="s">
        <v>675</v>
      </c>
      <c r="E326" s="41" t="s">
        <v>676</v>
      </c>
      <c r="F326" s="41" t="s">
        <v>675</v>
      </c>
      <c r="G326" s="41" t="s">
        <v>680</v>
      </c>
      <c r="H326" s="43" t="s">
        <v>1750</v>
      </c>
      <c r="I326" s="33" t="s">
        <v>679</v>
      </c>
      <c r="J326" s="33" t="s">
        <v>684</v>
      </c>
      <c r="K326" s="33" t="s">
        <v>684</v>
      </c>
      <c r="L326" s="33" t="s">
        <v>679</v>
      </c>
      <c r="M326" s="33" t="s">
        <v>804</v>
      </c>
      <c r="N326" s="33" t="s">
        <v>804</v>
      </c>
      <c r="O326" s="33" t="s">
        <v>680</v>
      </c>
      <c r="P326" s="33" t="s">
        <v>1074</v>
      </c>
      <c r="Q326" s="33" t="s">
        <v>1074</v>
      </c>
      <c r="R326" s="41" t="s">
        <v>1074</v>
      </c>
    </row>
    <row r="327" customFormat="false" ht="26.85" hidden="false" customHeight="false" outlineLevel="0" collapsed="false">
      <c r="A327" s="41" t="s">
        <v>1790</v>
      </c>
      <c r="B327" s="41" t="s">
        <v>1791</v>
      </c>
      <c r="C327" s="41" t="s">
        <v>674</v>
      </c>
      <c r="D327" s="41" t="s">
        <v>676</v>
      </c>
      <c r="E327" s="41" t="s">
        <v>675</v>
      </c>
      <c r="F327" s="41" t="s">
        <v>675</v>
      </c>
      <c r="G327" s="41" t="s">
        <v>680</v>
      </c>
      <c r="H327" s="43" t="s">
        <v>1750</v>
      </c>
      <c r="I327" s="33" t="s">
        <v>684</v>
      </c>
      <c r="J327" s="33" t="s">
        <v>679</v>
      </c>
      <c r="K327" s="33" t="s">
        <v>684</v>
      </c>
      <c r="L327" s="33" t="s">
        <v>1792</v>
      </c>
      <c r="M327" s="33" t="s">
        <v>679</v>
      </c>
      <c r="N327" s="33" t="s">
        <v>1792</v>
      </c>
      <c r="O327" s="33" t="s">
        <v>680</v>
      </c>
      <c r="P327" s="33" t="s">
        <v>1793</v>
      </c>
      <c r="Q327" s="33" t="s">
        <v>1793</v>
      </c>
      <c r="R327" s="41" t="s">
        <v>1793</v>
      </c>
    </row>
    <row r="328" customFormat="false" ht="26.85" hidden="false" customHeight="false" outlineLevel="0" collapsed="false">
      <c r="A328" s="41" t="s">
        <v>1794</v>
      </c>
      <c r="B328" s="41" t="s">
        <v>1795</v>
      </c>
      <c r="C328" s="41" t="s">
        <v>674</v>
      </c>
      <c r="D328" s="41" t="s">
        <v>675</v>
      </c>
      <c r="E328" s="41" t="s">
        <v>676</v>
      </c>
      <c r="F328" s="41" t="s">
        <v>675</v>
      </c>
      <c r="G328" s="41" t="s">
        <v>680</v>
      </c>
      <c r="H328" s="43" t="s">
        <v>1750</v>
      </c>
      <c r="I328" s="33" t="s">
        <v>679</v>
      </c>
      <c r="J328" s="33" t="s">
        <v>680</v>
      </c>
      <c r="K328" s="33" t="s">
        <v>680</v>
      </c>
      <c r="L328" s="33" t="s">
        <v>679</v>
      </c>
      <c r="M328" s="33" t="s">
        <v>1796</v>
      </c>
      <c r="N328" s="33" t="s">
        <v>1796</v>
      </c>
      <c r="O328" s="33" t="s">
        <v>680</v>
      </c>
      <c r="P328" s="33" t="s">
        <v>1796</v>
      </c>
      <c r="Q328" s="33" t="s">
        <v>1796</v>
      </c>
      <c r="R328" s="41" t="s">
        <v>1796</v>
      </c>
    </row>
    <row r="329" customFormat="false" ht="26.85" hidden="false" customHeight="false" outlineLevel="0" collapsed="false">
      <c r="A329" s="41" t="s">
        <v>1797</v>
      </c>
      <c r="B329" s="41" t="s">
        <v>1798</v>
      </c>
      <c r="C329" s="41" t="s">
        <v>674</v>
      </c>
      <c r="D329" s="41" t="s">
        <v>675</v>
      </c>
      <c r="E329" s="41" t="s">
        <v>676</v>
      </c>
      <c r="F329" s="41" t="s">
        <v>675</v>
      </c>
      <c r="G329" s="41" t="s">
        <v>680</v>
      </c>
      <c r="H329" s="43" t="s">
        <v>1750</v>
      </c>
      <c r="I329" s="33" t="s">
        <v>679</v>
      </c>
      <c r="J329" s="33" t="s">
        <v>680</v>
      </c>
      <c r="K329" s="33" t="s">
        <v>680</v>
      </c>
      <c r="L329" s="33" t="s">
        <v>679</v>
      </c>
      <c r="M329" s="33" t="s">
        <v>1799</v>
      </c>
      <c r="N329" s="33" t="s">
        <v>1799</v>
      </c>
      <c r="O329" s="33" t="s">
        <v>680</v>
      </c>
      <c r="P329" s="33" t="s">
        <v>1799</v>
      </c>
      <c r="Q329" s="33" t="s">
        <v>1799</v>
      </c>
      <c r="R329" s="41" t="s">
        <v>1799</v>
      </c>
    </row>
    <row r="330" customFormat="false" ht="26.85" hidden="false" customHeight="false" outlineLevel="0" collapsed="false">
      <c r="A330" s="41" t="s">
        <v>1800</v>
      </c>
      <c r="B330" s="41" t="s">
        <v>1801</v>
      </c>
      <c r="C330" s="41" t="s">
        <v>674</v>
      </c>
      <c r="D330" s="41" t="s">
        <v>675</v>
      </c>
      <c r="E330" s="41" t="s">
        <v>676</v>
      </c>
      <c r="F330" s="41" t="s">
        <v>675</v>
      </c>
      <c r="G330" s="41" t="s">
        <v>680</v>
      </c>
      <c r="H330" s="43" t="s">
        <v>1750</v>
      </c>
      <c r="I330" s="33" t="s">
        <v>679</v>
      </c>
      <c r="J330" s="33" t="s">
        <v>689</v>
      </c>
      <c r="K330" s="33" t="s">
        <v>689</v>
      </c>
      <c r="L330" s="33" t="s">
        <v>679</v>
      </c>
      <c r="M330" s="33" t="s">
        <v>1802</v>
      </c>
      <c r="N330" s="33" t="s">
        <v>1802</v>
      </c>
      <c r="O330" s="33" t="s">
        <v>680</v>
      </c>
      <c r="P330" s="33" t="s">
        <v>1803</v>
      </c>
      <c r="Q330" s="33" t="s">
        <v>1803</v>
      </c>
      <c r="R330" s="41" t="s">
        <v>1803</v>
      </c>
    </row>
    <row r="331" customFormat="false" ht="26.85" hidden="false" customHeight="false" outlineLevel="0" collapsed="false">
      <c r="A331" s="41" t="s">
        <v>1804</v>
      </c>
      <c r="B331" s="41" t="s">
        <v>1805</v>
      </c>
      <c r="C331" s="41" t="s">
        <v>674</v>
      </c>
      <c r="D331" s="41" t="s">
        <v>675</v>
      </c>
      <c r="E331" s="41" t="s">
        <v>676</v>
      </c>
      <c r="F331" s="41" t="s">
        <v>675</v>
      </c>
      <c r="G331" s="41" t="s">
        <v>680</v>
      </c>
      <c r="H331" s="43" t="s">
        <v>1750</v>
      </c>
      <c r="I331" s="33" t="s">
        <v>679</v>
      </c>
      <c r="J331" s="33" t="s">
        <v>714</v>
      </c>
      <c r="K331" s="33" t="s">
        <v>714</v>
      </c>
      <c r="L331" s="33" t="s">
        <v>679</v>
      </c>
      <c r="M331" s="33" t="s">
        <v>1806</v>
      </c>
      <c r="N331" s="33" t="s">
        <v>1806</v>
      </c>
      <c r="O331" s="33" t="s">
        <v>680</v>
      </c>
      <c r="P331" s="33" t="s">
        <v>1029</v>
      </c>
      <c r="Q331" s="33" t="s">
        <v>1029</v>
      </c>
      <c r="R331" s="41" t="s">
        <v>1029</v>
      </c>
    </row>
    <row r="332" customFormat="false" ht="26.85" hidden="false" customHeight="false" outlineLevel="0" collapsed="false">
      <c r="A332" s="41" t="s">
        <v>1807</v>
      </c>
      <c r="B332" s="41" t="s">
        <v>1808</v>
      </c>
      <c r="C332" s="41" t="s">
        <v>674</v>
      </c>
      <c r="D332" s="41" t="s">
        <v>675</v>
      </c>
      <c r="E332" s="41" t="s">
        <v>676</v>
      </c>
      <c r="F332" s="41" t="s">
        <v>675</v>
      </c>
      <c r="G332" s="41" t="s">
        <v>680</v>
      </c>
      <c r="H332" s="43" t="s">
        <v>1750</v>
      </c>
      <c r="I332" s="33" t="s">
        <v>679</v>
      </c>
      <c r="J332" s="33" t="s">
        <v>689</v>
      </c>
      <c r="K332" s="33" t="s">
        <v>689</v>
      </c>
      <c r="L332" s="33" t="s">
        <v>679</v>
      </c>
      <c r="M332" s="33" t="s">
        <v>1809</v>
      </c>
      <c r="N332" s="33" t="s">
        <v>1809</v>
      </c>
      <c r="O332" s="33" t="s">
        <v>680</v>
      </c>
      <c r="P332" s="33" t="s">
        <v>1810</v>
      </c>
      <c r="Q332" s="33" t="s">
        <v>1810</v>
      </c>
      <c r="R332" s="41" t="s">
        <v>1810</v>
      </c>
    </row>
    <row r="333" customFormat="false" ht="26.85" hidden="false" customHeight="false" outlineLevel="0" collapsed="false">
      <c r="A333" s="41" t="s">
        <v>1811</v>
      </c>
      <c r="B333" s="41" t="s">
        <v>1812</v>
      </c>
      <c r="C333" s="41" t="s">
        <v>674</v>
      </c>
      <c r="D333" s="41" t="s">
        <v>675</v>
      </c>
      <c r="E333" s="41" t="s">
        <v>676</v>
      </c>
      <c r="F333" s="41" t="s">
        <v>675</v>
      </c>
      <c r="G333" s="41" t="s">
        <v>680</v>
      </c>
      <c r="H333" s="43" t="s">
        <v>1750</v>
      </c>
      <c r="I333" s="33" t="s">
        <v>679</v>
      </c>
      <c r="J333" s="33" t="s">
        <v>747</v>
      </c>
      <c r="K333" s="33" t="s">
        <v>747</v>
      </c>
      <c r="L333" s="33" t="s">
        <v>679</v>
      </c>
      <c r="M333" s="33" t="s">
        <v>1813</v>
      </c>
      <c r="N333" s="33" t="s">
        <v>1813</v>
      </c>
      <c r="O333" s="33" t="s">
        <v>680</v>
      </c>
      <c r="P333" s="33" t="s">
        <v>1814</v>
      </c>
      <c r="Q333" s="33" t="s">
        <v>1814</v>
      </c>
      <c r="R333" s="41" t="s">
        <v>1814</v>
      </c>
    </row>
    <row r="334" customFormat="false" ht="26.85" hidden="false" customHeight="false" outlineLevel="0" collapsed="false">
      <c r="A334" s="41" t="s">
        <v>1815</v>
      </c>
      <c r="B334" s="41" t="s">
        <v>1816</v>
      </c>
      <c r="C334" s="41" t="s">
        <v>674</v>
      </c>
      <c r="D334" s="41" t="s">
        <v>675</v>
      </c>
      <c r="E334" s="41" t="s">
        <v>676</v>
      </c>
      <c r="F334" s="41" t="s">
        <v>675</v>
      </c>
      <c r="G334" s="41" t="s">
        <v>680</v>
      </c>
      <c r="H334" s="43" t="s">
        <v>1750</v>
      </c>
      <c r="I334" s="33" t="s">
        <v>679</v>
      </c>
      <c r="J334" s="33" t="s">
        <v>684</v>
      </c>
      <c r="K334" s="33" t="s">
        <v>684</v>
      </c>
      <c r="L334" s="33" t="s">
        <v>679</v>
      </c>
      <c r="M334" s="33" t="s">
        <v>1817</v>
      </c>
      <c r="N334" s="33" t="s">
        <v>1817</v>
      </c>
      <c r="O334" s="33" t="s">
        <v>680</v>
      </c>
      <c r="P334" s="33" t="s">
        <v>955</v>
      </c>
      <c r="Q334" s="33" t="s">
        <v>955</v>
      </c>
      <c r="R334" s="41" t="s">
        <v>955</v>
      </c>
    </row>
    <row r="335" customFormat="false" ht="26.85" hidden="false" customHeight="false" outlineLevel="0" collapsed="false">
      <c r="A335" s="41" t="s">
        <v>1818</v>
      </c>
      <c r="B335" s="41" t="s">
        <v>1819</v>
      </c>
      <c r="C335" s="41" t="s">
        <v>674</v>
      </c>
      <c r="D335" s="41" t="s">
        <v>675</v>
      </c>
      <c r="E335" s="41" t="s">
        <v>676</v>
      </c>
      <c r="F335" s="41" t="s">
        <v>675</v>
      </c>
      <c r="G335" s="41" t="s">
        <v>680</v>
      </c>
      <c r="H335" s="43" t="s">
        <v>1750</v>
      </c>
      <c r="I335" s="33" t="s">
        <v>679</v>
      </c>
      <c r="J335" s="33" t="s">
        <v>680</v>
      </c>
      <c r="K335" s="33" t="s">
        <v>680</v>
      </c>
      <c r="L335" s="33" t="s">
        <v>679</v>
      </c>
      <c r="M335" s="33" t="s">
        <v>1205</v>
      </c>
      <c r="N335" s="33" t="s">
        <v>1205</v>
      </c>
      <c r="O335" s="33" t="s">
        <v>680</v>
      </c>
      <c r="P335" s="33" t="s">
        <v>1205</v>
      </c>
      <c r="Q335" s="33" t="s">
        <v>1205</v>
      </c>
      <c r="R335" s="41" t="s">
        <v>1205</v>
      </c>
    </row>
    <row r="336" customFormat="false" ht="26.85" hidden="false" customHeight="false" outlineLevel="0" collapsed="false">
      <c r="A336" s="41" t="s">
        <v>1820</v>
      </c>
      <c r="B336" s="41" t="s">
        <v>1821</v>
      </c>
      <c r="C336" s="41" t="s">
        <v>674</v>
      </c>
      <c r="D336" s="41" t="s">
        <v>675</v>
      </c>
      <c r="E336" s="41" t="s">
        <v>676</v>
      </c>
      <c r="F336" s="41" t="s">
        <v>675</v>
      </c>
      <c r="G336" s="41" t="s">
        <v>680</v>
      </c>
      <c r="H336" s="43" t="s">
        <v>1750</v>
      </c>
      <c r="I336" s="33" t="s">
        <v>679</v>
      </c>
      <c r="J336" s="33" t="s">
        <v>680</v>
      </c>
      <c r="K336" s="33" t="s">
        <v>680</v>
      </c>
      <c r="L336" s="33" t="s">
        <v>679</v>
      </c>
      <c r="M336" s="33" t="s">
        <v>1822</v>
      </c>
      <c r="N336" s="33" t="s">
        <v>1822</v>
      </c>
      <c r="O336" s="33" t="s">
        <v>680</v>
      </c>
      <c r="P336" s="33" t="s">
        <v>1822</v>
      </c>
      <c r="Q336" s="33" t="s">
        <v>1822</v>
      </c>
      <c r="R336" s="41" t="s">
        <v>1822</v>
      </c>
    </row>
    <row r="337" customFormat="false" ht="26.85" hidden="false" customHeight="false" outlineLevel="0" collapsed="false">
      <c r="A337" s="41" t="s">
        <v>1823</v>
      </c>
      <c r="B337" s="41" t="s">
        <v>1824</v>
      </c>
      <c r="C337" s="41" t="s">
        <v>674</v>
      </c>
      <c r="D337" s="41" t="s">
        <v>676</v>
      </c>
      <c r="E337" s="41" t="s">
        <v>675</v>
      </c>
      <c r="F337" s="41" t="s">
        <v>675</v>
      </c>
      <c r="G337" s="41" t="s">
        <v>680</v>
      </c>
      <c r="H337" s="43" t="s">
        <v>1750</v>
      </c>
      <c r="I337" s="33" t="s">
        <v>680</v>
      </c>
      <c r="J337" s="33" t="s">
        <v>679</v>
      </c>
      <c r="K337" s="33" t="s">
        <v>680</v>
      </c>
      <c r="L337" s="33" t="s">
        <v>1825</v>
      </c>
      <c r="M337" s="33" t="s">
        <v>679</v>
      </c>
      <c r="N337" s="33" t="s">
        <v>1825</v>
      </c>
      <c r="O337" s="33" t="s">
        <v>680</v>
      </c>
      <c r="P337" s="33" t="s">
        <v>1825</v>
      </c>
      <c r="Q337" s="33" t="s">
        <v>1825</v>
      </c>
      <c r="R337" s="41" t="s">
        <v>1825</v>
      </c>
    </row>
    <row r="338" customFormat="false" ht="26.85" hidden="false" customHeight="false" outlineLevel="0" collapsed="false">
      <c r="A338" s="41" t="s">
        <v>1826</v>
      </c>
      <c r="B338" s="41" t="s">
        <v>1827</v>
      </c>
      <c r="C338" s="41" t="s">
        <v>674</v>
      </c>
      <c r="D338" s="41" t="s">
        <v>675</v>
      </c>
      <c r="E338" s="41" t="s">
        <v>676</v>
      </c>
      <c r="F338" s="41" t="s">
        <v>675</v>
      </c>
      <c r="G338" s="41" t="s">
        <v>680</v>
      </c>
      <c r="H338" s="43" t="s">
        <v>1750</v>
      </c>
      <c r="I338" s="33" t="s">
        <v>679</v>
      </c>
      <c r="J338" s="33" t="s">
        <v>684</v>
      </c>
      <c r="K338" s="33" t="s">
        <v>684</v>
      </c>
      <c r="L338" s="33" t="s">
        <v>679</v>
      </c>
      <c r="M338" s="33" t="s">
        <v>1828</v>
      </c>
      <c r="N338" s="33" t="s">
        <v>1828</v>
      </c>
      <c r="O338" s="33" t="s">
        <v>680</v>
      </c>
      <c r="P338" s="33" t="s">
        <v>1829</v>
      </c>
      <c r="Q338" s="33" t="s">
        <v>1829</v>
      </c>
      <c r="R338" s="41" t="s">
        <v>1829</v>
      </c>
    </row>
    <row r="339" customFormat="false" ht="26.85" hidden="false" customHeight="false" outlineLevel="0" collapsed="false">
      <c r="A339" s="41" t="s">
        <v>1830</v>
      </c>
      <c r="B339" s="41" t="s">
        <v>1831</v>
      </c>
      <c r="C339" s="41" t="s">
        <v>674</v>
      </c>
      <c r="D339" s="41" t="s">
        <v>675</v>
      </c>
      <c r="E339" s="41" t="s">
        <v>676</v>
      </c>
      <c r="F339" s="41" t="s">
        <v>675</v>
      </c>
      <c r="G339" s="41" t="s">
        <v>680</v>
      </c>
      <c r="H339" s="43" t="s">
        <v>1750</v>
      </c>
      <c r="I339" s="33" t="s">
        <v>679</v>
      </c>
      <c r="J339" s="33" t="s">
        <v>684</v>
      </c>
      <c r="K339" s="33" t="s">
        <v>684</v>
      </c>
      <c r="L339" s="33" t="s">
        <v>679</v>
      </c>
      <c r="M339" s="33" t="s">
        <v>747</v>
      </c>
      <c r="N339" s="33" t="s">
        <v>747</v>
      </c>
      <c r="O339" s="33" t="s">
        <v>680</v>
      </c>
      <c r="P339" s="33" t="s">
        <v>727</v>
      </c>
      <c r="Q339" s="33" t="s">
        <v>727</v>
      </c>
      <c r="R339" s="41" t="s">
        <v>727</v>
      </c>
    </row>
    <row r="340" customFormat="false" ht="26.85" hidden="false" customHeight="false" outlineLevel="0" collapsed="false">
      <c r="A340" s="41" t="s">
        <v>1832</v>
      </c>
      <c r="B340" s="41" t="s">
        <v>1833</v>
      </c>
      <c r="C340" s="41" t="s">
        <v>674</v>
      </c>
      <c r="D340" s="41" t="s">
        <v>675</v>
      </c>
      <c r="E340" s="41" t="s">
        <v>676</v>
      </c>
      <c r="F340" s="41" t="s">
        <v>675</v>
      </c>
      <c r="G340" s="41" t="s">
        <v>680</v>
      </c>
      <c r="H340" s="43" t="s">
        <v>1750</v>
      </c>
      <c r="I340" s="33" t="s">
        <v>679</v>
      </c>
      <c r="J340" s="33" t="s">
        <v>684</v>
      </c>
      <c r="K340" s="33" t="s">
        <v>684</v>
      </c>
      <c r="L340" s="33" t="s">
        <v>679</v>
      </c>
      <c r="M340" s="33" t="s">
        <v>1834</v>
      </c>
      <c r="N340" s="33" t="s">
        <v>1834</v>
      </c>
      <c r="O340" s="33" t="s">
        <v>680</v>
      </c>
      <c r="P340" s="33" t="s">
        <v>1835</v>
      </c>
      <c r="Q340" s="33" t="s">
        <v>1835</v>
      </c>
      <c r="R340" s="41" t="s">
        <v>1835</v>
      </c>
    </row>
    <row r="341" customFormat="false" ht="26.85" hidden="false" customHeight="false" outlineLevel="0" collapsed="false">
      <c r="A341" s="41" t="s">
        <v>1836</v>
      </c>
      <c r="B341" s="41" t="s">
        <v>1837</v>
      </c>
      <c r="C341" s="41" t="s">
        <v>674</v>
      </c>
      <c r="D341" s="41" t="s">
        <v>675</v>
      </c>
      <c r="E341" s="41" t="s">
        <v>676</v>
      </c>
      <c r="F341" s="41" t="s">
        <v>675</v>
      </c>
      <c r="G341" s="41" t="s">
        <v>680</v>
      </c>
      <c r="H341" s="43" t="s">
        <v>1750</v>
      </c>
      <c r="I341" s="33" t="s">
        <v>679</v>
      </c>
      <c r="J341" s="33" t="s">
        <v>684</v>
      </c>
      <c r="K341" s="33" t="s">
        <v>684</v>
      </c>
      <c r="L341" s="33" t="s">
        <v>679</v>
      </c>
      <c r="M341" s="33" t="s">
        <v>1838</v>
      </c>
      <c r="N341" s="33" t="s">
        <v>1838</v>
      </c>
      <c r="O341" s="33" t="s">
        <v>680</v>
      </c>
      <c r="P341" s="33" t="s">
        <v>804</v>
      </c>
      <c r="Q341" s="33" t="s">
        <v>804</v>
      </c>
      <c r="R341" s="41" t="s">
        <v>804</v>
      </c>
    </row>
    <row r="342" customFormat="false" ht="26.85" hidden="false" customHeight="false" outlineLevel="0" collapsed="false">
      <c r="A342" s="41" t="s">
        <v>1839</v>
      </c>
      <c r="B342" s="41" t="s">
        <v>1840</v>
      </c>
      <c r="C342" s="41" t="s">
        <v>674</v>
      </c>
      <c r="D342" s="41" t="s">
        <v>676</v>
      </c>
      <c r="E342" s="41" t="s">
        <v>675</v>
      </c>
      <c r="F342" s="41" t="s">
        <v>675</v>
      </c>
      <c r="G342" s="41" t="s">
        <v>680</v>
      </c>
      <c r="H342" s="43" t="s">
        <v>1750</v>
      </c>
      <c r="I342" s="33" t="s">
        <v>680</v>
      </c>
      <c r="J342" s="33" t="s">
        <v>679</v>
      </c>
      <c r="K342" s="33" t="s">
        <v>680</v>
      </c>
      <c r="L342" s="33" t="s">
        <v>1841</v>
      </c>
      <c r="M342" s="33" t="s">
        <v>679</v>
      </c>
      <c r="N342" s="33" t="s">
        <v>1841</v>
      </c>
      <c r="O342" s="33" t="s">
        <v>680</v>
      </c>
      <c r="P342" s="33" t="s">
        <v>1841</v>
      </c>
      <c r="Q342" s="33" t="s">
        <v>1841</v>
      </c>
      <c r="R342" s="41" t="s">
        <v>1841</v>
      </c>
    </row>
    <row r="343" customFormat="false" ht="26.85" hidden="false" customHeight="false" outlineLevel="0" collapsed="false">
      <c r="A343" s="41" t="s">
        <v>1842</v>
      </c>
      <c r="B343" s="41" t="s">
        <v>1843</v>
      </c>
      <c r="C343" s="41" t="s">
        <v>674</v>
      </c>
      <c r="D343" s="41" t="s">
        <v>675</v>
      </c>
      <c r="E343" s="41" t="s">
        <v>676</v>
      </c>
      <c r="F343" s="41" t="s">
        <v>675</v>
      </c>
      <c r="G343" s="41" t="s">
        <v>680</v>
      </c>
      <c r="H343" s="43" t="s">
        <v>1750</v>
      </c>
      <c r="I343" s="33" t="s">
        <v>679</v>
      </c>
      <c r="J343" s="33" t="s">
        <v>684</v>
      </c>
      <c r="K343" s="33" t="s">
        <v>684</v>
      </c>
      <c r="L343" s="33" t="s">
        <v>679</v>
      </c>
      <c r="M343" s="33" t="s">
        <v>1844</v>
      </c>
      <c r="N343" s="33" t="s">
        <v>1844</v>
      </c>
      <c r="O343" s="33" t="s">
        <v>680</v>
      </c>
      <c r="P343" s="33" t="s">
        <v>1845</v>
      </c>
      <c r="Q343" s="33" t="s">
        <v>1845</v>
      </c>
      <c r="R343" s="41" t="s">
        <v>1845</v>
      </c>
    </row>
    <row r="344" customFormat="false" ht="26.85" hidden="false" customHeight="false" outlineLevel="0" collapsed="false">
      <c r="A344" s="41" t="s">
        <v>1846</v>
      </c>
      <c r="B344" s="41" t="s">
        <v>1847</v>
      </c>
      <c r="C344" s="41" t="s">
        <v>674</v>
      </c>
      <c r="D344" s="41" t="s">
        <v>675</v>
      </c>
      <c r="E344" s="41" t="s">
        <v>676</v>
      </c>
      <c r="F344" s="41" t="s">
        <v>675</v>
      </c>
      <c r="G344" s="41" t="s">
        <v>680</v>
      </c>
      <c r="H344" s="43" t="s">
        <v>1750</v>
      </c>
      <c r="I344" s="33" t="s">
        <v>679</v>
      </c>
      <c r="J344" s="33" t="s">
        <v>680</v>
      </c>
      <c r="K344" s="33" t="s">
        <v>680</v>
      </c>
      <c r="L344" s="33" t="s">
        <v>679</v>
      </c>
      <c r="M344" s="33" t="s">
        <v>1848</v>
      </c>
      <c r="N344" s="33" t="s">
        <v>1848</v>
      </c>
      <c r="O344" s="33" t="s">
        <v>680</v>
      </c>
      <c r="P344" s="33" t="s">
        <v>1848</v>
      </c>
      <c r="Q344" s="33" t="s">
        <v>1848</v>
      </c>
      <c r="R344" s="41" t="s">
        <v>1848</v>
      </c>
    </row>
    <row r="345" customFormat="false" ht="26.85" hidden="false" customHeight="false" outlineLevel="0" collapsed="false">
      <c r="A345" s="41" t="s">
        <v>1849</v>
      </c>
      <c r="B345" s="41" t="s">
        <v>1850</v>
      </c>
      <c r="C345" s="41" t="s">
        <v>674</v>
      </c>
      <c r="D345" s="41" t="s">
        <v>675</v>
      </c>
      <c r="E345" s="41" t="s">
        <v>676</v>
      </c>
      <c r="F345" s="41" t="s">
        <v>675</v>
      </c>
      <c r="G345" s="41" t="s">
        <v>680</v>
      </c>
      <c r="H345" s="43" t="s">
        <v>1750</v>
      </c>
      <c r="I345" s="33" t="s">
        <v>679</v>
      </c>
      <c r="J345" s="33" t="s">
        <v>689</v>
      </c>
      <c r="K345" s="33" t="s">
        <v>689</v>
      </c>
      <c r="L345" s="33" t="s">
        <v>679</v>
      </c>
      <c r="M345" s="33" t="s">
        <v>1851</v>
      </c>
      <c r="N345" s="33" t="s">
        <v>1851</v>
      </c>
      <c r="O345" s="33" t="s">
        <v>680</v>
      </c>
      <c r="P345" s="33" t="s">
        <v>1852</v>
      </c>
      <c r="Q345" s="33" t="s">
        <v>1852</v>
      </c>
      <c r="R345" s="41" t="s">
        <v>1852</v>
      </c>
    </row>
    <row r="346" customFormat="false" ht="26.85" hidden="false" customHeight="false" outlineLevel="0" collapsed="false">
      <c r="A346" s="41" t="s">
        <v>1853</v>
      </c>
      <c r="B346" s="41" t="s">
        <v>1854</v>
      </c>
      <c r="C346" s="41" t="s">
        <v>674</v>
      </c>
      <c r="D346" s="41" t="s">
        <v>675</v>
      </c>
      <c r="E346" s="41" t="s">
        <v>676</v>
      </c>
      <c r="F346" s="41" t="s">
        <v>675</v>
      </c>
      <c r="G346" s="41" t="s">
        <v>680</v>
      </c>
      <c r="H346" s="43" t="s">
        <v>1750</v>
      </c>
      <c r="I346" s="33" t="s">
        <v>679</v>
      </c>
      <c r="J346" s="33" t="s">
        <v>689</v>
      </c>
      <c r="K346" s="33" t="s">
        <v>689</v>
      </c>
      <c r="L346" s="33" t="s">
        <v>679</v>
      </c>
      <c r="M346" s="33" t="s">
        <v>1855</v>
      </c>
      <c r="N346" s="33" t="s">
        <v>1855</v>
      </c>
      <c r="O346" s="33" t="s">
        <v>680</v>
      </c>
      <c r="P346" s="33" t="s">
        <v>1856</v>
      </c>
      <c r="Q346" s="33" t="s">
        <v>1856</v>
      </c>
      <c r="R346" s="41" t="s">
        <v>1856</v>
      </c>
    </row>
    <row r="347" customFormat="false" ht="26.85" hidden="false" customHeight="false" outlineLevel="0" collapsed="false">
      <c r="A347" s="41" t="s">
        <v>1857</v>
      </c>
      <c r="B347" s="41" t="s">
        <v>1858</v>
      </c>
      <c r="C347" s="41" t="s">
        <v>674</v>
      </c>
      <c r="D347" s="41" t="s">
        <v>675</v>
      </c>
      <c r="E347" s="41" t="s">
        <v>676</v>
      </c>
      <c r="F347" s="41" t="s">
        <v>675</v>
      </c>
      <c r="G347" s="41" t="s">
        <v>680</v>
      </c>
      <c r="H347" s="43" t="s">
        <v>1750</v>
      </c>
      <c r="I347" s="33" t="s">
        <v>679</v>
      </c>
      <c r="J347" s="33" t="s">
        <v>689</v>
      </c>
      <c r="K347" s="33" t="s">
        <v>689</v>
      </c>
      <c r="L347" s="33" t="s">
        <v>679</v>
      </c>
      <c r="M347" s="33" t="s">
        <v>1859</v>
      </c>
      <c r="N347" s="33" t="s">
        <v>1859</v>
      </c>
      <c r="O347" s="33" t="s">
        <v>680</v>
      </c>
      <c r="P347" s="33" t="s">
        <v>1860</v>
      </c>
      <c r="Q347" s="33" t="s">
        <v>1860</v>
      </c>
      <c r="R347" s="41" t="s">
        <v>1860</v>
      </c>
    </row>
    <row r="348" customFormat="false" ht="26.85" hidden="false" customHeight="false" outlineLevel="0" collapsed="false">
      <c r="A348" s="41" t="s">
        <v>1861</v>
      </c>
      <c r="B348" s="41" t="s">
        <v>1862</v>
      </c>
      <c r="C348" s="41" t="s">
        <v>674</v>
      </c>
      <c r="D348" s="41" t="s">
        <v>675</v>
      </c>
      <c r="E348" s="41" t="s">
        <v>676</v>
      </c>
      <c r="F348" s="41" t="s">
        <v>675</v>
      </c>
      <c r="G348" s="41" t="s">
        <v>680</v>
      </c>
      <c r="H348" s="43" t="s">
        <v>1750</v>
      </c>
      <c r="I348" s="33" t="s">
        <v>679</v>
      </c>
      <c r="J348" s="33" t="s">
        <v>680</v>
      </c>
      <c r="K348" s="33" t="s">
        <v>680</v>
      </c>
      <c r="L348" s="33" t="s">
        <v>679</v>
      </c>
      <c r="M348" s="33" t="s">
        <v>1863</v>
      </c>
      <c r="N348" s="33" t="s">
        <v>1863</v>
      </c>
      <c r="O348" s="33" t="s">
        <v>680</v>
      </c>
      <c r="P348" s="33" t="s">
        <v>1863</v>
      </c>
      <c r="Q348" s="33" t="s">
        <v>1863</v>
      </c>
      <c r="R348" s="41" t="s">
        <v>1863</v>
      </c>
    </row>
    <row r="349" customFormat="false" ht="26.85" hidden="false" customHeight="false" outlineLevel="0" collapsed="false">
      <c r="A349" s="41" t="s">
        <v>1864</v>
      </c>
      <c r="B349" s="41" t="s">
        <v>1865</v>
      </c>
      <c r="C349" s="41" t="s">
        <v>674</v>
      </c>
      <c r="D349" s="41" t="s">
        <v>675</v>
      </c>
      <c r="E349" s="41" t="s">
        <v>676</v>
      </c>
      <c r="F349" s="41" t="s">
        <v>675</v>
      </c>
      <c r="G349" s="41" t="s">
        <v>680</v>
      </c>
      <c r="H349" s="43" t="s">
        <v>1750</v>
      </c>
      <c r="I349" s="33" t="s">
        <v>679</v>
      </c>
      <c r="J349" s="33" t="s">
        <v>680</v>
      </c>
      <c r="K349" s="33" t="s">
        <v>680</v>
      </c>
      <c r="L349" s="33" t="s">
        <v>679</v>
      </c>
      <c r="M349" s="33" t="s">
        <v>1866</v>
      </c>
      <c r="N349" s="33" t="s">
        <v>1866</v>
      </c>
      <c r="O349" s="33" t="s">
        <v>680</v>
      </c>
      <c r="P349" s="33" t="s">
        <v>1866</v>
      </c>
      <c r="Q349" s="33" t="s">
        <v>1866</v>
      </c>
      <c r="R349" s="41" t="s">
        <v>1866</v>
      </c>
    </row>
    <row r="350" customFormat="false" ht="26.85" hidden="false" customHeight="false" outlineLevel="0" collapsed="false">
      <c r="A350" s="41" t="s">
        <v>1867</v>
      </c>
      <c r="B350" s="41" t="s">
        <v>1868</v>
      </c>
      <c r="C350" s="41" t="s">
        <v>674</v>
      </c>
      <c r="D350" s="41" t="s">
        <v>676</v>
      </c>
      <c r="E350" s="41" t="s">
        <v>675</v>
      </c>
      <c r="F350" s="41" t="s">
        <v>675</v>
      </c>
      <c r="G350" s="41" t="s">
        <v>680</v>
      </c>
      <c r="H350" s="43" t="s">
        <v>1750</v>
      </c>
      <c r="I350" s="33" t="s">
        <v>684</v>
      </c>
      <c r="J350" s="33" t="s">
        <v>679</v>
      </c>
      <c r="K350" s="33" t="s">
        <v>684</v>
      </c>
      <c r="L350" s="33" t="s">
        <v>1869</v>
      </c>
      <c r="M350" s="33" t="s">
        <v>679</v>
      </c>
      <c r="N350" s="33" t="s">
        <v>1869</v>
      </c>
      <c r="O350" s="33" t="s">
        <v>680</v>
      </c>
      <c r="P350" s="33" t="s">
        <v>1870</v>
      </c>
      <c r="Q350" s="33" t="s">
        <v>1870</v>
      </c>
      <c r="R350" s="41" t="s">
        <v>1870</v>
      </c>
    </row>
    <row r="351" customFormat="false" ht="26.85" hidden="false" customHeight="false" outlineLevel="0" collapsed="false">
      <c r="A351" s="41" t="s">
        <v>1871</v>
      </c>
      <c r="B351" s="41" t="s">
        <v>1872</v>
      </c>
      <c r="C351" s="41" t="s">
        <v>674</v>
      </c>
      <c r="D351" s="41" t="s">
        <v>675</v>
      </c>
      <c r="E351" s="41" t="s">
        <v>676</v>
      </c>
      <c r="F351" s="41" t="s">
        <v>675</v>
      </c>
      <c r="G351" s="41" t="s">
        <v>680</v>
      </c>
      <c r="H351" s="43" t="s">
        <v>1750</v>
      </c>
      <c r="I351" s="33" t="s">
        <v>679</v>
      </c>
      <c r="J351" s="33" t="s">
        <v>680</v>
      </c>
      <c r="K351" s="33" t="s">
        <v>680</v>
      </c>
      <c r="L351" s="33" t="s">
        <v>679</v>
      </c>
      <c r="M351" s="33" t="s">
        <v>1873</v>
      </c>
      <c r="N351" s="33" t="s">
        <v>1873</v>
      </c>
      <c r="O351" s="33" t="s">
        <v>680</v>
      </c>
      <c r="P351" s="33" t="s">
        <v>1873</v>
      </c>
      <c r="Q351" s="33" t="s">
        <v>1873</v>
      </c>
      <c r="R351" s="41" t="s">
        <v>1873</v>
      </c>
    </row>
    <row r="352" customFormat="false" ht="26.85" hidden="false" customHeight="false" outlineLevel="0" collapsed="false">
      <c r="A352" s="41" t="s">
        <v>1874</v>
      </c>
      <c r="B352" s="41" t="s">
        <v>1875</v>
      </c>
      <c r="C352" s="41" t="s">
        <v>674</v>
      </c>
      <c r="D352" s="41" t="s">
        <v>675</v>
      </c>
      <c r="E352" s="41" t="s">
        <v>676</v>
      </c>
      <c r="F352" s="41" t="s">
        <v>675</v>
      </c>
      <c r="G352" s="41" t="s">
        <v>680</v>
      </c>
      <c r="H352" s="43" t="s">
        <v>1750</v>
      </c>
      <c r="I352" s="33" t="s">
        <v>679</v>
      </c>
      <c r="J352" s="33" t="s">
        <v>680</v>
      </c>
      <c r="K352" s="33" t="s">
        <v>680</v>
      </c>
      <c r="L352" s="33" t="s">
        <v>679</v>
      </c>
      <c r="M352" s="33" t="s">
        <v>1876</v>
      </c>
      <c r="N352" s="33" t="s">
        <v>1876</v>
      </c>
      <c r="O352" s="33" t="s">
        <v>680</v>
      </c>
      <c r="P352" s="33" t="s">
        <v>1876</v>
      </c>
      <c r="Q352" s="33" t="s">
        <v>1876</v>
      </c>
      <c r="R352" s="41" t="s">
        <v>1876</v>
      </c>
    </row>
    <row r="353" customFormat="false" ht="26.85" hidden="false" customHeight="false" outlineLevel="0" collapsed="false">
      <c r="A353" s="41" t="s">
        <v>1877</v>
      </c>
      <c r="B353" s="41" t="s">
        <v>1878</v>
      </c>
      <c r="C353" s="41" t="s">
        <v>674</v>
      </c>
      <c r="D353" s="41" t="s">
        <v>675</v>
      </c>
      <c r="E353" s="41" t="s">
        <v>676</v>
      </c>
      <c r="F353" s="41" t="s">
        <v>675</v>
      </c>
      <c r="G353" s="41" t="s">
        <v>680</v>
      </c>
      <c r="H353" s="43" t="s">
        <v>1750</v>
      </c>
      <c r="I353" s="33" t="s">
        <v>679</v>
      </c>
      <c r="J353" s="33" t="s">
        <v>714</v>
      </c>
      <c r="K353" s="33" t="s">
        <v>714</v>
      </c>
      <c r="L353" s="33" t="s">
        <v>679</v>
      </c>
      <c r="M353" s="33" t="s">
        <v>1879</v>
      </c>
      <c r="N353" s="33" t="s">
        <v>1879</v>
      </c>
      <c r="O353" s="33" t="s">
        <v>680</v>
      </c>
      <c r="P353" s="33" t="s">
        <v>1880</v>
      </c>
      <c r="Q353" s="33" t="s">
        <v>1880</v>
      </c>
      <c r="R353" s="41" t="s">
        <v>1880</v>
      </c>
    </row>
    <row r="354" customFormat="false" ht="26.85" hidden="false" customHeight="false" outlineLevel="0" collapsed="false">
      <c r="A354" s="41" t="s">
        <v>1881</v>
      </c>
      <c r="B354" s="41" t="s">
        <v>1882</v>
      </c>
      <c r="C354" s="41" t="s">
        <v>674</v>
      </c>
      <c r="D354" s="41" t="s">
        <v>676</v>
      </c>
      <c r="E354" s="41" t="s">
        <v>675</v>
      </c>
      <c r="F354" s="41" t="s">
        <v>675</v>
      </c>
      <c r="G354" s="41" t="s">
        <v>680</v>
      </c>
      <c r="H354" s="43" t="s">
        <v>1750</v>
      </c>
      <c r="I354" s="33" t="s">
        <v>680</v>
      </c>
      <c r="J354" s="33" t="s">
        <v>679</v>
      </c>
      <c r="K354" s="33" t="s">
        <v>680</v>
      </c>
      <c r="L354" s="33" t="s">
        <v>1883</v>
      </c>
      <c r="M354" s="33" t="s">
        <v>679</v>
      </c>
      <c r="N354" s="33" t="s">
        <v>1883</v>
      </c>
      <c r="O354" s="33" t="s">
        <v>680</v>
      </c>
      <c r="P354" s="33" t="s">
        <v>1883</v>
      </c>
      <c r="Q354" s="33" t="s">
        <v>1883</v>
      </c>
      <c r="R354" s="41" t="s">
        <v>1883</v>
      </c>
    </row>
    <row r="355" customFormat="false" ht="26.85" hidden="false" customHeight="false" outlineLevel="0" collapsed="false">
      <c r="A355" s="41" t="s">
        <v>1884</v>
      </c>
      <c r="B355" s="41" t="s">
        <v>1885</v>
      </c>
      <c r="C355" s="41" t="s">
        <v>674</v>
      </c>
      <c r="D355" s="41" t="s">
        <v>675</v>
      </c>
      <c r="E355" s="41" t="s">
        <v>676</v>
      </c>
      <c r="F355" s="41" t="s">
        <v>675</v>
      </c>
      <c r="G355" s="41" t="s">
        <v>680</v>
      </c>
      <c r="H355" s="43" t="s">
        <v>1750</v>
      </c>
      <c r="I355" s="33" t="s">
        <v>679</v>
      </c>
      <c r="J355" s="33" t="s">
        <v>680</v>
      </c>
      <c r="K355" s="33" t="s">
        <v>680</v>
      </c>
      <c r="L355" s="33" t="s">
        <v>679</v>
      </c>
      <c r="M355" s="33" t="s">
        <v>1886</v>
      </c>
      <c r="N355" s="33" t="s">
        <v>1886</v>
      </c>
      <c r="O355" s="33" t="s">
        <v>680</v>
      </c>
      <c r="P355" s="33" t="s">
        <v>1886</v>
      </c>
      <c r="Q355" s="33" t="s">
        <v>1886</v>
      </c>
      <c r="R355" s="41" t="s">
        <v>1886</v>
      </c>
    </row>
    <row r="356" customFormat="false" ht="26.85" hidden="false" customHeight="false" outlineLevel="0" collapsed="false">
      <c r="A356" s="41" t="s">
        <v>1887</v>
      </c>
      <c r="B356" s="41" t="s">
        <v>1888</v>
      </c>
      <c r="C356" s="41" t="s">
        <v>674</v>
      </c>
      <c r="D356" s="41" t="s">
        <v>675</v>
      </c>
      <c r="E356" s="41" t="s">
        <v>676</v>
      </c>
      <c r="F356" s="41" t="s">
        <v>675</v>
      </c>
      <c r="G356" s="41" t="s">
        <v>680</v>
      </c>
      <c r="H356" s="43" t="s">
        <v>1750</v>
      </c>
      <c r="I356" s="33" t="s">
        <v>679</v>
      </c>
      <c r="J356" s="33" t="s">
        <v>684</v>
      </c>
      <c r="K356" s="33" t="s">
        <v>684</v>
      </c>
      <c r="L356" s="33" t="s">
        <v>679</v>
      </c>
      <c r="M356" s="33" t="s">
        <v>1889</v>
      </c>
      <c r="N356" s="33" t="s">
        <v>1889</v>
      </c>
      <c r="O356" s="33" t="s">
        <v>680</v>
      </c>
      <c r="P356" s="33" t="s">
        <v>1890</v>
      </c>
      <c r="Q356" s="33" t="s">
        <v>1890</v>
      </c>
      <c r="R356" s="41" t="s">
        <v>1890</v>
      </c>
    </row>
    <row r="357" customFormat="false" ht="26.85" hidden="false" customHeight="false" outlineLevel="0" collapsed="false">
      <c r="A357" s="41" t="s">
        <v>1891</v>
      </c>
      <c r="B357" s="41" t="s">
        <v>1751</v>
      </c>
      <c r="C357" s="41" t="s">
        <v>674</v>
      </c>
      <c r="D357" s="41" t="s">
        <v>675</v>
      </c>
      <c r="E357" s="41" t="s">
        <v>676</v>
      </c>
      <c r="F357" s="41" t="s">
        <v>676</v>
      </c>
      <c r="G357" s="41" t="s">
        <v>680</v>
      </c>
      <c r="H357" s="43" t="s">
        <v>1750</v>
      </c>
      <c r="I357" s="33" t="s">
        <v>679</v>
      </c>
      <c r="J357" s="33" t="s">
        <v>679</v>
      </c>
      <c r="K357" s="33" t="s">
        <v>679</v>
      </c>
      <c r="L357" s="33" t="s">
        <v>679</v>
      </c>
      <c r="M357" s="33" t="s">
        <v>679</v>
      </c>
      <c r="N357" s="33" t="s">
        <v>679</v>
      </c>
      <c r="O357" s="33" t="s">
        <v>680</v>
      </c>
      <c r="P357" s="33" t="s">
        <v>1892</v>
      </c>
      <c r="Q357" s="33" t="s">
        <v>1892</v>
      </c>
      <c r="R357" s="41" t="s">
        <v>1892</v>
      </c>
    </row>
    <row r="358" customFormat="false" ht="26.85" hidden="false" customHeight="false" outlineLevel="0" collapsed="false">
      <c r="A358" s="41" t="s">
        <v>1893</v>
      </c>
      <c r="B358" s="41" t="s">
        <v>1894</v>
      </c>
      <c r="C358" s="41" t="s">
        <v>674</v>
      </c>
      <c r="D358" s="41" t="s">
        <v>675</v>
      </c>
      <c r="E358" s="41" t="s">
        <v>676</v>
      </c>
      <c r="F358" s="41" t="s">
        <v>675</v>
      </c>
      <c r="G358" s="41" t="s">
        <v>680</v>
      </c>
      <c r="H358" s="43" t="s">
        <v>1750</v>
      </c>
      <c r="I358" s="33" t="s">
        <v>679</v>
      </c>
      <c r="J358" s="33" t="s">
        <v>689</v>
      </c>
      <c r="K358" s="33" t="s">
        <v>689</v>
      </c>
      <c r="L358" s="33" t="s">
        <v>679</v>
      </c>
      <c r="M358" s="33" t="s">
        <v>1895</v>
      </c>
      <c r="N358" s="33" t="s">
        <v>1895</v>
      </c>
      <c r="O358" s="33" t="s">
        <v>680</v>
      </c>
      <c r="P358" s="33" t="s">
        <v>1896</v>
      </c>
      <c r="Q358" s="33" t="s">
        <v>1896</v>
      </c>
      <c r="R358" s="41" t="s">
        <v>1896</v>
      </c>
    </row>
    <row r="359" customFormat="false" ht="26.85" hidden="false" customHeight="false" outlineLevel="0" collapsed="false">
      <c r="A359" s="41" t="s">
        <v>1897</v>
      </c>
      <c r="B359" s="41" t="s">
        <v>1898</v>
      </c>
      <c r="C359" s="41" t="s">
        <v>674</v>
      </c>
      <c r="D359" s="41" t="s">
        <v>675</v>
      </c>
      <c r="E359" s="41" t="s">
        <v>676</v>
      </c>
      <c r="F359" s="41" t="s">
        <v>675</v>
      </c>
      <c r="G359" s="41" t="s">
        <v>680</v>
      </c>
      <c r="H359" s="43" t="s">
        <v>1750</v>
      </c>
      <c r="I359" s="33" t="s">
        <v>679</v>
      </c>
      <c r="J359" s="33" t="s">
        <v>689</v>
      </c>
      <c r="K359" s="33" t="s">
        <v>689</v>
      </c>
      <c r="L359" s="33" t="s">
        <v>679</v>
      </c>
      <c r="M359" s="33" t="s">
        <v>1899</v>
      </c>
      <c r="N359" s="33" t="s">
        <v>1899</v>
      </c>
      <c r="O359" s="33" t="s">
        <v>680</v>
      </c>
      <c r="P359" s="33" t="s">
        <v>1900</v>
      </c>
      <c r="Q359" s="33" t="s">
        <v>1900</v>
      </c>
      <c r="R359" s="41" t="s">
        <v>1900</v>
      </c>
    </row>
    <row r="360" customFormat="false" ht="26.85" hidden="false" customHeight="false" outlineLevel="0" collapsed="false">
      <c r="A360" s="41" t="s">
        <v>1901</v>
      </c>
      <c r="B360" s="41" t="s">
        <v>1902</v>
      </c>
      <c r="C360" s="41" t="s">
        <v>674</v>
      </c>
      <c r="D360" s="41" t="s">
        <v>675</v>
      </c>
      <c r="E360" s="41" t="s">
        <v>676</v>
      </c>
      <c r="F360" s="41" t="s">
        <v>675</v>
      </c>
      <c r="G360" s="41" t="s">
        <v>680</v>
      </c>
      <c r="H360" s="43" t="s">
        <v>1750</v>
      </c>
      <c r="I360" s="33" t="s">
        <v>679</v>
      </c>
      <c r="J360" s="33" t="s">
        <v>680</v>
      </c>
      <c r="K360" s="33" t="s">
        <v>680</v>
      </c>
      <c r="L360" s="33" t="s">
        <v>679</v>
      </c>
      <c r="M360" s="33" t="s">
        <v>1903</v>
      </c>
      <c r="N360" s="33" t="s">
        <v>1903</v>
      </c>
      <c r="O360" s="33" t="s">
        <v>680</v>
      </c>
      <c r="P360" s="33" t="s">
        <v>1903</v>
      </c>
      <c r="Q360" s="33" t="s">
        <v>1903</v>
      </c>
      <c r="R360" s="41" t="s">
        <v>1903</v>
      </c>
    </row>
    <row r="361" customFormat="false" ht="26.85" hidden="false" customHeight="false" outlineLevel="0" collapsed="false">
      <c r="A361" s="41" t="s">
        <v>1904</v>
      </c>
      <c r="B361" s="41" t="s">
        <v>1905</v>
      </c>
      <c r="C361" s="41" t="s">
        <v>674</v>
      </c>
      <c r="D361" s="41" t="s">
        <v>675</v>
      </c>
      <c r="E361" s="41" t="s">
        <v>676</v>
      </c>
      <c r="F361" s="41" t="s">
        <v>675</v>
      </c>
      <c r="G361" s="41" t="s">
        <v>680</v>
      </c>
      <c r="H361" s="43" t="s">
        <v>1750</v>
      </c>
      <c r="I361" s="33" t="s">
        <v>679</v>
      </c>
      <c r="J361" s="33" t="s">
        <v>684</v>
      </c>
      <c r="K361" s="33" t="s">
        <v>684</v>
      </c>
      <c r="L361" s="33" t="s">
        <v>679</v>
      </c>
      <c r="M361" s="33" t="s">
        <v>1906</v>
      </c>
      <c r="N361" s="33" t="s">
        <v>1906</v>
      </c>
      <c r="O361" s="33" t="s">
        <v>680</v>
      </c>
      <c r="P361" s="33" t="s">
        <v>1907</v>
      </c>
      <c r="Q361" s="33" t="s">
        <v>1907</v>
      </c>
      <c r="R361" s="41" t="s">
        <v>1907</v>
      </c>
    </row>
    <row r="362" customFormat="false" ht="26.85" hidden="false" customHeight="false" outlineLevel="0" collapsed="false">
      <c r="A362" s="41" t="s">
        <v>1908</v>
      </c>
      <c r="B362" s="41" t="s">
        <v>1909</v>
      </c>
      <c r="C362" s="41" t="s">
        <v>674</v>
      </c>
      <c r="D362" s="41" t="s">
        <v>676</v>
      </c>
      <c r="E362" s="41" t="s">
        <v>675</v>
      </c>
      <c r="F362" s="41" t="s">
        <v>675</v>
      </c>
      <c r="G362" s="41" t="s">
        <v>680</v>
      </c>
      <c r="H362" s="43" t="s">
        <v>1750</v>
      </c>
      <c r="I362" s="33" t="s">
        <v>1029</v>
      </c>
      <c r="J362" s="33" t="s">
        <v>679</v>
      </c>
      <c r="K362" s="33" t="s">
        <v>1029</v>
      </c>
      <c r="L362" s="33" t="s">
        <v>1910</v>
      </c>
      <c r="M362" s="33" t="s">
        <v>679</v>
      </c>
      <c r="N362" s="33" t="s">
        <v>1910</v>
      </c>
      <c r="O362" s="33" t="s">
        <v>680</v>
      </c>
      <c r="P362" s="33" t="s">
        <v>1074</v>
      </c>
      <c r="Q362" s="33" t="s">
        <v>1074</v>
      </c>
      <c r="R362" s="41" t="s">
        <v>1074</v>
      </c>
    </row>
    <row r="363" customFormat="false" ht="26.85" hidden="false" customHeight="false" outlineLevel="0" collapsed="false">
      <c r="A363" s="41" t="s">
        <v>1911</v>
      </c>
      <c r="B363" s="41" t="s">
        <v>1912</v>
      </c>
      <c r="C363" s="41" t="s">
        <v>674</v>
      </c>
      <c r="D363" s="41" t="s">
        <v>676</v>
      </c>
      <c r="E363" s="41" t="s">
        <v>675</v>
      </c>
      <c r="F363" s="41" t="s">
        <v>675</v>
      </c>
      <c r="G363" s="41" t="s">
        <v>680</v>
      </c>
      <c r="H363" s="43" t="s">
        <v>1750</v>
      </c>
      <c r="I363" s="33" t="s">
        <v>680</v>
      </c>
      <c r="J363" s="33" t="s">
        <v>679</v>
      </c>
      <c r="K363" s="33" t="s">
        <v>680</v>
      </c>
      <c r="L363" s="33" t="s">
        <v>1913</v>
      </c>
      <c r="M363" s="33" t="s">
        <v>679</v>
      </c>
      <c r="N363" s="33" t="s">
        <v>1913</v>
      </c>
      <c r="O363" s="33" t="s">
        <v>680</v>
      </c>
      <c r="P363" s="33" t="s">
        <v>1913</v>
      </c>
      <c r="Q363" s="33" t="s">
        <v>1913</v>
      </c>
      <c r="R363" s="41" t="s">
        <v>1913</v>
      </c>
    </row>
    <row r="364" customFormat="false" ht="26.85" hidden="false" customHeight="false" outlineLevel="0" collapsed="false">
      <c r="A364" s="41" t="s">
        <v>1914</v>
      </c>
      <c r="B364" s="41" t="s">
        <v>1915</v>
      </c>
      <c r="C364" s="41" t="s">
        <v>674</v>
      </c>
      <c r="D364" s="41" t="s">
        <v>675</v>
      </c>
      <c r="E364" s="41" t="s">
        <v>676</v>
      </c>
      <c r="F364" s="41" t="s">
        <v>676</v>
      </c>
      <c r="G364" s="41" t="s">
        <v>680</v>
      </c>
      <c r="H364" s="43" t="s">
        <v>1750</v>
      </c>
      <c r="I364" s="33" t="s">
        <v>679</v>
      </c>
      <c r="J364" s="33" t="s">
        <v>679</v>
      </c>
      <c r="K364" s="33" t="s">
        <v>679</v>
      </c>
      <c r="L364" s="33" t="s">
        <v>679</v>
      </c>
      <c r="M364" s="33" t="s">
        <v>679</v>
      </c>
      <c r="N364" s="33" t="s">
        <v>679</v>
      </c>
      <c r="O364" s="33" t="s">
        <v>680</v>
      </c>
      <c r="P364" s="33" t="s">
        <v>1916</v>
      </c>
      <c r="Q364" s="33" t="s">
        <v>1916</v>
      </c>
      <c r="R364" s="41" t="s">
        <v>1916</v>
      </c>
    </row>
    <row r="365" customFormat="false" ht="26.85" hidden="false" customHeight="false" outlineLevel="0" collapsed="false">
      <c r="A365" s="41" t="s">
        <v>1917</v>
      </c>
      <c r="B365" s="41" t="s">
        <v>1918</v>
      </c>
      <c r="C365" s="41" t="s">
        <v>674</v>
      </c>
      <c r="D365" s="41" t="s">
        <v>676</v>
      </c>
      <c r="E365" s="41" t="s">
        <v>675</v>
      </c>
      <c r="F365" s="41" t="s">
        <v>675</v>
      </c>
      <c r="G365" s="41" t="s">
        <v>680</v>
      </c>
      <c r="H365" s="43" t="s">
        <v>1750</v>
      </c>
      <c r="I365" s="33" t="s">
        <v>727</v>
      </c>
      <c r="J365" s="33" t="s">
        <v>679</v>
      </c>
      <c r="K365" s="33" t="s">
        <v>727</v>
      </c>
      <c r="L365" s="33" t="s">
        <v>1919</v>
      </c>
      <c r="M365" s="33" t="s">
        <v>679</v>
      </c>
      <c r="N365" s="33" t="s">
        <v>1919</v>
      </c>
      <c r="O365" s="33" t="s">
        <v>680</v>
      </c>
      <c r="P365" s="33" t="s">
        <v>1920</v>
      </c>
      <c r="Q365" s="33" t="s">
        <v>1920</v>
      </c>
      <c r="R365" s="41" t="s">
        <v>1920</v>
      </c>
    </row>
    <row r="366" customFormat="false" ht="26.85" hidden="false" customHeight="false" outlineLevel="0" collapsed="false">
      <c r="A366" s="41" t="s">
        <v>1921</v>
      </c>
      <c r="B366" s="41" t="s">
        <v>1922</v>
      </c>
      <c r="C366" s="41" t="s">
        <v>674</v>
      </c>
      <c r="D366" s="41" t="s">
        <v>676</v>
      </c>
      <c r="E366" s="41" t="s">
        <v>675</v>
      </c>
      <c r="F366" s="41" t="s">
        <v>675</v>
      </c>
      <c r="G366" s="41" t="s">
        <v>680</v>
      </c>
      <c r="H366" s="43" t="s">
        <v>1750</v>
      </c>
      <c r="I366" s="33" t="s">
        <v>727</v>
      </c>
      <c r="J366" s="33" t="s">
        <v>679</v>
      </c>
      <c r="K366" s="33" t="s">
        <v>727</v>
      </c>
      <c r="L366" s="33" t="s">
        <v>1923</v>
      </c>
      <c r="M366" s="33" t="s">
        <v>679</v>
      </c>
      <c r="N366" s="33" t="s">
        <v>1923</v>
      </c>
      <c r="O366" s="33" t="s">
        <v>680</v>
      </c>
      <c r="P366" s="33" t="s">
        <v>1924</v>
      </c>
      <c r="Q366" s="33" t="s">
        <v>1924</v>
      </c>
      <c r="R366" s="41" t="s">
        <v>1924</v>
      </c>
    </row>
    <row r="367" customFormat="false" ht="26.85" hidden="false" customHeight="false" outlineLevel="0" collapsed="false">
      <c r="A367" s="41" t="s">
        <v>1925</v>
      </c>
      <c r="B367" s="41" t="s">
        <v>1926</v>
      </c>
      <c r="C367" s="41" t="s">
        <v>674</v>
      </c>
      <c r="D367" s="41" t="s">
        <v>675</v>
      </c>
      <c r="E367" s="41" t="s">
        <v>676</v>
      </c>
      <c r="F367" s="41" t="s">
        <v>675</v>
      </c>
      <c r="G367" s="41" t="s">
        <v>680</v>
      </c>
      <c r="H367" s="43" t="s">
        <v>1750</v>
      </c>
      <c r="I367" s="33" t="s">
        <v>679</v>
      </c>
      <c r="J367" s="33" t="s">
        <v>680</v>
      </c>
      <c r="K367" s="33" t="s">
        <v>680</v>
      </c>
      <c r="L367" s="33" t="s">
        <v>679</v>
      </c>
      <c r="M367" s="33" t="s">
        <v>1927</v>
      </c>
      <c r="N367" s="33" t="s">
        <v>1927</v>
      </c>
      <c r="O367" s="33" t="s">
        <v>680</v>
      </c>
      <c r="P367" s="33" t="s">
        <v>1927</v>
      </c>
      <c r="Q367" s="33" t="s">
        <v>1927</v>
      </c>
      <c r="R367" s="41" t="s">
        <v>1927</v>
      </c>
    </row>
    <row r="368" customFormat="false" ht="26.85" hidden="false" customHeight="false" outlineLevel="0" collapsed="false">
      <c r="A368" s="41" t="s">
        <v>1928</v>
      </c>
      <c r="B368" s="41" t="s">
        <v>1929</v>
      </c>
      <c r="C368" s="41" t="s">
        <v>674</v>
      </c>
      <c r="D368" s="41" t="s">
        <v>675</v>
      </c>
      <c r="E368" s="41" t="s">
        <v>676</v>
      </c>
      <c r="F368" s="41" t="s">
        <v>675</v>
      </c>
      <c r="G368" s="41" t="s">
        <v>680</v>
      </c>
      <c r="H368" s="43" t="s">
        <v>1750</v>
      </c>
      <c r="I368" s="33" t="s">
        <v>679</v>
      </c>
      <c r="J368" s="33" t="s">
        <v>684</v>
      </c>
      <c r="K368" s="33" t="s">
        <v>684</v>
      </c>
      <c r="L368" s="33" t="s">
        <v>679</v>
      </c>
      <c r="M368" s="33" t="s">
        <v>1930</v>
      </c>
      <c r="N368" s="33" t="s">
        <v>1930</v>
      </c>
      <c r="O368" s="33" t="s">
        <v>680</v>
      </c>
      <c r="P368" s="33" t="s">
        <v>1931</v>
      </c>
      <c r="Q368" s="33" t="s">
        <v>1931</v>
      </c>
      <c r="R368" s="41" t="s">
        <v>1931</v>
      </c>
    </row>
    <row r="369" customFormat="false" ht="26.85" hidden="false" customHeight="false" outlineLevel="0" collapsed="false">
      <c r="A369" s="41" t="s">
        <v>1932</v>
      </c>
      <c r="B369" s="41" t="s">
        <v>1933</v>
      </c>
      <c r="C369" s="41" t="s">
        <v>674</v>
      </c>
      <c r="D369" s="41" t="s">
        <v>675</v>
      </c>
      <c r="E369" s="41" t="s">
        <v>676</v>
      </c>
      <c r="F369" s="41" t="s">
        <v>675</v>
      </c>
      <c r="G369" s="41" t="s">
        <v>680</v>
      </c>
      <c r="H369" s="43" t="s">
        <v>1750</v>
      </c>
      <c r="I369" s="33" t="s">
        <v>679</v>
      </c>
      <c r="J369" s="33" t="s">
        <v>714</v>
      </c>
      <c r="K369" s="33" t="s">
        <v>714</v>
      </c>
      <c r="L369" s="33" t="s">
        <v>679</v>
      </c>
      <c r="M369" s="33" t="s">
        <v>1934</v>
      </c>
      <c r="N369" s="33" t="s">
        <v>1934</v>
      </c>
      <c r="O369" s="33" t="s">
        <v>680</v>
      </c>
      <c r="P369" s="33" t="s">
        <v>1935</v>
      </c>
      <c r="Q369" s="33" t="s">
        <v>1935</v>
      </c>
      <c r="R369" s="41" t="s">
        <v>1935</v>
      </c>
    </row>
    <row r="370" customFormat="false" ht="26.85" hidden="false" customHeight="false" outlineLevel="0" collapsed="false">
      <c r="A370" s="41" t="s">
        <v>1936</v>
      </c>
      <c r="B370" s="41" t="s">
        <v>1937</v>
      </c>
      <c r="C370" s="41" t="s">
        <v>674</v>
      </c>
      <c r="D370" s="41" t="s">
        <v>675</v>
      </c>
      <c r="E370" s="41" t="s">
        <v>676</v>
      </c>
      <c r="F370" s="41" t="s">
        <v>675</v>
      </c>
      <c r="G370" s="41" t="s">
        <v>680</v>
      </c>
      <c r="H370" s="43" t="s">
        <v>1750</v>
      </c>
      <c r="I370" s="33" t="s">
        <v>679</v>
      </c>
      <c r="J370" s="33" t="s">
        <v>684</v>
      </c>
      <c r="K370" s="33" t="s">
        <v>684</v>
      </c>
      <c r="L370" s="33" t="s">
        <v>679</v>
      </c>
      <c r="M370" s="33" t="s">
        <v>1938</v>
      </c>
      <c r="N370" s="33" t="s">
        <v>1938</v>
      </c>
      <c r="O370" s="33" t="s">
        <v>680</v>
      </c>
      <c r="P370" s="33" t="s">
        <v>1939</v>
      </c>
      <c r="Q370" s="33" t="s">
        <v>1939</v>
      </c>
      <c r="R370" s="41" t="s">
        <v>1939</v>
      </c>
    </row>
    <row r="371" customFormat="false" ht="26.85" hidden="false" customHeight="false" outlineLevel="0" collapsed="false">
      <c r="A371" s="41" t="s">
        <v>1940</v>
      </c>
      <c r="B371" s="41" t="s">
        <v>1941</v>
      </c>
      <c r="C371" s="41" t="s">
        <v>674</v>
      </c>
      <c r="D371" s="41" t="s">
        <v>675</v>
      </c>
      <c r="E371" s="41" t="s">
        <v>676</v>
      </c>
      <c r="F371" s="41" t="s">
        <v>675</v>
      </c>
      <c r="G371" s="41" t="s">
        <v>680</v>
      </c>
      <c r="H371" s="43" t="s">
        <v>1750</v>
      </c>
      <c r="I371" s="33" t="s">
        <v>679</v>
      </c>
      <c r="J371" s="33" t="s">
        <v>680</v>
      </c>
      <c r="K371" s="33" t="s">
        <v>680</v>
      </c>
      <c r="L371" s="33" t="s">
        <v>679</v>
      </c>
      <c r="M371" s="33" t="s">
        <v>1942</v>
      </c>
      <c r="N371" s="33" t="s">
        <v>1942</v>
      </c>
      <c r="O371" s="33" t="s">
        <v>680</v>
      </c>
      <c r="P371" s="33" t="s">
        <v>1942</v>
      </c>
      <c r="Q371" s="33" t="s">
        <v>1942</v>
      </c>
      <c r="R371" s="41" t="s">
        <v>1942</v>
      </c>
    </row>
    <row r="372" customFormat="false" ht="26.85" hidden="false" customHeight="false" outlineLevel="0" collapsed="false">
      <c r="A372" s="41" t="s">
        <v>1943</v>
      </c>
      <c r="B372" s="41" t="s">
        <v>1944</v>
      </c>
      <c r="C372" s="41" t="s">
        <v>674</v>
      </c>
      <c r="D372" s="41" t="s">
        <v>675</v>
      </c>
      <c r="E372" s="41" t="s">
        <v>676</v>
      </c>
      <c r="F372" s="41" t="s">
        <v>675</v>
      </c>
      <c r="G372" s="41" t="s">
        <v>680</v>
      </c>
      <c r="H372" s="43" t="s">
        <v>1750</v>
      </c>
      <c r="I372" s="33" t="s">
        <v>679</v>
      </c>
      <c r="J372" s="33" t="s">
        <v>680</v>
      </c>
      <c r="K372" s="33" t="s">
        <v>680</v>
      </c>
      <c r="L372" s="33" t="s">
        <v>679</v>
      </c>
      <c r="M372" s="33" t="s">
        <v>1945</v>
      </c>
      <c r="N372" s="33" t="s">
        <v>1945</v>
      </c>
      <c r="O372" s="33" t="s">
        <v>680</v>
      </c>
      <c r="P372" s="33" t="s">
        <v>1945</v>
      </c>
      <c r="Q372" s="33" t="s">
        <v>1945</v>
      </c>
      <c r="R372" s="41" t="s">
        <v>1945</v>
      </c>
    </row>
    <row r="373" customFormat="false" ht="26.85" hidden="false" customHeight="false" outlineLevel="0" collapsed="false">
      <c r="A373" s="41" t="s">
        <v>1946</v>
      </c>
      <c r="B373" s="41" t="s">
        <v>1947</v>
      </c>
      <c r="C373" s="41" t="s">
        <v>674</v>
      </c>
      <c r="D373" s="41" t="s">
        <v>675</v>
      </c>
      <c r="E373" s="41" t="s">
        <v>676</v>
      </c>
      <c r="F373" s="41" t="s">
        <v>675</v>
      </c>
      <c r="G373" s="41" t="s">
        <v>680</v>
      </c>
      <c r="H373" s="43" t="s">
        <v>1750</v>
      </c>
      <c r="I373" s="33" t="s">
        <v>679</v>
      </c>
      <c r="J373" s="33" t="s">
        <v>684</v>
      </c>
      <c r="K373" s="33" t="s">
        <v>684</v>
      </c>
      <c r="L373" s="33" t="s">
        <v>679</v>
      </c>
      <c r="M373" s="33" t="s">
        <v>1948</v>
      </c>
      <c r="N373" s="33" t="s">
        <v>1948</v>
      </c>
      <c r="O373" s="33" t="s">
        <v>680</v>
      </c>
      <c r="P373" s="33" t="s">
        <v>1949</v>
      </c>
      <c r="Q373" s="33" t="s">
        <v>1949</v>
      </c>
      <c r="R373" s="41" t="s">
        <v>1949</v>
      </c>
    </row>
    <row r="374" customFormat="false" ht="26.85" hidden="false" customHeight="false" outlineLevel="0" collapsed="false">
      <c r="A374" s="41" t="s">
        <v>1950</v>
      </c>
      <c r="B374" s="41" t="s">
        <v>1951</v>
      </c>
      <c r="C374" s="41" t="s">
        <v>674</v>
      </c>
      <c r="D374" s="41" t="s">
        <v>675</v>
      </c>
      <c r="E374" s="41" t="s">
        <v>676</v>
      </c>
      <c r="F374" s="41" t="s">
        <v>675</v>
      </c>
      <c r="G374" s="41" t="s">
        <v>680</v>
      </c>
      <c r="H374" s="43" t="s">
        <v>1750</v>
      </c>
      <c r="I374" s="33" t="s">
        <v>679</v>
      </c>
      <c r="J374" s="33" t="s">
        <v>1087</v>
      </c>
      <c r="K374" s="33" t="s">
        <v>1087</v>
      </c>
      <c r="L374" s="33" t="s">
        <v>679</v>
      </c>
      <c r="M374" s="33" t="s">
        <v>1952</v>
      </c>
      <c r="N374" s="33" t="s">
        <v>1952</v>
      </c>
      <c r="O374" s="33" t="s">
        <v>680</v>
      </c>
      <c r="P374" s="33" t="s">
        <v>1953</v>
      </c>
      <c r="Q374" s="33" t="s">
        <v>1953</v>
      </c>
      <c r="R374" s="41" t="s">
        <v>1953</v>
      </c>
    </row>
    <row r="375" customFormat="false" ht="26.85" hidden="false" customHeight="false" outlineLevel="0" collapsed="false">
      <c r="A375" s="41" t="s">
        <v>1954</v>
      </c>
      <c r="B375" s="41" t="s">
        <v>1955</v>
      </c>
      <c r="C375" s="41" t="s">
        <v>674</v>
      </c>
      <c r="D375" s="41" t="s">
        <v>675</v>
      </c>
      <c r="E375" s="41" t="s">
        <v>676</v>
      </c>
      <c r="F375" s="41" t="s">
        <v>675</v>
      </c>
      <c r="G375" s="41" t="s">
        <v>680</v>
      </c>
      <c r="H375" s="43" t="s">
        <v>1750</v>
      </c>
      <c r="I375" s="33" t="s">
        <v>679</v>
      </c>
      <c r="J375" s="33" t="s">
        <v>680</v>
      </c>
      <c r="K375" s="33" t="s">
        <v>680</v>
      </c>
      <c r="L375" s="33" t="s">
        <v>679</v>
      </c>
      <c r="M375" s="33" t="s">
        <v>1956</v>
      </c>
      <c r="N375" s="33" t="s">
        <v>1956</v>
      </c>
      <c r="O375" s="33" t="s">
        <v>680</v>
      </c>
      <c r="P375" s="33" t="s">
        <v>1956</v>
      </c>
      <c r="Q375" s="33" t="s">
        <v>1956</v>
      </c>
      <c r="R375" s="41" t="s">
        <v>1956</v>
      </c>
    </row>
    <row r="376" customFormat="false" ht="26.85" hidden="false" customHeight="false" outlineLevel="0" collapsed="false">
      <c r="A376" s="41" t="s">
        <v>1957</v>
      </c>
      <c r="B376" s="41" t="s">
        <v>1958</v>
      </c>
      <c r="C376" s="41" t="s">
        <v>674</v>
      </c>
      <c r="D376" s="41" t="s">
        <v>675</v>
      </c>
      <c r="E376" s="41" t="s">
        <v>676</v>
      </c>
      <c r="F376" s="41" t="s">
        <v>675</v>
      </c>
      <c r="G376" s="41" t="s">
        <v>680</v>
      </c>
      <c r="H376" s="43" t="s">
        <v>1750</v>
      </c>
      <c r="I376" s="33" t="s">
        <v>679</v>
      </c>
      <c r="J376" s="33" t="s">
        <v>684</v>
      </c>
      <c r="K376" s="33" t="s">
        <v>684</v>
      </c>
      <c r="L376" s="33" t="s">
        <v>679</v>
      </c>
      <c r="M376" s="33" t="s">
        <v>1959</v>
      </c>
      <c r="N376" s="33" t="s">
        <v>1959</v>
      </c>
      <c r="O376" s="33" t="s">
        <v>680</v>
      </c>
      <c r="P376" s="33" t="s">
        <v>1960</v>
      </c>
      <c r="Q376" s="33" t="s">
        <v>1960</v>
      </c>
      <c r="R376" s="41" t="s">
        <v>1960</v>
      </c>
    </row>
    <row r="377" customFormat="false" ht="26.85" hidden="false" customHeight="false" outlineLevel="0" collapsed="false">
      <c r="A377" s="41" t="s">
        <v>1961</v>
      </c>
      <c r="B377" s="41" t="s">
        <v>1962</v>
      </c>
      <c r="C377" s="41" t="s">
        <v>674</v>
      </c>
      <c r="D377" s="41" t="s">
        <v>675</v>
      </c>
      <c r="E377" s="41" t="s">
        <v>676</v>
      </c>
      <c r="F377" s="41" t="s">
        <v>675</v>
      </c>
      <c r="G377" s="41" t="s">
        <v>680</v>
      </c>
      <c r="H377" s="43" t="s">
        <v>1750</v>
      </c>
      <c r="I377" s="33" t="s">
        <v>679</v>
      </c>
      <c r="J377" s="33" t="s">
        <v>680</v>
      </c>
      <c r="K377" s="33" t="s">
        <v>680</v>
      </c>
      <c r="L377" s="33" t="s">
        <v>679</v>
      </c>
      <c r="M377" s="33" t="s">
        <v>924</v>
      </c>
      <c r="N377" s="33" t="s">
        <v>924</v>
      </c>
      <c r="O377" s="33" t="s">
        <v>680</v>
      </c>
      <c r="P377" s="33" t="s">
        <v>924</v>
      </c>
      <c r="Q377" s="33" t="s">
        <v>924</v>
      </c>
      <c r="R377" s="41" t="s">
        <v>924</v>
      </c>
    </row>
    <row r="378" customFormat="false" ht="26.85" hidden="false" customHeight="false" outlineLevel="0" collapsed="false">
      <c r="A378" s="41" t="s">
        <v>1963</v>
      </c>
      <c r="B378" s="41" t="s">
        <v>1964</v>
      </c>
      <c r="C378" s="41" t="s">
        <v>674</v>
      </c>
      <c r="D378" s="41" t="s">
        <v>675</v>
      </c>
      <c r="E378" s="41" t="s">
        <v>676</v>
      </c>
      <c r="F378" s="41" t="s">
        <v>675</v>
      </c>
      <c r="G378" s="41" t="s">
        <v>680</v>
      </c>
      <c r="H378" s="43" t="s">
        <v>1750</v>
      </c>
      <c r="I378" s="33" t="s">
        <v>679</v>
      </c>
      <c r="J378" s="33" t="s">
        <v>680</v>
      </c>
      <c r="K378" s="33" t="s">
        <v>680</v>
      </c>
      <c r="L378" s="33" t="s">
        <v>679</v>
      </c>
      <c r="M378" s="33" t="s">
        <v>1965</v>
      </c>
      <c r="N378" s="33" t="s">
        <v>1965</v>
      </c>
      <c r="O378" s="33" t="s">
        <v>680</v>
      </c>
      <c r="P378" s="33" t="s">
        <v>1965</v>
      </c>
      <c r="Q378" s="33" t="s">
        <v>1965</v>
      </c>
      <c r="R378" s="41" t="s">
        <v>1965</v>
      </c>
    </row>
    <row r="379" customFormat="false" ht="26.85" hidden="false" customHeight="false" outlineLevel="0" collapsed="false">
      <c r="A379" s="41" t="s">
        <v>1966</v>
      </c>
      <c r="B379" s="41" t="s">
        <v>1967</v>
      </c>
      <c r="C379" s="41" t="s">
        <v>674</v>
      </c>
      <c r="D379" s="41" t="s">
        <v>675</v>
      </c>
      <c r="E379" s="41" t="s">
        <v>676</v>
      </c>
      <c r="F379" s="41" t="s">
        <v>675</v>
      </c>
      <c r="G379" s="41" t="s">
        <v>680</v>
      </c>
      <c r="H379" s="43" t="s">
        <v>1750</v>
      </c>
      <c r="I379" s="33" t="s">
        <v>679</v>
      </c>
      <c r="J379" s="33" t="s">
        <v>684</v>
      </c>
      <c r="K379" s="33" t="s">
        <v>684</v>
      </c>
      <c r="L379" s="33" t="s">
        <v>679</v>
      </c>
      <c r="M379" s="33" t="s">
        <v>1968</v>
      </c>
      <c r="N379" s="33" t="s">
        <v>1968</v>
      </c>
      <c r="O379" s="33" t="s">
        <v>680</v>
      </c>
      <c r="P379" s="33" t="s">
        <v>1969</v>
      </c>
      <c r="Q379" s="33" t="s">
        <v>1969</v>
      </c>
      <c r="R379" s="41" t="s">
        <v>1969</v>
      </c>
    </row>
    <row r="380" customFormat="false" ht="26.85" hidden="false" customHeight="false" outlineLevel="0" collapsed="false">
      <c r="A380" s="41" t="s">
        <v>1970</v>
      </c>
      <c r="B380" s="41" t="s">
        <v>1971</v>
      </c>
      <c r="C380" s="41" t="s">
        <v>674</v>
      </c>
      <c r="D380" s="41" t="s">
        <v>675</v>
      </c>
      <c r="E380" s="41" t="s">
        <v>676</v>
      </c>
      <c r="F380" s="41" t="s">
        <v>675</v>
      </c>
      <c r="G380" s="41" t="s">
        <v>680</v>
      </c>
      <c r="H380" s="43" t="s">
        <v>1750</v>
      </c>
      <c r="I380" s="33" t="s">
        <v>679</v>
      </c>
      <c r="J380" s="33" t="s">
        <v>680</v>
      </c>
      <c r="K380" s="33" t="s">
        <v>680</v>
      </c>
      <c r="L380" s="33" t="s">
        <v>679</v>
      </c>
      <c r="M380" s="33" t="s">
        <v>1972</v>
      </c>
      <c r="N380" s="33" t="s">
        <v>1972</v>
      </c>
      <c r="O380" s="33" t="s">
        <v>680</v>
      </c>
      <c r="P380" s="33" t="s">
        <v>1972</v>
      </c>
      <c r="Q380" s="33" t="s">
        <v>1972</v>
      </c>
      <c r="R380" s="41" t="s">
        <v>1972</v>
      </c>
    </row>
    <row r="381" customFormat="false" ht="26.85" hidden="false" customHeight="false" outlineLevel="0" collapsed="false">
      <c r="A381" s="41" t="s">
        <v>1973</v>
      </c>
      <c r="B381" s="41" t="s">
        <v>1974</v>
      </c>
      <c r="C381" s="41" t="s">
        <v>674</v>
      </c>
      <c r="D381" s="41" t="s">
        <v>675</v>
      </c>
      <c r="E381" s="41" t="s">
        <v>676</v>
      </c>
      <c r="F381" s="41" t="s">
        <v>675</v>
      </c>
      <c r="G381" s="41" t="s">
        <v>680</v>
      </c>
      <c r="H381" s="43" t="s">
        <v>1750</v>
      </c>
      <c r="I381" s="33" t="s">
        <v>679</v>
      </c>
      <c r="J381" s="33" t="s">
        <v>714</v>
      </c>
      <c r="K381" s="33" t="s">
        <v>714</v>
      </c>
      <c r="L381" s="33" t="s">
        <v>679</v>
      </c>
      <c r="M381" s="33" t="s">
        <v>1975</v>
      </c>
      <c r="N381" s="33" t="s">
        <v>1975</v>
      </c>
      <c r="O381" s="33" t="s">
        <v>680</v>
      </c>
      <c r="P381" s="33" t="s">
        <v>1976</v>
      </c>
      <c r="Q381" s="33" t="s">
        <v>1976</v>
      </c>
      <c r="R381" s="41" t="s">
        <v>1976</v>
      </c>
    </row>
    <row r="382" customFormat="false" ht="26.85" hidden="false" customHeight="false" outlineLevel="0" collapsed="false">
      <c r="A382" s="41" t="s">
        <v>1977</v>
      </c>
      <c r="B382" s="41" t="s">
        <v>1978</v>
      </c>
      <c r="C382" s="41" t="s">
        <v>674</v>
      </c>
      <c r="D382" s="41" t="s">
        <v>675</v>
      </c>
      <c r="E382" s="41" t="s">
        <v>676</v>
      </c>
      <c r="F382" s="41" t="s">
        <v>675</v>
      </c>
      <c r="G382" s="41" t="s">
        <v>680</v>
      </c>
      <c r="H382" s="43" t="s">
        <v>1750</v>
      </c>
      <c r="I382" s="33" t="s">
        <v>679</v>
      </c>
      <c r="J382" s="33" t="s">
        <v>684</v>
      </c>
      <c r="K382" s="33" t="s">
        <v>684</v>
      </c>
      <c r="L382" s="33" t="s">
        <v>679</v>
      </c>
      <c r="M382" s="33" t="s">
        <v>1979</v>
      </c>
      <c r="N382" s="33" t="s">
        <v>1979</v>
      </c>
      <c r="O382" s="33" t="s">
        <v>680</v>
      </c>
      <c r="P382" s="33" t="s">
        <v>1980</v>
      </c>
      <c r="Q382" s="33" t="s">
        <v>1980</v>
      </c>
      <c r="R382" s="41" t="s">
        <v>1980</v>
      </c>
    </row>
    <row r="383" customFormat="false" ht="26.85" hidden="false" customHeight="false" outlineLevel="0" collapsed="false">
      <c r="A383" s="41" t="s">
        <v>1981</v>
      </c>
      <c r="B383" s="41" t="s">
        <v>1752</v>
      </c>
      <c r="C383" s="41" t="s">
        <v>674</v>
      </c>
      <c r="D383" s="41" t="s">
        <v>675</v>
      </c>
      <c r="E383" s="41" t="s">
        <v>676</v>
      </c>
      <c r="F383" s="41" t="s">
        <v>676</v>
      </c>
      <c r="G383" s="41" t="s">
        <v>680</v>
      </c>
      <c r="H383" s="43" t="s">
        <v>1750</v>
      </c>
      <c r="I383" s="33" t="s">
        <v>679</v>
      </c>
      <c r="J383" s="33" t="s">
        <v>784</v>
      </c>
      <c r="K383" s="33" t="s">
        <v>784</v>
      </c>
      <c r="L383" s="33" t="s">
        <v>679</v>
      </c>
      <c r="M383" s="33" t="s">
        <v>1982</v>
      </c>
      <c r="N383" s="33" t="s">
        <v>1982</v>
      </c>
      <c r="O383" s="33" t="s">
        <v>680</v>
      </c>
      <c r="P383" s="33" t="s">
        <v>1983</v>
      </c>
      <c r="Q383" s="33" t="s">
        <v>1983</v>
      </c>
      <c r="R383" s="41" t="s">
        <v>1983</v>
      </c>
    </row>
    <row r="384" customFormat="false" ht="26.85" hidden="false" customHeight="false" outlineLevel="0" collapsed="false">
      <c r="A384" s="41" t="s">
        <v>1984</v>
      </c>
      <c r="B384" s="41" t="s">
        <v>1985</v>
      </c>
      <c r="C384" s="41" t="s">
        <v>674</v>
      </c>
      <c r="D384" s="41" t="s">
        <v>675</v>
      </c>
      <c r="E384" s="41" t="s">
        <v>676</v>
      </c>
      <c r="F384" s="41" t="s">
        <v>675</v>
      </c>
      <c r="G384" s="41" t="s">
        <v>680</v>
      </c>
      <c r="H384" s="43" t="s">
        <v>1750</v>
      </c>
      <c r="I384" s="33" t="s">
        <v>679</v>
      </c>
      <c r="J384" s="33" t="s">
        <v>684</v>
      </c>
      <c r="K384" s="33" t="s">
        <v>684</v>
      </c>
      <c r="L384" s="33" t="s">
        <v>679</v>
      </c>
      <c r="M384" s="33" t="s">
        <v>1986</v>
      </c>
      <c r="N384" s="33" t="s">
        <v>1986</v>
      </c>
      <c r="O384" s="33" t="s">
        <v>680</v>
      </c>
      <c r="P384" s="33" t="s">
        <v>1987</v>
      </c>
      <c r="Q384" s="33" t="s">
        <v>1987</v>
      </c>
      <c r="R384" s="41" t="s">
        <v>1987</v>
      </c>
    </row>
    <row r="385" customFormat="false" ht="26.85" hidden="false" customHeight="false" outlineLevel="0" collapsed="false">
      <c r="A385" s="41" t="s">
        <v>1988</v>
      </c>
      <c r="B385" s="41" t="s">
        <v>1989</v>
      </c>
      <c r="C385" s="41" t="s">
        <v>674</v>
      </c>
      <c r="D385" s="41" t="s">
        <v>675</v>
      </c>
      <c r="E385" s="41" t="s">
        <v>676</v>
      </c>
      <c r="F385" s="41" t="s">
        <v>675</v>
      </c>
      <c r="G385" s="41" t="s">
        <v>680</v>
      </c>
      <c r="H385" s="43" t="s">
        <v>1750</v>
      </c>
      <c r="I385" s="33" t="s">
        <v>679</v>
      </c>
      <c r="J385" s="33" t="s">
        <v>680</v>
      </c>
      <c r="K385" s="33" t="s">
        <v>680</v>
      </c>
      <c r="L385" s="33" t="s">
        <v>679</v>
      </c>
      <c r="M385" s="33" t="s">
        <v>1949</v>
      </c>
      <c r="N385" s="33" t="s">
        <v>1949</v>
      </c>
      <c r="O385" s="33" t="s">
        <v>680</v>
      </c>
      <c r="P385" s="33" t="s">
        <v>1949</v>
      </c>
      <c r="Q385" s="33" t="s">
        <v>1949</v>
      </c>
      <c r="R385" s="41" t="s">
        <v>1949</v>
      </c>
    </row>
    <row r="386" customFormat="false" ht="26.85" hidden="false" customHeight="false" outlineLevel="0" collapsed="false">
      <c r="A386" s="41" t="s">
        <v>1990</v>
      </c>
      <c r="B386" s="41" t="s">
        <v>1991</v>
      </c>
      <c r="C386" s="41" t="s">
        <v>674</v>
      </c>
      <c r="D386" s="41" t="s">
        <v>675</v>
      </c>
      <c r="E386" s="41" t="s">
        <v>676</v>
      </c>
      <c r="F386" s="41" t="s">
        <v>675</v>
      </c>
      <c r="G386" s="41" t="s">
        <v>680</v>
      </c>
      <c r="H386" s="43" t="s">
        <v>1750</v>
      </c>
      <c r="I386" s="33" t="s">
        <v>679</v>
      </c>
      <c r="J386" s="33" t="s">
        <v>680</v>
      </c>
      <c r="K386" s="33" t="s">
        <v>680</v>
      </c>
      <c r="L386" s="33" t="s">
        <v>679</v>
      </c>
      <c r="M386" s="33" t="s">
        <v>1992</v>
      </c>
      <c r="N386" s="33" t="s">
        <v>1992</v>
      </c>
      <c r="O386" s="33" t="s">
        <v>680</v>
      </c>
      <c r="P386" s="33" t="s">
        <v>1992</v>
      </c>
      <c r="Q386" s="33" t="s">
        <v>1992</v>
      </c>
      <c r="R386" s="41" t="s">
        <v>1992</v>
      </c>
    </row>
    <row r="387" customFormat="false" ht="26.85" hidden="false" customHeight="false" outlineLevel="0" collapsed="false">
      <c r="A387" s="41" t="s">
        <v>1993</v>
      </c>
      <c r="B387" s="41" t="s">
        <v>1994</v>
      </c>
      <c r="C387" s="41" t="s">
        <v>674</v>
      </c>
      <c r="D387" s="41" t="s">
        <v>675</v>
      </c>
      <c r="E387" s="41" t="s">
        <v>676</v>
      </c>
      <c r="F387" s="41" t="s">
        <v>676</v>
      </c>
      <c r="G387" s="41" t="s">
        <v>680</v>
      </c>
      <c r="H387" s="43" t="s">
        <v>1750</v>
      </c>
      <c r="I387" s="33" t="s">
        <v>679</v>
      </c>
      <c r="J387" s="33" t="s">
        <v>679</v>
      </c>
      <c r="K387" s="33" t="s">
        <v>679</v>
      </c>
      <c r="L387" s="33" t="s">
        <v>679</v>
      </c>
      <c r="M387" s="33" t="s">
        <v>679</v>
      </c>
      <c r="N387" s="33" t="s">
        <v>679</v>
      </c>
      <c r="O387" s="33" t="s">
        <v>680</v>
      </c>
      <c r="P387" s="33" t="s">
        <v>1995</v>
      </c>
      <c r="Q387" s="33" t="s">
        <v>1995</v>
      </c>
      <c r="R387" s="41" t="s">
        <v>1995</v>
      </c>
    </row>
    <row r="388" customFormat="false" ht="26.85" hidden="false" customHeight="false" outlineLevel="0" collapsed="false">
      <c r="A388" s="41" t="s">
        <v>1996</v>
      </c>
      <c r="B388" s="41" t="s">
        <v>1997</v>
      </c>
      <c r="C388" s="41" t="s">
        <v>674</v>
      </c>
      <c r="D388" s="41" t="s">
        <v>675</v>
      </c>
      <c r="E388" s="41" t="s">
        <v>676</v>
      </c>
      <c r="F388" s="41" t="s">
        <v>675</v>
      </c>
      <c r="G388" s="41" t="s">
        <v>680</v>
      </c>
      <c r="H388" s="43" t="s">
        <v>1750</v>
      </c>
      <c r="I388" s="33" t="s">
        <v>679</v>
      </c>
      <c r="J388" s="33" t="s">
        <v>684</v>
      </c>
      <c r="K388" s="33" t="s">
        <v>684</v>
      </c>
      <c r="L388" s="33" t="s">
        <v>679</v>
      </c>
      <c r="M388" s="33" t="s">
        <v>1998</v>
      </c>
      <c r="N388" s="33" t="s">
        <v>1998</v>
      </c>
      <c r="O388" s="33" t="s">
        <v>680</v>
      </c>
      <c r="P388" s="33" t="s">
        <v>1999</v>
      </c>
      <c r="Q388" s="33" t="s">
        <v>1999</v>
      </c>
      <c r="R388" s="41" t="s">
        <v>1999</v>
      </c>
    </row>
    <row r="389" customFormat="false" ht="26.85" hidden="false" customHeight="false" outlineLevel="0" collapsed="false">
      <c r="A389" s="41" t="s">
        <v>2000</v>
      </c>
      <c r="B389" s="41" t="s">
        <v>2001</v>
      </c>
      <c r="C389" s="41" t="s">
        <v>674</v>
      </c>
      <c r="D389" s="41" t="s">
        <v>675</v>
      </c>
      <c r="E389" s="41" t="s">
        <v>676</v>
      </c>
      <c r="F389" s="41" t="s">
        <v>675</v>
      </c>
      <c r="G389" s="41" t="s">
        <v>680</v>
      </c>
      <c r="H389" s="43" t="s">
        <v>1750</v>
      </c>
      <c r="I389" s="33" t="s">
        <v>679</v>
      </c>
      <c r="J389" s="33" t="s">
        <v>680</v>
      </c>
      <c r="K389" s="33" t="s">
        <v>680</v>
      </c>
      <c r="L389" s="33" t="s">
        <v>679</v>
      </c>
      <c r="M389" s="33" t="s">
        <v>2002</v>
      </c>
      <c r="N389" s="33" t="s">
        <v>2002</v>
      </c>
      <c r="O389" s="33" t="s">
        <v>680</v>
      </c>
      <c r="P389" s="33" t="s">
        <v>2002</v>
      </c>
      <c r="Q389" s="33" t="s">
        <v>2002</v>
      </c>
      <c r="R389" s="41" t="s">
        <v>2002</v>
      </c>
    </row>
    <row r="390" customFormat="false" ht="26.85" hidden="false" customHeight="false" outlineLevel="0" collapsed="false">
      <c r="A390" s="41" t="s">
        <v>2003</v>
      </c>
      <c r="B390" s="41" t="s">
        <v>2004</v>
      </c>
      <c r="C390" s="41" t="s">
        <v>674</v>
      </c>
      <c r="D390" s="41" t="s">
        <v>675</v>
      </c>
      <c r="E390" s="41" t="s">
        <v>676</v>
      </c>
      <c r="F390" s="41" t="s">
        <v>675</v>
      </c>
      <c r="G390" s="41" t="s">
        <v>680</v>
      </c>
      <c r="H390" s="43" t="s">
        <v>1750</v>
      </c>
      <c r="I390" s="33" t="s">
        <v>679</v>
      </c>
      <c r="J390" s="33" t="s">
        <v>680</v>
      </c>
      <c r="K390" s="33" t="s">
        <v>680</v>
      </c>
      <c r="L390" s="33" t="s">
        <v>679</v>
      </c>
      <c r="M390" s="33" t="s">
        <v>1074</v>
      </c>
      <c r="N390" s="33" t="s">
        <v>1074</v>
      </c>
      <c r="O390" s="33" t="s">
        <v>680</v>
      </c>
      <c r="P390" s="33" t="s">
        <v>1074</v>
      </c>
      <c r="Q390" s="33" t="s">
        <v>1074</v>
      </c>
      <c r="R390" s="41" t="s">
        <v>1074</v>
      </c>
    </row>
    <row r="391" customFormat="false" ht="26.85" hidden="false" customHeight="false" outlineLevel="0" collapsed="false">
      <c r="A391" s="41" t="s">
        <v>2005</v>
      </c>
      <c r="B391" s="41" t="s">
        <v>2006</v>
      </c>
      <c r="C391" s="41" t="s">
        <v>674</v>
      </c>
      <c r="D391" s="41" t="s">
        <v>675</v>
      </c>
      <c r="E391" s="41" t="s">
        <v>676</v>
      </c>
      <c r="F391" s="41" t="s">
        <v>675</v>
      </c>
      <c r="G391" s="41" t="s">
        <v>680</v>
      </c>
      <c r="H391" s="43" t="s">
        <v>1750</v>
      </c>
      <c r="I391" s="33" t="s">
        <v>679</v>
      </c>
      <c r="J391" s="33" t="s">
        <v>714</v>
      </c>
      <c r="K391" s="33" t="s">
        <v>714</v>
      </c>
      <c r="L391" s="33" t="s">
        <v>679</v>
      </c>
      <c r="M391" s="33" t="s">
        <v>2007</v>
      </c>
      <c r="N391" s="33" t="s">
        <v>2007</v>
      </c>
      <c r="O391" s="33" t="s">
        <v>680</v>
      </c>
      <c r="P391" s="33" t="s">
        <v>2008</v>
      </c>
      <c r="Q391" s="33" t="s">
        <v>2008</v>
      </c>
      <c r="R391" s="41" t="s">
        <v>2008</v>
      </c>
    </row>
    <row r="392" customFormat="false" ht="26.85" hidden="false" customHeight="false" outlineLevel="0" collapsed="false">
      <c r="A392" s="41" t="s">
        <v>2009</v>
      </c>
      <c r="B392" s="41" t="s">
        <v>2010</v>
      </c>
      <c r="C392" s="41" t="s">
        <v>674</v>
      </c>
      <c r="D392" s="41" t="s">
        <v>675</v>
      </c>
      <c r="E392" s="41" t="s">
        <v>676</v>
      </c>
      <c r="F392" s="41" t="s">
        <v>675</v>
      </c>
      <c r="G392" s="41" t="s">
        <v>680</v>
      </c>
      <c r="H392" s="43" t="s">
        <v>1750</v>
      </c>
      <c r="I392" s="33" t="s">
        <v>679</v>
      </c>
      <c r="J392" s="33" t="s">
        <v>680</v>
      </c>
      <c r="K392" s="33" t="s">
        <v>680</v>
      </c>
      <c r="L392" s="33" t="s">
        <v>679</v>
      </c>
      <c r="M392" s="33" t="s">
        <v>2011</v>
      </c>
      <c r="N392" s="33" t="s">
        <v>2011</v>
      </c>
      <c r="O392" s="33" t="s">
        <v>680</v>
      </c>
      <c r="P392" s="33" t="s">
        <v>2011</v>
      </c>
      <c r="Q392" s="33" t="s">
        <v>2011</v>
      </c>
      <c r="R392" s="41" t="s">
        <v>2011</v>
      </c>
    </row>
    <row r="393" customFormat="false" ht="26.85" hidden="false" customHeight="false" outlineLevel="0" collapsed="false">
      <c r="A393" s="41" t="s">
        <v>2012</v>
      </c>
      <c r="B393" s="41" t="s">
        <v>2013</v>
      </c>
      <c r="C393" s="41" t="s">
        <v>674</v>
      </c>
      <c r="D393" s="41" t="s">
        <v>675</v>
      </c>
      <c r="E393" s="41" t="s">
        <v>676</v>
      </c>
      <c r="F393" s="41" t="s">
        <v>675</v>
      </c>
      <c r="G393" s="41" t="s">
        <v>680</v>
      </c>
      <c r="H393" s="43" t="s">
        <v>1750</v>
      </c>
      <c r="I393" s="33" t="s">
        <v>679</v>
      </c>
      <c r="J393" s="33" t="s">
        <v>684</v>
      </c>
      <c r="K393" s="33" t="s">
        <v>684</v>
      </c>
      <c r="L393" s="33" t="s">
        <v>679</v>
      </c>
      <c r="M393" s="33" t="s">
        <v>2014</v>
      </c>
      <c r="N393" s="33" t="s">
        <v>2014</v>
      </c>
      <c r="O393" s="33" t="s">
        <v>680</v>
      </c>
      <c r="P393" s="33" t="s">
        <v>2015</v>
      </c>
      <c r="Q393" s="33" t="s">
        <v>2015</v>
      </c>
      <c r="R393" s="41" t="s">
        <v>2015</v>
      </c>
    </row>
    <row r="394" customFormat="false" ht="26.85" hidden="false" customHeight="false" outlineLevel="0" collapsed="false">
      <c r="A394" s="41" t="s">
        <v>2016</v>
      </c>
      <c r="B394" s="41" t="s">
        <v>2017</v>
      </c>
      <c r="C394" s="41" t="s">
        <v>674</v>
      </c>
      <c r="D394" s="41" t="s">
        <v>675</v>
      </c>
      <c r="E394" s="41" t="s">
        <v>676</v>
      </c>
      <c r="F394" s="41" t="s">
        <v>675</v>
      </c>
      <c r="G394" s="41" t="s">
        <v>680</v>
      </c>
      <c r="H394" s="43" t="s">
        <v>1750</v>
      </c>
      <c r="I394" s="33" t="s">
        <v>679</v>
      </c>
      <c r="J394" s="33" t="s">
        <v>680</v>
      </c>
      <c r="K394" s="33" t="s">
        <v>680</v>
      </c>
      <c r="L394" s="33" t="s">
        <v>679</v>
      </c>
      <c r="M394" s="33" t="s">
        <v>2018</v>
      </c>
      <c r="N394" s="33" t="s">
        <v>2018</v>
      </c>
      <c r="O394" s="33" t="s">
        <v>680</v>
      </c>
      <c r="P394" s="33" t="s">
        <v>2018</v>
      </c>
      <c r="Q394" s="33" t="s">
        <v>2018</v>
      </c>
      <c r="R394" s="41" t="s">
        <v>2018</v>
      </c>
    </row>
    <row r="395" customFormat="false" ht="26.85" hidden="false" customHeight="false" outlineLevel="0" collapsed="false">
      <c r="A395" s="41" t="s">
        <v>518</v>
      </c>
      <c r="B395" s="41" t="s">
        <v>519</v>
      </c>
      <c r="C395" s="41" t="s">
        <v>1181</v>
      </c>
      <c r="D395" s="41" t="s">
        <v>676</v>
      </c>
      <c r="E395" s="41" t="s">
        <v>675</v>
      </c>
      <c r="F395" s="41" t="s">
        <v>675</v>
      </c>
      <c r="G395" s="41" t="s">
        <v>680</v>
      </c>
      <c r="H395" s="43" t="s">
        <v>1750</v>
      </c>
      <c r="I395" s="33" t="s">
        <v>680</v>
      </c>
      <c r="J395" s="33" t="s">
        <v>679</v>
      </c>
      <c r="K395" s="33" t="s">
        <v>680</v>
      </c>
      <c r="L395" s="33" t="s">
        <v>1335</v>
      </c>
      <c r="M395" s="33" t="s">
        <v>679</v>
      </c>
      <c r="N395" s="33" t="s">
        <v>1335</v>
      </c>
      <c r="O395" s="33" t="s">
        <v>680</v>
      </c>
      <c r="P395" s="33" t="s">
        <v>1335</v>
      </c>
      <c r="Q395" s="33" t="s">
        <v>1335</v>
      </c>
      <c r="R395" s="41" t="s">
        <v>1335</v>
      </c>
    </row>
    <row r="396" customFormat="false" ht="39.55" hidden="false" customHeight="false" outlineLevel="0" collapsed="false">
      <c r="A396" s="41" t="s">
        <v>434</v>
      </c>
      <c r="B396" s="41" t="s">
        <v>435</v>
      </c>
      <c r="C396" s="41" t="s">
        <v>1181</v>
      </c>
      <c r="D396" s="41" t="s">
        <v>676</v>
      </c>
      <c r="E396" s="41" t="s">
        <v>675</v>
      </c>
      <c r="F396" s="41" t="s">
        <v>675</v>
      </c>
      <c r="G396" s="41" t="s">
        <v>680</v>
      </c>
      <c r="H396" s="43" t="s">
        <v>1750</v>
      </c>
      <c r="I396" s="33" t="s">
        <v>680</v>
      </c>
      <c r="J396" s="33" t="s">
        <v>679</v>
      </c>
      <c r="K396" s="33" t="s">
        <v>680</v>
      </c>
      <c r="L396" s="33" t="s">
        <v>2019</v>
      </c>
      <c r="M396" s="33" t="s">
        <v>679</v>
      </c>
      <c r="N396" s="33" t="s">
        <v>2019</v>
      </c>
      <c r="O396" s="33" t="s">
        <v>680</v>
      </c>
      <c r="P396" s="33" t="s">
        <v>2019</v>
      </c>
      <c r="Q396" s="33" t="s">
        <v>2019</v>
      </c>
      <c r="R396" s="41" t="s">
        <v>2019</v>
      </c>
    </row>
    <row r="397" customFormat="false" ht="39.55" hidden="false" customHeight="false" outlineLevel="0" collapsed="false">
      <c r="A397" s="41" t="s">
        <v>432</v>
      </c>
      <c r="B397" s="41" t="s">
        <v>433</v>
      </c>
      <c r="C397" s="41" t="s">
        <v>1181</v>
      </c>
      <c r="D397" s="41" t="s">
        <v>676</v>
      </c>
      <c r="E397" s="41" t="s">
        <v>675</v>
      </c>
      <c r="F397" s="41" t="s">
        <v>675</v>
      </c>
      <c r="G397" s="41" t="s">
        <v>680</v>
      </c>
      <c r="H397" s="43" t="s">
        <v>1750</v>
      </c>
      <c r="I397" s="33" t="s">
        <v>680</v>
      </c>
      <c r="J397" s="33" t="s">
        <v>679</v>
      </c>
      <c r="K397" s="33" t="s">
        <v>680</v>
      </c>
      <c r="L397" s="33" t="s">
        <v>2020</v>
      </c>
      <c r="M397" s="33" t="s">
        <v>679</v>
      </c>
      <c r="N397" s="33" t="s">
        <v>2020</v>
      </c>
      <c r="O397" s="33" t="s">
        <v>680</v>
      </c>
      <c r="P397" s="33" t="s">
        <v>2020</v>
      </c>
      <c r="Q397" s="33" t="s">
        <v>2020</v>
      </c>
      <c r="R397" s="41" t="s">
        <v>2020</v>
      </c>
    </row>
    <row r="398" customFormat="false" ht="39.55" hidden="false" customHeight="false" outlineLevel="0" collapsed="false">
      <c r="A398" s="41" t="s">
        <v>436</v>
      </c>
      <c r="B398" s="41" t="s">
        <v>437</v>
      </c>
      <c r="C398" s="41" t="s">
        <v>1181</v>
      </c>
      <c r="D398" s="41" t="s">
        <v>676</v>
      </c>
      <c r="E398" s="41" t="s">
        <v>675</v>
      </c>
      <c r="F398" s="41" t="s">
        <v>675</v>
      </c>
      <c r="G398" s="41" t="s">
        <v>680</v>
      </c>
      <c r="H398" s="43" t="s">
        <v>1750</v>
      </c>
      <c r="I398" s="33" t="s">
        <v>680</v>
      </c>
      <c r="J398" s="33" t="s">
        <v>679</v>
      </c>
      <c r="K398" s="33" t="s">
        <v>680</v>
      </c>
      <c r="L398" s="33" t="s">
        <v>2020</v>
      </c>
      <c r="M398" s="33" t="s">
        <v>679</v>
      </c>
      <c r="N398" s="33" t="s">
        <v>2020</v>
      </c>
      <c r="O398" s="33" t="s">
        <v>680</v>
      </c>
      <c r="P398" s="33" t="s">
        <v>2020</v>
      </c>
      <c r="Q398" s="33" t="s">
        <v>2020</v>
      </c>
      <c r="R398" s="41" t="s">
        <v>2020</v>
      </c>
    </row>
    <row r="399" customFormat="false" ht="39.55" hidden="false" customHeight="false" outlineLevel="0" collapsed="false">
      <c r="A399" s="41" t="s">
        <v>438</v>
      </c>
      <c r="B399" s="41" t="s">
        <v>439</v>
      </c>
      <c r="C399" s="41" t="s">
        <v>1181</v>
      </c>
      <c r="D399" s="41" t="s">
        <v>676</v>
      </c>
      <c r="E399" s="41" t="s">
        <v>675</v>
      </c>
      <c r="F399" s="41" t="s">
        <v>675</v>
      </c>
      <c r="G399" s="41" t="s">
        <v>680</v>
      </c>
      <c r="H399" s="43" t="s">
        <v>1750</v>
      </c>
      <c r="I399" s="33" t="s">
        <v>680</v>
      </c>
      <c r="J399" s="33" t="s">
        <v>679</v>
      </c>
      <c r="K399" s="33" t="s">
        <v>680</v>
      </c>
      <c r="L399" s="33" t="s">
        <v>2021</v>
      </c>
      <c r="M399" s="33" t="s">
        <v>679</v>
      </c>
      <c r="N399" s="33" t="s">
        <v>2021</v>
      </c>
      <c r="O399" s="33" t="s">
        <v>680</v>
      </c>
      <c r="P399" s="33" t="s">
        <v>2021</v>
      </c>
      <c r="Q399" s="33" t="s">
        <v>2021</v>
      </c>
      <c r="R399" s="41" t="s">
        <v>2021</v>
      </c>
    </row>
    <row r="400" customFormat="false" ht="39.55" hidden="false" customHeight="false" outlineLevel="0" collapsed="false">
      <c r="A400" s="41" t="s">
        <v>440</v>
      </c>
      <c r="B400" s="41" t="s">
        <v>441</v>
      </c>
      <c r="C400" s="41" t="s">
        <v>1181</v>
      </c>
      <c r="D400" s="41" t="s">
        <v>676</v>
      </c>
      <c r="E400" s="41" t="s">
        <v>675</v>
      </c>
      <c r="F400" s="41" t="s">
        <v>675</v>
      </c>
      <c r="G400" s="41" t="s">
        <v>680</v>
      </c>
      <c r="H400" s="43" t="s">
        <v>1750</v>
      </c>
      <c r="I400" s="33" t="s">
        <v>680</v>
      </c>
      <c r="J400" s="33" t="s">
        <v>679</v>
      </c>
      <c r="K400" s="33" t="s">
        <v>680</v>
      </c>
      <c r="L400" s="33" t="s">
        <v>2021</v>
      </c>
      <c r="M400" s="33" t="s">
        <v>679</v>
      </c>
      <c r="N400" s="33" t="s">
        <v>2021</v>
      </c>
      <c r="O400" s="33" t="s">
        <v>680</v>
      </c>
      <c r="P400" s="33" t="s">
        <v>2021</v>
      </c>
      <c r="Q400" s="33" t="s">
        <v>2021</v>
      </c>
      <c r="R400" s="41" t="s">
        <v>2021</v>
      </c>
    </row>
    <row r="401" customFormat="false" ht="39.55" hidden="false" customHeight="false" outlineLevel="0" collapsed="false">
      <c r="A401" s="41" t="s">
        <v>443</v>
      </c>
      <c r="B401" s="41" t="s">
        <v>444</v>
      </c>
      <c r="C401" s="41" t="s">
        <v>1181</v>
      </c>
      <c r="D401" s="41" t="s">
        <v>676</v>
      </c>
      <c r="E401" s="41" t="s">
        <v>675</v>
      </c>
      <c r="F401" s="41" t="s">
        <v>675</v>
      </c>
      <c r="G401" s="41" t="s">
        <v>680</v>
      </c>
      <c r="H401" s="43" t="s">
        <v>1750</v>
      </c>
      <c r="I401" s="33" t="s">
        <v>680</v>
      </c>
      <c r="J401" s="33" t="s">
        <v>679</v>
      </c>
      <c r="K401" s="33" t="s">
        <v>680</v>
      </c>
      <c r="L401" s="33" t="s">
        <v>2020</v>
      </c>
      <c r="M401" s="33" t="s">
        <v>679</v>
      </c>
      <c r="N401" s="33" t="s">
        <v>2020</v>
      </c>
      <c r="O401" s="33" t="s">
        <v>680</v>
      </c>
      <c r="P401" s="33" t="s">
        <v>2020</v>
      </c>
      <c r="Q401" s="33" t="s">
        <v>2020</v>
      </c>
      <c r="R401" s="41" t="s">
        <v>2020</v>
      </c>
    </row>
    <row r="402" customFormat="false" ht="39.55" hidden="false" customHeight="false" outlineLevel="0" collapsed="false">
      <c r="A402" s="41" t="s">
        <v>480</v>
      </c>
      <c r="B402" s="41" t="s">
        <v>481</v>
      </c>
      <c r="C402" s="41" t="s">
        <v>1181</v>
      </c>
      <c r="D402" s="41" t="s">
        <v>676</v>
      </c>
      <c r="E402" s="41" t="s">
        <v>675</v>
      </c>
      <c r="F402" s="41" t="s">
        <v>675</v>
      </c>
      <c r="G402" s="41" t="s">
        <v>680</v>
      </c>
      <c r="H402" s="43" t="s">
        <v>1750</v>
      </c>
      <c r="I402" s="33" t="s">
        <v>680</v>
      </c>
      <c r="J402" s="33" t="s">
        <v>679</v>
      </c>
      <c r="K402" s="33" t="s">
        <v>680</v>
      </c>
      <c r="L402" s="33" t="s">
        <v>2022</v>
      </c>
      <c r="M402" s="33" t="s">
        <v>679</v>
      </c>
      <c r="N402" s="33" t="s">
        <v>2022</v>
      </c>
      <c r="O402" s="33" t="s">
        <v>680</v>
      </c>
      <c r="P402" s="33" t="s">
        <v>2022</v>
      </c>
      <c r="Q402" s="33" t="s">
        <v>2022</v>
      </c>
      <c r="R402" s="41" t="s">
        <v>2022</v>
      </c>
    </row>
    <row r="403" customFormat="false" ht="39.55" hidden="false" customHeight="false" outlineLevel="0" collapsed="false">
      <c r="A403" s="41" t="s">
        <v>362</v>
      </c>
      <c r="B403" s="41" t="s">
        <v>363</v>
      </c>
      <c r="C403" s="41" t="s">
        <v>1181</v>
      </c>
      <c r="D403" s="41" t="s">
        <v>676</v>
      </c>
      <c r="E403" s="41" t="s">
        <v>675</v>
      </c>
      <c r="F403" s="41" t="s">
        <v>675</v>
      </c>
      <c r="G403" s="41" t="s">
        <v>680</v>
      </c>
      <c r="H403" s="43" t="s">
        <v>1750</v>
      </c>
      <c r="I403" s="33" t="s">
        <v>680</v>
      </c>
      <c r="J403" s="33" t="s">
        <v>679</v>
      </c>
      <c r="K403" s="33" t="s">
        <v>680</v>
      </c>
      <c r="L403" s="33" t="s">
        <v>1672</v>
      </c>
      <c r="M403" s="33" t="s">
        <v>679</v>
      </c>
      <c r="N403" s="33" t="s">
        <v>1672</v>
      </c>
      <c r="O403" s="33" t="s">
        <v>680</v>
      </c>
      <c r="P403" s="33" t="s">
        <v>1672</v>
      </c>
      <c r="Q403" s="33" t="s">
        <v>1672</v>
      </c>
      <c r="R403" s="41" t="s">
        <v>1672</v>
      </c>
    </row>
    <row r="404" customFormat="false" ht="39.55" hidden="false" customHeight="false" outlineLevel="0" collapsed="false">
      <c r="A404" s="41" t="s">
        <v>508</v>
      </c>
      <c r="B404" s="41" t="s">
        <v>509</v>
      </c>
      <c r="C404" s="41" t="s">
        <v>1181</v>
      </c>
      <c r="D404" s="41" t="s">
        <v>676</v>
      </c>
      <c r="E404" s="41" t="s">
        <v>675</v>
      </c>
      <c r="F404" s="41" t="s">
        <v>675</v>
      </c>
      <c r="G404" s="41" t="s">
        <v>680</v>
      </c>
      <c r="H404" s="43" t="s">
        <v>1750</v>
      </c>
      <c r="I404" s="33" t="s">
        <v>680</v>
      </c>
      <c r="J404" s="33" t="s">
        <v>679</v>
      </c>
      <c r="K404" s="33" t="s">
        <v>680</v>
      </c>
      <c r="L404" s="33" t="s">
        <v>1434</v>
      </c>
      <c r="M404" s="33" t="s">
        <v>679</v>
      </c>
      <c r="N404" s="33" t="s">
        <v>1434</v>
      </c>
      <c r="O404" s="33" t="s">
        <v>680</v>
      </c>
      <c r="P404" s="33" t="s">
        <v>1434</v>
      </c>
      <c r="Q404" s="33" t="s">
        <v>1434</v>
      </c>
      <c r="R404" s="41" t="s">
        <v>1434</v>
      </c>
    </row>
    <row r="405" customFormat="false" ht="39.55" hidden="false" customHeight="false" outlineLevel="0" collapsed="false">
      <c r="A405" s="41" t="s">
        <v>478</v>
      </c>
      <c r="B405" s="41" t="s">
        <v>479</v>
      </c>
      <c r="C405" s="41" t="s">
        <v>1181</v>
      </c>
      <c r="D405" s="41" t="s">
        <v>676</v>
      </c>
      <c r="E405" s="41" t="s">
        <v>675</v>
      </c>
      <c r="F405" s="41" t="s">
        <v>675</v>
      </c>
      <c r="G405" s="41" t="s">
        <v>680</v>
      </c>
      <c r="H405" s="43" t="s">
        <v>1750</v>
      </c>
      <c r="I405" s="33" t="s">
        <v>680</v>
      </c>
      <c r="J405" s="33" t="s">
        <v>679</v>
      </c>
      <c r="K405" s="33" t="s">
        <v>680</v>
      </c>
      <c r="L405" s="33" t="s">
        <v>1434</v>
      </c>
      <c r="M405" s="33" t="s">
        <v>679</v>
      </c>
      <c r="N405" s="33" t="s">
        <v>1434</v>
      </c>
      <c r="O405" s="33" t="s">
        <v>680</v>
      </c>
      <c r="P405" s="33" t="s">
        <v>1434</v>
      </c>
      <c r="Q405" s="33" t="s">
        <v>1434</v>
      </c>
      <c r="R405" s="41" t="s">
        <v>1434</v>
      </c>
    </row>
    <row r="406" customFormat="false" ht="52.2" hidden="false" customHeight="false" outlineLevel="0" collapsed="false">
      <c r="A406" s="41" t="s">
        <v>478</v>
      </c>
      <c r="B406" s="41" t="s">
        <v>2023</v>
      </c>
      <c r="C406" s="41" t="s">
        <v>1181</v>
      </c>
      <c r="D406" s="41" t="s">
        <v>676</v>
      </c>
      <c r="E406" s="41" t="s">
        <v>675</v>
      </c>
      <c r="F406" s="41" t="s">
        <v>675</v>
      </c>
      <c r="G406" s="41" t="s">
        <v>680</v>
      </c>
      <c r="H406" s="43" t="s">
        <v>1750</v>
      </c>
      <c r="I406" s="33" t="s">
        <v>680</v>
      </c>
      <c r="J406" s="33" t="s">
        <v>679</v>
      </c>
      <c r="K406" s="33" t="s">
        <v>680</v>
      </c>
      <c r="L406" s="33" t="s">
        <v>1434</v>
      </c>
      <c r="M406" s="33" t="s">
        <v>679</v>
      </c>
      <c r="N406" s="33" t="s">
        <v>1434</v>
      </c>
      <c r="O406" s="33" t="s">
        <v>680</v>
      </c>
      <c r="P406" s="33" t="s">
        <v>1434</v>
      </c>
      <c r="Q406" s="33" t="s">
        <v>1434</v>
      </c>
      <c r="R406" s="41" t="s">
        <v>1434</v>
      </c>
    </row>
    <row r="407" customFormat="false" ht="52.2" hidden="false" customHeight="false" outlineLevel="0" collapsed="false">
      <c r="A407" s="41" t="s">
        <v>486</v>
      </c>
      <c r="B407" s="41" t="s">
        <v>487</v>
      </c>
      <c r="C407" s="41" t="s">
        <v>1181</v>
      </c>
      <c r="D407" s="41" t="s">
        <v>676</v>
      </c>
      <c r="E407" s="41" t="s">
        <v>675</v>
      </c>
      <c r="F407" s="41" t="s">
        <v>675</v>
      </c>
      <c r="G407" s="41" t="s">
        <v>680</v>
      </c>
      <c r="H407" s="43" t="s">
        <v>1750</v>
      </c>
      <c r="I407" s="33" t="s">
        <v>680</v>
      </c>
      <c r="J407" s="33" t="s">
        <v>679</v>
      </c>
      <c r="K407" s="33" t="s">
        <v>680</v>
      </c>
      <c r="L407" s="33" t="s">
        <v>1434</v>
      </c>
      <c r="M407" s="33" t="s">
        <v>679</v>
      </c>
      <c r="N407" s="33" t="s">
        <v>1434</v>
      </c>
      <c r="O407" s="33" t="s">
        <v>680</v>
      </c>
      <c r="P407" s="33" t="s">
        <v>1434</v>
      </c>
      <c r="Q407" s="33" t="s">
        <v>1434</v>
      </c>
      <c r="R407" s="41" t="s">
        <v>1434</v>
      </c>
    </row>
    <row r="408" customFormat="false" ht="52.2" hidden="false" customHeight="false" outlineLevel="0" collapsed="false">
      <c r="A408" s="41" t="s">
        <v>426</v>
      </c>
      <c r="B408" s="41" t="s">
        <v>427</v>
      </c>
      <c r="C408" s="41" t="s">
        <v>1181</v>
      </c>
      <c r="D408" s="41" t="s">
        <v>676</v>
      </c>
      <c r="E408" s="41" t="s">
        <v>675</v>
      </c>
      <c r="F408" s="41" t="s">
        <v>675</v>
      </c>
      <c r="G408" s="41" t="s">
        <v>680</v>
      </c>
      <c r="H408" s="43" t="s">
        <v>1750</v>
      </c>
      <c r="I408" s="33" t="s">
        <v>680</v>
      </c>
      <c r="J408" s="33" t="s">
        <v>679</v>
      </c>
      <c r="K408" s="33" t="s">
        <v>680</v>
      </c>
      <c r="L408" s="33" t="s">
        <v>2021</v>
      </c>
      <c r="M408" s="33" t="s">
        <v>679</v>
      </c>
      <c r="N408" s="33" t="s">
        <v>2021</v>
      </c>
      <c r="O408" s="33" t="s">
        <v>680</v>
      </c>
      <c r="P408" s="33" t="s">
        <v>2021</v>
      </c>
      <c r="Q408" s="33" t="s">
        <v>2021</v>
      </c>
      <c r="R408" s="41" t="s">
        <v>2021</v>
      </c>
    </row>
    <row r="409" customFormat="false" ht="52.2" hidden="false" customHeight="false" outlineLevel="0" collapsed="false">
      <c r="A409" s="41" t="s">
        <v>430</v>
      </c>
      <c r="B409" s="41" t="s">
        <v>431</v>
      </c>
      <c r="C409" s="41" t="s">
        <v>1181</v>
      </c>
      <c r="D409" s="41" t="s">
        <v>676</v>
      </c>
      <c r="E409" s="41" t="s">
        <v>675</v>
      </c>
      <c r="F409" s="41" t="s">
        <v>675</v>
      </c>
      <c r="G409" s="41" t="s">
        <v>680</v>
      </c>
      <c r="H409" s="43" t="s">
        <v>1750</v>
      </c>
      <c r="I409" s="33" t="s">
        <v>680</v>
      </c>
      <c r="J409" s="33" t="s">
        <v>679</v>
      </c>
      <c r="K409" s="33" t="s">
        <v>680</v>
      </c>
      <c r="L409" s="33" t="s">
        <v>2024</v>
      </c>
      <c r="M409" s="33" t="s">
        <v>679</v>
      </c>
      <c r="N409" s="33" t="s">
        <v>2024</v>
      </c>
      <c r="O409" s="33" t="s">
        <v>680</v>
      </c>
      <c r="P409" s="33" t="s">
        <v>2024</v>
      </c>
      <c r="Q409" s="33" t="s">
        <v>2024</v>
      </c>
      <c r="R409" s="41" t="s">
        <v>2024</v>
      </c>
    </row>
    <row r="410" customFormat="false" ht="52.2" hidden="false" customHeight="false" outlineLevel="0" collapsed="false">
      <c r="A410" s="41" t="s">
        <v>424</v>
      </c>
      <c r="B410" s="41" t="s">
        <v>425</v>
      </c>
      <c r="C410" s="41" t="s">
        <v>1181</v>
      </c>
      <c r="D410" s="41" t="s">
        <v>676</v>
      </c>
      <c r="E410" s="41" t="s">
        <v>675</v>
      </c>
      <c r="F410" s="41" t="s">
        <v>675</v>
      </c>
      <c r="G410" s="41" t="s">
        <v>680</v>
      </c>
      <c r="H410" s="43" t="s">
        <v>1750</v>
      </c>
      <c r="I410" s="33" t="s">
        <v>680</v>
      </c>
      <c r="J410" s="33" t="s">
        <v>679</v>
      </c>
      <c r="K410" s="33" t="s">
        <v>680</v>
      </c>
      <c r="L410" s="33" t="s">
        <v>2019</v>
      </c>
      <c r="M410" s="33" t="s">
        <v>679</v>
      </c>
      <c r="N410" s="33" t="s">
        <v>2019</v>
      </c>
      <c r="O410" s="33" t="s">
        <v>680</v>
      </c>
      <c r="P410" s="33" t="s">
        <v>2019</v>
      </c>
      <c r="Q410" s="33" t="s">
        <v>2019</v>
      </c>
      <c r="R410" s="41" t="s">
        <v>2019</v>
      </c>
    </row>
    <row r="411" customFormat="false" ht="52.2" hidden="false" customHeight="false" outlineLevel="0" collapsed="false">
      <c r="A411" s="41" t="s">
        <v>428</v>
      </c>
      <c r="B411" s="41" t="s">
        <v>429</v>
      </c>
      <c r="C411" s="41" t="s">
        <v>1181</v>
      </c>
      <c r="D411" s="41" t="s">
        <v>676</v>
      </c>
      <c r="E411" s="41" t="s">
        <v>675</v>
      </c>
      <c r="F411" s="41" t="s">
        <v>675</v>
      </c>
      <c r="G411" s="41" t="s">
        <v>680</v>
      </c>
      <c r="H411" s="43" t="s">
        <v>1750</v>
      </c>
      <c r="I411" s="33" t="s">
        <v>680</v>
      </c>
      <c r="J411" s="33" t="s">
        <v>679</v>
      </c>
      <c r="K411" s="33" t="s">
        <v>680</v>
      </c>
      <c r="L411" s="33" t="s">
        <v>2019</v>
      </c>
      <c r="M411" s="33" t="s">
        <v>679</v>
      </c>
      <c r="N411" s="33" t="s">
        <v>2019</v>
      </c>
      <c r="O411" s="33" t="s">
        <v>680</v>
      </c>
      <c r="P411" s="33" t="s">
        <v>2019</v>
      </c>
      <c r="Q411" s="33" t="s">
        <v>2019</v>
      </c>
      <c r="R411" s="41" t="s">
        <v>2019</v>
      </c>
    </row>
    <row r="412" customFormat="false" ht="39.55" hidden="false" customHeight="false" outlineLevel="0" collapsed="false">
      <c r="A412" s="41" t="s">
        <v>482</v>
      </c>
      <c r="B412" s="41" t="s">
        <v>483</v>
      </c>
      <c r="C412" s="41" t="s">
        <v>1181</v>
      </c>
      <c r="D412" s="41" t="s">
        <v>676</v>
      </c>
      <c r="E412" s="41" t="s">
        <v>675</v>
      </c>
      <c r="F412" s="41" t="s">
        <v>675</v>
      </c>
      <c r="G412" s="41" t="s">
        <v>680</v>
      </c>
      <c r="H412" s="43" t="s">
        <v>1750</v>
      </c>
      <c r="I412" s="33" t="s">
        <v>680</v>
      </c>
      <c r="J412" s="33" t="s">
        <v>679</v>
      </c>
      <c r="K412" s="33" t="s">
        <v>680</v>
      </c>
      <c r="L412" s="33" t="s">
        <v>2022</v>
      </c>
      <c r="M412" s="33" t="s">
        <v>679</v>
      </c>
      <c r="N412" s="33" t="s">
        <v>2022</v>
      </c>
      <c r="O412" s="33" t="s">
        <v>680</v>
      </c>
      <c r="P412" s="33" t="s">
        <v>2022</v>
      </c>
      <c r="Q412" s="33" t="s">
        <v>2022</v>
      </c>
      <c r="R412" s="41" t="s">
        <v>2022</v>
      </c>
    </row>
    <row r="413" customFormat="false" ht="26.85" hidden="false" customHeight="false" outlineLevel="0" collapsed="false">
      <c r="A413" s="41" t="s">
        <v>356</v>
      </c>
      <c r="B413" s="41" t="s">
        <v>357</v>
      </c>
      <c r="C413" s="41" t="s">
        <v>1181</v>
      </c>
      <c r="D413" s="41" t="s">
        <v>676</v>
      </c>
      <c r="E413" s="41" t="s">
        <v>675</v>
      </c>
      <c r="F413" s="41" t="s">
        <v>675</v>
      </c>
      <c r="G413" s="41" t="s">
        <v>680</v>
      </c>
      <c r="H413" s="43" t="s">
        <v>1750</v>
      </c>
      <c r="I413" s="33" t="s">
        <v>680</v>
      </c>
      <c r="J413" s="33" t="s">
        <v>679</v>
      </c>
      <c r="K413" s="33" t="s">
        <v>680</v>
      </c>
      <c r="L413" s="33" t="s">
        <v>1672</v>
      </c>
      <c r="M413" s="33" t="s">
        <v>679</v>
      </c>
      <c r="N413" s="33" t="s">
        <v>1672</v>
      </c>
      <c r="O413" s="33" t="s">
        <v>680</v>
      </c>
      <c r="P413" s="33" t="s">
        <v>1672</v>
      </c>
      <c r="Q413" s="33" t="s">
        <v>1672</v>
      </c>
      <c r="R413" s="41" t="s">
        <v>1672</v>
      </c>
    </row>
    <row r="414" customFormat="false" ht="39.55" hidden="false" customHeight="false" outlineLevel="0" collapsed="false">
      <c r="A414" s="41" t="s">
        <v>388</v>
      </c>
      <c r="B414" s="41" t="s">
        <v>389</v>
      </c>
      <c r="C414" s="41" t="s">
        <v>1181</v>
      </c>
      <c r="D414" s="41" t="s">
        <v>676</v>
      </c>
      <c r="E414" s="41" t="s">
        <v>675</v>
      </c>
      <c r="F414" s="41" t="s">
        <v>675</v>
      </c>
      <c r="G414" s="41" t="s">
        <v>680</v>
      </c>
      <c r="H414" s="43" t="s">
        <v>1750</v>
      </c>
      <c r="I414" s="33" t="s">
        <v>680</v>
      </c>
      <c r="J414" s="33" t="s">
        <v>679</v>
      </c>
      <c r="K414" s="33" t="s">
        <v>680</v>
      </c>
      <c r="L414" s="33" t="s">
        <v>1672</v>
      </c>
      <c r="M414" s="33" t="s">
        <v>679</v>
      </c>
      <c r="N414" s="33" t="s">
        <v>1672</v>
      </c>
      <c r="O414" s="33" t="s">
        <v>680</v>
      </c>
      <c r="P414" s="33" t="s">
        <v>1672</v>
      </c>
      <c r="Q414" s="33" t="s">
        <v>1672</v>
      </c>
      <c r="R414" s="41" t="s">
        <v>1672</v>
      </c>
    </row>
    <row r="415" customFormat="false" ht="52.2" hidden="false" customHeight="false" outlineLevel="0" collapsed="false">
      <c r="A415" s="41" t="s">
        <v>370</v>
      </c>
      <c r="B415" s="41" t="s">
        <v>371</v>
      </c>
      <c r="C415" s="41" t="s">
        <v>1181</v>
      </c>
      <c r="D415" s="41" t="s">
        <v>676</v>
      </c>
      <c r="E415" s="41" t="s">
        <v>675</v>
      </c>
      <c r="F415" s="41" t="s">
        <v>675</v>
      </c>
      <c r="G415" s="41" t="s">
        <v>680</v>
      </c>
      <c r="H415" s="43" t="s">
        <v>1750</v>
      </c>
      <c r="I415" s="33" t="s">
        <v>680</v>
      </c>
      <c r="J415" s="33" t="s">
        <v>679</v>
      </c>
      <c r="K415" s="33" t="s">
        <v>680</v>
      </c>
      <c r="L415" s="33" t="s">
        <v>1672</v>
      </c>
      <c r="M415" s="33" t="s">
        <v>679</v>
      </c>
      <c r="N415" s="33" t="s">
        <v>1672</v>
      </c>
      <c r="O415" s="33" t="s">
        <v>680</v>
      </c>
      <c r="P415" s="33" t="s">
        <v>1672</v>
      </c>
      <c r="Q415" s="33" t="s">
        <v>1672</v>
      </c>
      <c r="R415" s="41" t="s">
        <v>1672</v>
      </c>
    </row>
    <row r="416" customFormat="false" ht="39.55" hidden="false" customHeight="false" outlineLevel="0" collapsed="false">
      <c r="A416" s="41" t="s">
        <v>520</v>
      </c>
      <c r="B416" s="41" t="s">
        <v>521</v>
      </c>
      <c r="C416" s="41" t="s">
        <v>1181</v>
      </c>
      <c r="D416" s="41" t="s">
        <v>676</v>
      </c>
      <c r="E416" s="41" t="s">
        <v>675</v>
      </c>
      <c r="F416" s="41" t="s">
        <v>675</v>
      </c>
      <c r="G416" s="41" t="s">
        <v>680</v>
      </c>
      <c r="H416" s="43" t="s">
        <v>1750</v>
      </c>
      <c r="I416" s="33" t="s">
        <v>680</v>
      </c>
      <c r="J416" s="33" t="s">
        <v>679</v>
      </c>
      <c r="K416" s="33" t="s">
        <v>680</v>
      </c>
      <c r="L416" s="33" t="s">
        <v>2025</v>
      </c>
      <c r="M416" s="33" t="s">
        <v>679</v>
      </c>
      <c r="N416" s="33" t="s">
        <v>2025</v>
      </c>
      <c r="O416" s="33" t="s">
        <v>680</v>
      </c>
      <c r="P416" s="33" t="s">
        <v>2025</v>
      </c>
      <c r="Q416" s="33" t="s">
        <v>2025</v>
      </c>
      <c r="R416" s="41" t="s">
        <v>2025</v>
      </c>
    </row>
    <row r="417" customFormat="false" ht="39.55" hidden="false" customHeight="false" outlineLevel="0" collapsed="false">
      <c r="A417" s="41" t="s">
        <v>514</v>
      </c>
      <c r="B417" s="41" t="s">
        <v>515</v>
      </c>
      <c r="C417" s="41" t="s">
        <v>1181</v>
      </c>
      <c r="D417" s="41" t="s">
        <v>676</v>
      </c>
      <c r="E417" s="41" t="s">
        <v>675</v>
      </c>
      <c r="F417" s="41" t="s">
        <v>675</v>
      </c>
      <c r="G417" s="41" t="s">
        <v>680</v>
      </c>
      <c r="H417" s="43" t="s">
        <v>1750</v>
      </c>
      <c r="I417" s="33" t="s">
        <v>680</v>
      </c>
      <c r="J417" s="33" t="s">
        <v>679</v>
      </c>
      <c r="K417" s="33" t="s">
        <v>680</v>
      </c>
      <c r="L417" s="33" t="s">
        <v>2026</v>
      </c>
      <c r="M417" s="33" t="s">
        <v>679</v>
      </c>
      <c r="N417" s="33" t="s">
        <v>2026</v>
      </c>
      <c r="O417" s="33" t="s">
        <v>680</v>
      </c>
      <c r="P417" s="33" t="s">
        <v>2026</v>
      </c>
      <c r="Q417" s="33" t="s">
        <v>2026</v>
      </c>
      <c r="R417" s="41" t="s">
        <v>2026</v>
      </c>
    </row>
    <row r="418" customFormat="false" ht="39.55" hidden="false" customHeight="false" outlineLevel="0" collapsed="false">
      <c r="A418" s="41" t="s">
        <v>516</v>
      </c>
      <c r="B418" s="41" t="s">
        <v>517</v>
      </c>
      <c r="C418" s="41" t="s">
        <v>1181</v>
      </c>
      <c r="D418" s="41" t="s">
        <v>676</v>
      </c>
      <c r="E418" s="41" t="s">
        <v>675</v>
      </c>
      <c r="F418" s="41" t="s">
        <v>675</v>
      </c>
      <c r="G418" s="41" t="s">
        <v>680</v>
      </c>
      <c r="H418" s="43" t="s">
        <v>1750</v>
      </c>
      <c r="I418" s="33" t="s">
        <v>680</v>
      </c>
      <c r="J418" s="33" t="s">
        <v>679</v>
      </c>
      <c r="K418" s="33" t="s">
        <v>680</v>
      </c>
      <c r="L418" s="33" t="s">
        <v>2027</v>
      </c>
      <c r="M418" s="33" t="s">
        <v>679</v>
      </c>
      <c r="N418" s="33" t="s">
        <v>2027</v>
      </c>
      <c r="O418" s="33" t="s">
        <v>680</v>
      </c>
      <c r="P418" s="33" t="s">
        <v>2027</v>
      </c>
      <c r="Q418" s="33" t="s">
        <v>2027</v>
      </c>
      <c r="R418" s="41" t="s">
        <v>2027</v>
      </c>
    </row>
    <row r="419" customFormat="false" ht="26.85" hidden="false" customHeight="false" outlineLevel="0" collapsed="false">
      <c r="A419" s="41" t="s">
        <v>448</v>
      </c>
      <c r="B419" s="41" t="s">
        <v>449</v>
      </c>
      <c r="C419" s="41" t="s">
        <v>1181</v>
      </c>
      <c r="D419" s="41" t="s">
        <v>676</v>
      </c>
      <c r="E419" s="41" t="s">
        <v>675</v>
      </c>
      <c r="F419" s="41" t="s">
        <v>675</v>
      </c>
      <c r="G419" s="41" t="s">
        <v>680</v>
      </c>
      <c r="H419" s="43" t="s">
        <v>1750</v>
      </c>
      <c r="I419" s="33" t="s">
        <v>680</v>
      </c>
      <c r="J419" s="33" t="s">
        <v>679</v>
      </c>
      <c r="K419" s="33" t="s">
        <v>680</v>
      </c>
      <c r="L419" s="33" t="s">
        <v>1503</v>
      </c>
      <c r="M419" s="33" t="s">
        <v>679</v>
      </c>
      <c r="N419" s="33" t="s">
        <v>1503</v>
      </c>
      <c r="O419" s="33" t="s">
        <v>680</v>
      </c>
      <c r="P419" s="33" t="s">
        <v>1503</v>
      </c>
      <c r="Q419" s="33" t="s">
        <v>1503</v>
      </c>
      <c r="R419" s="41" t="s">
        <v>1503</v>
      </c>
    </row>
    <row r="420" customFormat="false" ht="26.85" hidden="false" customHeight="false" outlineLevel="0" collapsed="false">
      <c r="A420" s="41" t="s">
        <v>450</v>
      </c>
      <c r="B420" s="41" t="s">
        <v>451</v>
      </c>
      <c r="C420" s="41" t="s">
        <v>1181</v>
      </c>
      <c r="D420" s="41" t="s">
        <v>676</v>
      </c>
      <c r="E420" s="41" t="s">
        <v>675</v>
      </c>
      <c r="F420" s="41" t="s">
        <v>675</v>
      </c>
      <c r="G420" s="41" t="s">
        <v>680</v>
      </c>
      <c r="H420" s="43" t="s">
        <v>1750</v>
      </c>
      <c r="I420" s="33" t="s">
        <v>680</v>
      </c>
      <c r="J420" s="33" t="s">
        <v>679</v>
      </c>
      <c r="K420" s="33" t="s">
        <v>680</v>
      </c>
      <c r="L420" s="33" t="s">
        <v>1503</v>
      </c>
      <c r="M420" s="33" t="s">
        <v>679</v>
      </c>
      <c r="N420" s="33" t="s">
        <v>1503</v>
      </c>
      <c r="O420" s="33" t="s">
        <v>680</v>
      </c>
      <c r="P420" s="33" t="s">
        <v>1503</v>
      </c>
      <c r="Q420" s="33" t="s">
        <v>1503</v>
      </c>
      <c r="R420" s="41" t="s">
        <v>1503</v>
      </c>
    </row>
    <row r="421" customFormat="false" ht="26.85" hidden="false" customHeight="false" outlineLevel="0" collapsed="false">
      <c r="A421" s="41" t="s">
        <v>396</v>
      </c>
      <c r="B421" s="41" t="s">
        <v>397</v>
      </c>
      <c r="C421" s="41" t="s">
        <v>1181</v>
      </c>
      <c r="D421" s="41" t="s">
        <v>676</v>
      </c>
      <c r="E421" s="41" t="s">
        <v>675</v>
      </c>
      <c r="F421" s="41" t="s">
        <v>675</v>
      </c>
      <c r="G421" s="41" t="s">
        <v>680</v>
      </c>
      <c r="H421" s="43" t="s">
        <v>1750</v>
      </c>
      <c r="I421" s="33" t="s">
        <v>680</v>
      </c>
      <c r="J421" s="33" t="s">
        <v>679</v>
      </c>
      <c r="K421" s="33" t="s">
        <v>680</v>
      </c>
      <c r="L421" s="33" t="s">
        <v>1506</v>
      </c>
      <c r="M421" s="33" t="s">
        <v>679</v>
      </c>
      <c r="N421" s="33" t="s">
        <v>1506</v>
      </c>
      <c r="O421" s="33" t="s">
        <v>680</v>
      </c>
      <c r="P421" s="33" t="s">
        <v>1506</v>
      </c>
      <c r="Q421" s="33" t="s">
        <v>1506</v>
      </c>
      <c r="R421" s="41" t="s">
        <v>1506</v>
      </c>
    </row>
    <row r="422" customFormat="false" ht="26.85" hidden="false" customHeight="false" outlineLevel="0" collapsed="false">
      <c r="A422" s="41" t="s">
        <v>401</v>
      </c>
      <c r="B422" s="41" t="s">
        <v>402</v>
      </c>
      <c r="C422" s="41" t="s">
        <v>1181</v>
      </c>
      <c r="D422" s="41" t="s">
        <v>676</v>
      </c>
      <c r="E422" s="41" t="s">
        <v>675</v>
      </c>
      <c r="F422" s="41" t="s">
        <v>675</v>
      </c>
      <c r="G422" s="41" t="s">
        <v>680</v>
      </c>
      <c r="H422" s="43" t="s">
        <v>1750</v>
      </c>
      <c r="I422" s="33" t="s">
        <v>680</v>
      </c>
      <c r="J422" s="33" t="s">
        <v>679</v>
      </c>
      <c r="K422" s="33" t="s">
        <v>680</v>
      </c>
      <c r="L422" s="33" t="s">
        <v>1506</v>
      </c>
      <c r="M422" s="33" t="s">
        <v>679</v>
      </c>
      <c r="N422" s="33" t="s">
        <v>1506</v>
      </c>
      <c r="O422" s="33" t="s">
        <v>680</v>
      </c>
      <c r="P422" s="33" t="s">
        <v>1506</v>
      </c>
      <c r="Q422" s="33" t="s">
        <v>1506</v>
      </c>
      <c r="R422" s="41" t="s">
        <v>1506</v>
      </c>
    </row>
    <row r="423" customFormat="false" ht="26.85" hidden="false" customHeight="false" outlineLevel="0" collapsed="false">
      <c r="A423" s="41" t="s">
        <v>406</v>
      </c>
      <c r="B423" s="41" t="s">
        <v>407</v>
      </c>
      <c r="C423" s="41" t="s">
        <v>1181</v>
      </c>
      <c r="D423" s="41" t="s">
        <v>676</v>
      </c>
      <c r="E423" s="41" t="s">
        <v>675</v>
      </c>
      <c r="F423" s="41" t="s">
        <v>675</v>
      </c>
      <c r="G423" s="41" t="s">
        <v>680</v>
      </c>
      <c r="H423" s="43" t="s">
        <v>1750</v>
      </c>
      <c r="I423" s="33" t="s">
        <v>680</v>
      </c>
      <c r="J423" s="33" t="s">
        <v>679</v>
      </c>
      <c r="K423" s="33" t="s">
        <v>680</v>
      </c>
      <c r="L423" s="33" t="s">
        <v>1506</v>
      </c>
      <c r="M423" s="33" t="s">
        <v>679</v>
      </c>
      <c r="N423" s="33" t="s">
        <v>1506</v>
      </c>
      <c r="O423" s="33" t="s">
        <v>680</v>
      </c>
      <c r="P423" s="33" t="s">
        <v>1506</v>
      </c>
      <c r="Q423" s="33" t="s">
        <v>1506</v>
      </c>
      <c r="R423" s="41" t="s">
        <v>1506</v>
      </c>
    </row>
    <row r="424" customFormat="false" ht="39.55" hidden="false" customHeight="false" outlineLevel="0" collapsed="false">
      <c r="A424" s="41" t="s">
        <v>393</v>
      </c>
      <c r="B424" s="41" t="s">
        <v>394</v>
      </c>
      <c r="C424" s="41" t="s">
        <v>1181</v>
      </c>
      <c r="D424" s="41" t="s">
        <v>676</v>
      </c>
      <c r="E424" s="41" t="s">
        <v>675</v>
      </c>
      <c r="F424" s="41" t="s">
        <v>675</v>
      </c>
      <c r="G424" s="41" t="s">
        <v>680</v>
      </c>
      <c r="H424" s="43" t="s">
        <v>1750</v>
      </c>
      <c r="I424" s="33" t="s">
        <v>680</v>
      </c>
      <c r="J424" s="33" t="s">
        <v>679</v>
      </c>
      <c r="K424" s="33" t="s">
        <v>680</v>
      </c>
      <c r="L424" s="33" t="s">
        <v>1506</v>
      </c>
      <c r="M424" s="33" t="s">
        <v>679</v>
      </c>
      <c r="N424" s="33" t="s">
        <v>1506</v>
      </c>
      <c r="O424" s="33" t="s">
        <v>680</v>
      </c>
      <c r="P424" s="33" t="s">
        <v>1506</v>
      </c>
      <c r="Q424" s="33" t="s">
        <v>1506</v>
      </c>
      <c r="R424" s="41" t="s">
        <v>1506</v>
      </c>
    </row>
    <row r="425" customFormat="false" ht="26.85" hidden="false" customHeight="false" outlineLevel="0" collapsed="false">
      <c r="A425" s="41" t="s">
        <v>488</v>
      </c>
      <c r="B425" s="41" t="s">
        <v>489</v>
      </c>
      <c r="C425" s="41" t="s">
        <v>1181</v>
      </c>
      <c r="D425" s="41" t="s">
        <v>676</v>
      </c>
      <c r="E425" s="41" t="s">
        <v>675</v>
      </c>
      <c r="F425" s="41" t="s">
        <v>675</v>
      </c>
      <c r="G425" s="41" t="s">
        <v>680</v>
      </c>
      <c r="H425" s="43" t="s">
        <v>1750</v>
      </c>
      <c r="I425" s="33" t="s">
        <v>680</v>
      </c>
      <c r="J425" s="33" t="s">
        <v>679</v>
      </c>
      <c r="K425" s="33" t="s">
        <v>680</v>
      </c>
      <c r="L425" s="33" t="s">
        <v>2028</v>
      </c>
      <c r="M425" s="33" t="s">
        <v>679</v>
      </c>
      <c r="N425" s="33" t="s">
        <v>2028</v>
      </c>
      <c r="O425" s="33" t="s">
        <v>680</v>
      </c>
      <c r="P425" s="33" t="s">
        <v>2028</v>
      </c>
      <c r="Q425" s="33" t="s">
        <v>2028</v>
      </c>
      <c r="R425" s="41" t="s">
        <v>2028</v>
      </c>
    </row>
    <row r="426" customFormat="false" ht="26.85" hidden="false" customHeight="false" outlineLevel="0" collapsed="false">
      <c r="A426" s="41" t="s">
        <v>490</v>
      </c>
      <c r="B426" s="41" t="s">
        <v>491</v>
      </c>
      <c r="C426" s="41" t="s">
        <v>1181</v>
      </c>
      <c r="D426" s="41" t="s">
        <v>676</v>
      </c>
      <c r="E426" s="41" t="s">
        <v>675</v>
      </c>
      <c r="F426" s="41" t="s">
        <v>675</v>
      </c>
      <c r="G426" s="41" t="s">
        <v>680</v>
      </c>
      <c r="H426" s="43" t="s">
        <v>1750</v>
      </c>
      <c r="I426" s="33" t="s">
        <v>680</v>
      </c>
      <c r="J426" s="33" t="s">
        <v>679</v>
      </c>
      <c r="K426" s="33" t="s">
        <v>680</v>
      </c>
      <c r="L426" s="33" t="s">
        <v>2029</v>
      </c>
      <c r="M426" s="33" t="s">
        <v>679</v>
      </c>
      <c r="N426" s="33" t="s">
        <v>2029</v>
      </c>
      <c r="O426" s="33" t="s">
        <v>680</v>
      </c>
      <c r="P426" s="33" t="s">
        <v>2029</v>
      </c>
      <c r="Q426" s="33" t="s">
        <v>2029</v>
      </c>
      <c r="R426" s="41" t="s">
        <v>2029</v>
      </c>
    </row>
    <row r="427" customFormat="false" ht="26.85" hidden="false" customHeight="false" outlineLevel="0" collapsed="false">
      <c r="A427" s="41" t="s">
        <v>492</v>
      </c>
      <c r="B427" s="41" t="s">
        <v>493</v>
      </c>
      <c r="C427" s="41" t="s">
        <v>1181</v>
      </c>
      <c r="D427" s="41" t="s">
        <v>676</v>
      </c>
      <c r="E427" s="41" t="s">
        <v>675</v>
      </c>
      <c r="F427" s="41" t="s">
        <v>675</v>
      </c>
      <c r="G427" s="41" t="s">
        <v>680</v>
      </c>
      <c r="H427" s="43" t="s">
        <v>1750</v>
      </c>
      <c r="I427" s="33" t="s">
        <v>680</v>
      </c>
      <c r="J427" s="33" t="s">
        <v>679</v>
      </c>
      <c r="K427" s="33" t="s">
        <v>680</v>
      </c>
      <c r="L427" s="33" t="s">
        <v>2029</v>
      </c>
      <c r="M427" s="33" t="s">
        <v>679</v>
      </c>
      <c r="N427" s="33" t="s">
        <v>2029</v>
      </c>
      <c r="O427" s="33" t="s">
        <v>680</v>
      </c>
      <c r="P427" s="33" t="s">
        <v>2029</v>
      </c>
      <c r="Q427" s="33" t="s">
        <v>2029</v>
      </c>
      <c r="R427" s="41" t="s">
        <v>2029</v>
      </c>
    </row>
    <row r="428" customFormat="false" ht="39.55" hidden="false" customHeight="false" outlineLevel="0" collapsed="false">
      <c r="A428" s="41" t="s">
        <v>494</v>
      </c>
      <c r="B428" s="41" t="s">
        <v>495</v>
      </c>
      <c r="C428" s="41" t="s">
        <v>1181</v>
      </c>
      <c r="D428" s="41" t="s">
        <v>676</v>
      </c>
      <c r="E428" s="41" t="s">
        <v>675</v>
      </c>
      <c r="F428" s="41" t="s">
        <v>675</v>
      </c>
      <c r="G428" s="41" t="s">
        <v>680</v>
      </c>
      <c r="H428" s="43" t="s">
        <v>1750</v>
      </c>
      <c r="I428" s="33" t="s">
        <v>680</v>
      </c>
      <c r="J428" s="33" t="s">
        <v>679</v>
      </c>
      <c r="K428" s="33" t="s">
        <v>680</v>
      </c>
      <c r="L428" s="33" t="s">
        <v>2029</v>
      </c>
      <c r="M428" s="33" t="s">
        <v>679</v>
      </c>
      <c r="N428" s="33" t="s">
        <v>2029</v>
      </c>
      <c r="O428" s="33" t="s">
        <v>680</v>
      </c>
      <c r="P428" s="33" t="s">
        <v>2029</v>
      </c>
      <c r="Q428" s="33" t="s">
        <v>2029</v>
      </c>
      <c r="R428" s="41" t="s">
        <v>2029</v>
      </c>
    </row>
    <row r="429" customFormat="false" ht="26.85" hidden="false" customHeight="false" outlineLevel="0" collapsed="false">
      <c r="A429" s="41" t="s">
        <v>446</v>
      </c>
      <c r="B429" s="41" t="s">
        <v>447</v>
      </c>
      <c r="C429" s="41" t="s">
        <v>1181</v>
      </c>
      <c r="D429" s="41" t="s">
        <v>676</v>
      </c>
      <c r="E429" s="41" t="s">
        <v>675</v>
      </c>
      <c r="F429" s="41" t="s">
        <v>675</v>
      </c>
      <c r="G429" s="41" t="s">
        <v>680</v>
      </c>
      <c r="H429" s="43" t="s">
        <v>1750</v>
      </c>
      <c r="I429" s="33" t="s">
        <v>684</v>
      </c>
      <c r="J429" s="33" t="s">
        <v>679</v>
      </c>
      <c r="K429" s="33" t="s">
        <v>684</v>
      </c>
      <c r="L429" s="33" t="s">
        <v>2030</v>
      </c>
      <c r="M429" s="33" t="s">
        <v>679</v>
      </c>
      <c r="N429" s="33" t="s">
        <v>2030</v>
      </c>
      <c r="O429" s="33" t="s">
        <v>680</v>
      </c>
      <c r="P429" s="33" t="s">
        <v>1503</v>
      </c>
      <c r="Q429" s="33" t="s">
        <v>1503</v>
      </c>
      <c r="R429" s="41" t="s">
        <v>1503</v>
      </c>
    </row>
    <row r="430" customFormat="false" ht="39.55" hidden="false" customHeight="false" outlineLevel="0" collapsed="false">
      <c r="A430" s="41" t="s">
        <v>452</v>
      </c>
      <c r="B430" s="41" t="s">
        <v>453</v>
      </c>
      <c r="C430" s="41" t="s">
        <v>1181</v>
      </c>
      <c r="D430" s="41" t="s">
        <v>676</v>
      </c>
      <c r="E430" s="41" t="s">
        <v>675</v>
      </c>
      <c r="F430" s="41" t="s">
        <v>675</v>
      </c>
      <c r="G430" s="41" t="s">
        <v>680</v>
      </c>
      <c r="H430" s="43" t="s">
        <v>1750</v>
      </c>
      <c r="I430" s="33" t="s">
        <v>680</v>
      </c>
      <c r="J430" s="33" t="s">
        <v>679</v>
      </c>
      <c r="K430" s="33" t="s">
        <v>680</v>
      </c>
      <c r="L430" s="33" t="s">
        <v>2031</v>
      </c>
      <c r="M430" s="33" t="s">
        <v>679</v>
      </c>
      <c r="N430" s="33" t="s">
        <v>2031</v>
      </c>
      <c r="O430" s="33" t="s">
        <v>680</v>
      </c>
      <c r="P430" s="33" t="s">
        <v>2031</v>
      </c>
      <c r="Q430" s="33" t="s">
        <v>2031</v>
      </c>
      <c r="R430" s="41" t="s">
        <v>2031</v>
      </c>
    </row>
    <row r="431" customFormat="false" ht="26.85" hidden="false" customHeight="false" outlineLevel="0" collapsed="false">
      <c r="A431" s="41" t="s">
        <v>470</v>
      </c>
      <c r="B431" s="41" t="s">
        <v>471</v>
      </c>
      <c r="C431" s="41" t="s">
        <v>1181</v>
      </c>
      <c r="D431" s="41" t="s">
        <v>676</v>
      </c>
      <c r="E431" s="41" t="s">
        <v>675</v>
      </c>
      <c r="F431" s="41" t="s">
        <v>675</v>
      </c>
      <c r="G431" s="41" t="s">
        <v>680</v>
      </c>
      <c r="H431" s="43" t="s">
        <v>1750</v>
      </c>
      <c r="I431" s="33" t="s">
        <v>680</v>
      </c>
      <c r="J431" s="33" t="s">
        <v>679</v>
      </c>
      <c r="K431" s="33" t="s">
        <v>680</v>
      </c>
      <c r="L431" s="33" t="s">
        <v>1337</v>
      </c>
      <c r="M431" s="33" t="s">
        <v>679</v>
      </c>
      <c r="N431" s="33" t="s">
        <v>1337</v>
      </c>
      <c r="O431" s="33" t="s">
        <v>680</v>
      </c>
      <c r="P431" s="33" t="s">
        <v>1337</v>
      </c>
      <c r="Q431" s="33" t="s">
        <v>1337</v>
      </c>
      <c r="R431" s="41" t="s">
        <v>1337</v>
      </c>
    </row>
    <row r="432" customFormat="false" ht="26.85" hidden="false" customHeight="false" outlineLevel="0" collapsed="false">
      <c r="A432" s="41" t="s">
        <v>474</v>
      </c>
      <c r="B432" s="41" t="s">
        <v>473</v>
      </c>
      <c r="C432" s="41" t="s">
        <v>1181</v>
      </c>
      <c r="D432" s="41" t="s">
        <v>676</v>
      </c>
      <c r="E432" s="41" t="s">
        <v>675</v>
      </c>
      <c r="F432" s="41" t="s">
        <v>675</v>
      </c>
      <c r="G432" s="41" t="s">
        <v>680</v>
      </c>
      <c r="H432" s="43" t="s">
        <v>1750</v>
      </c>
      <c r="I432" s="33" t="s">
        <v>680</v>
      </c>
      <c r="J432" s="33" t="s">
        <v>679</v>
      </c>
      <c r="K432" s="33" t="s">
        <v>680</v>
      </c>
      <c r="L432" s="33" t="s">
        <v>1248</v>
      </c>
      <c r="M432" s="33" t="s">
        <v>679</v>
      </c>
      <c r="N432" s="33" t="s">
        <v>1248</v>
      </c>
      <c r="O432" s="33" t="s">
        <v>680</v>
      </c>
      <c r="P432" s="33" t="s">
        <v>1248</v>
      </c>
      <c r="Q432" s="33" t="s">
        <v>1248</v>
      </c>
      <c r="R432" s="41" t="s">
        <v>1248</v>
      </c>
    </row>
    <row r="433" customFormat="false" ht="26.85" hidden="false" customHeight="false" outlineLevel="0" collapsed="false">
      <c r="A433" s="41" t="s">
        <v>476</v>
      </c>
      <c r="B433" s="41" t="s">
        <v>477</v>
      </c>
      <c r="C433" s="41" t="s">
        <v>1181</v>
      </c>
      <c r="D433" s="41" t="s">
        <v>676</v>
      </c>
      <c r="E433" s="41" t="s">
        <v>675</v>
      </c>
      <c r="F433" s="41" t="s">
        <v>675</v>
      </c>
      <c r="G433" s="41" t="s">
        <v>680</v>
      </c>
      <c r="H433" s="43" t="s">
        <v>1750</v>
      </c>
      <c r="I433" s="33" t="s">
        <v>680</v>
      </c>
      <c r="J433" s="33" t="s">
        <v>679</v>
      </c>
      <c r="K433" s="33" t="s">
        <v>680</v>
      </c>
      <c r="L433" s="33" t="s">
        <v>1182</v>
      </c>
      <c r="M433" s="33" t="s">
        <v>679</v>
      </c>
      <c r="N433" s="33" t="s">
        <v>1182</v>
      </c>
      <c r="O433" s="33" t="s">
        <v>680</v>
      </c>
      <c r="P433" s="33" t="s">
        <v>1182</v>
      </c>
      <c r="Q433" s="33" t="s">
        <v>1182</v>
      </c>
      <c r="R433" s="41" t="s">
        <v>1182</v>
      </c>
    </row>
    <row r="434" customFormat="false" ht="39.55" hidden="false" customHeight="false" outlineLevel="0" collapsed="false">
      <c r="A434" s="41" t="s">
        <v>464</v>
      </c>
      <c r="B434" s="41" t="s">
        <v>465</v>
      </c>
      <c r="C434" s="41" t="s">
        <v>1181</v>
      </c>
      <c r="D434" s="41" t="s">
        <v>676</v>
      </c>
      <c r="E434" s="41" t="s">
        <v>675</v>
      </c>
      <c r="F434" s="41" t="s">
        <v>675</v>
      </c>
      <c r="G434" s="41" t="s">
        <v>680</v>
      </c>
      <c r="H434" s="43" t="s">
        <v>1750</v>
      </c>
      <c r="I434" s="33" t="s">
        <v>680</v>
      </c>
      <c r="J434" s="33" t="s">
        <v>679</v>
      </c>
      <c r="K434" s="33" t="s">
        <v>680</v>
      </c>
      <c r="L434" s="33" t="s">
        <v>1503</v>
      </c>
      <c r="M434" s="33" t="s">
        <v>679</v>
      </c>
      <c r="N434" s="33" t="s">
        <v>1503</v>
      </c>
      <c r="O434" s="33" t="s">
        <v>680</v>
      </c>
      <c r="P434" s="33" t="s">
        <v>1503</v>
      </c>
      <c r="Q434" s="33" t="s">
        <v>1503</v>
      </c>
      <c r="R434" s="41" t="s">
        <v>1503</v>
      </c>
    </row>
    <row r="435" customFormat="false" ht="26.85" hidden="false" customHeight="false" outlineLevel="0" collapsed="false">
      <c r="A435" s="41" t="s">
        <v>415</v>
      </c>
      <c r="B435" s="41" t="s">
        <v>416</v>
      </c>
      <c r="C435" s="41" t="s">
        <v>1181</v>
      </c>
      <c r="D435" s="41" t="s">
        <v>676</v>
      </c>
      <c r="E435" s="41" t="s">
        <v>675</v>
      </c>
      <c r="F435" s="41" t="s">
        <v>675</v>
      </c>
      <c r="G435" s="41" t="s">
        <v>680</v>
      </c>
      <c r="H435" s="43" t="s">
        <v>1750</v>
      </c>
      <c r="I435" s="33" t="s">
        <v>680</v>
      </c>
      <c r="J435" s="33" t="s">
        <v>679</v>
      </c>
      <c r="K435" s="33" t="s">
        <v>680</v>
      </c>
      <c r="L435" s="33" t="s">
        <v>1506</v>
      </c>
      <c r="M435" s="33" t="s">
        <v>679</v>
      </c>
      <c r="N435" s="33" t="s">
        <v>1506</v>
      </c>
      <c r="O435" s="33" t="s">
        <v>680</v>
      </c>
      <c r="P435" s="33" t="s">
        <v>1506</v>
      </c>
      <c r="Q435" s="33" t="s">
        <v>1506</v>
      </c>
      <c r="R435" s="41" t="s">
        <v>1506</v>
      </c>
    </row>
    <row r="436" customFormat="false" ht="64.9" hidden="false" customHeight="false" outlineLevel="0" collapsed="false">
      <c r="A436" s="41" t="s">
        <v>412</v>
      </c>
      <c r="B436" s="41" t="s">
        <v>2032</v>
      </c>
      <c r="C436" s="41" t="s">
        <v>1181</v>
      </c>
      <c r="D436" s="41" t="s">
        <v>676</v>
      </c>
      <c r="E436" s="41" t="s">
        <v>675</v>
      </c>
      <c r="F436" s="41" t="s">
        <v>675</v>
      </c>
      <c r="G436" s="41" t="s">
        <v>680</v>
      </c>
      <c r="H436" s="43" t="s">
        <v>1750</v>
      </c>
      <c r="I436" s="33" t="s">
        <v>680</v>
      </c>
      <c r="J436" s="33" t="s">
        <v>679</v>
      </c>
      <c r="K436" s="33" t="s">
        <v>680</v>
      </c>
      <c r="L436" s="33" t="s">
        <v>1506</v>
      </c>
      <c r="M436" s="33" t="s">
        <v>679</v>
      </c>
      <c r="N436" s="33" t="s">
        <v>1506</v>
      </c>
      <c r="O436" s="33" t="s">
        <v>680</v>
      </c>
      <c r="P436" s="33" t="s">
        <v>1506</v>
      </c>
      <c r="Q436" s="33" t="s">
        <v>1506</v>
      </c>
      <c r="R436" s="41" t="s">
        <v>1506</v>
      </c>
    </row>
    <row r="437" customFormat="false" ht="52.2" hidden="false" customHeight="false" outlineLevel="0" collapsed="false">
      <c r="A437" s="41" t="s">
        <v>418</v>
      </c>
      <c r="B437" s="41" t="s">
        <v>419</v>
      </c>
      <c r="C437" s="41" t="s">
        <v>1181</v>
      </c>
      <c r="D437" s="41" t="s">
        <v>676</v>
      </c>
      <c r="E437" s="41" t="s">
        <v>675</v>
      </c>
      <c r="F437" s="41" t="s">
        <v>675</v>
      </c>
      <c r="G437" s="41" t="s">
        <v>680</v>
      </c>
      <c r="H437" s="43" t="s">
        <v>1750</v>
      </c>
      <c r="I437" s="33" t="s">
        <v>680</v>
      </c>
      <c r="J437" s="33" t="s">
        <v>679</v>
      </c>
      <c r="K437" s="33" t="s">
        <v>680</v>
      </c>
      <c r="L437" s="33" t="s">
        <v>1506</v>
      </c>
      <c r="M437" s="33" t="s">
        <v>679</v>
      </c>
      <c r="N437" s="33" t="s">
        <v>1506</v>
      </c>
      <c r="O437" s="33" t="s">
        <v>680</v>
      </c>
      <c r="P437" s="33" t="s">
        <v>1506</v>
      </c>
      <c r="Q437" s="33" t="s">
        <v>1506</v>
      </c>
      <c r="R437" s="41" t="s">
        <v>1506</v>
      </c>
    </row>
    <row r="438" customFormat="false" ht="26.85" hidden="false" customHeight="false" outlineLevel="0" collapsed="false">
      <c r="A438" s="41" t="s">
        <v>458</v>
      </c>
      <c r="B438" s="41" t="s">
        <v>459</v>
      </c>
      <c r="C438" s="41" t="s">
        <v>1181</v>
      </c>
      <c r="D438" s="41" t="s">
        <v>676</v>
      </c>
      <c r="E438" s="41" t="s">
        <v>675</v>
      </c>
      <c r="F438" s="41" t="s">
        <v>675</v>
      </c>
      <c r="G438" s="41" t="s">
        <v>680</v>
      </c>
      <c r="H438" s="43" t="s">
        <v>1750</v>
      </c>
      <c r="I438" s="33" t="s">
        <v>680</v>
      </c>
      <c r="J438" s="33" t="s">
        <v>679</v>
      </c>
      <c r="K438" s="33" t="s">
        <v>680</v>
      </c>
      <c r="L438" s="33" t="s">
        <v>1503</v>
      </c>
      <c r="M438" s="33" t="s">
        <v>679</v>
      </c>
      <c r="N438" s="33" t="s">
        <v>1503</v>
      </c>
      <c r="O438" s="33" t="s">
        <v>680</v>
      </c>
      <c r="P438" s="33" t="s">
        <v>1503</v>
      </c>
      <c r="Q438" s="33" t="s">
        <v>1503</v>
      </c>
      <c r="R438" s="41" t="s">
        <v>1503</v>
      </c>
    </row>
    <row r="439" customFormat="false" ht="26.85" hidden="false" customHeight="false" outlineLevel="0" collapsed="false">
      <c r="A439" s="41" t="s">
        <v>456</v>
      </c>
      <c r="B439" s="41" t="s">
        <v>457</v>
      </c>
      <c r="C439" s="41" t="s">
        <v>1181</v>
      </c>
      <c r="D439" s="41" t="s">
        <v>676</v>
      </c>
      <c r="E439" s="41" t="s">
        <v>675</v>
      </c>
      <c r="F439" s="41" t="s">
        <v>675</v>
      </c>
      <c r="G439" s="41" t="s">
        <v>680</v>
      </c>
      <c r="H439" s="43" t="s">
        <v>1750</v>
      </c>
      <c r="I439" s="33" t="s">
        <v>680</v>
      </c>
      <c r="J439" s="33" t="s">
        <v>679</v>
      </c>
      <c r="K439" s="33" t="s">
        <v>680</v>
      </c>
      <c r="L439" s="33" t="s">
        <v>2033</v>
      </c>
      <c r="M439" s="33" t="s">
        <v>679</v>
      </c>
      <c r="N439" s="33" t="s">
        <v>2033</v>
      </c>
      <c r="O439" s="33" t="s">
        <v>680</v>
      </c>
      <c r="P439" s="33" t="s">
        <v>2033</v>
      </c>
      <c r="Q439" s="33" t="s">
        <v>2033</v>
      </c>
      <c r="R439" s="41" t="s">
        <v>2033</v>
      </c>
    </row>
    <row r="440" customFormat="false" ht="26.85" hidden="false" customHeight="false" outlineLevel="0" collapsed="false">
      <c r="A440" s="41" t="s">
        <v>454</v>
      </c>
      <c r="B440" s="41" t="s">
        <v>455</v>
      </c>
      <c r="C440" s="41" t="s">
        <v>1181</v>
      </c>
      <c r="D440" s="41" t="s">
        <v>676</v>
      </c>
      <c r="E440" s="41" t="s">
        <v>675</v>
      </c>
      <c r="F440" s="41" t="s">
        <v>675</v>
      </c>
      <c r="G440" s="41" t="s">
        <v>680</v>
      </c>
      <c r="H440" s="43" t="s">
        <v>1750</v>
      </c>
      <c r="I440" s="33" t="s">
        <v>680</v>
      </c>
      <c r="J440" s="33" t="s">
        <v>679</v>
      </c>
      <c r="K440" s="33" t="s">
        <v>680</v>
      </c>
      <c r="L440" s="33" t="s">
        <v>1503</v>
      </c>
      <c r="M440" s="33" t="s">
        <v>679</v>
      </c>
      <c r="N440" s="33" t="s">
        <v>1503</v>
      </c>
      <c r="O440" s="33" t="s">
        <v>680</v>
      </c>
      <c r="P440" s="33" t="s">
        <v>1503</v>
      </c>
      <c r="Q440" s="33" t="s">
        <v>1503</v>
      </c>
      <c r="R440" s="41" t="s">
        <v>1503</v>
      </c>
    </row>
    <row r="441" customFormat="false" ht="39.55" hidden="false" customHeight="false" outlineLevel="0" collapsed="false">
      <c r="A441" s="41" t="s">
        <v>466</v>
      </c>
      <c r="B441" s="41" t="s">
        <v>467</v>
      </c>
      <c r="C441" s="41" t="s">
        <v>1181</v>
      </c>
      <c r="D441" s="41" t="s">
        <v>676</v>
      </c>
      <c r="E441" s="41" t="s">
        <v>675</v>
      </c>
      <c r="F441" s="41" t="s">
        <v>675</v>
      </c>
      <c r="G441" s="41" t="s">
        <v>680</v>
      </c>
      <c r="H441" s="43" t="s">
        <v>1750</v>
      </c>
      <c r="I441" s="33" t="s">
        <v>680</v>
      </c>
      <c r="J441" s="33" t="s">
        <v>679</v>
      </c>
      <c r="K441" s="33" t="s">
        <v>680</v>
      </c>
      <c r="L441" s="33" t="s">
        <v>1503</v>
      </c>
      <c r="M441" s="33" t="s">
        <v>679</v>
      </c>
      <c r="N441" s="33" t="s">
        <v>1503</v>
      </c>
      <c r="O441" s="33" t="s">
        <v>680</v>
      </c>
      <c r="P441" s="33" t="s">
        <v>1503</v>
      </c>
      <c r="Q441" s="33" t="s">
        <v>1503</v>
      </c>
      <c r="R441" s="41" t="s">
        <v>1503</v>
      </c>
    </row>
    <row r="442" customFormat="false" ht="26.85" hidden="false" customHeight="false" outlineLevel="0" collapsed="false">
      <c r="A442" s="41" t="s">
        <v>496</v>
      </c>
      <c r="B442" s="41" t="s">
        <v>497</v>
      </c>
      <c r="C442" s="41" t="s">
        <v>1181</v>
      </c>
      <c r="D442" s="41" t="s">
        <v>676</v>
      </c>
      <c r="E442" s="41" t="s">
        <v>675</v>
      </c>
      <c r="F442" s="41" t="s">
        <v>675</v>
      </c>
      <c r="G442" s="41" t="s">
        <v>680</v>
      </c>
      <c r="H442" s="43" t="s">
        <v>1750</v>
      </c>
      <c r="I442" s="33" t="s">
        <v>680</v>
      </c>
      <c r="J442" s="33" t="s">
        <v>679</v>
      </c>
      <c r="K442" s="33" t="s">
        <v>680</v>
      </c>
      <c r="L442" s="33" t="s">
        <v>2034</v>
      </c>
      <c r="M442" s="33" t="s">
        <v>679</v>
      </c>
      <c r="N442" s="33" t="s">
        <v>2034</v>
      </c>
      <c r="O442" s="33" t="s">
        <v>680</v>
      </c>
      <c r="P442" s="33" t="s">
        <v>2034</v>
      </c>
      <c r="Q442" s="33" t="s">
        <v>2034</v>
      </c>
      <c r="R442" s="41" t="s">
        <v>2034</v>
      </c>
    </row>
    <row r="443" customFormat="false" ht="26.85" hidden="false" customHeight="false" outlineLevel="0" collapsed="false">
      <c r="A443" s="41" t="s">
        <v>498</v>
      </c>
      <c r="B443" s="41" t="s">
        <v>499</v>
      </c>
      <c r="C443" s="41" t="s">
        <v>1181</v>
      </c>
      <c r="D443" s="41" t="s">
        <v>676</v>
      </c>
      <c r="E443" s="41" t="s">
        <v>675</v>
      </c>
      <c r="F443" s="41" t="s">
        <v>675</v>
      </c>
      <c r="G443" s="41" t="s">
        <v>680</v>
      </c>
      <c r="H443" s="43" t="s">
        <v>1750</v>
      </c>
      <c r="I443" s="33" t="s">
        <v>680</v>
      </c>
      <c r="J443" s="33" t="s">
        <v>679</v>
      </c>
      <c r="K443" s="33" t="s">
        <v>680</v>
      </c>
      <c r="L443" s="33" t="s">
        <v>1508</v>
      </c>
      <c r="M443" s="33" t="s">
        <v>679</v>
      </c>
      <c r="N443" s="33" t="s">
        <v>1508</v>
      </c>
      <c r="O443" s="33" t="s">
        <v>680</v>
      </c>
      <c r="P443" s="33" t="s">
        <v>1508</v>
      </c>
      <c r="Q443" s="33" t="s">
        <v>1508</v>
      </c>
      <c r="R443" s="41" t="s">
        <v>1508</v>
      </c>
    </row>
    <row r="444" customFormat="false" ht="26.85" hidden="false" customHeight="false" outlineLevel="0" collapsed="false">
      <c r="A444" s="41" t="s">
        <v>500</v>
      </c>
      <c r="B444" s="41" t="s">
        <v>501</v>
      </c>
      <c r="C444" s="41" t="s">
        <v>1181</v>
      </c>
      <c r="D444" s="41" t="s">
        <v>676</v>
      </c>
      <c r="E444" s="41" t="s">
        <v>675</v>
      </c>
      <c r="F444" s="41" t="s">
        <v>675</v>
      </c>
      <c r="G444" s="41" t="s">
        <v>680</v>
      </c>
      <c r="H444" s="43" t="s">
        <v>1750</v>
      </c>
      <c r="I444" s="33" t="s">
        <v>680</v>
      </c>
      <c r="J444" s="33" t="s">
        <v>679</v>
      </c>
      <c r="K444" s="33" t="s">
        <v>680</v>
      </c>
      <c r="L444" s="33" t="s">
        <v>1508</v>
      </c>
      <c r="M444" s="33" t="s">
        <v>679</v>
      </c>
      <c r="N444" s="33" t="s">
        <v>1508</v>
      </c>
      <c r="O444" s="33" t="s">
        <v>680</v>
      </c>
      <c r="P444" s="33" t="s">
        <v>1508</v>
      </c>
      <c r="Q444" s="33" t="s">
        <v>1508</v>
      </c>
      <c r="R444" s="41" t="s">
        <v>1508</v>
      </c>
    </row>
    <row r="445" customFormat="false" ht="39.55" hidden="false" customHeight="false" outlineLevel="0" collapsed="false">
      <c r="A445" s="41" t="s">
        <v>502</v>
      </c>
      <c r="B445" s="41" t="s">
        <v>2035</v>
      </c>
      <c r="C445" s="41" t="s">
        <v>1181</v>
      </c>
      <c r="D445" s="41" t="s">
        <v>676</v>
      </c>
      <c r="E445" s="41" t="s">
        <v>675</v>
      </c>
      <c r="F445" s="41" t="s">
        <v>675</v>
      </c>
      <c r="G445" s="41" t="s">
        <v>680</v>
      </c>
      <c r="H445" s="43" t="s">
        <v>1750</v>
      </c>
      <c r="I445" s="33" t="s">
        <v>680</v>
      </c>
      <c r="J445" s="33" t="s">
        <v>679</v>
      </c>
      <c r="K445" s="33" t="s">
        <v>680</v>
      </c>
      <c r="L445" s="33" t="s">
        <v>1508</v>
      </c>
      <c r="M445" s="33" t="s">
        <v>679</v>
      </c>
      <c r="N445" s="33" t="s">
        <v>1508</v>
      </c>
      <c r="O445" s="33" t="s">
        <v>680</v>
      </c>
      <c r="P445" s="33" t="s">
        <v>1508</v>
      </c>
      <c r="Q445" s="33" t="s">
        <v>1508</v>
      </c>
      <c r="R445" s="41" t="s">
        <v>1508</v>
      </c>
    </row>
    <row r="446" customFormat="false" ht="39.55" hidden="false" customHeight="false" outlineLevel="0" collapsed="false">
      <c r="A446" s="41" t="s">
        <v>504</v>
      </c>
      <c r="B446" s="41" t="s">
        <v>505</v>
      </c>
      <c r="C446" s="41" t="s">
        <v>1181</v>
      </c>
      <c r="D446" s="41" t="s">
        <v>676</v>
      </c>
      <c r="E446" s="41" t="s">
        <v>675</v>
      </c>
      <c r="F446" s="41" t="s">
        <v>675</v>
      </c>
      <c r="G446" s="41" t="s">
        <v>680</v>
      </c>
      <c r="H446" s="43" t="s">
        <v>1750</v>
      </c>
      <c r="I446" s="33" t="s">
        <v>680</v>
      </c>
      <c r="J446" s="33" t="s">
        <v>679</v>
      </c>
      <c r="K446" s="33" t="s">
        <v>680</v>
      </c>
      <c r="L446" s="33" t="s">
        <v>1508</v>
      </c>
      <c r="M446" s="33" t="s">
        <v>679</v>
      </c>
      <c r="N446" s="33" t="s">
        <v>1508</v>
      </c>
      <c r="O446" s="33" t="s">
        <v>680</v>
      </c>
      <c r="P446" s="33" t="s">
        <v>1508</v>
      </c>
      <c r="Q446" s="33" t="s">
        <v>1508</v>
      </c>
      <c r="R446" s="41" t="s">
        <v>1508</v>
      </c>
    </row>
    <row r="447" customFormat="false" ht="39.55" hidden="false" customHeight="false" outlineLevel="0" collapsed="false">
      <c r="A447" s="41" t="s">
        <v>506</v>
      </c>
      <c r="B447" s="41" t="s">
        <v>507</v>
      </c>
      <c r="C447" s="41" t="s">
        <v>1181</v>
      </c>
      <c r="D447" s="41" t="s">
        <v>676</v>
      </c>
      <c r="E447" s="41" t="s">
        <v>675</v>
      </c>
      <c r="F447" s="41" t="s">
        <v>675</v>
      </c>
      <c r="G447" s="41" t="s">
        <v>680</v>
      </c>
      <c r="H447" s="43" t="s">
        <v>1750</v>
      </c>
      <c r="I447" s="33" t="s">
        <v>680</v>
      </c>
      <c r="J447" s="33" t="s">
        <v>679</v>
      </c>
      <c r="K447" s="33" t="s">
        <v>680</v>
      </c>
      <c r="L447" s="33" t="s">
        <v>2036</v>
      </c>
      <c r="M447" s="33" t="s">
        <v>679</v>
      </c>
      <c r="N447" s="33" t="s">
        <v>2036</v>
      </c>
      <c r="O447" s="33" t="s">
        <v>680</v>
      </c>
      <c r="P447" s="33" t="s">
        <v>2036</v>
      </c>
      <c r="Q447" s="33" t="s">
        <v>2036</v>
      </c>
      <c r="R447" s="41" t="s">
        <v>2036</v>
      </c>
    </row>
    <row r="448" customFormat="false" ht="39.55" hidden="false" customHeight="false" outlineLevel="0" collapsed="false">
      <c r="A448" s="41" t="s">
        <v>512</v>
      </c>
      <c r="B448" s="41" t="s">
        <v>513</v>
      </c>
      <c r="C448" s="41" t="s">
        <v>1181</v>
      </c>
      <c r="D448" s="41" t="s">
        <v>676</v>
      </c>
      <c r="E448" s="41" t="s">
        <v>675</v>
      </c>
      <c r="F448" s="41" t="s">
        <v>675</v>
      </c>
      <c r="G448" s="41" t="s">
        <v>680</v>
      </c>
      <c r="H448" s="43" t="s">
        <v>1750</v>
      </c>
      <c r="I448" s="33" t="s">
        <v>680</v>
      </c>
      <c r="J448" s="33" t="s">
        <v>679</v>
      </c>
      <c r="K448" s="33" t="s">
        <v>680</v>
      </c>
      <c r="L448" s="33" t="s">
        <v>1248</v>
      </c>
      <c r="M448" s="33" t="s">
        <v>679</v>
      </c>
      <c r="N448" s="33" t="s">
        <v>1248</v>
      </c>
      <c r="O448" s="33" t="s">
        <v>680</v>
      </c>
      <c r="P448" s="33" t="s">
        <v>1248</v>
      </c>
      <c r="Q448" s="33" t="s">
        <v>1248</v>
      </c>
      <c r="R448" s="41" t="s">
        <v>1248</v>
      </c>
    </row>
    <row r="449" customFormat="false" ht="39.55" hidden="false" customHeight="false" outlineLevel="0" collapsed="false">
      <c r="A449" s="41" t="s">
        <v>510</v>
      </c>
      <c r="B449" s="41" t="s">
        <v>2037</v>
      </c>
      <c r="C449" s="41" t="s">
        <v>1181</v>
      </c>
      <c r="D449" s="41" t="s">
        <v>676</v>
      </c>
      <c r="E449" s="41" t="s">
        <v>675</v>
      </c>
      <c r="F449" s="41" t="s">
        <v>675</v>
      </c>
      <c r="G449" s="41" t="s">
        <v>680</v>
      </c>
      <c r="H449" s="43" t="s">
        <v>1750</v>
      </c>
      <c r="I449" s="33" t="s">
        <v>680</v>
      </c>
      <c r="J449" s="33" t="s">
        <v>679</v>
      </c>
      <c r="K449" s="33" t="s">
        <v>680</v>
      </c>
      <c r="L449" s="33" t="s">
        <v>1337</v>
      </c>
      <c r="M449" s="33" t="s">
        <v>679</v>
      </c>
      <c r="N449" s="33" t="s">
        <v>1337</v>
      </c>
      <c r="O449" s="33" t="s">
        <v>680</v>
      </c>
      <c r="P449" s="33" t="s">
        <v>1337</v>
      </c>
      <c r="Q449" s="33" t="s">
        <v>1337</v>
      </c>
      <c r="R449" s="41" t="s">
        <v>1337</v>
      </c>
    </row>
    <row r="450" customFormat="false" ht="39.55" hidden="false" customHeight="false" outlineLevel="0" collapsed="false">
      <c r="A450" s="41" t="s">
        <v>460</v>
      </c>
      <c r="B450" s="41" t="s">
        <v>461</v>
      </c>
      <c r="C450" s="41" t="s">
        <v>1181</v>
      </c>
      <c r="D450" s="41" t="s">
        <v>676</v>
      </c>
      <c r="E450" s="41" t="s">
        <v>675</v>
      </c>
      <c r="F450" s="41" t="s">
        <v>675</v>
      </c>
      <c r="G450" s="41" t="s">
        <v>680</v>
      </c>
      <c r="H450" s="43" t="s">
        <v>1750</v>
      </c>
      <c r="I450" s="33" t="s">
        <v>680</v>
      </c>
      <c r="J450" s="33" t="s">
        <v>679</v>
      </c>
      <c r="K450" s="33" t="s">
        <v>680</v>
      </c>
      <c r="L450" s="33" t="s">
        <v>2033</v>
      </c>
      <c r="M450" s="33" t="s">
        <v>679</v>
      </c>
      <c r="N450" s="33" t="s">
        <v>2033</v>
      </c>
      <c r="O450" s="33" t="s">
        <v>680</v>
      </c>
      <c r="P450" s="33" t="s">
        <v>2033</v>
      </c>
      <c r="Q450" s="33" t="s">
        <v>2033</v>
      </c>
      <c r="R450" s="41" t="s">
        <v>2033</v>
      </c>
    </row>
    <row r="451" customFormat="false" ht="39.55" hidden="false" customHeight="false" outlineLevel="0" collapsed="false">
      <c r="A451" s="41" t="s">
        <v>462</v>
      </c>
      <c r="B451" s="41" t="s">
        <v>463</v>
      </c>
      <c r="C451" s="41" t="s">
        <v>1181</v>
      </c>
      <c r="D451" s="41" t="s">
        <v>676</v>
      </c>
      <c r="E451" s="41" t="s">
        <v>675</v>
      </c>
      <c r="F451" s="41" t="s">
        <v>675</v>
      </c>
      <c r="G451" s="41" t="s">
        <v>680</v>
      </c>
      <c r="H451" s="43" t="s">
        <v>1750</v>
      </c>
      <c r="I451" s="33" t="s">
        <v>680</v>
      </c>
      <c r="J451" s="33" t="s">
        <v>679</v>
      </c>
      <c r="K451" s="33" t="s">
        <v>680</v>
      </c>
      <c r="L451" s="33" t="s">
        <v>1503</v>
      </c>
      <c r="M451" s="33" t="s">
        <v>679</v>
      </c>
      <c r="N451" s="33" t="s">
        <v>1503</v>
      </c>
      <c r="O451" s="33" t="s">
        <v>680</v>
      </c>
      <c r="P451" s="33" t="s">
        <v>1503</v>
      </c>
      <c r="Q451" s="33" t="s">
        <v>1503</v>
      </c>
      <c r="R451" s="41" t="s">
        <v>1503</v>
      </c>
    </row>
    <row r="452" customFormat="false" ht="26.85" hidden="false" customHeight="false" outlineLevel="0" collapsed="false">
      <c r="A452" s="41"/>
      <c r="B452" s="41" t="s">
        <v>1265</v>
      </c>
      <c r="C452" s="41" t="s">
        <v>705</v>
      </c>
      <c r="D452" s="41" t="s">
        <v>675</v>
      </c>
      <c r="E452" s="41" t="s">
        <v>675</v>
      </c>
      <c r="F452" s="41" t="s">
        <v>676</v>
      </c>
      <c r="G452" s="41" t="s">
        <v>680</v>
      </c>
      <c r="H452" s="43" t="s">
        <v>1750</v>
      </c>
      <c r="I452" s="33" t="s">
        <v>679</v>
      </c>
      <c r="J452" s="33" t="s">
        <v>679</v>
      </c>
      <c r="K452" s="33" t="s">
        <v>679</v>
      </c>
      <c r="L452" s="33" t="s">
        <v>679</v>
      </c>
      <c r="M452" s="33" t="s">
        <v>679</v>
      </c>
      <c r="N452" s="33" t="s">
        <v>679</v>
      </c>
      <c r="O452" s="33" t="s">
        <v>679</v>
      </c>
      <c r="P452" s="33"/>
      <c r="Q452" s="33"/>
      <c r="R452" s="41"/>
    </row>
    <row r="453" customFormat="false" ht="26.85" hidden="false" customHeight="false" outlineLevel="0" collapsed="false">
      <c r="A453" s="41"/>
      <c r="B453" s="41" t="s">
        <v>2038</v>
      </c>
      <c r="C453" s="41" t="s">
        <v>705</v>
      </c>
      <c r="D453" s="41" t="s">
        <v>675</v>
      </c>
      <c r="E453" s="41" t="s">
        <v>675</v>
      </c>
      <c r="F453" s="41" t="s">
        <v>676</v>
      </c>
      <c r="G453" s="41" t="s">
        <v>680</v>
      </c>
      <c r="H453" s="43" t="s">
        <v>1750</v>
      </c>
      <c r="I453" s="33" t="s">
        <v>679</v>
      </c>
      <c r="J453" s="33" t="s">
        <v>679</v>
      </c>
      <c r="K453" s="33" t="s">
        <v>679</v>
      </c>
      <c r="L453" s="33" t="s">
        <v>679</v>
      </c>
      <c r="M453" s="33" t="s">
        <v>679</v>
      </c>
      <c r="N453" s="33" t="s">
        <v>679</v>
      </c>
      <c r="O453" s="33" t="s">
        <v>679</v>
      </c>
      <c r="P453" s="33"/>
      <c r="Q453" s="33"/>
      <c r="R453" s="41"/>
    </row>
    <row r="454" customFormat="false" ht="26.85" hidden="false" customHeight="false" outlineLevel="0" collapsed="false">
      <c r="A454" s="41"/>
      <c r="B454" s="41" t="s">
        <v>1017</v>
      </c>
      <c r="C454" s="41" t="s">
        <v>705</v>
      </c>
      <c r="D454" s="41" t="s">
        <v>675</v>
      </c>
      <c r="E454" s="41" t="s">
        <v>675</v>
      </c>
      <c r="F454" s="41" t="s">
        <v>676</v>
      </c>
      <c r="G454" s="41" t="s">
        <v>680</v>
      </c>
      <c r="H454" s="43" t="s">
        <v>1750</v>
      </c>
      <c r="I454" s="33" t="s">
        <v>679</v>
      </c>
      <c r="J454" s="33" t="s">
        <v>679</v>
      </c>
      <c r="K454" s="33" t="s">
        <v>679</v>
      </c>
      <c r="L454" s="33" t="s">
        <v>679</v>
      </c>
      <c r="M454" s="33" t="s">
        <v>679</v>
      </c>
      <c r="N454" s="33" t="s">
        <v>679</v>
      </c>
      <c r="O454" s="33" t="s">
        <v>679</v>
      </c>
      <c r="P454" s="33"/>
      <c r="Q454" s="33"/>
      <c r="R454" s="41"/>
    </row>
    <row r="455" customFormat="false" ht="15" hidden="false" customHeight="false" outlineLevel="0" collapsed="false">
      <c r="A455" s="41"/>
      <c r="B455" s="41" t="s">
        <v>713</v>
      </c>
      <c r="C455" s="41" t="s">
        <v>705</v>
      </c>
      <c r="D455" s="41" t="s">
        <v>675</v>
      </c>
      <c r="E455" s="41" t="s">
        <v>675</v>
      </c>
      <c r="F455" s="41" t="s">
        <v>676</v>
      </c>
      <c r="G455" s="41" t="s">
        <v>680</v>
      </c>
      <c r="H455" s="43" t="s">
        <v>1750</v>
      </c>
      <c r="I455" s="33" t="s">
        <v>679</v>
      </c>
      <c r="J455" s="33" t="s">
        <v>679</v>
      </c>
      <c r="K455" s="33" t="s">
        <v>679</v>
      </c>
      <c r="L455" s="33" t="s">
        <v>679</v>
      </c>
      <c r="M455" s="33" t="s">
        <v>679</v>
      </c>
      <c r="N455" s="33" t="s">
        <v>679</v>
      </c>
      <c r="O455" s="33" t="s">
        <v>679</v>
      </c>
      <c r="P455" s="33"/>
      <c r="Q455" s="33"/>
      <c r="R455" s="41"/>
    </row>
    <row r="456" customFormat="false" ht="26.85" hidden="false" customHeight="false" outlineLevel="0" collapsed="false">
      <c r="A456" s="41"/>
      <c r="B456" s="41" t="s">
        <v>1523</v>
      </c>
      <c r="C456" s="41" t="s">
        <v>705</v>
      </c>
      <c r="D456" s="41" t="s">
        <v>675</v>
      </c>
      <c r="E456" s="41" t="s">
        <v>675</v>
      </c>
      <c r="F456" s="41" t="s">
        <v>676</v>
      </c>
      <c r="G456" s="41" t="s">
        <v>680</v>
      </c>
      <c r="H456" s="43" t="s">
        <v>1750</v>
      </c>
      <c r="I456" s="33" t="s">
        <v>679</v>
      </c>
      <c r="J456" s="33" t="s">
        <v>679</v>
      </c>
      <c r="K456" s="33" t="s">
        <v>679</v>
      </c>
      <c r="L456" s="33" t="s">
        <v>679</v>
      </c>
      <c r="M456" s="33" t="s">
        <v>679</v>
      </c>
      <c r="N456" s="33" t="s">
        <v>679</v>
      </c>
      <c r="O456" s="33" t="s">
        <v>679</v>
      </c>
      <c r="P456" s="33"/>
      <c r="Q456" s="33"/>
      <c r="R456" s="41"/>
    </row>
    <row r="457" customFormat="false" ht="15" hidden="false" customHeight="false" outlineLevel="0" collapsed="false">
      <c r="A457" s="41"/>
      <c r="B457" s="41" t="s">
        <v>1152</v>
      </c>
      <c r="C457" s="41" t="s">
        <v>705</v>
      </c>
      <c r="D457" s="41" t="s">
        <v>675</v>
      </c>
      <c r="E457" s="41" t="s">
        <v>675</v>
      </c>
      <c r="F457" s="41" t="s">
        <v>676</v>
      </c>
      <c r="G457" s="41" t="s">
        <v>680</v>
      </c>
      <c r="H457" s="43" t="s">
        <v>1750</v>
      </c>
      <c r="I457" s="33" t="s">
        <v>679</v>
      </c>
      <c r="J457" s="33" t="s">
        <v>679</v>
      </c>
      <c r="K457" s="33" t="s">
        <v>679</v>
      </c>
      <c r="L457" s="33" t="s">
        <v>679</v>
      </c>
      <c r="M457" s="33" t="s">
        <v>679</v>
      </c>
      <c r="N457" s="33" t="s">
        <v>679</v>
      </c>
      <c r="O457" s="33" t="s">
        <v>679</v>
      </c>
      <c r="P457" s="33"/>
      <c r="Q457" s="33"/>
      <c r="R457" s="41"/>
    </row>
    <row r="458" customFormat="false" ht="15" hidden="false" customHeight="false" outlineLevel="0" collapsed="false">
      <c r="A458" s="41"/>
      <c r="B458" s="41" t="s">
        <v>1722</v>
      </c>
      <c r="C458" s="41" t="s">
        <v>705</v>
      </c>
      <c r="D458" s="41" t="s">
        <v>675</v>
      </c>
      <c r="E458" s="41" t="s">
        <v>675</v>
      </c>
      <c r="F458" s="41" t="s">
        <v>676</v>
      </c>
      <c r="G458" s="41" t="s">
        <v>680</v>
      </c>
      <c r="H458" s="43" t="s">
        <v>1750</v>
      </c>
      <c r="I458" s="33" t="s">
        <v>679</v>
      </c>
      <c r="J458" s="33" t="s">
        <v>679</v>
      </c>
      <c r="K458" s="33" t="s">
        <v>679</v>
      </c>
      <c r="L458" s="33" t="s">
        <v>679</v>
      </c>
      <c r="M458" s="33" t="s">
        <v>679</v>
      </c>
      <c r="N458" s="33" t="s">
        <v>679</v>
      </c>
      <c r="O458" s="33" t="s">
        <v>679</v>
      </c>
      <c r="P458" s="33"/>
      <c r="Q458" s="33"/>
      <c r="R458" s="41"/>
    </row>
    <row r="459" customFormat="false" ht="26.85" hidden="false" customHeight="false" outlineLevel="0" collapsed="false">
      <c r="A459" s="41"/>
      <c r="B459" s="41" t="s">
        <v>2039</v>
      </c>
      <c r="C459" s="41" t="s">
        <v>705</v>
      </c>
      <c r="D459" s="41" t="s">
        <v>675</v>
      </c>
      <c r="E459" s="41" t="s">
        <v>675</v>
      </c>
      <c r="F459" s="41" t="s">
        <v>676</v>
      </c>
      <c r="G459" s="41" t="s">
        <v>680</v>
      </c>
      <c r="H459" s="43" t="s">
        <v>1750</v>
      </c>
      <c r="I459" s="33" t="s">
        <v>679</v>
      </c>
      <c r="J459" s="33" t="s">
        <v>679</v>
      </c>
      <c r="K459" s="33" t="s">
        <v>679</v>
      </c>
      <c r="L459" s="33" t="s">
        <v>679</v>
      </c>
      <c r="M459" s="33" t="s">
        <v>679</v>
      </c>
      <c r="N459" s="33" t="s">
        <v>679</v>
      </c>
      <c r="O459" s="33" t="s">
        <v>679</v>
      </c>
      <c r="P459" s="33"/>
      <c r="Q459" s="33"/>
      <c r="R459" s="41"/>
    </row>
    <row r="460" customFormat="false" ht="26.85" hidden="false" customHeight="false" outlineLevel="0" collapsed="false">
      <c r="A460" s="41"/>
      <c r="B460" s="41" t="s">
        <v>726</v>
      </c>
      <c r="C460" s="41" t="s">
        <v>705</v>
      </c>
      <c r="D460" s="41" t="s">
        <v>675</v>
      </c>
      <c r="E460" s="41" t="s">
        <v>675</v>
      </c>
      <c r="F460" s="41" t="s">
        <v>676</v>
      </c>
      <c r="G460" s="41" t="s">
        <v>680</v>
      </c>
      <c r="H460" s="43" t="s">
        <v>1750</v>
      </c>
      <c r="I460" s="33" t="s">
        <v>679</v>
      </c>
      <c r="J460" s="33" t="s">
        <v>679</v>
      </c>
      <c r="K460" s="33" t="s">
        <v>679</v>
      </c>
      <c r="L460" s="33" t="s">
        <v>679</v>
      </c>
      <c r="M460" s="33" t="s">
        <v>679</v>
      </c>
      <c r="N460" s="33" t="s">
        <v>679</v>
      </c>
      <c r="O460" s="33" t="s">
        <v>679</v>
      </c>
      <c r="P460" s="33"/>
      <c r="Q460" s="33"/>
      <c r="R460" s="41"/>
    </row>
    <row r="461" customFormat="false" ht="26.85" hidden="false" customHeight="false" outlineLevel="0" collapsed="false">
      <c r="A461" s="41"/>
      <c r="B461" s="41" t="s">
        <v>864</v>
      </c>
      <c r="C461" s="41" t="s">
        <v>705</v>
      </c>
      <c r="D461" s="41" t="s">
        <v>675</v>
      </c>
      <c r="E461" s="41" t="s">
        <v>675</v>
      </c>
      <c r="F461" s="41" t="s">
        <v>676</v>
      </c>
      <c r="G461" s="41" t="s">
        <v>680</v>
      </c>
      <c r="H461" s="43" t="s">
        <v>1750</v>
      </c>
      <c r="I461" s="33" t="s">
        <v>679</v>
      </c>
      <c r="J461" s="33" t="s">
        <v>679</v>
      </c>
      <c r="K461" s="33" t="s">
        <v>679</v>
      </c>
      <c r="L461" s="33" t="s">
        <v>679</v>
      </c>
      <c r="M461" s="33" t="s">
        <v>679</v>
      </c>
      <c r="N461" s="33" t="s">
        <v>679</v>
      </c>
      <c r="O461" s="33" t="s">
        <v>679</v>
      </c>
      <c r="P461" s="33"/>
      <c r="Q461" s="33"/>
      <c r="R461" s="41"/>
    </row>
    <row r="462" customFormat="false" ht="15" hidden="false" customHeight="false" outlineLevel="0" collapsed="false">
      <c r="A462" s="41"/>
      <c r="B462" s="41" t="s">
        <v>1455</v>
      </c>
      <c r="C462" s="41" t="s">
        <v>705</v>
      </c>
      <c r="D462" s="41" t="s">
        <v>675</v>
      </c>
      <c r="E462" s="41" t="s">
        <v>675</v>
      </c>
      <c r="F462" s="41" t="s">
        <v>676</v>
      </c>
      <c r="G462" s="41" t="s">
        <v>680</v>
      </c>
      <c r="H462" s="43" t="s">
        <v>1750</v>
      </c>
      <c r="I462" s="33" t="s">
        <v>679</v>
      </c>
      <c r="J462" s="33" t="s">
        <v>679</v>
      </c>
      <c r="K462" s="33" t="s">
        <v>679</v>
      </c>
      <c r="L462" s="33" t="s">
        <v>679</v>
      </c>
      <c r="M462" s="33" t="s">
        <v>679</v>
      </c>
      <c r="N462" s="33" t="s">
        <v>679</v>
      </c>
      <c r="O462" s="33" t="s">
        <v>679</v>
      </c>
      <c r="P462" s="33"/>
      <c r="Q462" s="33"/>
      <c r="R462" s="41"/>
    </row>
    <row r="463" customFormat="false" ht="15" hidden="false" customHeight="false" outlineLevel="0" collapsed="false">
      <c r="A463" s="41" t="s">
        <v>2040</v>
      </c>
      <c r="B463" s="41" t="s">
        <v>2041</v>
      </c>
      <c r="C463" s="41" t="s">
        <v>705</v>
      </c>
      <c r="D463" s="41" t="s">
        <v>676</v>
      </c>
      <c r="E463" s="41" t="s">
        <v>675</v>
      </c>
      <c r="F463" s="41" t="s">
        <v>675</v>
      </c>
      <c r="G463" s="41" t="s">
        <v>680</v>
      </c>
      <c r="H463" s="43" t="s">
        <v>1750</v>
      </c>
      <c r="I463" s="33" t="s">
        <v>680</v>
      </c>
      <c r="J463" s="33" t="s">
        <v>679</v>
      </c>
      <c r="K463" s="33" t="s">
        <v>680</v>
      </c>
      <c r="L463" s="33" t="s">
        <v>2042</v>
      </c>
      <c r="M463" s="33" t="s">
        <v>679</v>
      </c>
      <c r="N463" s="33" t="s">
        <v>2042</v>
      </c>
      <c r="O463" s="33" t="s">
        <v>680</v>
      </c>
      <c r="P463" s="33" t="s">
        <v>2042</v>
      </c>
      <c r="Q463" s="33" t="s">
        <v>2042</v>
      </c>
      <c r="R463" s="41" t="s">
        <v>2042</v>
      </c>
    </row>
    <row r="464" customFormat="false" ht="15" hidden="false" customHeight="false" outlineLevel="0" collapsed="false">
      <c r="A464" s="41" t="s">
        <v>2043</v>
      </c>
      <c r="B464" s="41" t="s">
        <v>2044</v>
      </c>
      <c r="C464" s="41" t="s">
        <v>705</v>
      </c>
      <c r="D464" s="41" t="s">
        <v>676</v>
      </c>
      <c r="E464" s="41" t="s">
        <v>675</v>
      </c>
      <c r="F464" s="41" t="s">
        <v>675</v>
      </c>
      <c r="G464" s="41" t="s">
        <v>680</v>
      </c>
      <c r="H464" s="43" t="s">
        <v>1750</v>
      </c>
      <c r="I464" s="33" t="s">
        <v>684</v>
      </c>
      <c r="J464" s="33" t="s">
        <v>679</v>
      </c>
      <c r="K464" s="33" t="s">
        <v>684</v>
      </c>
      <c r="L464" s="33" t="s">
        <v>2045</v>
      </c>
      <c r="M464" s="33" t="s">
        <v>679</v>
      </c>
      <c r="N464" s="33" t="s">
        <v>2045</v>
      </c>
      <c r="O464" s="33" t="s">
        <v>680</v>
      </c>
      <c r="P464" s="33" t="s">
        <v>2046</v>
      </c>
      <c r="Q464" s="33" t="s">
        <v>2046</v>
      </c>
      <c r="R464" s="41" t="s">
        <v>2046</v>
      </c>
    </row>
    <row r="465" customFormat="false" ht="15" hidden="false" customHeight="false" outlineLevel="0" collapsed="false">
      <c r="A465" s="41" t="s">
        <v>2047</v>
      </c>
      <c r="B465" s="41" t="s">
        <v>2048</v>
      </c>
      <c r="C465" s="41" t="s">
        <v>705</v>
      </c>
      <c r="D465" s="41" t="s">
        <v>676</v>
      </c>
      <c r="E465" s="41" t="s">
        <v>675</v>
      </c>
      <c r="F465" s="41" t="s">
        <v>675</v>
      </c>
      <c r="G465" s="41" t="s">
        <v>680</v>
      </c>
      <c r="H465" s="43" t="s">
        <v>1750</v>
      </c>
      <c r="I465" s="33" t="s">
        <v>680</v>
      </c>
      <c r="J465" s="33" t="s">
        <v>679</v>
      </c>
      <c r="K465" s="33" t="s">
        <v>680</v>
      </c>
      <c r="L465" s="33" t="s">
        <v>2049</v>
      </c>
      <c r="M465" s="33" t="s">
        <v>679</v>
      </c>
      <c r="N465" s="33" t="s">
        <v>2049</v>
      </c>
      <c r="O465" s="33" t="s">
        <v>680</v>
      </c>
      <c r="P465" s="33" t="s">
        <v>2049</v>
      </c>
      <c r="Q465" s="33" t="s">
        <v>2049</v>
      </c>
      <c r="R465" s="41" t="s">
        <v>2049</v>
      </c>
    </row>
    <row r="466" customFormat="false" ht="15" hidden="false" customHeight="false" outlineLevel="0" collapsed="false">
      <c r="A466" s="41" t="s">
        <v>2050</v>
      </c>
      <c r="B466" s="41" t="s">
        <v>2051</v>
      </c>
      <c r="C466" s="41" t="s">
        <v>705</v>
      </c>
      <c r="D466" s="41" t="s">
        <v>676</v>
      </c>
      <c r="E466" s="41" t="s">
        <v>675</v>
      </c>
      <c r="F466" s="41" t="s">
        <v>675</v>
      </c>
      <c r="G466" s="41" t="s">
        <v>680</v>
      </c>
      <c r="H466" s="43" t="s">
        <v>1750</v>
      </c>
      <c r="I466" s="33" t="s">
        <v>714</v>
      </c>
      <c r="J466" s="33" t="s">
        <v>679</v>
      </c>
      <c r="K466" s="33" t="s">
        <v>714</v>
      </c>
      <c r="L466" s="33" t="s">
        <v>2052</v>
      </c>
      <c r="M466" s="33" t="s">
        <v>679</v>
      </c>
      <c r="N466" s="33" t="s">
        <v>2052</v>
      </c>
      <c r="O466" s="33" t="s">
        <v>680</v>
      </c>
      <c r="P466" s="33" t="s">
        <v>2053</v>
      </c>
      <c r="Q466" s="33" t="s">
        <v>2053</v>
      </c>
      <c r="R466" s="41" t="s">
        <v>2053</v>
      </c>
    </row>
    <row r="467" customFormat="false" ht="15" hidden="false" customHeight="false" outlineLevel="0" collapsed="false">
      <c r="A467" s="41" t="s">
        <v>2054</v>
      </c>
      <c r="B467" s="41" t="s">
        <v>2055</v>
      </c>
      <c r="C467" s="41" t="s">
        <v>705</v>
      </c>
      <c r="D467" s="41" t="s">
        <v>676</v>
      </c>
      <c r="E467" s="41" t="s">
        <v>675</v>
      </c>
      <c r="F467" s="41" t="s">
        <v>675</v>
      </c>
      <c r="G467" s="41" t="s">
        <v>680</v>
      </c>
      <c r="H467" s="43" t="s">
        <v>1750</v>
      </c>
      <c r="I467" s="33" t="s">
        <v>714</v>
      </c>
      <c r="J467" s="33" t="s">
        <v>679</v>
      </c>
      <c r="K467" s="33" t="s">
        <v>714</v>
      </c>
      <c r="L467" s="33" t="s">
        <v>2056</v>
      </c>
      <c r="M467" s="33" t="s">
        <v>679</v>
      </c>
      <c r="N467" s="33" t="s">
        <v>2056</v>
      </c>
      <c r="O467" s="33" t="s">
        <v>680</v>
      </c>
      <c r="P467" s="33" t="s">
        <v>2057</v>
      </c>
      <c r="Q467" s="33" t="s">
        <v>2057</v>
      </c>
      <c r="R467" s="41" t="s">
        <v>2057</v>
      </c>
    </row>
    <row r="468" customFormat="false" ht="15" hidden="false" customHeight="false" outlineLevel="0" collapsed="false">
      <c r="A468" s="41" t="s">
        <v>2058</v>
      </c>
      <c r="B468" s="41" t="s">
        <v>2059</v>
      </c>
      <c r="C468" s="41" t="s">
        <v>705</v>
      </c>
      <c r="D468" s="41" t="s">
        <v>675</v>
      </c>
      <c r="E468" s="41" t="s">
        <v>676</v>
      </c>
      <c r="F468" s="41" t="s">
        <v>675</v>
      </c>
      <c r="G468" s="41" t="s">
        <v>680</v>
      </c>
      <c r="H468" s="43" t="s">
        <v>1750</v>
      </c>
      <c r="I468" s="33" t="s">
        <v>679</v>
      </c>
      <c r="J468" s="33" t="s">
        <v>680</v>
      </c>
      <c r="K468" s="33" t="s">
        <v>680</v>
      </c>
      <c r="L468" s="33" t="s">
        <v>679</v>
      </c>
      <c r="M468" s="33" t="s">
        <v>2060</v>
      </c>
      <c r="N468" s="33" t="s">
        <v>2060</v>
      </c>
      <c r="O468" s="33" t="s">
        <v>680</v>
      </c>
      <c r="P468" s="33" t="s">
        <v>2060</v>
      </c>
      <c r="Q468" s="33" t="s">
        <v>2060</v>
      </c>
      <c r="R468" s="41" t="s">
        <v>2060</v>
      </c>
    </row>
    <row r="469" customFormat="false" ht="26.85" hidden="false" customHeight="false" outlineLevel="0" collapsed="false">
      <c r="A469" s="41" t="s">
        <v>2061</v>
      </c>
      <c r="B469" s="41" t="s">
        <v>2062</v>
      </c>
      <c r="C469" s="41" t="s">
        <v>705</v>
      </c>
      <c r="D469" s="41" t="s">
        <v>676</v>
      </c>
      <c r="E469" s="41" t="s">
        <v>675</v>
      </c>
      <c r="F469" s="41" t="s">
        <v>675</v>
      </c>
      <c r="G469" s="41" t="s">
        <v>680</v>
      </c>
      <c r="H469" s="43" t="s">
        <v>1750</v>
      </c>
      <c r="I469" s="33" t="s">
        <v>684</v>
      </c>
      <c r="J469" s="33" t="s">
        <v>679</v>
      </c>
      <c r="K469" s="33" t="s">
        <v>684</v>
      </c>
      <c r="L469" s="33" t="s">
        <v>2063</v>
      </c>
      <c r="M469" s="33" t="s">
        <v>679</v>
      </c>
      <c r="N469" s="33" t="s">
        <v>2063</v>
      </c>
      <c r="O469" s="33" t="s">
        <v>680</v>
      </c>
      <c r="P469" s="33" t="s">
        <v>1214</v>
      </c>
      <c r="Q469" s="33" t="s">
        <v>1214</v>
      </c>
      <c r="R469" s="41" t="s">
        <v>1214</v>
      </c>
    </row>
    <row r="470" customFormat="false" ht="26.85" hidden="false" customHeight="false" outlineLevel="0" collapsed="false">
      <c r="A470" s="41" t="s">
        <v>2064</v>
      </c>
      <c r="B470" s="41" t="s">
        <v>2065</v>
      </c>
      <c r="C470" s="41" t="s">
        <v>705</v>
      </c>
      <c r="D470" s="41" t="s">
        <v>676</v>
      </c>
      <c r="E470" s="41" t="s">
        <v>675</v>
      </c>
      <c r="F470" s="41" t="s">
        <v>675</v>
      </c>
      <c r="G470" s="41" t="s">
        <v>680</v>
      </c>
      <c r="H470" s="43" t="s">
        <v>1750</v>
      </c>
      <c r="I470" s="33" t="s">
        <v>684</v>
      </c>
      <c r="J470" s="33" t="s">
        <v>679</v>
      </c>
      <c r="K470" s="33" t="s">
        <v>684</v>
      </c>
      <c r="L470" s="33" t="s">
        <v>2066</v>
      </c>
      <c r="M470" s="33" t="s">
        <v>679</v>
      </c>
      <c r="N470" s="33" t="s">
        <v>2066</v>
      </c>
      <c r="O470" s="33" t="s">
        <v>680</v>
      </c>
      <c r="P470" s="33" t="s">
        <v>2067</v>
      </c>
      <c r="Q470" s="33" t="s">
        <v>2067</v>
      </c>
      <c r="R470" s="41" t="s">
        <v>2067</v>
      </c>
    </row>
    <row r="471" customFormat="false" ht="15" hidden="false" customHeight="false" outlineLevel="0" collapsed="false">
      <c r="A471" s="41" t="s">
        <v>2068</v>
      </c>
      <c r="B471" s="41" t="s">
        <v>2069</v>
      </c>
      <c r="C471" s="41" t="s">
        <v>705</v>
      </c>
      <c r="D471" s="41" t="s">
        <v>675</v>
      </c>
      <c r="E471" s="41" t="s">
        <v>676</v>
      </c>
      <c r="F471" s="41" t="s">
        <v>675</v>
      </c>
      <c r="G471" s="41" t="s">
        <v>680</v>
      </c>
      <c r="H471" s="43" t="s">
        <v>1750</v>
      </c>
      <c r="I471" s="33" t="s">
        <v>679</v>
      </c>
      <c r="J471" s="33" t="s">
        <v>680</v>
      </c>
      <c r="K471" s="33" t="s">
        <v>680</v>
      </c>
      <c r="L471" s="33" t="s">
        <v>679</v>
      </c>
      <c r="M471" s="33" t="s">
        <v>2070</v>
      </c>
      <c r="N471" s="33" t="s">
        <v>2070</v>
      </c>
      <c r="O471" s="33" t="s">
        <v>680</v>
      </c>
      <c r="P471" s="33" t="s">
        <v>2070</v>
      </c>
      <c r="Q471" s="33" t="s">
        <v>2070</v>
      </c>
      <c r="R471" s="41" t="s">
        <v>2070</v>
      </c>
    </row>
    <row r="472" customFormat="false" ht="26.85" hidden="false" customHeight="false" outlineLevel="0" collapsed="false">
      <c r="A472" s="41" t="s">
        <v>2071</v>
      </c>
      <c r="B472" s="41" t="s">
        <v>2072</v>
      </c>
      <c r="C472" s="41" t="s">
        <v>705</v>
      </c>
      <c r="D472" s="41" t="s">
        <v>676</v>
      </c>
      <c r="E472" s="41" t="s">
        <v>675</v>
      </c>
      <c r="F472" s="41" t="s">
        <v>675</v>
      </c>
      <c r="G472" s="41" t="s">
        <v>680</v>
      </c>
      <c r="H472" s="43" t="s">
        <v>1750</v>
      </c>
      <c r="I472" s="33" t="s">
        <v>680</v>
      </c>
      <c r="J472" s="33" t="s">
        <v>679</v>
      </c>
      <c r="K472" s="33" t="s">
        <v>680</v>
      </c>
      <c r="L472" s="33" t="s">
        <v>2073</v>
      </c>
      <c r="M472" s="33" t="s">
        <v>679</v>
      </c>
      <c r="N472" s="33" t="s">
        <v>2073</v>
      </c>
      <c r="O472" s="33" t="s">
        <v>680</v>
      </c>
      <c r="P472" s="33" t="s">
        <v>2073</v>
      </c>
      <c r="Q472" s="33" t="s">
        <v>2073</v>
      </c>
      <c r="R472" s="41" t="s">
        <v>2073</v>
      </c>
    </row>
    <row r="473" customFormat="false" ht="26.85" hidden="false" customHeight="false" outlineLevel="0" collapsed="false">
      <c r="A473" s="41" t="s">
        <v>2074</v>
      </c>
      <c r="B473" s="41" t="s">
        <v>2075</v>
      </c>
      <c r="C473" s="41" t="s">
        <v>705</v>
      </c>
      <c r="D473" s="41" t="s">
        <v>676</v>
      </c>
      <c r="E473" s="41" t="s">
        <v>675</v>
      </c>
      <c r="F473" s="41" t="s">
        <v>675</v>
      </c>
      <c r="G473" s="41" t="s">
        <v>680</v>
      </c>
      <c r="H473" s="43" t="s">
        <v>1750</v>
      </c>
      <c r="I473" s="33" t="s">
        <v>680</v>
      </c>
      <c r="J473" s="33" t="s">
        <v>679</v>
      </c>
      <c r="K473" s="33" t="s">
        <v>680</v>
      </c>
      <c r="L473" s="33" t="s">
        <v>2076</v>
      </c>
      <c r="M473" s="33" t="s">
        <v>679</v>
      </c>
      <c r="N473" s="33" t="s">
        <v>2076</v>
      </c>
      <c r="O473" s="33" t="s">
        <v>680</v>
      </c>
      <c r="P473" s="33" t="s">
        <v>2076</v>
      </c>
      <c r="Q473" s="33" t="s">
        <v>2076</v>
      </c>
      <c r="R473" s="41" t="s">
        <v>2076</v>
      </c>
    </row>
    <row r="474" customFormat="false" ht="26.85" hidden="false" customHeight="false" outlineLevel="0" collapsed="false">
      <c r="A474" s="41" t="s">
        <v>2077</v>
      </c>
      <c r="B474" s="41" t="s">
        <v>205</v>
      </c>
      <c r="C474" s="41" t="s">
        <v>705</v>
      </c>
      <c r="D474" s="41" t="s">
        <v>676</v>
      </c>
      <c r="E474" s="41" t="s">
        <v>675</v>
      </c>
      <c r="F474" s="41" t="s">
        <v>675</v>
      </c>
      <c r="G474" s="41" t="s">
        <v>680</v>
      </c>
      <c r="H474" s="43" t="s">
        <v>1750</v>
      </c>
      <c r="I474" s="33" t="s">
        <v>680</v>
      </c>
      <c r="J474" s="33" t="s">
        <v>679</v>
      </c>
      <c r="K474" s="33" t="s">
        <v>680</v>
      </c>
      <c r="L474" s="33" t="s">
        <v>2078</v>
      </c>
      <c r="M474" s="33" t="s">
        <v>679</v>
      </c>
      <c r="N474" s="33" t="s">
        <v>2078</v>
      </c>
      <c r="O474" s="33" t="s">
        <v>680</v>
      </c>
      <c r="P474" s="33" t="s">
        <v>2078</v>
      </c>
      <c r="Q474" s="33" t="s">
        <v>2078</v>
      </c>
      <c r="R474" s="41" t="s">
        <v>2078</v>
      </c>
    </row>
    <row r="475" customFormat="false" ht="26.85" hidden="false" customHeight="false" outlineLevel="0" collapsed="false">
      <c r="A475" s="41" t="s">
        <v>2079</v>
      </c>
      <c r="B475" s="41" t="s">
        <v>2080</v>
      </c>
      <c r="C475" s="41" t="s">
        <v>705</v>
      </c>
      <c r="D475" s="41" t="s">
        <v>675</v>
      </c>
      <c r="E475" s="41" t="s">
        <v>676</v>
      </c>
      <c r="F475" s="41" t="s">
        <v>675</v>
      </c>
      <c r="G475" s="41" t="s">
        <v>680</v>
      </c>
      <c r="H475" s="43" t="s">
        <v>1750</v>
      </c>
      <c r="I475" s="33" t="s">
        <v>679</v>
      </c>
      <c r="J475" s="33" t="s">
        <v>680</v>
      </c>
      <c r="K475" s="33" t="s">
        <v>680</v>
      </c>
      <c r="L475" s="33" t="s">
        <v>679</v>
      </c>
      <c r="M475" s="33" t="s">
        <v>2081</v>
      </c>
      <c r="N475" s="33" t="s">
        <v>2081</v>
      </c>
      <c r="O475" s="33" t="s">
        <v>680</v>
      </c>
      <c r="P475" s="33" t="s">
        <v>2081</v>
      </c>
      <c r="Q475" s="33" t="s">
        <v>2081</v>
      </c>
      <c r="R475" s="41" t="s">
        <v>2081</v>
      </c>
    </row>
    <row r="476" customFormat="false" ht="26.85" hidden="false" customHeight="false" outlineLevel="0" collapsed="false">
      <c r="A476" s="41" t="s">
        <v>2082</v>
      </c>
      <c r="B476" s="41" t="s">
        <v>2083</v>
      </c>
      <c r="C476" s="41" t="s">
        <v>705</v>
      </c>
      <c r="D476" s="41" t="s">
        <v>675</v>
      </c>
      <c r="E476" s="41" t="s">
        <v>676</v>
      </c>
      <c r="F476" s="41" t="s">
        <v>675</v>
      </c>
      <c r="G476" s="41" t="s">
        <v>680</v>
      </c>
      <c r="H476" s="43" t="s">
        <v>1750</v>
      </c>
      <c r="I476" s="33" t="s">
        <v>679</v>
      </c>
      <c r="J476" s="33" t="s">
        <v>680</v>
      </c>
      <c r="K476" s="33" t="s">
        <v>680</v>
      </c>
      <c r="L476" s="33" t="s">
        <v>679</v>
      </c>
      <c r="M476" s="33" t="s">
        <v>2084</v>
      </c>
      <c r="N476" s="33" t="s">
        <v>2084</v>
      </c>
      <c r="O476" s="33" t="s">
        <v>680</v>
      </c>
      <c r="P476" s="33" t="s">
        <v>2084</v>
      </c>
      <c r="Q476" s="33" t="s">
        <v>2084</v>
      </c>
      <c r="R476" s="41" t="s">
        <v>2084</v>
      </c>
    </row>
    <row r="477" customFormat="false" ht="26.85" hidden="false" customHeight="false" outlineLevel="0" collapsed="false">
      <c r="A477" s="41" t="s">
        <v>2085</v>
      </c>
      <c r="B477" s="41" t="s">
        <v>2086</v>
      </c>
      <c r="C477" s="41" t="s">
        <v>705</v>
      </c>
      <c r="D477" s="41" t="s">
        <v>676</v>
      </c>
      <c r="E477" s="41" t="s">
        <v>675</v>
      </c>
      <c r="F477" s="41" t="s">
        <v>675</v>
      </c>
      <c r="G477" s="41" t="s">
        <v>680</v>
      </c>
      <c r="H477" s="43" t="s">
        <v>1750</v>
      </c>
      <c r="I477" s="33" t="s">
        <v>680</v>
      </c>
      <c r="J477" s="33" t="s">
        <v>679</v>
      </c>
      <c r="K477" s="33" t="s">
        <v>680</v>
      </c>
      <c r="L477" s="33" t="s">
        <v>2087</v>
      </c>
      <c r="M477" s="33" t="s">
        <v>679</v>
      </c>
      <c r="N477" s="33" t="s">
        <v>2087</v>
      </c>
      <c r="O477" s="33" t="s">
        <v>680</v>
      </c>
      <c r="P477" s="33" t="s">
        <v>2087</v>
      </c>
      <c r="Q477" s="33" t="s">
        <v>2087</v>
      </c>
      <c r="R477" s="41" t="s">
        <v>2087</v>
      </c>
    </row>
    <row r="478" customFormat="false" ht="26.85" hidden="false" customHeight="false" outlineLevel="0" collapsed="false">
      <c r="A478" s="41" t="s">
        <v>2088</v>
      </c>
      <c r="B478" s="41" t="s">
        <v>2038</v>
      </c>
      <c r="C478" s="41" t="s">
        <v>705</v>
      </c>
      <c r="D478" s="41" t="s">
        <v>675</v>
      </c>
      <c r="E478" s="41" t="s">
        <v>676</v>
      </c>
      <c r="F478" s="41" t="s">
        <v>676</v>
      </c>
      <c r="G478" s="41" t="s">
        <v>680</v>
      </c>
      <c r="H478" s="43" t="s">
        <v>1750</v>
      </c>
      <c r="I478" s="33" t="s">
        <v>679</v>
      </c>
      <c r="J478" s="33" t="s">
        <v>679</v>
      </c>
      <c r="K478" s="33" t="s">
        <v>679</v>
      </c>
      <c r="L478" s="33" t="s">
        <v>679</v>
      </c>
      <c r="M478" s="33" t="s">
        <v>679</v>
      </c>
      <c r="N478" s="33" t="s">
        <v>679</v>
      </c>
      <c r="O478" s="33" t="s">
        <v>680</v>
      </c>
      <c r="P478" s="33" t="s">
        <v>2089</v>
      </c>
      <c r="Q478" s="33" t="s">
        <v>2089</v>
      </c>
      <c r="R478" s="41" t="s">
        <v>2089</v>
      </c>
    </row>
    <row r="479" customFormat="false" ht="15" hidden="false" customHeight="false" outlineLevel="0" collapsed="false">
      <c r="A479" s="41" t="s">
        <v>2090</v>
      </c>
      <c r="B479" s="41" t="s">
        <v>2091</v>
      </c>
      <c r="C479" s="41" t="s">
        <v>705</v>
      </c>
      <c r="D479" s="41" t="s">
        <v>675</v>
      </c>
      <c r="E479" s="41" t="s">
        <v>676</v>
      </c>
      <c r="F479" s="41" t="s">
        <v>675</v>
      </c>
      <c r="G479" s="41" t="s">
        <v>680</v>
      </c>
      <c r="H479" s="43" t="s">
        <v>1750</v>
      </c>
      <c r="I479" s="33" t="s">
        <v>679</v>
      </c>
      <c r="J479" s="33" t="s">
        <v>684</v>
      </c>
      <c r="K479" s="33" t="s">
        <v>684</v>
      </c>
      <c r="L479" s="33" t="s">
        <v>679</v>
      </c>
      <c r="M479" s="33" t="s">
        <v>2092</v>
      </c>
      <c r="N479" s="33" t="s">
        <v>2092</v>
      </c>
      <c r="O479" s="33" t="s">
        <v>680</v>
      </c>
      <c r="P479" s="33" t="s">
        <v>678</v>
      </c>
      <c r="Q479" s="33" t="s">
        <v>678</v>
      </c>
      <c r="R479" s="41" t="s">
        <v>678</v>
      </c>
    </row>
    <row r="480" customFormat="false" ht="26.85" hidden="false" customHeight="false" outlineLevel="0" collapsed="false">
      <c r="A480" s="41" t="s">
        <v>2093</v>
      </c>
      <c r="B480" s="41" t="s">
        <v>2094</v>
      </c>
      <c r="C480" s="41" t="s">
        <v>705</v>
      </c>
      <c r="D480" s="41" t="s">
        <v>676</v>
      </c>
      <c r="E480" s="41" t="s">
        <v>675</v>
      </c>
      <c r="F480" s="41" t="s">
        <v>675</v>
      </c>
      <c r="G480" s="41" t="s">
        <v>680</v>
      </c>
      <c r="H480" s="43" t="s">
        <v>1750</v>
      </c>
      <c r="I480" s="33" t="s">
        <v>875</v>
      </c>
      <c r="J480" s="33" t="s">
        <v>679</v>
      </c>
      <c r="K480" s="33" t="s">
        <v>875</v>
      </c>
      <c r="L480" s="33" t="s">
        <v>2095</v>
      </c>
      <c r="M480" s="33" t="s">
        <v>679</v>
      </c>
      <c r="N480" s="33" t="s">
        <v>2095</v>
      </c>
      <c r="O480" s="33" t="s">
        <v>684</v>
      </c>
      <c r="P480" s="33" t="s">
        <v>889</v>
      </c>
      <c r="Q480" s="33" t="s">
        <v>1341</v>
      </c>
      <c r="R480" s="41" t="s">
        <v>1342</v>
      </c>
    </row>
    <row r="481" customFormat="false" ht="26.85" hidden="false" customHeight="false" outlineLevel="0" collapsed="false">
      <c r="A481" s="41" t="s">
        <v>2096</v>
      </c>
      <c r="B481" s="41" t="s">
        <v>2097</v>
      </c>
      <c r="C481" s="41" t="s">
        <v>705</v>
      </c>
      <c r="D481" s="41" t="s">
        <v>676</v>
      </c>
      <c r="E481" s="41" t="s">
        <v>675</v>
      </c>
      <c r="F481" s="41" t="s">
        <v>675</v>
      </c>
      <c r="G481" s="41" t="s">
        <v>680</v>
      </c>
      <c r="H481" s="43" t="s">
        <v>1750</v>
      </c>
      <c r="I481" s="33" t="s">
        <v>680</v>
      </c>
      <c r="J481" s="33" t="s">
        <v>679</v>
      </c>
      <c r="K481" s="33" t="s">
        <v>680</v>
      </c>
      <c r="L481" s="33" t="s">
        <v>2098</v>
      </c>
      <c r="M481" s="33" t="s">
        <v>679</v>
      </c>
      <c r="N481" s="33" t="s">
        <v>2098</v>
      </c>
      <c r="O481" s="33" t="s">
        <v>680</v>
      </c>
      <c r="P481" s="33" t="s">
        <v>2098</v>
      </c>
      <c r="Q481" s="33" t="s">
        <v>2098</v>
      </c>
      <c r="R481" s="41" t="s">
        <v>2098</v>
      </c>
    </row>
    <row r="482" customFormat="false" ht="26.85" hidden="false" customHeight="false" outlineLevel="0" collapsed="false">
      <c r="A482" s="41" t="s">
        <v>2099</v>
      </c>
      <c r="B482" s="41" t="s">
        <v>2100</v>
      </c>
      <c r="C482" s="41" t="s">
        <v>705</v>
      </c>
      <c r="D482" s="41" t="s">
        <v>676</v>
      </c>
      <c r="E482" s="41" t="s">
        <v>675</v>
      </c>
      <c r="F482" s="41" t="s">
        <v>675</v>
      </c>
      <c r="G482" s="41" t="s">
        <v>680</v>
      </c>
      <c r="H482" s="43" t="s">
        <v>1750</v>
      </c>
      <c r="I482" s="33" t="s">
        <v>747</v>
      </c>
      <c r="J482" s="33" t="s">
        <v>679</v>
      </c>
      <c r="K482" s="33" t="s">
        <v>747</v>
      </c>
      <c r="L482" s="33" t="s">
        <v>2101</v>
      </c>
      <c r="M482" s="33" t="s">
        <v>679</v>
      </c>
      <c r="N482" s="33" t="s">
        <v>2101</v>
      </c>
      <c r="O482" s="33" t="s">
        <v>680</v>
      </c>
      <c r="P482" s="33" t="s">
        <v>2098</v>
      </c>
      <c r="Q482" s="33" t="s">
        <v>2098</v>
      </c>
      <c r="R482" s="41" t="s">
        <v>2098</v>
      </c>
    </row>
    <row r="483" customFormat="false" ht="26.85" hidden="false" customHeight="false" outlineLevel="0" collapsed="false">
      <c r="A483" s="41" t="s">
        <v>2102</v>
      </c>
      <c r="B483" s="41" t="s">
        <v>2103</v>
      </c>
      <c r="C483" s="41" t="s">
        <v>705</v>
      </c>
      <c r="D483" s="41" t="s">
        <v>676</v>
      </c>
      <c r="E483" s="41" t="s">
        <v>675</v>
      </c>
      <c r="F483" s="41" t="s">
        <v>675</v>
      </c>
      <c r="G483" s="41" t="s">
        <v>680</v>
      </c>
      <c r="H483" s="43" t="s">
        <v>1750</v>
      </c>
      <c r="I483" s="33" t="s">
        <v>747</v>
      </c>
      <c r="J483" s="33" t="s">
        <v>679</v>
      </c>
      <c r="K483" s="33" t="s">
        <v>747</v>
      </c>
      <c r="L483" s="33" t="s">
        <v>2104</v>
      </c>
      <c r="M483" s="33" t="s">
        <v>679</v>
      </c>
      <c r="N483" s="33" t="s">
        <v>2104</v>
      </c>
      <c r="O483" s="33" t="s">
        <v>680</v>
      </c>
      <c r="P483" s="33" t="s">
        <v>2105</v>
      </c>
      <c r="Q483" s="33" t="s">
        <v>2105</v>
      </c>
      <c r="R483" s="41" t="s">
        <v>2105</v>
      </c>
    </row>
    <row r="484" customFormat="false" ht="15" hidden="false" customHeight="false" outlineLevel="0" collapsed="false">
      <c r="A484" s="41" t="s">
        <v>2106</v>
      </c>
      <c r="B484" s="41" t="s">
        <v>2107</v>
      </c>
      <c r="C484" s="41" t="s">
        <v>705</v>
      </c>
      <c r="D484" s="41" t="s">
        <v>675</v>
      </c>
      <c r="E484" s="41" t="s">
        <v>676</v>
      </c>
      <c r="F484" s="41" t="s">
        <v>675</v>
      </c>
      <c r="G484" s="41" t="s">
        <v>680</v>
      </c>
      <c r="H484" s="43" t="s">
        <v>1750</v>
      </c>
      <c r="I484" s="33" t="s">
        <v>679</v>
      </c>
      <c r="J484" s="33" t="s">
        <v>680</v>
      </c>
      <c r="K484" s="33" t="s">
        <v>680</v>
      </c>
      <c r="L484" s="33" t="s">
        <v>679</v>
      </c>
      <c r="M484" s="33" t="s">
        <v>871</v>
      </c>
      <c r="N484" s="33" t="s">
        <v>871</v>
      </c>
      <c r="O484" s="33" t="s">
        <v>680</v>
      </c>
      <c r="P484" s="33" t="s">
        <v>871</v>
      </c>
      <c r="Q484" s="33" t="s">
        <v>871</v>
      </c>
      <c r="R484" s="41" t="s">
        <v>871</v>
      </c>
    </row>
    <row r="485" customFormat="false" ht="15" hidden="false" customHeight="false" outlineLevel="0" collapsed="false">
      <c r="A485" s="41" t="s">
        <v>2108</v>
      </c>
      <c r="B485" s="41" t="s">
        <v>2109</v>
      </c>
      <c r="C485" s="41" t="s">
        <v>705</v>
      </c>
      <c r="D485" s="41" t="s">
        <v>676</v>
      </c>
      <c r="E485" s="41" t="s">
        <v>675</v>
      </c>
      <c r="F485" s="41" t="s">
        <v>675</v>
      </c>
      <c r="G485" s="41" t="s">
        <v>680</v>
      </c>
      <c r="H485" s="43" t="s">
        <v>1750</v>
      </c>
      <c r="I485" s="33" t="s">
        <v>680</v>
      </c>
      <c r="J485" s="33" t="s">
        <v>679</v>
      </c>
      <c r="K485" s="33" t="s">
        <v>680</v>
      </c>
      <c r="L485" s="33" t="s">
        <v>1714</v>
      </c>
      <c r="M485" s="33" t="s">
        <v>679</v>
      </c>
      <c r="N485" s="33" t="s">
        <v>1714</v>
      </c>
      <c r="O485" s="33" t="s">
        <v>680</v>
      </c>
      <c r="P485" s="33" t="s">
        <v>1714</v>
      </c>
      <c r="Q485" s="33" t="s">
        <v>1714</v>
      </c>
      <c r="R485" s="41" t="s">
        <v>1714</v>
      </c>
    </row>
    <row r="486" customFormat="false" ht="26.85" hidden="false" customHeight="false" outlineLevel="0" collapsed="false">
      <c r="A486" s="41" t="s">
        <v>2110</v>
      </c>
      <c r="B486" s="41" t="s">
        <v>2111</v>
      </c>
      <c r="C486" s="41" t="s">
        <v>705</v>
      </c>
      <c r="D486" s="41" t="s">
        <v>675</v>
      </c>
      <c r="E486" s="41" t="s">
        <v>676</v>
      </c>
      <c r="F486" s="41" t="s">
        <v>675</v>
      </c>
      <c r="G486" s="41" t="s">
        <v>680</v>
      </c>
      <c r="H486" s="43" t="s">
        <v>1750</v>
      </c>
      <c r="I486" s="33" t="s">
        <v>679</v>
      </c>
      <c r="J486" s="33" t="s">
        <v>680</v>
      </c>
      <c r="K486" s="33" t="s">
        <v>680</v>
      </c>
      <c r="L486" s="33" t="s">
        <v>679</v>
      </c>
      <c r="M486" s="33" t="s">
        <v>2112</v>
      </c>
      <c r="N486" s="33" t="s">
        <v>2112</v>
      </c>
      <c r="O486" s="33" t="s">
        <v>680</v>
      </c>
      <c r="P486" s="33" t="s">
        <v>2112</v>
      </c>
      <c r="Q486" s="33" t="s">
        <v>2112</v>
      </c>
      <c r="R486" s="41" t="s">
        <v>2112</v>
      </c>
    </row>
    <row r="487" customFormat="false" ht="26.85" hidden="false" customHeight="false" outlineLevel="0" collapsed="false">
      <c r="A487" s="41" t="s">
        <v>2113</v>
      </c>
      <c r="B487" s="41" t="s">
        <v>2114</v>
      </c>
      <c r="C487" s="41" t="s">
        <v>705</v>
      </c>
      <c r="D487" s="41" t="s">
        <v>676</v>
      </c>
      <c r="E487" s="41" t="s">
        <v>675</v>
      </c>
      <c r="F487" s="41" t="s">
        <v>675</v>
      </c>
      <c r="G487" s="41" t="s">
        <v>680</v>
      </c>
      <c r="H487" s="43" t="s">
        <v>1750</v>
      </c>
      <c r="I487" s="33" t="s">
        <v>727</v>
      </c>
      <c r="J487" s="33" t="s">
        <v>679</v>
      </c>
      <c r="K487" s="33" t="s">
        <v>727</v>
      </c>
      <c r="L487" s="33" t="s">
        <v>1352</v>
      </c>
      <c r="M487" s="33" t="s">
        <v>679</v>
      </c>
      <c r="N487" s="33" t="s">
        <v>1352</v>
      </c>
      <c r="O487" s="33" t="s">
        <v>680</v>
      </c>
      <c r="P487" s="33" t="s">
        <v>1169</v>
      </c>
      <c r="Q487" s="33" t="s">
        <v>1169</v>
      </c>
      <c r="R487" s="41" t="s">
        <v>1169</v>
      </c>
    </row>
    <row r="488" customFormat="false" ht="26.85" hidden="false" customHeight="false" outlineLevel="0" collapsed="false">
      <c r="A488" s="41" t="s">
        <v>2115</v>
      </c>
      <c r="B488" s="41" t="s">
        <v>2116</v>
      </c>
      <c r="C488" s="41" t="s">
        <v>705</v>
      </c>
      <c r="D488" s="41" t="s">
        <v>676</v>
      </c>
      <c r="E488" s="41" t="s">
        <v>675</v>
      </c>
      <c r="F488" s="41" t="s">
        <v>675</v>
      </c>
      <c r="G488" s="41" t="s">
        <v>680</v>
      </c>
      <c r="H488" s="43" t="s">
        <v>1750</v>
      </c>
      <c r="I488" s="33" t="s">
        <v>727</v>
      </c>
      <c r="J488" s="33" t="s">
        <v>679</v>
      </c>
      <c r="K488" s="33" t="s">
        <v>727</v>
      </c>
      <c r="L488" s="33" t="s">
        <v>2117</v>
      </c>
      <c r="M488" s="33" t="s">
        <v>679</v>
      </c>
      <c r="N488" s="33" t="s">
        <v>2117</v>
      </c>
      <c r="O488" s="33" t="s">
        <v>680</v>
      </c>
      <c r="P488" s="33" t="s">
        <v>2118</v>
      </c>
      <c r="Q488" s="33" t="s">
        <v>2118</v>
      </c>
      <c r="R488" s="41" t="s">
        <v>2118</v>
      </c>
    </row>
    <row r="489" customFormat="false" ht="26.85" hidden="false" customHeight="false" outlineLevel="0" collapsed="false">
      <c r="A489" s="41" t="s">
        <v>2119</v>
      </c>
      <c r="B489" s="41" t="s">
        <v>2120</v>
      </c>
      <c r="C489" s="41" t="s">
        <v>705</v>
      </c>
      <c r="D489" s="41" t="s">
        <v>676</v>
      </c>
      <c r="E489" s="41" t="s">
        <v>675</v>
      </c>
      <c r="F489" s="41" t="s">
        <v>675</v>
      </c>
      <c r="G489" s="41" t="s">
        <v>680</v>
      </c>
      <c r="H489" s="43" t="s">
        <v>1750</v>
      </c>
      <c r="I489" s="33" t="s">
        <v>680</v>
      </c>
      <c r="J489" s="33" t="s">
        <v>679</v>
      </c>
      <c r="K489" s="33" t="s">
        <v>680</v>
      </c>
      <c r="L489" s="33" t="s">
        <v>2121</v>
      </c>
      <c r="M489" s="33" t="s">
        <v>679</v>
      </c>
      <c r="N489" s="33" t="s">
        <v>2121</v>
      </c>
      <c r="O489" s="33" t="s">
        <v>680</v>
      </c>
      <c r="P489" s="33" t="s">
        <v>2121</v>
      </c>
      <c r="Q489" s="33" t="s">
        <v>2121</v>
      </c>
      <c r="R489" s="41" t="s">
        <v>2121</v>
      </c>
    </row>
    <row r="490" customFormat="false" ht="26.85" hidden="false" customHeight="false" outlineLevel="0" collapsed="false">
      <c r="A490" s="41" t="s">
        <v>2122</v>
      </c>
      <c r="B490" s="41" t="s">
        <v>2123</v>
      </c>
      <c r="C490" s="41" t="s">
        <v>705</v>
      </c>
      <c r="D490" s="41" t="s">
        <v>676</v>
      </c>
      <c r="E490" s="41" t="s">
        <v>675</v>
      </c>
      <c r="F490" s="41" t="s">
        <v>675</v>
      </c>
      <c r="G490" s="41" t="s">
        <v>680</v>
      </c>
      <c r="H490" s="43" t="s">
        <v>1750</v>
      </c>
      <c r="I490" s="33" t="s">
        <v>680</v>
      </c>
      <c r="J490" s="33" t="s">
        <v>679</v>
      </c>
      <c r="K490" s="33" t="s">
        <v>680</v>
      </c>
      <c r="L490" s="33" t="s">
        <v>924</v>
      </c>
      <c r="M490" s="33" t="s">
        <v>679</v>
      </c>
      <c r="N490" s="33" t="s">
        <v>924</v>
      </c>
      <c r="O490" s="33" t="s">
        <v>680</v>
      </c>
      <c r="P490" s="33" t="s">
        <v>924</v>
      </c>
      <c r="Q490" s="33" t="s">
        <v>924</v>
      </c>
      <c r="R490" s="41" t="s">
        <v>924</v>
      </c>
    </row>
    <row r="491" customFormat="false" ht="15" hidden="false" customHeight="false" outlineLevel="0" collapsed="false">
      <c r="A491" s="41" t="s">
        <v>2124</v>
      </c>
      <c r="B491" s="41" t="s">
        <v>2125</v>
      </c>
      <c r="C491" s="41" t="s">
        <v>705</v>
      </c>
      <c r="D491" s="41" t="s">
        <v>675</v>
      </c>
      <c r="E491" s="41" t="s">
        <v>676</v>
      </c>
      <c r="F491" s="41" t="s">
        <v>675</v>
      </c>
      <c r="G491" s="41" t="s">
        <v>680</v>
      </c>
      <c r="H491" s="43" t="s">
        <v>1750</v>
      </c>
      <c r="I491" s="33" t="s">
        <v>679</v>
      </c>
      <c r="J491" s="33" t="s">
        <v>680</v>
      </c>
      <c r="K491" s="33" t="s">
        <v>680</v>
      </c>
      <c r="L491" s="33" t="s">
        <v>679</v>
      </c>
      <c r="M491" s="33" t="s">
        <v>2126</v>
      </c>
      <c r="N491" s="33" t="s">
        <v>2126</v>
      </c>
      <c r="O491" s="33" t="s">
        <v>680</v>
      </c>
      <c r="P491" s="33" t="s">
        <v>2126</v>
      </c>
      <c r="Q491" s="33" t="s">
        <v>2126</v>
      </c>
      <c r="R491" s="41" t="s">
        <v>2126</v>
      </c>
    </row>
    <row r="492" customFormat="false" ht="26.85" hidden="false" customHeight="false" outlineLevel="0" collapsed="false">
      <c r="A492" s="41" t="s">
        <v>2127</v>
      </c>
      <c r="B492" s="41" t="s">
        <v>2128</v>
      </c>
      <c r="C492" s="41" t="s">
        <v>705</v>
      </c>
      <c r="D492" s="41" t="s">
        <v>676</v>
      </c>
      <c r="E492" s="41" t="s">
        <v>675</v>
      </c>
      <c r="F492" s="41" t="s">
        <v>675</v>
      </c>
      <c r="G492" s="41" t="s">
        <v>680</v>
      </c>
      <c r="H492" s="43" t="s">
        <v>1750</v>
      </c>
      <c r="I492" s="33" t="s">
        <v>680</v>
      </c>
      <c r="J492" s="33" t="s">
        <v>679</v>
      </c>
      <c r="K492" s="33" t="s">
        <v>680</v>
      </c>
      <c r="L492" s="33" t="s">
        <v>2129</v>
      </c>
      <c r="M492" s="33" t="s">
        <v>679</v>
      </c>
      <c r="N492" s="33" t="s">
        <v>2129</v>
      </c>
      <c r="O492" s="33" t="s">
        <v>680</v>
      </c>
      <c r="P492" s="33" t="s">
        <v>2129</v>
      </c>
      <c r="Q492" s="33" t="s">
        <v>2129</v>
      </c>
      <c r="R492" s="41" t="s">
        <v>2129</v>
      </c>
    </row>
    <row r="493" customFormat="false" ht="39.55" hidden="false" customHeight="false" outlineLevel="0" collapsed="false">
      <c r="A493" s="41" t="s">
        <v>2130</v>
      </c>
      <c r="B493" s="41" t="s">
        <v>2131</v>
      </c>
      <c r="C493" s="41" t="s">
        <v>705</v>
      </c>
      <c r="D493" s="41" t="s">
        <v>676</v>
      </c>
      <c r="E493" s="41" t="s">
        <v>675</v>
      </c>
      <c r="F493" s="41" t="s">
        <v>675</v>
      </c>
      <c r="G493" s="41" t="s">
        <v>680</v>
      </c>
      <c r="H493" s="43" t="s">
        <v>1750</v>
      </c>
      <c r="I493" s="33" t="s">
        <v>680</v>
      </c>
      <c r="J493" s="33" t="s">
        <v>679</v>
      </c>
      <c r="K493" s="33" t="s">
        <v>680</v>
      </c>
      <c r="L493" s="33" t="s">
        <v>2132</v>
      </c>
      <c r="M493" s="33" t="s">
        <v>679</v>
      </c>
      <c r="N493" s="33" t="s">
        <v>2132</v>
      </c>
      <c r="O493" s="33" t="s">
        <v>680</v>
      </c>
      <c r="P493" s="33" t="s">
        <v>2132</v>
      </c>
      <c r="Q493" s="33" t="s">
        <v>2132</v>
      </c>
      <c r="R493" s="41" t="s">
        <v>2132</v>
      </c>
    </row>
    <row r="494" customFormat="false" ht="26.85" hidden="false" customHeight="false" outlineLevel="0" collapsed="false">
      <c r="A494" s="41" t="s">
        <v>2133</v>
      </c>
      <c r="B494" s="41" t="s">
        <v>2134</v>
      </c>
      <c r="C494" s="41" t="s">
        <v>705</v>
      </c>
      <c r="D494" s="41" t="s">
        <v>676</v>
      </c>
      <c r="E494" s="41" t="s">
        <v>675</v>
      </c>
      <c r="F494" s="41" t="s">
        <v>675</v>
      </c>
      <c r="G494" s="41" t="s">
        <v>680</v>
      </c>
      <c r="H494" s="43" t="s">
        <v>1750</v>
      </c>
      <c r="I494" s="33" t="s">
        <v>680</v>
      </c>
      <c r="J494" s="33" t="s">
        <v>679</v>
      </c>
      <c r="K494" s="33" t="s">
        <v>680</v>
      </c>
      <c r="L494" s="33" t="s">
        <v>2135</v>
      </c>
      <c r="M494" s="33" t="s">
        <v>679</v>
      </c>
      <c r="N494" s="33" t="s">
        <v>2135</v>
      </c>
      <c r="O494" s="33" t="s">
        <v>680</v>
      </c>
      <c r="P494" s="33" t="s">
        <v>2135</v>
      </c>
      <c r="Q494" s="33" t="s">
        <v>2135</v>
      </c>
      <c r="R494" s="41" t="s">
        <v>2135</v>
      </c>
    </row>
    <row r="495" customFormat="false" ht="26.85" hidden="false" customHeight="false" outlineLevel="0" collapsed="false">
      <c r="A495" s="41" t="s">
        <v>2136</v>
      </c>
      <c r="B495" s="41" t="s">
        <v>2137</v>
      </c>
      <c r="C495" s="41" t="s">
        <v>705</v>
      </c>
      <c r="D495" s="41" t="s">
        <v>675</v>
      </c>
      <c r="E495" s="41" t="s">
        <v>676</v>
      </c>
      <c r="F495" s="41" t="s">
        <v>675</v>
      </c>
      <c r="G495" s="41" t="s">
        <v>680</v>
      </c>
      <c r="H495" s="43" t="s">
        <v>1750</v>
      </c>
      <c r="I495" s="33" t="s">
        <v>679</v>
      </c>
      <c r="J495" s="33" t="s">
        <v>680</v>
      </c>
      <c r="K495" s="33" t="s">
        <v>680</v>
      </c>
      <c r="L495" s="33" t="s">
        <v>679</v>
      </c>
      <c r="M495" s="33" t="s">
        <v>2138</v>
      </c>
      <c r="N495" s="33" t="s">
        <v>2138</v>
      </c>
      <c r="O495" s="33" t="s">
        <v>680</v>
      </c>
      <c r="P495" s="33" t="s">
        <v>2138</v>
      </c>
      <c r="Q495" s="33" t="s">
        <v>2138</v>
      </c>
      <c r="R495" s="41" t="s">
        <v>2138</v>
      </c>
    </row>
    <row r="496" customFormat="false" ht="26.85" hidden="false" customHeight="false" outlineLevel="0" collapsed="false">
      <c r="A496" s="41" t="s">
        <v>2139</v>
      </c>
      <c r="B496" s="41" t="s">
        <v>2140</v>
      </c>
      <c r="C496" s="41" t="s">
        <v>705</v>
      </c>
      <c r="D496" s="41" t="s">
        <v>675</v>
      </c>
      <c r="E496" s="41" t="s">
        <v>676</v>
      </c>
      <c r="F496" s="41" t="s">
        <v>675</v>
      </c>
      <c r="G496" s="41" t="s">
        <v>680</v>
      </c>
      <c r="H496" s="43" t="s">
        <v>1750</v>
      </c>
      <c r="I496" s="33" t="s">
        <v>679</v>
      </c>
      <c r="J496" s="33" t="s">
        <v>680</v>
      </c>
      <c r="K496" s="33" t="s">
        <v>680</v>
      </c>
      <c r="L496" s="33" t="s">
        <v>679</v>
      </c>
      <c r="M496" s="33" t="s">
        <v>2141</v>
      </c>
      <c r="N496" s="33" t="s">
        <v>2141</v>
      </c>
      <c r="O496" s="33" t="s">
        <v>680</v>
      </c>
      <c r="P496" s="33" t="s">
        <v>2141</v>
      </c>
      <c r="Q496" s="33" t="s">
        <v>2141</v>
      </c>
      <c r="R496" s="41" t="s">
        <v>2141</v>
      </c>
    </row>
    <row r="497" customFormat="false" ht="15" hidden="false" customHeight="false" outlineLevel="0" collapsed="false">
      <c r="A497" s="41" t="s">
        <v>2142</v>
      </c>
      <c r="B497" s="41" t="s">
        <v>2143</v>
      </c>
      <c r="C497" s="41" t="s">
        <v>705</v>
      </c>
      <c r="D497" s="41" t="s">
        <v>676</v>
      </c>
      <c r="E497" s="41" t="s">
        <v>675</v>
      </c>
      <c r="F497" s="41" t="s">
        <v>675</v>
      </c>
      <c r="G497" s="41" t="s">
        <v>680</v>
      </c>
      <c r="H497" s="43" t="s">
        <v>1750</v>
      </c>
      <c r="I497" s="33" t="s">
        <v>689</v>
      </c>
      <c r="J497" s="33" t="s">
        <v>679</v>
      </c>
      <c r="K497" s="33" t="s">
        <v>689</v>
      </c>
      <c r="L497" s="33" t="s">
        <v>2144</v>
      </c>
      <c r="M497" s="33" t="s">
        <v>679</v>
      </c>
      <c r="N497" s="33" t="s">
        <v>2144</v>
      </c>
      <c r="O497" s="33" t="s">
        <v>680</v>
      </c>
      <c r="P497" s="33" t="s">
        <v>2145</v>
      </c>
      <c r="Q497" s="33" t="s">
        <v>2145</v>
      </c>
      <c r="R497" s="41" t="s">
        <v>2145</v>
      </c>
    </row>
    <row r="498" customFormat="false" ht="26.85" hidden="false" customHeight="false" outlineLevel="0" collapsed="false">
      <c r="A498" s="41" t="s">
        <v>1522</v>
      </c>
      <c r="B498" s="41" t="s">
        <v>2146</v>
      </c>
      <c r="C498" s="41" t="s">
        <v>705</v>
      </c>
      <c r="D498" s="41" t="s">
        <v>675</v>
      </c>
      <c r="E498" s="41" t="s">
        <v>676</v>
      </c>
      <c r="F498" s="41" t="s">
        <v>675</v>
      </c>
      <c r="G498" s="41" t="s">
        <v>680</v>
      </c>
      <c r="H498" s="43" t="s">
        <v>1750</v>
      </c>
      <c r="I498" s="33" t="s">
        <v>679</v>
      </c>
      <c r="J498" s="33" t="s">
        <v>680</v>
      </c>
      <c r="K498" s="33" t="s">
        <v>680</v>
      </c>
      <c r="L498" s="33" t="s">
        <v>679</v>
      </c>
      <c r="M498" s="33" t="s">
        <v>1524</v>
      </c>
      <c r="N498" s="33" t="s">
        <v>1524</v>
      </c>
      <c r="O498" s="33" t="s">
        <v>680</v>
      </c>
      <c r="P498" s="33" t="s">
        <v>1524</v>
      </c>
      <c r="Q498" s="33" t="s">
        <v>1524</v>
      </c>
      <c r="R498" s="41" t="s">
        <v>1524</v>
      </c>
    </row>
    <row r="499" customFormat="false" ht="26.85" hidden="false" customHeight="false" outlineLevel="0" collapsed="false">
      <c r="A499" s="41" t="s">
        <v>2147</v>
      </c>
      <c r="B499" s="41" t="s">
        <v>2148</v>
      </c>
      <c r="C499" s="41" t="s">
        <v>705</v>
      </c>
      <c r="D499" s="41" t="s">
        <v>675</v>
      </c>
      <c r="E499" s="41" t="s">
        <v>676</v>
      </c>
      <c r="F499" s="41" t="s">
        <v>675</v>
      </c>
      <c r="G499" s="41" t="s">
        <v>680</v>
      </c>
      <c r="H499" s="43" t="s">
        <v>1750</v>
      </c>
      <c r="I499" s="33" t="s">
        <v>679</v>
      </c>
      <c r="J499" s="33" t="s">
        <v>680</v>
      </c>
      <c r="K499" s="33" t="s">
        <v>680</v>
      </c>
      <c r="L499" s="33" t="s">
        <v>679</v>
      </c>
      <c r="M499" s="33" t="s">
        <v>2149</v>
      </c>
      <c r="N499" s="33" t="s">
        <v>2149</v>
      </c>
      <c r="O499" s="33" t="s">
        <v>680</v>
      </c>
      <c r="P499" s="33" t="s">
        <v>2149</v>
      </c>
      <c r="Q499" s="33" t="s">
        <v>2149</v>
      </c>
      <c r="R499" s="41" t="s">
        <v>2149</v>
      </c>
    </row>
    <row r="500" customFormat="false" ht="15" hidden="false" customHeight="false" outlineLevel="0" collapsed="false">
      <c r="A500" s="41" t="s">
        <v>2150</v>
      </c>
      <c r="B500" s="41" t="s">
        <v>2151</v>
      </c>
      <c r="C500" s="41" t="s">
        <v>705</v>
      </c>
      <c r="D500" s="41" t="s">
        <v>675</v>
      </c>
      <c r="E500" s="41" t="s">
        <v>676</v>
      </c>
      <c r="F500" s="41" t="s">
        <v>675</v>
      </c>
      <c r="G500" s="41" t="s">
        <v>680</v>
      </c>
      <c r="H500" s="43" t="s">
        <v>1750</v>
      </c>
      <c r="I500" s="33" t="s">
        <v>679</v>
      </c>
      <c r="J500" s="33" t="s">
        <v>680</v>
      </c>
      <c r="K500" s="33" t="s">
        <v>680</v>
      </c>
      <c r="L500" s="33" t="s">
        <v>679</v>
      </c>
      <c r="M500" s="33" t="s">
        <v>2152</v>
      </c>
      <c r="N500" s="33" t="s">
        <v>2152</v>
      </c>
      <c r="O500" s="33" t="s">
        <v>680</v>
      </c>
      <c r="P500" s="33" t="s">
        <v>2152</v>
      </c>
      <c r="Q500" s="33" t="s">
        <v>2152</v>
      </c>
      <c r="R500" s="41" t="s">
        <v>2152</v>
      </c>
    </row>
    <row r="501" customFormat="false" ht="26.85" hidden="false" customHeight="false" outlineLevel="0" collapsed="false">
      <c r="A501" s="41" t="s">
        <v>2153</v>
      </c>
      <c r="B501" s="41" t="s">
        <v>2154</v>
      </c>
      <c r="C501" s="41" t="s">
        <v>705</v>
      </c>
      <c r="D501" s="41" t="s">
        <v>676</v>
      </c>
      <c r="E501" s="41" t="s">
        <v>675</v>
      </c>
      <c r="F501" s="41" t="s">
        <v>675</v>
      </c>
      <c r="G501" s="41" t="s">
        <v>680</v>
      </c>
      <c r="H501" s="43" t="s">
        <v>1750</v>
      </c>
      <c r="I501" s="33" t="s">
        <v>680</v>
      </c>
      <c r="J501" s="33" t="s">
        <v>679</v>
      </c>
      <c r="K501" s="33" t="s">
        <v>680</v>
      </c>
      <c r="L501" s="33" t="s">
        <v>2155</v>
      </c>
      <c r="M501" s="33" t="s">
        <v>679</v>
      </c>
      <c r="N501" s="33" t="s">
        <v>2155</v>
      </c>
      <c r="O501" s="33" t="s">
        <v>680</v>
      </c>
      <c r="P501" s="33" t="s">
        <v>2155</v>
      </c>
      <c r="Q501" s="33" t="s">
        <v>2155</v>
      </c>
      <c r="R501" s="41" t="s">
        <v>2155</v>
      </c>
    </row>
    <row r="502" customFormat="false" ht="15" hidden="false" customHeight="false" outlineLevel="0" collapsed="false">
      <c r="A502" s="41" t="s">
        <v>2156</v>
      </c>
      <c r="B502" s="41" t="s">
        <v>2157</v>
      </c>
      <c r="C502" s="41" t="s">
        <v>705</v>
      </c>
      <c r="D502" s="41" t="s">
        <v>676</v>
      </c>
      <c r="E502" s="41" t="s">
        <v>675</v>
      </c>
      <c r="F502" s="41" t="s">
        <v>675</v>
      </c>
      <c r="G502" s="41" t="s">
        <v>680</v>
      </c>
      <c r="H502" s="43" t="s">
        <v>1750</v>
      </c>
      <c r="I502" s="33" t="s">
        <v>680</v>
      </c>
      <c r="J502" s="33" t="s">
        <v>679</v>
      </c>
      <c r="K502" s="33" t="s">
        <v>680</v>
      </c>
      <c r="L502" s="33" t="s">
        <v>689</v>
      </c>
      <c r="M502" s="33" t="s">
        <v>679</v>
      </c>
      <c r="N502" s="33" t="s">
        <v>689</v>
      </c>
      <c r="O502" s="33" t="s">
        <v>680</v>
      </c>
      <c r="P502" s="33" t="s">
        <v>689</v>
      </c>
      <c r="Q502" s="33" t="s">
        <v>689</v>
      </c>
      <c r="R502" s="41" t="s">
        <v>689</v>
      </c>
    </row>
    <row r="503" customFormat="false" ht="26.85" hidden="false" customHeight="false" outlineLevel="0" collapsed="false">
      <c r="A503" s="41" t="s">
        <v>2158</v>
      </c>
      <c r="B503" s="41" t="s">
        <v>2159</v>
      </c>
      <c r="C503" s="41" t="s">
        <v>705</v>
      </c>
      <c r="D503" s="41" t="s">
        <v>676</v>
      </c>
      <c r="E503" s="41" t="s">
        <v>675</v>
      </c>
      <c r="F503" s="41" t="s">
        <v>675</v>
      </c>
      <c r="G503" s="41" t="s">
        <v>680</v>
      </c>
      <c r="H503" s="43" t="s">
        <v>1750</v>
      </c>
      <c r="I503" s="33" t="s">
        <v>680</v>
      </c>
      <c r="J503" s="33" t="s">
        <v>679</v>
      </c>
      <c r="K503" s="33" t="s">
        <v>680</v>
      </c>
      <c r="L503" s="33" t="s">
        <v>2160</v>
      </c>
      <c r="M503" s="33" t="s">
        <v>679</v>
      </c>
      <c r="N503" s="33" t="s">
        <v>2160</v>
      </c>
      <c r="O503" s="33" t="s">
        <v>680</v>
      </c>
      <c r="P503" s="33" t="s">
        <v>2160</v>
      </c>
      <c r="Q503" s="33" t="s">
        <v>2160</v>
      </c>
      <c r="R503" s="41" t="s">
        <v>2160</v>
      </c>
    </row>
    <row r="504" customFormat="false" ht="15" hidden="false" customHeight="false" outlineLevel="0" collapsed="false">
      <c r="A504" s="41" t="s">
        <v>2161</v>
      </c>
      <c r="B504" s="41" t="s">
        <v>2162</v>
      </c>
      <c r="C504" s="41" t="s">
        <v>705</v>
      </c>
      <c r="D504" s="41" t="s">
        <v>676</v>
      </c>
      <c r="E504" s="41" t="s">
        <v>675</v>
      </c>
      <c r="F504" s="41" t="s">
        <v>675</v>
      </c>
      <c r="G504" s="41" t="s">
        <v>680</v>
      </c>
      <c r="H504" s="43" t="s">
        <v>1750</v>
      </c>
      <c r="I504" s="33" t="s">
        <v>680</v>
      </c>
      <c r="J504" s="33" t="s">
        <v>679</v>
      </c>
      <c r="K504" s="33" t="s">
        <v>680</v>
      </c>
      <c r="L504" s="33" t="s">
        <v>729</v>
      </c>
      <c r="M504" s="33" t="s">
        <v>679</v>
      </c>
      <c r="N504" s="33" t="s">
        <v>729</v>
      </c>
      <c r="O504" s="33" t="s">
        <v>680</v>
      </c>
      <c r="P504" s="33" t="s">
        <v>729</v>
      </c>
      <c r="Q504" s="33" t="s">
        <v>729</v>
      </c>
      <c r="R504" s="41" t="s">
        <v>729</v>
      </c>
    </row>
    <row r="505" customFormat="false" ht="15" hidden="false" customHeight="false" outlineLevel="0" collapsed="false">
      <c r="A505" s="41" t="s">
        <v>2163</v>
      </c>
      <c r="B505" s="41" t="s">
        <v>2164</v>
      </c>
      <c r="C505" s="41" t="s">
        <v>705</v>
      </c>
      <c r="D505" s="41" t="s">
        <v>675</v>
      </c>
      <c r="E505" s="41" t="s">
        <v>676</v>
      </c>
      <c r="F505" s="41" t="s">
        <v>675</v>
      </c>
      <c r="G505" s="41" t="s">
        <v>680</v>
      </c>
      <c r="H505" s="43" t="s">
        <v>1750</v>
      </c>
      <c r="I505" s="33" t="s">
        <v>679</v>
      </c>
      <c r="J505" s="33" t="s">
        <v>680</v>
      </c>
      <c r="K505" s="33" t="s">
        <v>680</v>
      </c>
      <c r="L505" s="33" t="s">
        <v>679</v>
      </c>
      <c r="M505" s="33" t="s">
        <v>2165</v>
      </c>
      <c r="N505" s="33" t="s">
        <v>2165</v>
      </c>
      <c r="O505" s="33" t="s">
        <v>680</v>
      </c>
      <c r="P505" s="33" t="s">
        <v>2165</v>
      </c>
      <c r="Q505" s="33" t="s">
        <v>2165</v>
      </c>
      <c r="R505" s="41" t="s">
        <v>2165</v>
      </c>
    </row>
    <row r="506" customFormat="false" ht="15" hidden="false" customHeight="false" outlineLevel="0" collapsed="false">
      <c r="A506" s="41" t="s">
        <v>2166</v>
      </c>
      <c r="B506" s="41" t="s">
        <v>2167</v>
      </c>
      <c r="C506" s="41" t="s">
        <v>705</v>
      </c>
      <c r="D506" s="41" t="s">
        <v>676</v>
      </c>
      <c r="E506" s="41" t="s">
        <v>675</v>
      </c>
      <c r="F506" s="41" t="s">
        <v>675</v>
      </c>
      <c r="G506" s="41" t="s">
        <v>680</v>
      </c>
      <c r="H506" s="43" t="s">
        <v>1750</v>
      </c>
      <c r="I506" s="33" t="s">
        <v>689</v>
      </c>
      <c r="J506" s="33" t="s">
        <v>679</v>
      </c>
      <c r="K506" s="33" t="s">
        <v>689</v>
      </c>
      <c r="L506" s="33" t="s">
        <v>2168</v>
      </c>
      <c r="M506" s="33" t="s">
        <v>679</v>
      </c>
      <c r="N506" s="33" t="s">
        <v>2168</v>
      </c>
      <c r="O506" s="33" t="s">
        <v>680</v>
      </c>
      <c r="P506" s="33" t="s">
        <v>1720</v>
      </c>
      <c r="Q506" s="33" t="s">
        <v>1720</v>
      </c>
      <c r="R506" s="41" t="s">
        <v>1720</v>
      </c>
    </row>
    <row r="507" customFormat="false" ht="26.85" hidden="false" customHeight="false" outlineLevel="0" collapsed="false">
      <c r="A507" s="41" t="s">
        <v>1727</v>
      </c>
      <c r="B507" s="41" t="s">
        <v>2169</v>
      </c>
      <c r="C507" s="41" t="s">
        <v>705</v>
      </c>
      <c r="D507" s="41" t="s">
        <v>676</v>
      </c>
      <c r="E507" s="41" t="s">
        <v>675</v>
      </c>
      <c r="F507" s="41" t="s">
        <v>675</v>
      </c>
      <c r="G507" s="41" t="s">
        <v>680</v>
      </c>
      <c r="H507" s="43" t="s">
        <v>1750</v>
      </c>
      <c r="I507" s="33" t="s">
        <v>680</v>
      </c>
      <c r="J507" s="33" t="s">
        <v>679</v>
      </c>
      <c r="K507" s="33" t="s">
        <v>680</v>
      </c>
      <c r="L507" s="33" t="s">
        <v>2170</v>
      </c>
      <c r="M507" s="33" t="s">
        <v>679</v>
      </c>
      <c r="N507" s="33" t="s">
        <v>2170</v>
      </c>
      <c r="O507" s="33" t="s">
        <v>680</v>
      </c>
      <c r="P507" s="33" t="s">
        <v>2170</v>
      </c>
      <c r="Q507" s="33" t="s">
        <v>2170</v>
      </c>
      <c r="R507" s="41" t="s">
        <v>2170</v>
      </c>
    </row>
    <row r="508" customFormat="false" ht="15" hidden="false" customHeight="false" outlineLevel="0" collapsed="false">
      <c r="A508" s="41" t="s">
        <v>2171</v>
      </c>
      <c r="B508" s="41" t="s">
        <v>2172</v>
      </c>
      <c r="C508" s="41" t="s">
        <v>705</v>
      </c>
      <c r="D508" s="41" t="s">
        <v>676</v>
      </c>
      <c r="E508" s="41" t="s">
        <v>675</v>
      </c>
      <c r="F508" s="41" t="s">
        <v>675</v>
      </c>
      <c r="G508" s="41" t="s">
        <v>680</v>
      </c>
      <c r="H508" s="43" t="s">
        <v>1750</v>
      </c>
      <c r="I508" s="33" t="s">
        <v>680</v>
      </c>
      <c r="J508" s="33" t="s">
        <v>679</v>
      </c>
      <c r="K508" s="33" t="s">
        <v>680</v>
      </c>
      <c r="L508" s="33" t="s">
        <v>2173</v>
      </c>
      <c r="M508" s="33" t="s">
        <v>679</v>
      </c>
      <c r="N508" s="33" t="s">
        <v>2173</v>
      </c>
      <c r="O508" s="33" t="s">
        <v>680</v>
      </c>
      <c r="P508" s="33" t="s">
        <v>2173</v>
      </c>
      <c r="Q508" s="33" t="s">
        <v>2173</v>
      </c>
      <c r="R508" s="41" t="s">
        <v>2173</v>
      </c>
    </row>
    <row r="509" customFormat="false" ht="26.85" hidden="false" customHeight="false" outlineLevel="0" collapsed="false">
      <c r="A509" s="41" t="s">
        <v>2174</v>
      </c>
      <c r="B509" s="41" t="s">
        <v>2175</v>
      </c>
      <c r="C509" s="41" t="s">
        <v>705</v>
      </c>
      <c r="D509" s="41" t="s">
        <v>676</v>
      </c>
      <c r="E509" s="41" t="s">
        <v>675</v>
      </c>
      <c r="F509" s="41" t="s">
        <v>675</v>
      </c>
      <c r="G509" s="41" t="s">
        <v>680</v>
      </c>
      <c r="H509" s="43" t="s">
        <v>1750</v>
      </c>
      <c r="I509" s="33" t="s">
        <v>680</v>
      </c>
      <c r="J509" s="33" t="s">
        <v>679</v>
      </c>
      <c r="K509" s="33" t="s">
        <v>680</v>
      </c>
      <c r="L509" s="33" t="s">
        <v>2176</v>
      </c>
      <c r="M509" s="33" t="s">
        <v>679</v>
      </c>
      <c r="N509" s="33" t="s">
        <v>2176</v>
      </c>
      <c r="O509" s="33" t="s">
        <v>680</v>
      </c>
      <c r="P509" s="33" t="s">
        <v>2176</v>
      </c>
      <c r="Q509" s="33" t="s">
        <v>2176</v>
      </c>
      <c r="R509" s="41" t="s">
        <v>2176</v>
      </c>
    </row>
    <row r="510" customFormat="false" ht="26.85" hidden="false" customHeight="false" outlineLevel="0" collapsed="false">
      <c r="A510" s="41" t="s">
        <v>2177</v>
      </c>
      <c r="B510" s="41" t="s">
        <v>2039</v>
      </c>
      <c r="C510" s="41" t="s">
        <v>705</v>
      </c>
      <c r="D510" s="41" t="s">
        <v>676</v>
      </c>
      <c r="E510" s="41" t="s">
        <v>675</v>
      </c>
      <c r="F510" s="41" t="s">
        <v>676</v>
      </c>
      <c r="G510" s="41" t="s">
        <v>680</v>
      </c>
      <c r="H510" s="43" t="s">
        <v>1750</v>
      </c>
      <c r="I510" s="33" t="s">
        <v>679</v>
      </c>
      <c r="J510" s="33" t="s">
        <v>679</v>
      </c>
      <c r="K510" s="33" t="s">
        <v>679</v>
      </c>
      <c r="L510" s="33" t="s">
        <v>679</v>
      </c>
      <c r="M510" s="33" t="s">
        <v>679</v>
      </c>
      <c r="N510" s="33" t="s">
        <v>679</v>
      </c>
      <c r="O510" s="33" t="s">
        <v>680</v>
      </c>
      <c r="P510" s="33" t="s">
        <v>2178</v>
      </c>
      <c r="Q510" s="33" t="s">
        <v>2178</v>
      </c>
      <c r="R510" s="41" t="s">
        <v>2178</v>
      </c>
    </row>
    <row r="511" customFormat="false" ht="26.85" hidden="false" customHeight="false" outlineLevel="0" collapsed="false">
      <c r="A511" s="41" t="s">
        <v>2179</v>
      </c>
      <c r="B511" s="41" t="s">
        <v>2180</v>
      </c>
      <c r="C511" s="41" t="s">
        <v>705</v>
      </c>
      <c r="D511" s="41" t="s">
        <v>676</v>
      </c>
      <c r="E511" s="41" t="s">
        <v>675</v>
      </c>
      <c r="F511" s="41" t="s">
        <v>675</v>
      </c>
      <c r="G511" s="41" t="s">
        <v>680</v>
      </c>
      <c r="H511" s="43" t="s">
        <v>1750</v>
      </c>
      <c r="I511" s="33" t="s">
        <v>680</v>
      </c>
      <c r="J511" s="33" t="s">
        <v>679</v>
      </c>
      <c r="K511" s="33" t="s">
        <v>680</v>
      </c>
      <c r="L511" s="33" t="s">
        <v>2181</v>
      </c>
      <c r="M511" s="33" t="s">
        <v>679</v>
      </c>
      <c r="N511" s="33" t="s">
        <v>2181</v>
      </c>
      <c r="O511" s="33" t="s">
        <v>680</v>
      </c>
      <c r="P511" s="33" t="s">
        <v>2181</v>
      </c>
      <c r="Q511" s="33" t="s">
        <v>2181</v>
      </c>
      <c r="R511" s="41" t="s">
        <v>2181</v>
      </c>
    </row>
    <row r="512" customFormat="false" ht="39.55" hidden="false" customHeight="false" outlineLevel="0" collapsed="false">
      <c r="A512" s="41" t="s">
        <v>2182</v>
      </c>
      <c r="B512" s="41" t="s">
        <v>2183</v>
      </c>
      <c r="C512" s="41" t="s">
        <v>705</v>
      </c>
      <c r="D512" s="41" t="s">
        <v>676</v>
      </c>
      <c r="E512" s="41" t="s">
        <v>675</v>
      </c>
      <c r="F512" s="41" t="s">
        <v>675</v>
      </c>
      <c r="G512" s="41" t="s">
        <v>680</v>
      </c>
      <c r="H512" s="43" t="s">
        <v>1750</v>
      </c>
      <c r="I512" s="33" t="s">
        <v>684</v>
      </c>
      <c r="J512" s="33" t="s">
        <v>679</v>
      </c>
      <c r="K512" s="33" t="s">
        <v>684</v>
      </c>
      <c r="L512" s="33" t="s">
        <v>1335</v>
      </c>
      <c r="M512" s="33" t="s">
        <v>679</v>
      </c>
      <c r="N512" s="33" t="s">
        <v>1335</v>
      </c>
      <c r="O512" s="33" t="s">
        <v>680</v>
      </c>
      <c r="P512" s="33" t="s">
        <v>2184</v>
      </c>
      <c r="Q512" s="33" t="s">
        <v>2184</v>
      </c>
      <c r="R512" s="41" t="s">
        <v>2184</v>
      </c>
    </row>
    <row r="513" customFormat="false" ht="26.85" hidden="false" customHeight="false" outlineLevel="0" collapsed="false">
      <c r="A513" s="41" t="s">
        <v>2185</v>
      </c>
      <c r="B513" s="41" t="s">
        <v>2186</v>
      </c>
      <c r="C513" s="41" t="s">
        <v>705</v>
      </c>
      <c r="D513" s="41" t="s">
        <v>676</v>
      </c>
      <c r="E513" s="41" t="s">
        <v>675</v>
      </c>
      <c r="F513" s="41" t="s">
        <v>675</v>
      </c>
      <c r="G513" s="41" t="s">
        <v>680</v>
      </c>
      <c r="H513" s="43" t="s">
        <v>1750</v>
      </c>
      <c r="I513" s="33" t="s">
        <v>684</v>
      </c>
      <c r="J513" s="33" t="s">
        <v>679</v>
      </c>
      <c r="K513" s="33" t="s">
        <v>684</v>
      </c>
      <c r="L513" s="33" t="s">
        <v>2187</v>
      </c>
      <c r="M513" s="33" t="s">
        <v>679</v>
      </c>
      <c r="N513" s="33" t="s">
        <v>2187</v>
      </c>
      <c r="O513" s="33" t="s">
        <v>680</v>
      </c>
      <c r="P513" s="33" t="s">
        <v>2188</v>
      </c>
      <c r="Q513" s="33" t="s">
        <v>2188</v>
      </c>
      <c r="R513" s="41" t="s">
        <v>2188</v>
      </c>
    </row>
    <row r="514" customFormat="false" ht="15" hidden="false" customHeight="false" outlineLevel="0" collapsed="false">
      <c r="A514" s="41" t="s">
        <v>1382</v>
      </c>
      <c r="B514" s="41" t="s">
        <v>2189</v>
      </c>
      <c r="C514" s="41" t="s">
        <v>705</v>
      </c>
      <c r="D514" s="41" t="s">
        <v>676</v>
      </c>
      <c r="E514" s="41" t="s">
        <v>675</v>
      </c>
      <c r="F514" s="41" t="s">
        <v>675</v>
      </c>
      <c r="G514" s="41" t="s">
        <v>680</v>
      </c>
      <c r="H514" s="43" t="s">
        <v>1750</v>
      </c>
      <c r="I514" s="33" t="s">
        <v>680</v>
      </c>
      <c r="J514" s="33" t="s">
        <v>679</v>
      </c>
      <c r="K514" s="33" t="s">
        <v>680</v>
      </c>
      <c r="L514" s="33" t="s">
        <v>1386</v>
      </c>
      <c r="M514" s="33" t="s">
        <v>679</v>
      </c>
      <c r="N514" s="33" t="s">
        <v>1386</v>
      </c>
      <c r="O514" s="33" t="s">
        <v>680</v>
      </c>
      <c r="P514" s="33" t="s">
        <v>1386</v>
      </c>
      <c r="Q514" s="33" t="s">
        <v>1386</v>
      </c>
      <c r="R514" s="41" t="s">
        <v>1386</v>
      </c>
    </row>
    <row r="515" customFormat="false" ht="15" hidden="false" customHeight="false" outlineLevel="0" collapsed="false">
      <c r="A515" s="41" t="s">
        <v>2190</v>
      </c>
      <c r="B515" s="41" t="s">
        <v>2191</v>
      </c>
      <c r="C515" s="41" t="s">
        <v>705</v>
      </c>
      <c r="D515" s="41" t="s">
        <v>676</v>
      </c>
      <c r="E515" s="41" t="s">
        <v>675</v>
      </c>
      <c r="F515" s="41" t="s">
        <v>675</v>
      </c>
      <c r="G515" s="41" t="s">
        <v>680</v>
      </c>
      <c r="H515" s="43" t="s">
        <v>1750</v>
      </c>
      <c r="I515" s="33" t="s">
        <v>680</v>
      </c>
      <c r="J515" s="33" t="s">
        <v>679</v>
      </c>
      <c r="K515" s="33" t="s">
        <v>680</v>
      </c>
      <c r="L515" s="33" t="s">
        <v>2192</v>
      </c>
      <c r="M515" s="33" t="s">
        <v>679</v>
      </c>
      <c r="N515" s="33" t="s">
        <v>2192</v>
      </c>
      <c r="O515" s="33" t="s">
        <v>680</v>
      </c>
      <c r="P515" s="33" t="s">
        <v>2192</v>
      </c>
      <c r="Q515" s="33" t="s">
        <v>2192</v>
      </c>
      <c r="R515" s="41" t="s">
        <v>2192</v>
      </c>
    </row>
    <row r="516" customFormat="false" ht="15" hidden="false" customHeight="false" outlineLevel="0" collapsed="false">
      <c r="A516" s="41" t="s">
        <v>2193</v>
      </c>
      <c r="B516" s="41" t="s">
        <v>2194</v>
      </c>
      <c r="C516" s="41" t="s">
        <v>705</v>
      </c>
      <c r="D516" s="41" t="s">
        <v>676</v>
      </c>
      <c r="E516" s="41" t="s">
        <v>675</v>
      </c>
      <c r="F516" s="41" t="s">
        <v>675</v>
      </c>
      <c r="G516" s="41" t="s">
        <v>680</v>
      </c>
      <c r="H516" s="43" t="s">
        <v>1750</v>
      </c>
      <c r="I516" s="33" t="s">
        <v>684</v>
      </c>
      <c r="J516" s="33" t="s">
        <v>679</v>
      </c>
      <c r="K516" s="33" t="s">
        <v>684</v>
      </c>
      <c r="L516" s="33" t="s">
        <v>2195</v>
      </c>
      <c r="M516" s="33" t="s">
        <v>679</v>
      </c>
      <c r="N516" s="33" t="s">
        <v>2195</v>
      </c>
      <c r="O516" s="33" t="s">
        <v>680</v>
      </c>
      <c r="P516" s="33" t="s">
        <v>2196</v>
      </c>
      <c r="Q516" s="33" t="s">
        <v>2196</v>
      </c>
      <c r="R516" s="41" t="s">
        <v>2196</v>
      </c>
    </row>
    <row r="517" customFormat="false" ht="15" hidden="false" customHeight="false" outlineLevel="0" collapsed="false">
      <c r="A517" s="41" t="s">
        <v>2197</v>
      </c>
      <c r="B517" s="41" t="s">
        <v>2198</v>
      </c>
      <c r="C517" s="41" t="s">
        <v>705</v>
      </c>
      <c r="D517" s="41" t="s">
        <v>676</v>
      </c>
      <c r="E517" s="41" t="s">
        <v>675</v>
      </c>
      <c r="F517" s="41" t="s">
        <v>675</v>
      </c>
      <c r="G517" s="41" t="s">
        <v>680</v>
      </c>
      <c r="H517" s="43" t="s">
        <v>1750</v>
      </c>
      <c r="I517" s="33" t="s">
        <v>684</v>
      </c>
      <c r="J517" s="33" t="s">
        <v>679</v>
      </c>
      <c r="K517" s="33" t="s">
        <v>684</v>
      </c>
      <c r="L517" s="33" t="s">
        <v>2199</v>
      </c>
      <c r="M517" s="33" t="s">
        <v>679</v>
      </c>
      <c r="N517" s="33" t="s">
        <v>2199</v>
      </c>
      <c r="O517" s="33" t="s">
        <v>680</v>
      </c>
      <c r="P517" s="33" t="s">
        <v>2200</v>
      </c>
      <c r="Q517" s="33" t="s">
        <v>2200</v>
      </c>
      <c r="R517" s="41" t="s">
        <v>2200</v>
      </c>
    </row>
    <row r="518" customFormat="false" ht="26.85" hidden="false" customHeight="false" outlineLevel="0" collapsed="false">
      <c r="A518" s="41" t="s">
        <v>2201</v>
      </c>
      <c r="B518" s="41" t="s">
        <v>2202</v>
      </c>
      <c r="C518" s="41" t="s">
        <v>705</v>
      </c>
      <c r="D518" s="41" t="s">
        <v>675</v>
      </c>
      <c r="E518" s="41" t="s">
        <v>676</v>
      </c>
      <c r="F518" s="41" t="s">
        <v>675</v>
      </c>
      <c r="G518" s="41" t="s">
        <v>680</v>
      </c>
      <c r="H518" s="43" t="s">
        <v>1750</v>
      </c>
      <c r="I518" s="33" t="s">
        <v>679</v>
      </c>
      <c r="J518" s="33" t="s">
        <v>684</v>
      </c>
      <c r="K518" s="33" t="s">
        <v>684</v>
      </c>
      <c r="L518" s="33" t="s">
        <v>679</v>
      </c>
      <c r="M518" s="33" t="s">
        <v>2203</v>
      </c>
      <c r="N518" s="33" t="s">
        <v>2203</v>
      </c>
      <c r="O518" s="33" t="s">
        <v>680</v>
      </c>
      <c r="P518" s="33" t="s">
        <v>797</v>
      </c>
      <c r="Q518" s="33" t="s">
        <v>797</v>
      </c>
      <c r="R518" s="41" t="s">
        <v>797</v>
      </c>
    </row>
    <row r="519" customFormat="false" ht="15" hidden="false" customHeight="false" outlineLevel="0" collapsed="false">
      <c r="A519" s="41" t="s">
        <v>2204</v>
      </c>
      <c r="B519" s="41" t="s">
        <v>2205</v>
      </c>
      <c r="C519" s="41" t="s">
        <v>705</v>
      </c>
      <c r="D519" s="41" t="s">
        <v>675</v>
      </c>
      <c r="E519" s="41" t="s">
        <v>676</v>
      </c>
      <c r="F519" s="41" t="s">
        <v>675</v>
      </c>
      <c r="G519" s="41" t="s">
        <v>680</v>
      </c>
      <c r="H519" s="43" t="s">
        <v>1750</v>
      </c>
      <c r="I519" s="33" t="s">
        <v>679</v>
      </c>
      <c r="J519" s="33" t="s">
        <v>680</v>
      </c>
      <c r="K519" s="33" t="s">
        <v>680</v>
      </c>
      <c r="L519" s="33" t="s">
        <v>679</v>
      </c>
      <c r="M519" s="33" t="s">
        <v>900</v>
      </c>
      <c r="N519" s="33" t="s">
        <v>900</v>
      </c>
      <c r="O519" s="33" t="s">
        <v>680</v>
      </c>
      <c r="P519" s="33" t="s">
        <v>900</v>
      </c>
      <c r="Q519" s="33" t="s">
        <v>900</v>
      </c>
      <c r="R519" s="41" t="s">
        <v>900</v>
      </c>
    </row>
    <row r="520" customFormat="false" ht="15" hidden="false" customHeight="false" outlineLevel="0" collapsed="false">
      <c r="A520" s="41" t="s">
        <v>2206</v>
      </c>
      <c r="B520" s="41" t="s">
        <v>2207</v>
      </c>
      <c r="C520" s="41" t="s">
        <v>705</v>
      </c>
      <c r="D520" s="41" t="s">
        <v>675</v>
      </c>
      <c r="E520" s="41" t="s">
        <v>676</v>
      </c>
      <c r="F520" s="41" t="s">
        <v>675</v>
      </c>
      <c r="G520" s="41" t="s">
        <v>680</v>
      </c>
      <c r="H520" s="43" t="s">
        <v>1750</v>
      </c>
      <c r="I520" s="33" t="s">
        <v>679</v>
      </c>
      <c r="J520" s="33" t="s">
        <v>680</v>
      </c>
      <c r="K520" s="33" t="s">
        <v>680</v>
      </c>
      <c r="L520" s="33" t="s">
        <v>679</v>
      </c>
      <c r="M520" s="33" t="s">
        <v>2208</v>
      </c>
      <c r="N520" s="33" t="s">
        <v>2208</v>
      </c>
      <c r="O520" s="33" t="s">
        <v>680</v>
      </c>
      <c r="P520" s="33" t="s">
        <v>2208</v>
      </c>
      <c r="Q520" s="33" t="s">
        <v>2208</v>
      </c>
      <c r="R520" s="41" t="s">
        <v>2208</v>
      </c>
    </row>
  </sheetData>
  <autoFilter ref="A3:R5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24"/>
    <col collapsed="false" customWidth="true" hidden="false" outlineLevel="0" max="5" min="5" style="0" width="10"/>
    <col collapsed="false" customWidth="true" hidden="false" outlineLevel="0" max="6" min="6" style="0" width="12"/>
    <col collapsed="false" customWidth="true" hidden="false" outlineLevel="0" max="10" min="7" style="0" width="10"/>
    <col collapsed="false" customWidth="true" hidden="false" outlineLevel="0" max="14" min="11" style="0" width="14"/>
    <col collapsed="false" customWidth="true" hidden="false" outlineLevel="0" max="15" min="15" style="0" width="16"/>
    <col collapsed="false" customWidth="true" hidden="false" outlineLevel="0" max="16" min="16" style="0" width="14"/>
  </cols>
  <sheetData>
    <row r="1" customFormat="false" ht="15" hidden="false" customHeight="false" outlineLevel="0" collapsed="false">
      <c r="A1" s="1" t="s">
        <v>2209</v>
      </c>
      <c r="B1" s="1"/>
      <c r="C1" s="1"/>
      <c r="D1" s="1"/>
      <c r="E1" s="1"/>
      <c r="F1" s="1"/>
      <c r="G1" s="1"/>
      <c r="H1" s="1"/>
      <c r="I1" s="1"/>
      <c r="J1" s="1"/>
      <c r="K1" s="1"/>
      <c r="L1" s="1"/>
      <c r="M1" s="1"/>
      <c r="N1" s="1"/>
      <c r="O1" s="1"/>
      <c r="P1" s="1"/>
    </row>
    <row r="3" customFormat="false" ht="26.85" hidden="false" customHeight="false" outlineLevel="0" collapsed="false">
      <c r="A3" s="37" t="s">
        <v>326</v>
      </c>
      <c r="B3" s="37" t="s">
        <v>327</v>
      </c>
      <c r="C3" s="37" t="s">
        <v>302</v>
      </c>
      <c r="D3" s="37" t="s">
        <v>210</v>
      </c>
      <c r="E3" s="37" t="s">
        <v>661</v>
      </c>
      <c r="F3" s="37" t="s">
        <v>192</v>
      </c>
      <c r="G3" s="37" t="s">
        <v>211</v>
      </c>
      <c r="H3" s="37" t="s">
        <v>212</v>
      </c>
      <c r="I3" s="37" t="s">
        <v>213</v>
      </c>
      <c r="J3" s="37" t="s">
        <v>2210</v>
      </c>
      <c r="K3" s="37" t="s">
        <v>2211</v>
      </c>
      <c r="L3" s="37" t="s">
        <v>2212</v>
      </c>
      <c r="M3" s="37" t="s">
        <v>2213</v>
      </c>
      <c r="N3" s="37" t="s">
        <v>2214</v>
      </c>
      <c r="O3" s="37" t="s">
        <v>191</v>
      </c>
      <c r="P3" s="37" t="s">
        <v>2215</v>
      </c>
    </row>
    <row r="4" customFormat="false" ht="15" hidden="false" customHeight="false" outlineLevel="0" collapsed="false">
      <c r="A4" s="41" t="s">
        <v>290</v>
      </c>
      <c r="B4" s="14" t="s">
        <v>289</v>
      </c>
      <c r="C4" s="14" t="s">
        <v>81</v>
      </c>
      <c r="D4" s="14" t="s">
        <v>289</v>
      </c>
      <c r="E4" s="41" t="s">
        <v>680</v>
      </c>
      <c r="F4" s="43" t="s">
        <v>1750</v>
      </c>
      <c r="G4" s="33" t="s">
        <v>680</v>
      </c>
      <c r="H4" s="33" t="s">
        <v>680</v>
      </c>
      <c r="I4" s="33" t="s">
        <v>680</v>
      </c>
      <c r="J4" s="41" t="s">
        <v>2216</v>
      </c>
      <c r="K4" s="33" t="s">
        <v>1179</v>
      </c>
      <c r="L4" s="33" t="s">
        <v>336</v>
      </c>
      <c r="M4" s="33" t="s">
        <v>2217</v>
      </c>
      <c r="N4" s="33" t="s">
        <v>2217</v>
      </c>
      <c r="O4" s="33" t="s">
        <v>2217</v>
      </c>
      <c r="P4" s="41" t="s">
        <v>25</v>
      </c>
    </row>
    <row r="5" customFormat="false" ht="15" hidden="false" customHeight="false" outlineLevel="0" collapsed="false">
      <c r="A5" s="41" t="s">
        <v>275</v>
      </c>
      <c r="B5" s="14" t="s">
        <v>273</v>
      </c>
      <c r="C5" s="14" t="s">
        <v>81</v>
      </c>
      <c r="D5" s="14" t="s">
        <v>274</v>
      </c>
      <c r="E5" s="41" t="s">
        <v>680</v>
      </c>
      <c r="F5" s="43" t="s">
        <v>1750</v>
      </c>
      <c r="G5" s="33" t="s">
        <v>680</v>
      </c>
      <c r="H5" s="33" t="s">
        <v>680</v>
      </c>
      <c r="I5" s="33" t="s">
        <v>680</v>
      </c>
      <c r="J5" s="41" t="s">
        <v>2216</v>
      </c>
      <c r="K5" s="33" t="s">
        <v>2218</v>
      </c>
      <c r="L5" s="33" t="s">
        <v>2219</v>
      </c>
      <c r="M5" s="33" t="s">
        <v>1041</v>
      </c>
      <c r="N5" s="33" t="s">
        <v>1041</v>
      </c>
      <c r="O5" s="33" t="s">
        <v>1041</v>
      </c>
      <c r="P5" s="41" t="s">
        <v>25</v>
      </c>
    </row>
    <row r="6" customFormat="false" ht="15" hidden="false" customHeight="false" outlineLevel="0" collapsed="false">
      <c r="A6" s="41" t="s">
        <v>298</v>
      </c>
      <c r="B6" s="14" t="s">
        <v>297</v>
      </c>
      <c r="C6" s="14" t="s">
        <v>81</v>
      </c>
      <c r="D6" s="14" t="s">
        <v>274</v>
      </c>
      <c r="E6" s="41" t="s">
        <v>684</v>
      </c>
      <c r="F6" s="43" t="s">
        <v>1557</v>
      </c>
      <c r="G6" s="33" t="s">
        <v>680</v>
      </c>
      <c r="H6" s="33" t="s">
        <v>680</v>
      </c>
      <c r="I6" s="33" t="s">
        <v>680</v>
      </c>
      <c r="J6" s="41" t="s">
        <v>2216</v>
      </c>
      <c r="K6" s="33" t="s">
        <v>680</v>
      </c>
      <c r="L6" s="33" t="s">
        <v>680</v>
      </c>
      <c r="M6" s="33" t="s">
        <v>680</v>
      </c>
      <c r="N6" s="33" t="s">
        <v>680</v>
      </c>
      <c r="O6" s="33" t="s">
        <v>2220</v>
      </c>
      <c r="P6" s="41" t="s">
        <v>25</v>
      </c>
    </row>
    <row r="7" customFormat="false" ht="26.85" hidden="false" customHeight="false" outlineLevel="0" collapsed="false">
      <c r="A7" s="41" t="s">
        <v>286</v>
      </c>
      <c r="B7" s="14" t="s">
        <v>284</v>
      </c>
      <c r="C7" s="14" t="s">
        <v>81</v>
      </c>
      <c r="D7" s="14" t="s">
        <v>285</v>
      </c>
      <c r="E7" s="41" t="s">
        <v>680</v>
      </c>
      <c r="F7" s="43" t="s">
        <v>1750</v>
      </c>
      <c r="G7" s="33" t="s">
        <v>680</v>
      </c>
      <c r="H7" s="33" t="s">
        <v>680</v>
      </c>
      <c r="I7" s="33" t="s">
        <v>680</v>
      </c>
      <c r="J7" s="41" t="s">
        <v>2216</v>
      </c>
      <c r="K7" s="33" t="s">
        <v>2221</v>
      </c>
      <c r="L7" s="33" t="s">
        <v>2184</v>
      </c>
      <c r="M7" s="33" t="s">
        <v>2222</v>
      </c>
      <c r="N7" s="33" t="s">
        <v>2222</v>
      </c>
      <c r="O7" s="33" t="s">
        <v>2223</v>
      </c>
      <c r="P7" s="41" t="s">
        <v>25</v>
      </c>
    </row>
    <row r="8" customFormat="false" ht="15" hidden="false" customHeight="false" outlineLevel="0" collapsed="false">
      <c r="A8" s="41" t="s">
        <v>272</v>
      </c>
      <c r="B8" s="14" t="s">
        <v>270</v>
      </c>
      <c r="C8" s="14" t="s">
        <v>81</v>
      </c>
      <c r="D8" s="14" t="s">
        <v>271</v>
      </c>
      <c r="E8" s="41" t="s">
        <v>680</v>
      </c>
      <c r="F8" s="43" t="s">
        <v>1750</v>
      </c>
      <c r="G8" s="33" t="s">
        <v>680</v>
      </c>
      <c r="H8" s="33" t="s">
        <v>680</v>
      </c>
      <c r="I8" s="33" t="s">
        <v>680</v>
      </c>
      <c r="J8" s="41" t="s">
        <v>2216</v>
      </c>
      <c r="K8" s="33" t="s">
        <v>2224</v>
      </c>
      <c r="L8" s="33" t="s">
        <v>2225</v>
      </c>
      <c r="M8" s="33" t="s">
        <v>321</v>
      </c>
      <c r="N8" s="33" t="s">
        <v>321</v>
      </c>
      <c r="O8" s="33" t="s">
        <v>321</v>
      </c>
      <c r="P8" s="41" t="s">
        <v>25</v>
      </c>
    </row>
    <row r="9" customFormat="false" ht="15" hidden="false" customHeight="false" outlineLevel="0" collapsed="false">
      <c r="A9" s="41" t="s">
        <v>283</v>
      </c>
      <c r="B9" s="14" t="s">
        <v>281</v>
      </c>
      <c r="C9" s="14" t="s">
        <v>81</v>
      </c>
      <c r="D9" s="14" t="s">
        <v>282</v>
      </c>
      <c r="E9" s="41" t="s">
        <v>684</v>
      </c>
      <c r="F9" s="43" t="s">
        <v>1557</v>
      </c>
      <c r="G9" s="33" t="s">
        <v>680</v>
      </c>
      <c r="H9" s="33" t="s">
        <v>680</v>
      </c>
      <c r="I9" s="33" t="s">
        <v>680</v>
      </c>
      <c r="J9" s="41" t="s">
        <v>2216</v>
      </c>
      <c r="K9" s="33" t="s">
        <v>2226</v>
      </c>
      <c r="L9" s="33" t="s">
        <v>2227</v>
      </c>
      <c r="M9" s="33" t="s">
        <v>2228</v>
      </c>
      <c r="N9" s="33" t="s">
        <v>2228</v>
      </c>
      <c r="O9" s="33" t="s">
        <v>2229</v>
      </c>
      <c r="P9" s="41" t="s">
        <v>25</v>
      </c>
    </row>
    <row r="10" customFormat="false" ht="15" hidden="false" customHeight="false" outlineLevel="0" collapsed="false">
      <c r="A10" s="41" t="s">
        <v>267</v>
      </c>
      <c r="B10" s="14" t="s">
        <v>265</v>
      </c>
      <c r="C10" s="14" t="s">
        <v>81</v>
      </c>
      <c r="D10" s="14" t="s">
        <v>266</v>
      </c>
      <c r="E10" s="41" t="s">
        <v>680</v>
      </c>
      <c r="F10" s="43" t="s">
        <v>1750</v>
      </c>
      <c r="G10" s="33" t="s">
        <v>680</v>
      </c>
      <c r="H10" s="33" t="s">
        <v>680</v>
      </c>
      <c r="I10" s="33" t="s">
        <v>680</v>
      </c>
      <c r="J10" s="41" t="s">
        <v>2216</v>
      </c>
      <c r="K10" s="33" t="s">
        <v>2230</v>
      </c>
      <c r="L10" s="33" t="s">
        <v>2231</v>
      </c>
      <c r="M10" s="33" t="s">
        <v>2232</v>
      </c>
      <c r="N10" s="33" t="s">
        <v>2232</v>
      </c>
      <c r="O10" s="33" t="s">
        <v>2232</v>
      </c>
      <c r="P10" s="41" t="s">
        <v>25</v>
      </c>
    </row>
    <row r="11" customFormat="false" ht="15" hidden="false" customHeight="false" outlineLevel="0" collapsed="false">
      <c r="A11" s="41" t="s">
        <v>258</v>
      </c>
      <c r="B11" s="14" t="s">
        <v>256</v>
      </c>
      <c r="C11" s="14" t="s">
        <v>81</v>
      </c>
      <c r="D11" s="14" t="s">
        <v>257</v>
      </c>
      <c r="E11" s="41" t="s">
        <v>680</v>
      </c>
      <c r="F11" s="43" t="s">
        <v>1750</v>
      </c>
      <c r="G11" s="33" t="s">
        <v>680</v>
      </c>
      <c r="H11" s="33" t="s">
        <v>680</v>
      </c>
      <c r="I11" s="33" t="s">
        <v>680</v>
      </c>
      <c r="J11" s="41" t="s">
        <v>2216</v>
      </c>
      <c r="K11" s="33" t="s">
        <v>2233</v>
      </c>
      <c r="L11" s="33" t="s">
        <v>2234</v>
      </c>
      <c r="M11" s="33" t="s">
        <v>2235</v>
      </c>
      <c r="N11" s="33" t="s">
        <v>2235</v>
      </c>
      <c r="O11" s="33" t="s">
        <v>2235</v>
      </c>
      <c r="P11" s="41" t="s">
        <v>25</v>
      </c>
    </row>
    <row r="12" customFormat="false" ht="15" hidden="false" customHeight="false" outlineLevel="0" collapsed="false">
      <c r="A12" s="41" t="s">
        <v>222</v>
      </c>
      <c r="B12" s="14" t="s">
        <v>220</v>
      </c>
      <c r="C12" s="14" t="s">
        <v>81</v>
      </c>
      <c r="D12" s="14" t="s">
        <v>221</v>
      </c>
      <c r="E12" s="41" t="s">
        <v>967</v>
      </c>
      <c r="F12" s="43" t="s">
        <v>968</v>
      </c>
      <c r="G12" s="33" t="s">
        <v>1664</v>
      </c>
      <c r="H12" s="33" t="s">
        <v>684</v>
      </c>
      <c r="I12" s="33" t="s">
        <v>684</v>
      </c>
      <c r="J12" s="41" t="s">
        <v>2216</v>
      </c>
      <c r="K12" s="33" t="s">
        <v>2236</v>
      </c>
      <c r="L12" s="33" t="s">
        <v>2237</v>
      </c>
      <c r="M12" s="33" t="s">
        <v>2238</v>
      </c>
      <c r="N12" s="33" t="s">
        <v>2238</v>
      </c>
      <c r="O12" s="33" t="s">
        <v>2239</v>
      </c>
      <c r="P12" s="41" t="s">
        <v>25</v>
      </c>
    </row>
    <row r="13" customFormat="false" ht="26.85" hidden="false" customHeight="false" outlineLevel="0" collapsed="false">
      <c r="A13" s="41" t="s">
        <v>233</v>
      </c>
      <c r="B13" s="14" t="s">
        <v>231</v>
      </c>
      <c r="C13" s="14" t="s">
        <v>81</v>
      </c>
      <c r="D13" s="14" t="s">
        <v>232</v>
      </c>
      <c r="E13" s="41" t="s">
        <v>1014</v>
      </c>
      <c r="F13" s="43" t="s">
        <v>1015</v>
      </c>
      <c r="G13" s="33" t="s">
        <v>680</v>
      </c>
      <c r="H13" s="33" t="s">
        <v>680</v>
      </c>
      <c r="I13" s="33" t="s">
        <v>680</v>
      </c>
      <c r="J13" s="41" t="s">
        <v>2216</v>
      </c>
      <c r="K13" s="33" t="s">
        <v>2219</v>
      </c>
      <c r="L13" s="33" t="s">
        <v>2240</v>
      </c>
      <c r="M13" s="33" t="s">
        <v>2241</v>
      </c>
      <c r="N13" s="33" t="s">
        <v>2241</v>
      </c>
      <c r="O13" s="33" t="s">
        <v>2241</v>
      </c>
      <c r="P13" s="41" t="s">
        <v>25</v>
      </c>
    </row>
    <row r="14" customFormat="false" ht="15" hidden="false" customHeight="false" outlineLevel="0" collapsed="false">
      <c r="A14" s="41" t="s">
        <v>225</v>
      </c>
      <c r="B14" s="14" t="s">
        <v>223</v>
      </c>
      <c r="C14" s="14" t="s">
        <v>81</v>
      </c>
      <c r="D14" s="14" t="s">
        <v>224</v>
      </c>
      <c r="E14" s="41" t="s">
        <v>747</v>
      </c>
      <c r="F14" s="43" t="s">
        <v>1107</v>
      </c>
      <c r="G14" s="33" t="s">
        <v>680</v>
      </c>
      <c r="H14" s="33" t="s">
        <v>680</v>
      </c>
      <c r="I14" s="33" t="s">
        <v>1953</v>
      </c>
      <c r="J14" s="41" t="s">
        <v>2216</v>
      </c>
      <c r="K14" s="33" t="s">
        <v>2242</v>
      </c>
      <c r="L14" s="33" t="s">
        <v>2243</v>
      </c>
      <c r="M14" s="33" t="s">
        <v>2244</v>
      </c>
      <c r="N14" s="33" t="s">
        <v>2244</v>
      </c>
      <c r="O14" s="33" t="s">
        <v>2244</v>
      </c>
      <c r="P14" s="41" t="s">
        <v>25</v>
      </c>
    </row>
    <row r="15" customFormat="false" ht="15" hidden="false" customHeight="false" outlineLevel="0" collapsed="false">
      <c r="A15" s="41" t="s">
        <v>288</v>
      </c>
      <c r="B15" s="14" t="s">
        <v>287</v>
      </c>
      <c r="C15" s="14" t="s">
        <v>81</v>
      </c>
      <c r="D15" s="14" t="s">
        <v>236</v>
      </c>
      <c r="E15" s="41" t="s">
        <v>680</v>
      </c>
      <c r="F15" s="43" t="s">
        <v>1750</v>
      </c>
      <c r="G15" s="33" t="s">
        <v>680</v>
      </c>
      <c r="H15" s="33" t="s">
        <v>680</v>
      </c>
      <c r="I15" s="33" t="s">
        <v>680</v>
      </c>
      <c r="J15" s="41" t="s">
        <v>2216</v>
      </c>
      <c r="K15" s="33" t="s">
        <v>1439</v>
      </c>
      <c r="L15" s="33" t="s">
        <v>913</v>
      </c>
      <c r="M15" s="33" t="s">
        <v>2245</v>
      </c>
      <c r="N15" s="33" t="s">
        <v>2245</v>
      </c>
      <c r="O15" s="33" t="s">
        <v>2245</v>
      </c>
      <c r="P15" s="41" t="s">
        <v>25</v>
      </c>
    </row>
    <row r="16" customFormat="false" ht="15" hidden="false" customHeight="false" outlineLevel="0" collapsed="false">
      <c r="A16" s="41" t="s">
        <v>269</v>
      </c>
      <c r="B16" s="14" t="s">
        <v>268</v>
      </c>
      <c r="C16" s="14" t="s">
        <v>81</v>
      </c>
      <c r="D16" s="14" t="s">
        <v>236</v>
      </c>
      <c r="E16" s="41" t="s">
        <v>784</v>
      </c>
      <c r="F16" s="43" t="s">
        <v>1259</v>
      </c>
      <c r="G16" s="33" t="s">
        <v>680</v>
      </c>
      <c r="H16" s="33" t="s">
        <v>680</v>
      </c>
      <c r="I16" s="33" t="s">
        <v>680</v>
      </c>
      <c r="J16" s="41" t="s">
        <v>2216</v>
      </c>
      <c r="K16" s="33" t="s">
        <v>1652</v>
      </c>
      <c r="L16" s="33" t="s">
        <v>1652</v>
      </c>
      <c r="M16" s="33" t="s">
        <v>1652</v>
      </c>
      <c r="N16" s="33" t="s">
        <v>1652</v>
      </c>
      <c r="O16" s="33" t="s">
        <v>1652</v>
      </c>
      <c r="P16" s="41" t="s">
        <v>25</v>
      </c>
    </row>
    <row r="17" customFormat="false" ht="15" hidden="false" customHeight="false" outlineLevel="0" collapsed="false">
      <c r="A17" s="41" t="s">
        <v>237</v>
      </c>
      <c r="B17" s="14" t="s">
        <v>235</v>
      </c>
      <c r="C17" s="14" t="s">
        <v>81</v>
      </c>
      <c r="D17" s="14" t="s">
        <v>236</v>
      </c>
      <c r="E17" s="41" t="s">
        <v>727</v>
      </c>
      <c r="F17" s="43" t="s">
        <v>1393</v>
      </c>
      <c r="G17" s="33" t="s">
        <v>680</v>
      </c>
      <c r="H17" s="33" t="s">
        <v>680</v>
      </c>
      <c r="I17" s="33" t="s">
        <v>680</v>
      </c>
      <c r="J17" s="41" t="s">
        <v>2216</v>
      </c>
      <c r="K17" s="33" t="s">
        <v>2246</v>
      </c>
      <c r="L17" s="33" t="s">
        <v>2246</v>
      </c>
      <c r="M17" s="33" t="s">
        <v>2246</v>
      </c>
      <c r="N17" s="33" t="s">
        <v>2246</v>
      </c>
      <c r="O17" s="33" t="s">
        <v>2246</v>
      </c>
      <c r="P17" s="41" t="s">
        <v>25</v>
      </c>
    </row>
    <row r="18" customFormat="false" ht="15" hidden="false" customHeight="false" outlineLevel="0" collapsed="false">
      <c r="A18" s="41" t="s">
        <v>249</v>
      </c>
      <c r="B18" s="14" t="s">
        <v>247</v>
      </c>
      <c r="C18" s="14" t="s">
        <v>81</v>
      </c>
      <c r="D18" s="14" t="s">
        <v>248</v>
      </c>
      <c r="E18" s="41" t="s">
        <v>1014</v>
      </c>
      <c r="F18" s="43" t="s">
        <v>1015</v>
      </c>
      <c r="G18" s="33" t="s">
        <v>680</v>
      </c>
      <c r="H18" s="33" t="s">
        <v>680</v>
      </c>
      <c r="I18" s="33" t="s">
        <v>680</v>
      </c>
      <c r="J18" s="41" t="s">
        <v>2216</v>
      </c>
      <c r="K18" s="33" t="s">
        <v>2247</v>
      </c>
      <c r="L18" s="33" t="s">
        <v>2248</v>
      </c>
      <c r="M18" s="33" t="s">
        <v>322</v>
      </c>
      <c r="N18" s="33" t="s">
        <v>322</v>
      </c>
      <c r="O18" s="33" t="s">
        <v>322</v>
      </c>
      <c r="P18" s="41" t="s">
        <v>25</v>
      </c>
    </row>
    <row r="19" customFormat="false" ht="15" hidden="false" customHeight="false" outlineLevel="0" collapsed="false">
      <c r="A19" s="41" t="s">
        <v>293</v>
      </c>
      <c r="B19" s="14" t="s">
        <v>291</v>
      </c>
      <c r="C19" s="14" t="s">
        <v>81</v>
      </c>
      <c r="D19" s="14" t="s">
        <v>292</v>
      </c>
      <c r="E19" s="41" t="s">
        <v>680</v>
      </c>
      <c r="F19" s="43" t="s">
        <v>1750</v>
      </c>
      <c r="G19" s="33" t="s">
        <v>680</v>
      </c>
      <c r="H19" s="33" t="s">
        <v>680</v>
      </c>
      <c r="I19" s="33" t="s">
        <v>680</v>
      </c>
      <c r="J19" s="41" t="s">
        <v>2216</v>
      </c>
      <c r="K19" s="33" t="s">
        <v>2249</v>
      </c>
      <c r="L19" s="33" t="s">
        <v>322</v>
      </c>
      <c r="M19" s="33" t="s">
        <v>2227</v>
      </c>
      <c r="N19" s="33" t="s">
        <v>2227</v>
      </c>
      <c r="O19" s="33" t="s">
        <v>336</v>
      </c>
      <c r="P19" s="41" t="s">
        <v>25</v>
      </c>
    </row>
    <row r="20" customFormat="false" ht="15" hidden="false" customHeight="false" outlineLevel="0" collapsed="false">
      <c r="A20" s="41" t="s">
        <v>280</v>
      </c>
      <c r="B20" s="14" t="s">
        <v>279</v>
      </c>
      <c r="C20" s="14" t="s">
        <v>81</v>
      </c>
      <c r="D20" s="14" t="s">
        <v>248</v>
      </c>
      <c r="E20" s="41" t="s">
        <v>680</v>
      </c>
      <c r="F20" s="43" t="s">
        <v>1750</v>
      </c>
      <c r="G20" s="33" t="s">
        <v>680</v>
      </c>
      <c r="H20" s="33" t="s">
        <v>680</v>
      </c>
      <c r="I20" s="33" t="s">
        <v>680</v>
      </c>
      <c r="J20" s="41" t="s">
        <v>2216</v>
      </c>
      <c r="K20" s="33" t="s">
        <v>2250</v>
      </c>
      <c r="L20" s="33" t="s">
        <v>2251</v>
      </c>
      <c r="M20" s="33" t="s">
        <v>921</v>
      </c>
      <c r="N20" s="33" t="s">
        <v>921</v>
      </c>
      <c r="O20" s="33" t="s">
        <v>338</v>
      </c>
      <c r="P20" s="41" t="s">
        <v>25</v>
      </c>
    </row>
    <row r="21" customFormat="false" ht="26.85" hidden="false" customHeight="false" outlineLevel="0" collapsed="false">
      <c r="A21" s="41" t="s">
        <v>264</v>
      </c>
      <c r="B21" s="14" t="s">
        <v>262</v>
      </c>
      <c r="C21" s="14" t="s">
        <v>2252</v>
      </c>
      <c r="D21" s="14" t="s">
        <v>263</v>
      </c>
      <c r="E21" s="41" t="s">
        <v>714</v>
      </c>
      <c r="F21" s="43" t="s">
        <v>1463</v>
      </c>
      <c r="G21" s="33" t="s">
        <v>680</v>
      </c>
      <c r="H21" s="33" t="s">
        <v>680</v>
      </c>
      <c r="I21" s="33" t="s">
        <v>680</v>
      </c>
      <c r="J21" s="41" t="s">
        <v>2216</v>
      </c>
      <c r="K21" s="33" t="s">
        <v>2221</v>
      </c>
      <c r="L21" s="33" t="s">
        <v>2184</v>
      </c>
      <c r="M21" s="33" t="s">
        <v>2222</v>
      </c>
      <c r="N21" s="33" t="s">
        <v>2222</v>
      </c>
      <c r="O21" s="33" t="s">
        <v>2222</v>
      </c>
      <c r="P21" s="41" t="s">
        <v>25</v>
      </c>
    </row>
    <row r="22" customFormat="false" ht="15" hidden="false" customHeight="false" outlineLevel="0" collapsed="false">
      <c r="A22" s="41" t="s">
        <v>278</v>
      </c>
      <c r="B22" s="14" t="s">
        <v>276</v>
      </c>
      <c r="C22" s="14" t="s">
        <v>581</v>
      </c>
      <c r="D22" s="14" t="s">
        <v>277</v>
      </c>
      <c r="E22" s="41" t="s">
        <v>680</v>
      </c>
      <c r="F22" s="43" t="s">
        <v>1750</v>
      </c>
      <c r="G22" s="33" t="s">
        <v>680</v>
      </c>
      <c r="H22" s="33" t="s">
        <v>680</v>
      </c>
      <c r="I22" s="33" t="s">
        <v>680</v>
      </c>
      <c r="J22" s="41" t="s">
        <v>2216</v>
      </c>
      <c r="K22" s="33" t="s">
        <v>2253</v>
      </c>
      <c r="L22" s="33" t="s">
        <v>2254</v>
      </c>
      <c r="M22" s="33" t="s">
        <v>2219</v>
      </c>
      <c r="N22" s="33" t="s">
        <v>2219</v>
      </c>
      <c r="O22" s="33" t="s">
        <v>2219</v>
      </c>
      <c r="P22" s="41" t="s">
        <v>25</v>
      </c>
    </row>
    <row r="23" customFormat="false" ht="15" hidden="false" customHeight="false" outlineLevel="0" collapsed="false">
      <c r="A23" s="41" t="s">
        <v>240</v>
      </c>
      <c r="B23" s="14" t="s">
        <v>238</v>
      </c>
      <c r="C23" s="14" t="s">
        <v>90</v>
      </c>
      <c r="D23" s="14" t="s">
        <v>239</v>
      </c>
      <c r="E23" s="41" t="s">
        <v>680</v>
      </c>
      <c r="F23" s="43" t="s">
        <v>1750</v>
      </c>
      <c r="G23" s="33" t="s">
        <v>684</v>
      </c>
      <c r="H23" s="33" t="s">
        <v>684</v>
      </c>
      <c r="I23" s="33" t="s">
        <v>684</v>
      </c>
      <c r="J23" s="41" t="s">
        <v>2216</v>
      </c>
      <c r="K23" s="33" t="s">
        <v>2255</v>
      </c>
      <c r="L23" s="33" t="s">
        <v>2255</v>
      </c>
      <c r="M23" s="33" t="s">
        <v>2255</v>
      </c>
      <c r="N23" s="33" t="s">
        <v>2255</v>
      </c>
      <c r="O23" s="33" t="s">
        <v>2256</v>
      </c>
      <c r="P23" s="41" t="s">
        <v>25</v>
      </c>
    </row>
    <row r="24" customFormat="false" ht="15" hidden="false" customHeight="false" outlineLevel="0" collapsed="false">
      <c r="A24" s="41" t="s">
        <v>252</v>
      </c>
      <c r="B24" s="14" t="s">
        <v>250</v>
      </c>
      <c r="C24" s="14" t="s">
        <v>90</v>
      </c>
      <c r="D24" s="14" t="s">
        <v>251</v>
      </c>
      <c r="E24" s="41" t="s">
        <v>689</v>
      </c>
      <c r="F24" s="43" t="s">
        <v>1415</v>
      </c>
      <c r="G24" s="33" t="s">
        <v>680</v>
      </c>
      <c r="H24" s="33" t="s">
        <v>680</v>
      </c>
      <c r="I24" s="33" t="s">
        <v>680</v>
      </c>
      <c r="J24" s="41" t="s">
        <v>2216</v>
      </c>
      <c r="K24" s="33" t="s">
        <v>2135</v>
      </c>
      <c r="L24" s="33" t="s">
        <v>2135</v>
      </c>
      <c r="M24" s="33" t="s">
        <v>2135</v>
      </c>
      <c r="N24" s="33" t="s">
        <v>2135</v>
      </c>
      <c r="O24" s="33" t="s">
        <v>2135</v>
      </c>
      <c r="P24" s="41" t="s">
        <v>25</v>
      </c>
    </row>
    <row r="25" customFormat="false" ht="15" hidden="false" customHeight="false" outlineLevel="0" collapsed="false">
      <c r="A25" s="41" t="s">
        <v>229</v>
      </c>
      <c r="B25" s="14" t="s">
        <v>227</v>
      </c>
      <c r="C25" s="14" t="s">
        <v>90</v>
      </c>
      <c r="D25" s="14" t="s">
        <v>228</v>
      </c>
      <c r="E25" s="41" t="s">
        <v>999</v>
      </c>
      <c r="F25" s="43" t="s">
        <v>1000</v>
      </c>
      <c r="G25" s="33" t="s">
        <v>727</v>
      </c>
      <c r="H25" s="33" t="s">
        <v>727</v>
      </c>
      <c r="I25" s="33" t="s">
        <v>784</v>
      </c>
      <c r="J25" s="41" t="s">
        <v>2216</v>
      </c>
      <c r="K25" s="33" t="s">
        <v>761</v>
      </c>
      <c r="L25" s="33" t="s">
        <v>1178</v>
      </c>
      <c r="M25" s="33" t="s">
        <v>2249</v>
      </c>
      <c r="N25" s="33" t="s">
        <v>2257</v>
      </c>
      <c r="O25" s="33" t="s">
        <v>2258</v>
      </c>
      <c r="P25" s="41" t="s">
        <v>25</v>
      </c>
    </row>
    <row r="26" customFormat="false" ht="15" hidden="false" customHeight="false" outlineLevel="0" collapsed="false">
      <c r="A26" s="41" t="s">
        <v>246</v>
      </c>
      <c r="B26" s="14" t="s">
        <v>244</v>
      </c>
      <c r="C26" s="14" t="s">
        <v>90</v>
      </c>
      <c r="D26" s="14" t="s">
        <v>245</v>
      </c>
      <c r="E26" s="41" t="s">
        <v>689</v>
      </c>
      <c r="F26" s="43" t="s">
        <v>1415</v>
      </c>
      <c r="G26" s="33" t="s">
        <v>680</v>
      </c>
      <c r="H26" s="33" t="s">
        <v>1227</v>
      </c>
      <c r="I26" s="33" t="s">
        <v>2259</v>
      </c>
      <c r="J26" s="41" t="s">
        <v>2216</v>
      </c>
      <c r="K26" s="33" t="s">
        <v>1545</v>
      </c>
      <c r="L26" s="33" t="s">
        <v>2260</v>
      </c>
      <c r="M26" s="33" t="s">
        <v>2261</v>
      </c>
      <c r="N26" s="33" t="s">
        <v>2261</v>
      </c>
      <c r="O26" s="33" t="s">
        <v>2262</v>
      </c>
      <c r="P26" s="41" t="s">
        <v>25</v>
      </c>
    </row>
    <row r="27" customFormat="false" ht="26.85" hidden="false" customHeight="false" outlineLevel="0" collapsed="false">
      <c r="A27" s="41" t="s">
        <v>255</v>
      </c>
      <c r="B27" s="14" t="s">
        <v>253</v>
      </c>
      <c r="C27" s="14" t="s">
        <v>90</v>
      </c>
      <c r="D27" s="14" t="s">
        <v>254</v>
      </c>
      <c r="E27" s="41" t="s">
        <v>714</v>
      </c>
      <c r="F27" s="43" t="s">
        <v>1463</v>
      </c>
      <c r="G27" s="33" t="s">
        <v>680</v>
      </c>
      <c r="H27" s="33" t="s">
        <v>680</v>
      </c>
      <c r="I27" s="33" t="s">
        <v>680</v>
      </c>
      <c r="J27" s="41" t="s">
        <v>2216</v>
      </c>
      <c r="K27" s="33" t="s">
        <v>2263</v>
      </c>
      <c r="L27" s="33" t="s">
        <v>2264</v>
      </c>
      <c r="M27" s="33" t="s">
        <v>2265</v>
      </c>
      <c r="N27" s="33" t="s">
        <v>2265</v>
      </c>
      <c r="O27" s="33" t="s">
        <v>2263</v>
      </c>
      <c r="P27" s="41" t="s">
        <v>25</v>
      </c>
    </row>
    <row r="28" customFormat="false" ht="26.85" hidden="false" customHeight="false" outlineLevel="0" collapsed="false">
      <c r="A28" s="41" t="s">
        <v>243</v>
      </c>
      <c r="B28" s="14" t="s">
        <v>241</v>
      </c>
      <c r="C28" s="14" t="s">
        <v>90</v>
      </c>
      <c r="D28" s="14" t="s">
        <v>242</v>
      </c>
      <c r="E28" s="41" t="s">
        <v>727</v>
      </c>
      <c r="F28" s="43" t="s">
        <v>1393</v>
      </c>
      <c r="G28" s="33" t="s">
        <v>680</v>
      </c>
      <c r="H28" s="33" t="s">
        <v>680</v>
      </c>
      <c r="I28" s="33" t="s">
        <v>680</v>
      </c>
      <c r="J28" s="41" t="s">
        <v>2216</v>
      </c>
      <c r="K28" s="33" t="s">
        <v>332</v>
      </c>
      <c r="L28" s="33" t="s">
        <v>332</v>
      </c>
      <c r="M28" s="33" t="s">
        <v>332</v>
      </c>
      <c r="N28" s="33" t="s">
        <v>332</v>
      </c>
      <c r="O28" s="33" t="s">
        <v>332</v>
      </c>
      <c r="P28" s="41" t="s">
        <v>25</v>
      </c>
    </row>
    <row r="29" customFormat="false" ht="15" hidden="false" customHeight="false" outlineLevel="0" collapsed="false">
      <c r="A29" s="41" t="s">
        <v>261</v>
      </c>
      <c r="B29" s="14" t="s">
        <v>259</v>
      </c>
      <c r="C29" s="14" t="s">
        <v>2266</v>
      </c>
      <c r="D29" s="14" t="s">
        <v>260</v>
      </c>
      <c r="E29" s="41" t="s">
        <v>714</v>
      </c>
      <c r="F29" s="43" t="s">
        <v>1463</v>
      </c>
      <c r="G29" s="33" t="s">
        <v>680</v>
      </c>
      <c r="H29" s="33" t="s">
        <v>680</v>
      </c>
      <c r="I29" s="33" t="s">
        <v>680</v>
      </c>
      <c r="J29" s="41" t="s">
        <v>2216</v>
      </c>
      <c r="K29" s="33" t="s">
        <v>2250</v>
      </c>
      <c r="L29" s="33" t="s">
        <v>2251</v>
      </c>
      <c r="M29" s="33" t="s">
        <v>921</v>
      </c>
      <c r="N29" s="33" t="s">
        <v>921</v>
      </c>
      <c r="O29" s="33" t="s">
        <v>921</v>
      </c>
      <c r="P29" s="41" t="s">
        <v>25</v>
      </c>
    </row>
    <row r="30" customFormat="false" ht="15" hidden="false" customHeight="false" outlineLevel="0" collapsed="false">
      <c r="A30" s="41" t="s">
        <v>296</v>
      </c>
      <c r="B30" s="14" t="s">
        <v>294</v>
      </c>
      <c r="C30" s="14" t="s">
        <v>2267</v>
      </c>
      <c r="D30" s="14" t="s">
        <v>295</v>
      </c>
      <c r="E30" s="41" t="s">
        <v>684</v>
      </c>
      <c r="F30" s="43" t="s">
        <v>1557</v>
      </c>
      <c r="G30" s="33" t="s">
        <v>680</v>
      </c>
      <c r="H30" s="33" t="s">
        <v>680</v>
      </c>
      <c r="I30" s="33" t="s">
        <v>680</v>
      </c>
      <c r="J30" s="41" t="s">
        <v>2216</v>
      </c>
      <c r="K30" s="33" t="s">
        <v>1189</v>
      </c>
      <c r="L30" s="33" t="s">
        <v>1189</v>
      </c>
      <c r="M30" s="33" t="s">
        <v>1189</v>
      </c>
      <c r="N30" s="33" t="s">
        <v>1189</v>
      </c>
      <c r="O30" s="33" t="s">
        <v>1189</v>
      </c>
      <c r="P30" s="41" t="s">
        <v>25</v>
      </c>
    </row>
  </sheetData>
  <autoFilter ref="A3:P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4" min="3" style="0" width="10"/>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2"/>
    <col collapsed="false" customWidth="true" hidden="false" outlineLevel="0" max="9" min="9" style="0" width="14"/>
    <col collapsed="false" customWidth="true" hidden="false" outlineLevel="0" max="10" min="10" style="0" width="12"/>
    <col collapsed="false" customWidth="true" hidden="false" outlineLevel="0" max="11" min="11" style="0" width="18"/>
    <col collapsed="false" customWidth="true" hidden="false" outlineLevel="0" max="12" min="12" style="0" width="12"/>
    <col collapsed="false" customWidth="true" hidden="false" outlineLevel="0" max="13" min="13" style="0" width="14"/>
    <col collapsed="false" customWidth="true" hidden="false" outlineLevel="0" max="14" min="14" style="0" width="12"/>
    <col collapsed="false" customWidth="true" hidden="false" outlineLevel="0" max="15" min="15" style="0" width="18"/>
    <col collapsed="false" customWidth="true" hidden="false" outlineLevel="0" max="17" min="16" style="0" width="12"/>
    <col collapsed="false" customWidth="true" hidden="false" outlineLevel="0" max="18" min="18" style="0" width="14"/>
  </cols>
  <sheetData>
    <row r="1" customFormat="false" ht="15" hidden="false" customHeight="false" outlineLevel="0" collapsed="false">
      <c r="A1" s="1" t="s">
        <v>2268</v>
      </c>
      <c r="B1" s="1"/>
      <c r="C1" s="1"/>
      <c r="D1" s="1"/>
      <c r="E1" s="1"/>
      <c r="F1" s="1"/>
      <c r="G1" s="1"/>
      <c r="H1" s="1"/>
      <c r="I1" s="1"/>
      <c r="J1" s="1"/>
      <c r="K1" s="1"/>
      <c r="L1" s="1"/>
      <c r="M1" s="1"/>
      <c r="N1" s="1"/>
      <c r="O1" s="1"/>
      <c r="P1" s="1"/>
      <c r="Q1" s="1"/>
      <c r="R1" s="1"/>
    </row>
    <row r="3" customFormat="false" ht="77.6" hidden="false" customHeight="false" outlineLevel="0" collapsed="false">
      <c r="A3" s="37" t="s">
        <v>2269</v>
      </c>
      <c r="B3" s="37" t="s">
        <v>2270</v>
      </c>
      <c r="C3" s="37" t="s">
        <v>142</v>
      </c>
      <c r="D3" s="37" t="s">
        <v>39</v>
      </c>
      <c r="E3" s="37" t="s">
        <v>2271</v>
      </c>
      <c r="F3" s="37" t="s">
        <v>2272</v>
      </c>
      <c r="G3" s="37" t="s">
        <v>2273</v>
      </c>
      <c r="H3" s="37" t="s">
        <v>2274</v>
      </c>
      <c r="I3" s="37" t="s">
        <v>2275</v>
      </c>
      <c r="J3" s="37" t="s">
        <v>2276</v>
      </c>
      <c r="K3" s="37" t="s">
        <v>2277</v>
      </c>
      <c r="L3" s="37" t="s">
        <v>2278</v>
      </c>
      <c r="M3" s="37" t="s">
        <v>2279</v>
      </c>
      <c r="N3" s="37" t="s">
        <v>2280</v>
      </c>
      <c r="O3" s="37" t="s">
        <v>2281</v>
      </c>
      <c r="P3" s="37" t="s">
        <v>2282</v>
      </c>
      <c r="Q3" s="37" t="s">
        <v>2283</v>
      </c>
      <c r="R3" s="37" t="s">
        <v>2284</v>
      </c>
    </row>
    <row r="4" customFormat="false" ht="26.85" hidden="false" customHeight="false" outlineLevel="0" collapsed="false">
      <c r="A4" s="41" t="s">
        <v>2285</v>
      </c>
      <c r="B4" s="14" t="s">
        <v>2286</v>
      </c>
      <c r="C4" s="33" t="n">
        <v>3</v>
      </c>
      <c r="D4" s="33" t="n">
        <v>2.5</v>
      </c>
      <c r="E4" s="33"/>
      <c r="F4" s="33"/>
      <c r="G4" s="33" t="n">
        <v>100338</v>
      </c>
      <c r="H4" s="33" t="n">
        <v>5</v>
      </c>
      <c r="I4" s="33" t="n">
        <v>8930.22</v>
      </c>
      <c r="J4" s="33" t="n">
        <v>20</v>
      </c>
      <c r="K4" s="33" t="n">
        <v>10878.38</v>
      </c>
      <c r="L4" s="33" t="n">
        <v>20</v>
      </c>
      <c r="M4" s="33" t="n">
        <v>7679.97</v>
      </c>
      <c r="N4" s="33" t="n">
        <v>14</v>
      </c>
      <c r="O4" s="33" t="n">
        <v>81029.12</v>
      </c>
      <c r="P4" s="41" t="n">
        <v>43</v>
      </c>
      <c r="Q4" s="33" t="n">
        <v>27</v>
      </c>
      <c r="R4" s="33" t="n">
        <v>0</v>
      </c>
    </row>
    <row r="5" customFormat="false" ht="26.85" hidden="false" customHeight="false" outlineLevel="0" collapsed="false">
      <c r="A5" s="41" t="s">
        <v>2287</v>
      </c>
      <c r="B5" s="14" t="s">
        <v>2288</v>
      </c>
      <c r="C5" s="33" t="n">
        <v>5</v>
      </c>
      <c r="D5" s="33" t="n">
        <v>3</v>
      </c>
      <c r="E5" s="33"/>
      <c r="F5" s="33"/>
      <c r="G5" s="33" t="n">
        <v>89358.15</v>
      </c>
      <c r="H5" s="33" t="n">
        <v>6</v>
      </c>
      <c r="I5" s="33" t="n">
        <v>15632.76</v>
      </c>
      <c r="J5" s="33" t="n">
        <v>34</v>
      </c>
      <c r="K5" s="33" t="n">
        <v>16357.87</v>
      </c>
      <c r="L5" s="33" t="n">
        <v>25</v>
      </c>
      <c r="M5" s="33" t="n">
        <v>10608.04</v>
      </c>
      <c r="N5" s="33" t="n">
        <v>25</v>
      </c>
      <c r="O5" s="33" t="n">
        <v>69035.6</v>
      </c>
      <c r="P5" s="41" t="n">
        <v>41</v>
      </c>
      <c r="Q5" s="33" t="n">
        <v>43</v>
      </c>
      <c r="R5" s="33" t="n">
        <v>0</v>
      </c>
    </row>
    <row r="6" customFormat="false" ht="26.85" hidden="false" customHeight="false" outlineLevel="0" collapsed="false">
      <c r="A6" s="41" t="s">
        <v>2289</v>
      </c>
      <c r="B6" s="14" t="s">
        <v>2290</v>
      </c>
      <c r="C6" s="33" t="n">
        <v>3</v>
      </c>
      <c r="D6" s="33" t="n">
        <v>3</v>
      </c>
      <c r="E6" s="33"/>
      <c r="F6" s="33"/>
      <c r="G6" s="33" t="n">
        <v>89130.17</v>
      </c>
      <c r="H6" s="33" t="n">
        <v>5</v>
      </c>
      <c r="I6" s="33" t="n">
        <v>6509.33</v>
      </c>
      <c r="J6" s="33" t="n">
        <v>18</v>
      </c>
      <c r="K6" s="33" t="n">
        <v>9126.94</v>
      </c>
      <c r="L6" s="33" t="n">
        <v>23</v>
      </c>
      <c r="M6" s="33" t="n">
        <v>8576.26</v>
      </c>
      <c r="N6" s="33" t="n">
        <v>20</v>
      </c>
      <c r="O6" s="33" t="n">
        <v>74332.61</v>
      </c>
      <c r="P6" s="41" t="n">
        <v>45</v>
      </c>
      <c r="Q6" s="33" t="n">
        <v>12</v>
      </c>
      <c r="R6" s="33" t="n">
        <v>0</v>
      </c>
    </row>
    <row r="7" customFormat="false" ht="26.85" hidden="false" customHeight="false" outlineLevel="0" collapsed="false">
      <c r="A7" s="41" t="s">
        <v>2291</v>
      </c>
      <c r="B7" s="14" t="s">
        <v>2292</v>
      </c>
      <c r="C7" s="33" t="n">
        <v>3</v>
      </c>
      <c r="D7" s="33" t="n">
        <v>2.5</v>
      </c>
      <c r="E7" s="33"/>
      <c r="F7" s="33"/>
      <c r="G7" s="33" t="n">
        <v>89130.1</v>
      </c>
      <c r="H7" s="33" t="n">
        <v>4</v>
      </c>
      <c r="I7" s="33" t="n">
        <v>8390.67</v>
      </c>
      <c r="J7" s="33" t="n">
        <v>26</v>
      </c>
      <c r="K7" s="33" t="n">
        <v>10519.79</v>
      </c>
      <c r="L7" s="33" t="n">
        <v>24</v>
      </c>
      <c r="M7" s="33" t="n">
        <v>11504.37</v>
      </c>
      <c r="N7" s="33" t="n">
        <v>23</v>
      </c>
      <c r="O7" s="33" t="n">
        <v>68450.42</v>
      </c>
      <c r="P7" s="41" t="n">
        <v>44</v>
      </c>
      <c r="Q7" s="33" t="n">
        <v>12</v>
      </c>
      <c r="R7" s="33" t="n">
        <v>0</v>
      </c>
    </row>
    <row r="8" customFormat="false" ht="26.85" hidden="false" customHeight="false" outlineLevel="0" collapsed="false">
      <c r="A8" s="41" t="s">
        <v>2293</v>
      </c>
      <c r="B8" s="14" t="s">
        <v>2294</v>
      </c>
      <c r="C8" s="33" t="n">
        <v>3</v>
      </c>
      <c r="D8" s="33" t="n">
        <v>2</v>
      </c>
      <c r="E8" s="33"/>
      <c r="F8" s="33"/>
      <c r="G8" s="33" t="n">
        <v>114163.9</v>
      </c>
      <c r="H8" s="33" t="n">
        <v>5</v>
      </c>
      <c r="I8" s="33" t="n">
        <v>6078.53</v>
      </c>
      <c r="J8" s="33" t="n">
        <v>18</v>
      </c>
      <c r="K8" s="33" t="n">
        <v>6306.92</v>
      </c>
      <c r="L8" s="33" t="n">
        <v>16</v>
      </c>
      <c r="M8" s="33" t="n">
        <v>5583.38</v>
      </c>
      <c r="N8" s="33" t="n">
        <v>14</v>
      </c>
      <c r="O8" s="33" t="n">
        <v>79942.2</v>
      </c>
      <c r="P8" s="41" t="n">
        <v>42</v>
      </c>
      <c r="Q8" s="33" t="n">
        <v>12</v>
      </c>
      <c r="R8" s="33" t="n">
        <v>0</v>
      </c>
    </row>
    <row r="9" customFormat="false" ht="26.85" hidden="false" customHeight="false" outlineLevel="0" collapsed="false">
      <c r="A9" s="41" t="s">
        <v>2295</v>
      </c>
      <c r="B9" s="14" t="s">
        <v>2296</v>
      </c>
      <c r="C9" s="33" t="n">
        <v>3</v>
      </c>
      <c r="D9" s="33" t="n">
        <v>3</v>
      </c>
      <c r="E9" s="33"/>
      <c r="F9" s="33"/>
      <c r="G9" s="33" t="n">
        <v>89130.14</v>
      </c>
      <c r="H9" s="33" t="n">
        <v>4</v>
      </c>
      <c r="I9" s="33" t="n">
        <v>6667.52</v>
      </c>
      <c r="J9" s="33" t="n">
        <v>23</v>
      </c>
      <c r="K9" s="33" t="n">
        <v>10777.38</v>
      </c>
      <c r="L9" s="33" t="n">
        <v>21</v>
      </c>
      <c r="M9" s="33" t="n">
        <v>8463.47</v>
      </c>
      <c r="N9" s="33" t="n">
        <v>19</v>
      </c>
      <c r="O9" s="33" t="n">
        <v>70433.19</v>
      </c>
      <c r="P9" s="41" t="n">
        <v>44</v>
      </c>
      <c r="Q9" s="33" t="n">
        <v>31</v>
      </c>
      <c r="R9" s="33" t="n">
        <v>0</v>
      </c>
    </row>
    <row r="10" customFormat="false" ht="26.85" hidden="false" customHeight="false" outlineLevel="0" collapsed="false">
      <c r="A10" s="41" t="s">
        <v>2297</v>
      </c>
      <c r="B10" s="14" t="s">
        <v>2298</v>
      </c>
      <c r="C10" s="33" t="n">
        <v>4</v>
      </c>
      <c r="D10" s="33" t="n">
        <v>3.5</v>
      </c>
      <c r="E10" s="33"/>
      <c r="F10" s="33"/>
      <c r="G10" s="33" t="n">
        <v>89130.15</v>
      </c>
      <c r="H10" s="33" t="n">
        <v>4</v>
      </c>
      <c r="I10" s="33" t="n">
        <v>11224.27</v>
      </c>
      <c r="J10" s="33" t="n">
        <v>25</v>
      </c>
      <c r="K10" s="33" t="n">
        <v>9660.1</v>
      </c>
      <c r="L10" s="33" t="n">
        <v>21</v>
      </c>
      <c r="M10" s="33" t="n">
        <v>9713.08</v>
      </c>
      <c r="N10" s="33" t="n">
        <v>20</v>
      </c>
      <c r="O10" s="33" t="n">
        <v>61871.43</v>
      </c>
      <c r="P10" s="41" t="n">
        <v>40</v>
      </c>
      <c r="Q10" s="33" t="n">
        <v>23</v>
      </c>
      <c r="R10" s="33" t="n">
        <v>0</v>
      </c>
    </row>
    <row r="11" customFormat="false" ht="26.85" hidden="false" customHeight="false" outlineLevel="0" collapsed="false">
      <c r="A11" s="41" t="s">
        <v>2299</v>
      </c>
      <c r="B11" s="14" t="s">
        <v>2300</v>
      </c>
      <c r="C11" s="33" t="n">
        <v>3</v>
      </c>
      <c r="D11" s="33" t="n">
        <v>2.5</v>
      </c>
      <c r="E11" s="33"/>
      <c r="F11" s="33"/>
      <c r="G11" s="33" t="n">
        <v>73205.2</v>
      </c>
      <c r="H11" s="33" t="n">
        <v>4</v>
      </c>
      <c r="I11" s="33" t="n">
        <v>10318.53</v>
      </c>
      <c r="J11" s="33" t="n">
        <v>14</v>
      </c>
      <c r="K11" s="33" t="n">
        <v>9581.4</v>
      </c>
      <c r="L11" s="33" t="n">
        <v>20</v>
      </c>
      <c r="M11" s="33" t="n">
        <v>9304.66</v>
      </c>
      <c r="N11" s="33" t="n">
        <v>21</v>
      </c>
      <c r="O11" s="33" t="n">
        <v>66884.8</v>
      </c>
      <c r="P11" s="41" t="n">
        <v>46</v>
      </c>
      <c r="Q11" s="33" t="n">
        <v>26</v>
      </c>
      <c r="R11" s="33" t="n">
        <v>0</v>
      </c>
    </row>
    <row r="12" customFormat="false" ht="26.85" hidden="false" customHeight="false" outlineLevel="0" collapsed="false">
      <c r="A12" s="41" t="s">
        <v>2301</v>
      </c>
      <c r="B12" s="14" t="s">
        <v>2302</v>
      </c>
      <c r="C12" s="33" t="n">
        <v>3</v>
      </c>
      <c r="D12" s="33" t="n">
        <v>3</v>
      </c>
      <c r="E12" s="33"/>
      <c r="F12" s="33"/>
      <c r="G12" s="33" t="n">
        <v>83395.13</v>
      </c>
      <c r="H12" s="33" t="n">
        <v>4</v>
      </c>
      <c r="I12" s="33" t="n">
        <v>9813.31</v>
      </c>
      <c r="J12" s="33" t="n">
        <v>28</v>
      </c>
      <c r="K12" s="33" t="n">
        <v>11607.61</v>
      </c>
      <c r="L12" s="33" t="n">
        <v>25</v>
      </c>
      <c r="M12" s="33" t="n">
        <v>9010.46</v>
      </c>
      <c r="N12" s="33" t="n">
        <v>21</v>
      </c>
      <c r="O12" s="33" t="n">
        <v>49210.94</v>
      </c>
      <c r="P12" s="41" t="n">
        <v>40</v>
      </c>
      <c r="Q12" s="33" t="n">
        <v>2</v>
      </c>
      <c r="R12" s="33" t="n">
        <v>0</v>
      </c>
    </row>
    <row r="13" customFormat="false" ht="26.85" hidden="false" customHeight="false" outlineLevel="0" collapsed="false">
      <c r="A13" s="41" t="s">
        <v>2303</v>
      </c>
      <c r="B13" s="14" t="s">
        <v>2304</v>
      </c>
      <c r="C13" s="33" t="n">
        <v>3</v>
      </c>
      <c r="D13" s="33" t="n">
        <v>3.5</v>
      </c>
      <c r="E13" s="33"/>
      <c r="F13" s="33"/>
      <c r="G13" s="33" t="n">
        <v>96735.12</v>
      </c>
      <c r="H13" s="33" t="n">
        <v>4</v>
      </c>
      <c r="I13" s="33" t="n">
        <v>5055.58</v>
      </c>
      <c r="J13" s="33" t="n">
        <v>9</v>
      </c>
      <c r="K13" s="33" t="n">
        <v>7374.36</v>
      </c>
      <c r="L13" s="33" t="n">
        <v>19</v>
      </c>
      <c r="M13" s="33" t="n">
        <v>9574.41</v>
      </c>
      <c r="N13" s="33" t="n">
        <v>18</v>
      </c>
      <c r="O13" s="33" t="n">
        <v>69854.54</v>
      </c>
      <c r="P13" s="41" t="n">
        <v>42</v>
      </c>
      <c r="Q13" s="33" t="n">
        <v>33</v>
      </c>
      <c r="R13" s="33" t="n">
        <v>0</v>
      </c>
    </row>
    <row r="14" customFormat="false" ht="26.85" hidden="false" customHeight="false" outlineLevel="0" collapsed="false">
      <c r="A14" s="41" t="s">
        <v>2305</v>
      </c>
      <c r="B14" s="14" t="s">
        <v>2306</v>
      </c>
      <c r="C14" s="33" t="n">
        <v>4</v>
      </c>
      <c r="D14" s="33" t="n">
        <v>2.5</v>
      </c>
      <c r="E14" s="33"/>
      <c r="F14" s="33"/>
      <c r="G14" s="33" t="n">
        <v>80452.09</v>
      </c>
      <c r="H14" s="33" t="n">
        <v>5</v>
      </c>
      <c r="I14" s="33" t="n">
        <v>13957.52</v>
      </c>
      <c r="J14" s="33" t="n">
        <v>33</v>
      </c>
      <c r="K14" s="33" t="n">
        <v>11220.9</v>
      </c>
      <c r="L14" s="33" t="n">
        <v>27</v>
      </c>
      <c r="M14" s="33" t="n">
        <v>12176.99</v>
      </c>
      <c r="N14" s="33" t="n">
        <v>18</v>
      </c>
      <c r="O14" s="33" t="n">
        <v>127140.2</v>
      </c>
      <c r="P14" s="41" t="n">
        <v>52</v>
      </c>
      <c r="Q14" s="33" t="n">
        <v>17</v>
      </c>
      <c r="R14" s="33" t="n">
        <v>0</v>
      </c>
    </row>
    <row r="15" customFormat="false" ht="26.85" hidden="false" customHeight="false" outlineLevel="0" collapsed="false">
      <c r="A15" s="41" t="s">
        <v>2307</v>
      </c>
      <c r="B15" s="14" t="s">
        <v>2308</v>
      </c>
      <c r="C15" s="33" t="n">
        <v>3</v>
      </c>
      <c r="D15" s="33" t="n">
        <v>3.5</v>
      </c>
      <c r="E15" s="33"/>
      <c r="F15" s="33"/>
      <c r="G15" s="33" t="n">
        <v>100338</v>
      </c>
      <c r="H15" s="33" t="n">
        <v>5</v>
      </c>
      <c r="I15" s="33" t="n">
        <v>11122.24</v>
      </c>
      <c r="J15" s="33" t="n">
        <v>19</v>
      </c>
      <c r="K15" s="33" t="n">
        <v>10645.23</v>
      </c>
      <c r="L15" s="33" t="n">
        <v>23</v>
      </c>
      <c r="M15" s="33" t="n">
        <v>12373.33</v>
      </c>
      <c r="N15" s="33" t="n">
        <v>18</v>
      </c>
      <c r="O15" s="33" t="n">
        <v>92911.23</v>
      </c>
      <c r="P15" s="41" t="n">
        <v>41</v>
      </c>
      <c r="Q15" s="33" t="n">
        <v>7</v>
      </c>
      <c r="R15" s="33" t="n">
        <v>0</v>
      </c>
    </row>
    <row r="16" customFormat="false" ht="26.85" hidden="false" customHeight="false" outlineLevel="0" collapsed="false">
      <c r="A16" s="41" t="s">
        <v>2309</v>
      </c>
      <c r="B16" s="14" t="s">
        <v>2310</v>
      </c>
      <c r="C16" s="33" t="n">
        <v>3</v>
      </c>
      <c r="D16" s="33" t="n">
        <v>3</v>
      </c>
      <c r="E16" s="33"/>
      <c r="F16" s="33"/>
      <c r="G16" s="33" t="n">
        <v>98838.05</v>
      </c>
      <c r="H16" s="33" t="n">
        <v>4</v>
      </c>
      <c r="I16" s="33" t="n">
        <v>8614.22</v>
      </c>
      <c r="J16" s="33" t="n">
        <v>17</v>
      </c>
      <c r="K16" s="33" t="n">
        <v>9728.55</v>
      </c>
      <c r="L16" s="33" t="n">
        <v>21</v>
      </c>
      <c r="M16" s="33" t="n">
        <v>14791.84</v>
      </c>
      <c r="N16" s="33" t="n">
        <v>18</v>
      </c>
      <c r="O16" s="33" t="n">
        <v>117772.13</v>
      </c>
      <c r="P16" s="41" t="n">
        <v>44</v>
      </c>
      <c r="Q16" s="33" t="n">
        <v>59</v>
      </c>
      <c r="R16" s="33" t="n">
        <v>0</v>
      </c>
    </row>
    <row r="17" customFormat="false" ht="26.85" hidden="false" customHeight="false" outlineLevel="0" collapsed="false">
      <c r="A17" s="41" t="s">
        <v>2311</v>
      </c>
      <c r="B17" s="14" t="s">
        <v>2312</v>
      </c>
      <c r="C17" s="33" t="n">
        <v>4</v>
      </c>
      <c r="D17" s="33" t="n">
        <v>3</v>
      </c>
      <c r="E17" s="33"/>
      <c r="F17" s="33"/>
      <c r="G17" s="33" t="n">
        <v>100244.26</v>
      </c>
      <c r="H17" s="33" t="n">
        <v>5</v>
      </c>
      <c r="I17" s="33" t="n">
        <v>9190.65</v>
      </c>
      <c r="J17" s="33" t="n">
        <v>21</v>
      </c>
      <c r="K17" s="33" t="n">
        <v>14279.95</v>
      </c>
      <c r="L17" s="33" t="n">
        <v>28</v>
      </c>
      <c r="M17" s="33" t="n">
        <v>8199.17</v>
      </c>
      <c r="N17" s="33" t="n">
        <v>17</v>
      </c>
      <c r="O17" s="33" t="n">
        <v>119309.28</v>
      </c>
      <c r="P17" s="41" t="n">
        <v>44</v>
      </c>
      <c r="Q17" s="33" t="n">
        <v>58</v>
      </c>
      <c r="R17" s="33" t="n">
        <v>0</v>
      </c>
    </row>
    <row r="18" customFormat="false" ht="26.85" hidden="false" customHeight="false" outlineLevel="0" collapsed="false">
      <c r="A18" s="41" t="s">
        <v>2313</v>
      </c>
      <c r="B18" s="14" t="s">
        <v>2314</v>
      </c>
      <c r="C18" s="33" t="n">
        <v>3</v>
      </c>
      <c r="D18" s="33" t="n">
        <v>3</v>
      </c>
      <c r="E18" s="33"/>
      <c r="F18" s="33"/>
      <c r="G18" s="33" t="n">
        <v>89130.07</v>
      </c>
      <c r="H18" s="33" t="n">
        <v>4</v>
      </c>
      <c r="I18" s="33" t="n">
        <v>7651.15</v>
      </c>
      <c r="J18" s="33" t="n">
        <v>14</v>
      </c>
      <c r="K18" s="33" t="n">
        <v>11204.25</v>
      </c>
      <c r="L18" s="33" t="n">
        <v>20</v>
      </c>
      <c r="M18" s="33" t="n">
        <v>8485</v>
      </c>
      <c r="N18" s="33" t="n">
        <v>21</v>
      </c>
      <c r="O18" s="33" t="n">
        <v>64100.79</v>
      </c>
      <c r="P18" s="41" t="n">
        <v>45</v>
      </c>
      <c r="Q18" s="33" t="n">
        <v>12</v>
      </c>
      <c r="R18" s="33" t="n">
        <v>0</v>
      </c>
    </row>
    <row r="19" customFormat="false" ht="26.85" hidden="false" customHeight="false" outlineLevel="0" collapsed="false">
      <c r="A19" s="41" t="s">
        <v>2315</v>
      </c>
      <c r="B19" s="14" t="s">
        <v>2316</v>
      </c>
      <c r="C19" s="33" t="n">
        <v>4</v>
      </c>
      <c r="D19" s="33" t="n">
        <v>2.5</v>
      </c>
      <c r="E19" s="33"/>
      <c r="F19" s="33"/>
      <c r="G19" s="33" t="n">
        <v>83394.52</v>
      </c>
      <c r="H19" s="33" t="n">
        <v>4</v>
      </c>
      <c r="I19" s="33" t="n">
        <v>11469.39</v>
      </c>
      <c r="J19" s="33" t="n">
        <v>21</v>
      </c>
      <c r="K19" s="33" t="n">
        <v>13907.96</v>
      </c>
      <c r="L19" s="33" t="n">
        <v>25</v>
      </c>
      <c r="M19" s="33" t="n">
        <v>11165.28</v>
      </c>
      <c r="N19" s="33" t="n">
        <v>18</v>
      </c>
      <c r="O19" s="33" t="n">
        <v>62171.09</v>
      </c>
      <c r="P19" s="41" t="n">
        <v>48</v>
      </c>
      <c r="Q19" s="33" t="n">
        <v>21</v>
      </c>
      <c r="R19" s="33" t="n">
        <v>0</v>
      </c>
    </row>
    <row r="20" customFormat="false" ht="26.85" hidden="false" customHeight="false" outlineLevel="0" collapsed="false">
      <c r="A20" s="41" t="s">
        <v>2317</v>
      </c>
      <c r="B20" s="14" t="s">
        <v>2318</v>
      </c>
      <c r="C20" s="33" t="n">
        <v>4</v>
      </c>
      <c r="D20" s="33" t="n">
        <v>2.5</v>
      </c>
      <c r="E20" s="33"/>
      <c r="F20" s="33"/>
      <c r="G20" s="33" t="n">
        <v>80358.25</v>
      </c>
      <c r="H20" s="33" t="n">
        <v>5</v>
      </c>
      <c r="I20" s="33" t="n">
        <v>9419.37</v>
      </c>
      <c r="J20" s="33" t="n">
        <v>25</v>
      </c>
      <c r="K20" s="33" t="n">
        <v>15355.5</v>
      </c>
      <c r="L20" s="33" t="n">
        <v>31</v>
      </c>
      <c r="M20" s="33" t="n">
        <v>10286.18</v>
      </c>
      <c r="N20" s="33" t="n">
        <v>23</v>
      </c>
      <c r="O20" s="33" t="n">
        <v>111342.12</v>
      </c>
      <c r="P20" s="41" t="n">
        <v>43</v>
      </c>
      <c r="Q20" s="33" t="n">
        <v>11</v>
      </c>
      <c r="R20" s="33" t="n">
        <v>0</v>
      </c>
    </row>
    <row r="21" customFormat="false" ht="26.85" hidden="false" customHeight="false" outlineLevel="0" collapsed="false">
      <c r="A21" s="41" t="s">
        <v>2319</v>
      </c>
      <c r="B21" s="14" t="s">
        <v>2320</v>
      </c>
      <c r="C21" s="33" t="n">
        <v>3</v>
      </c>
      <c r="D21" s="33" t="n">
        <v>2.5</v>
      </c>
      <c r="E21" s="33"/>
      <c r="F21" s="33"/>
      <c r="G21" s="33" t="n">
        <v>73205.15</v>
      </c>
      <c r="H21" s="33" t="n">
        <v>4</v>
      </c>
      <c r="I21" s="33" t="n">
        <v>8868.66</v>
      </c>
      <c r="J21" s="33" t="n">
        <v>19</v>
      </c>
      <c r="K21" s="33" t="n">
        <v>10142</v>
      </c>
      <c r="L21" s="33" t="n">
        <v>22</v>
      </c>
      <c r="M21" s="33" t="n">
        <v>10487.93</v>
      </c>
      <c r="N21" s="33" t="n">
        <v>15</v>
      </c>
      <c r="O21" s="33" t="n">
        <v>67101.6</v>
      </c>
      <c r="P21" s="41" t="n">
        <v>44</v>
      </c>
      <c r="Q21" s="33" t="n">
        <v>11</v>
      </c>
      <c r="R21" s="33" t="n">
        <v>0</v>
      </c>
    </row>
    <row r="22" customFormat="false" ht="26.85" hidden="false" customHeight="false" outlineLevel="0" collapsed="false">
      <c r="A22" s="41" t="s">
        <v>2321</v>
      </c>
      <c r="B22" s="14" t="s">
        <v>2322</v>
      </c>
      <c r="C22" s="33" t="n">
        <v>3</v>
      </c>
      <c r="D22" s="33" t="n">
        <v>3</v>
      </c>
      <c r="E22" s="33"/>
      <c r="F22" s="33"/>
      <c r="G22" s="33" t="n">
        <v>100244.26</v>
      </c>
      <c r="H22" s="33" t="n">
        <v>5</v>
      </c>
      <c r="I22" s="33" t="n">
        <v>7377.74</v>
      </c>
      <c r="J22" s="33" t="n">
        <v>13</v>
      </c>
      <c r="K22" s="33" t="n">
        <v>9085.41</v>
      </c>
      <c r="L22" s="33" t="n">
        <v>24</v>
      </c>
      <c r="M22" s="33" t="n">
        <v>11078.96</v>
      </c>
      <c r="N22" s="33" t="n">
        <v>19</v>
      </c>
      <c r="O22" s="33" t="n">
        <v>112267.85</v>
      </c>
      <c r="P22" s="41" t="n">
        <v>42</v>
      </c>
      <c r="Q22" s="33" t="n">
        <v>35</v>
      </c>
      <c r="R22" s="33" t="n">
        <v>0</v>
      </c>
    </row>
    <row r="23" customFormat="false" ht="26.85" hidden="false" customHeight="false" outlineLevel="0" collapsed="false">
      <c r="A23" s="41" t="s">
        <v>2323</v>
      </c>
      <c r="B23" s="14" t="s">
        <v>2324</v>
      </c>
      <c r="C23" s="33" t="n">
        <v>4</v>
      </c>
      <c r="D23" s="33" t="n">
        <v>2</v>
      </c>
      <c r="E23" s="33"/>
      <c r="F23" s="33"/>
      <c r="G23" s="33" t="n">
        <v>89130.15</v>
      </c>
      <c r="H23" s="33" t="n">
        <v>4</v>
      </c>
      <c r="I23" s="33" t="n">
        <v>11570.32</v>
      </c>
      <c r="J23" s="33" t="n">
        <v>24</v>
      </c>
      <c r="K23" s="33" t="n">
        <v>12449.04</v>
      </c>
      <c r="L23" s="33" t="n">
        <v>25</v>
      </c>
      <c r="M23" s="33" t="n">
        <v>8629.16</v>
      </c>
      <c r="N23" s="33" t="n">
        <v>18</v>
      </c>
      <c r="O23" s="33" t="n">
        <v>65759.12</v>
      </c>
      <c r="P23" s="41" t="n">
        <v>37</v>
      </c>
      <c r="Q23" s="33" t="n">
        <v>41</v>
      </c>
      <c r="R23" s="33" t="n">
        <v>0</v>
      </c>
    </row>
    <row r="24" customFormat="false" ht="26.85" hidden="false" customHeight="false" outlineLevel="0" collapsed="false">
      <c r="A24" s="41" t="s">
        <v>2325</v>
      </c>
      <c r="B24" s="14" t="s">
        <v>2326</v>
      </c>
      <c r="C24" s="33" t="n">
        <v>3</v>
      </c>
      <c r="D24" s="33" t="n">
        <v>2.5</v>
      </c>
      <c r="E24" s="33"/>
      <c r="F24" s="33"/>
      <c r="G24" s="33" t="n">
        <v>98838.05</v>
      </c>
      <c r="H24" s="33" t="n">
        <v>4</v>
      </c>
      <c r="I24" s="33" t="n">
        <v>8529.87</v>
      </c>
      <c r="J24" s="33" t="n">
        <v>19</v>
      </c>
      <c r="K24" s="33" t="n">
        <v>11781.15</v>
      </c>
      <c r="L24" s="33" t="n">
        <v>23</v>
      </c>
      <c r="M24" s="33" t="n">
        <v>5459.76</v>
      </c>
      <c r="N24" s="33" t="n">
        <v>13</v>
      </c>
      <c r="O24" s="33" t="n">
        <v>107787.47</v>
      </c>
      <c r="P24" s="41" t="n">
        <v>39</v>
      </c>
      <c r="Q24" s="33" t="n">
        <v>9</v>
      </c>
      <c r="R24" s="33" t="n">
        <v>0</v>
      </c>
    </row>
    <row r="25" customFormat="false" ht="26.85" hidden="false" customHeight="false" outlineLevel="0" collapsed="false">
      <c r="A25" s="41" t="s">
        <v>2327</v>
      </c>
      <c r="B25" s="14" t="s">
        <v>2328</v>
      </c>
      <c r="C25" s="33" t="n">
        <v>3</v>
      </c>
      <c r="D25" s="33" t="n">
        <v>3</v>
      </c>
      <c r="E25" s="33"/>
      <c r="F25" s="33"/>
      <c r="G25" s="33" t="n">
        <v>89130.12</v>
      </c>
      <c r="H25" s="33" t="n">
        <v>5</v>
      </c>
      <c r="I25" s="33" t="n">
        <v>10732.62</v>
      </c>
      <c r="J25" s="33" t="n">
        <v>29</v>
      </c>
      <c r="K25" s="33" t="n">
        <v>11988.44</v>
      </c>
      <c r="L25" s="33" t="n">
        <v>27</v>
      </c>
      <c r="M25" s="33" t="n">
        <v>11824.32</v>
      </c>
      <c r="N25" s="33" t="n">
        <v>20</v>
      </c>
      <c r="O25" s="33" t="n">
        <v>64814.78</v>
      </c>
      <c r="P25" s="41" t="n">
        <v>39</v>
      </c>
      <c r="Q25" s="33" t="n">
        <v>28</v>
      </c>
      <c r="R25" s="33" t="n">
        <v>0</v>
      </c>
    </row>
    <row r="26" customFormat="false" ht="26.85" hidden="false" customHeight="false" outlineLevel="0" collapsed="false">
      <c r="A26" s="41" t="s">
        <v>2329</v>
      </c>
      <c r="B26" s="14" t="s">
        <v>2330</v>
      </c>
      <c r="C26" s="33" t="n">
        <v>3</v>
      </c>
      <c r="D26" s="33" t="n">
        <v>3</v>
      </c>
      <c r="E26" s="33"/>
      <c r="F26" s="33"/>
      <c r="G26" s="33" t="n">
        <v>98838.05</v>
      </c>
      <c r="H26" s="33" t="n">
        <v>4</v>
      </c>
      <c r="I26" s="33" t="n">
        <v>9666.48</v>
      </c>
      <c r="J26" s="33" t="n">
        <v>18</v>
      </c>
      <c r="K26" s="33" t="n">
        <v>13178.9</v>
      </c>
      <c r="L26" s="33" t="n">
        <v>22</v>
      </c>
      <c r="M26" s="33" t="n">
        <v>11830.71</v>
      </c>
      <c r="N26" s="33" t="n">
        <v>15</v>
      </c>
      <c r="O26" s="33" t="n">
        <v>142365.98</v>
      </c>
      <c r="P26" s="41" t="n">
        <v>43</v>
      </c>
      <c r="Q26" s="33" t="n">
        <v>8</v>
      </c>
      <c r="R26" s="33" t="n">
        <v>0</v>
      </c>
    </row>
    <row r="27" customFormat="false" ht="26.85" hidden="false" customHeight="false" outlineLevel="0" collapsed="false">
      <c r="A27" s="41" t="s">
        <v>2331</v>
      </c>
      <c r="B27" s="14" t="s">
        <v>2332</v>
      </c>
      <c r="C27" s="33" t="n">
        <v>3</v>
      </c>
      <c r="D27" s="33" t="n">
        <v>3</v>
      </c>
      <c r="E27" s="33"/>
      <c r="F27" s="33"/>
      <c r="G27" s="33" t="n">
        <v>89130.15</v>
      </c>
      <c r="H27" s="33" t="n">
        <v>4</v>
      </c>
      <c r="I27" s="33" t="n">
        <v>9712.99</v>
      </c>
      <c r="J27" s="33" t="n">
        <v>19</v>
      </c>
      <c r="K27" s="33" t="n">
        <v>10539.5</v>
      </c>
      <c r="L27" s="33" t="n">
        <v>25</v>
      </c>
      <c r="M27" s="33" t="n">
        <v>8388.17</v>
      </c>
      <c r="N27" s="33" t="n">
        <v>20</v>
      </c>
      <c r="O27" s="33" t="n">
        <v>60384.01</v>
      </c>
      <c r="P27" s="41" t="n">
        <v>36</v>
      </c>
      <c r="Q27" s="33" t="n">
        <v>28</v>
      </c>
      <c r="R27" s="33" t="n">
        <v>0</v>
      </c>
    </row>
    <row r="28" customFormat="false" ht="26.85" hidden="false" customHeight="false" outlineLevel="0" collapsed="false">
      <c r="A28" s="41" t="s">
        <v>2333</v>
      </c>
      <c r="B28" s="14" t="s">
        <v>2334</v>
      </c>
      <c r="C28" s="33" t="n">
        <v>3</v>
      </c>
      <c r="D28" s="33" t="n">
        <v>5</v>
      </c>
      <c r="E28" s="33"/>
      <c r="F28" s="33"/>
      <c r="G28" s="33" t="n">
        <v>89130.25</v>
      </c>
      <c r="H28" s="33" t="n">
        <v>5</v>
      </c>
      <c r="I28" s="33" t="n">
        <v>6166.94</v>
      </c>
      <c r="J28" s="33" t="n">
        <v>21</v>
      </c>
      <c r="K28" s="33" t="n">
        <v>10035.53</v>
      </c>
      <c r="L28" s="33" t="n">
        <v>25</v>
      </c>
      <c r="M28" s="33" t="n">
        <v>8570.36</v>
      </c>
      <c r="N28" s="33" t="n">
        <v>21</v>
      </c>
      <c r="O28" s="33" t="n">
        <v>75938.12</v>
      </c>
      <c r="P28" s="41" t="n">
        <v>43</v>
      </c>
      <c r="Q28" s="33" t="n">
        <v>31</v>
      </c>
      <c r="R28" s="33" t="n">
        <v>0</v>
      </c>
    </row>
    <row r="29" customFormat="false" ht="26.85" hidden="false" customHeight="false" outlineLevel="0" collapsed="false">
      <c r="A29" s="41" t="s">
        <v>2335</v>
      </c>
      <c r="B29" s="14" t="s">
        <v>2336</v>
      </c>
      <c r="C29" s="33" t="n">
        <v>3</v>
      </c>
      <c r="D29" s="33" t="n">
        <v>2.5</v>
      </c>
      <c r="E29" s="33"/>
      <c r="F29" s="33"/>
      <c r="G29" s="33" t="n">
        <v>100809.61</v>
      </c>
      <c r="H29" s="33" t="n">
        <v>6</v>
      </c>
      <c r="I29" s="33" t="n">
        <v>8256.57</v>
      </c>
      <c r="J29" s="33" t="n">
        <v>19</v>
      </c>
      <c r="K29" s="33" t="n">
        <v>8990.75</v>
      </c>
      <c r="L29" s="33" t="n">
        <v>22</v>
      </c>
      <c r="M29" s="33" t="n">
        <v>7577.87</v>
      </c>
      <c r="N29" s="33" t="n">
        <v>14</v>
      </c>
      <c r="O29" s="33" t="n">
        <v>106892.11</v>
      </c>
      <c r="P29" s="41" t="n">
        <v>37</v>
      </c>
      <c r="Q29" s="33" t="n">
        <v>16</v>
      </c>
      <c r="R29" s="33" t="n">
        <v>0</v>
      </c>
    </row>
  </sheetData>
  <autoFilter ref="A3:R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18"/>
    <col collapsed="false" customWidth="true" hidden="false" outlineLevel="0" max="4" min="4" style="0" width="24"/>
    <col collapsed="false" customWidth="true" hidden="false" outlineLevel="0" max="5" min="5" style="0" width="16"/>
    <col collapsed="false" customWidth="true" hidden="false" outlineLevel="0" max="6" min="6" style="0" width="14"/>
    <col collapsed="false" customWidth="true" hidden="false" outlineLevel="0" max="10" min="7" style="0" width="10"/>
    <col collapsed="false" customWidth="true" hidden="false" outlineLevel="0" max="12" min="11" style="0" width="14"/>
    <col collapsed="false" customWidth="true" hidden="false" outlineLevel="0" max="13" min="13" style="0" width="16"/>
    <col collapsed="false" customWidth="true" hidden="false" outlineLevel="0" max="14" min="14" style="0" width="14"/>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20" min="19" style="0" width="14"/>
    <col collapsed="false" customWidth="true" hidden="false" outlineLevel="0" max="21" min="21" style="0" width="16"/>
    <col collapsed="false" customWidth="true" hidden="false" outlineLevel="0" max="22" min="22" style="0" width="12"/>
    <col collapsed="false" customWidth="true" hidden="false" outlineLevel="0" max="24" min="23" style="0" width="14"/>
    <col collapsed="false" customWidth="true" hidden="false" outlineLevel="0" max="27" min="25" style="0" width="18"/>
    <col collapsed="false" customWidth="true" hidden="false" outlineLevel="0" max="28" min="28" style="0" width="20"/>
    <col collapsed="false" customWidth="true" hidden="false" outlineLevel="0" max="29" min="29" style="0" width="18"/>
  </cols>
  <sheetData>
    <row r="1" customFormat="false" ht="15" hidden="false" customHeight="false" outlineLevel="0" collapsed="false">
      <c r="A1" s="1" t="s">
        <v>2337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267.9" hidden="false" customHeight="false" outlineLevel="0" collapsed="false">
      <c r="A2" s="14" t="s">
        <v>2338</v>
      </c>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4" customFormat="false" ht="141" hidden="false" customHeight="false" outlineLevel="0" collapsed="false">
      <c r="A4" s="37" t="s">
        <v>2269</v>
      </c>
      <c r="B4" s="37" t="s">
        <v>2270</v>
      </c>
      <c r="C4" s="37" t="s">
        <v>2339</v>
      </c>
      <c r="D4" s="37" t="s">
        <v>2340</v>
      </c>
      <c r="E4" s="37" t="s">
        <v>2341</v>
      </c>
      <c r="F4" s="37" t="s">
        <v>2342</v>
      </c>
      <c r="G4" s="37" t="s">
        <v>2343</v>
      </c>
      <c r="H4" s="37" t="s">
        <v>2344</v>
      </c>
      <c r="I4" s="37" t="s">
        <v>142</v>
      </c>
      <c r="J4" s="37" t="s">
        <v>37</v>
      </c>
      <c r="K4" s="37" t="s">
        <v>38</v>
      </c>
      <c r="L4" s="37" t="s">
        <v>39</v>
      </c>
      <c r="M4" s="37" t="s">
        <v>143</v>
      </c>
      <c r="N4" s="37" t="s">
        <v>79</v>
      </c>
      <c r="O4" s="37" t="s">
        <v>144</v>
      </c>
      <c r="P4" s="37" t="s">
        <v>81</v>
      </c>
      <c r="Q4" s="37" t="s">
        <v>88</v>
      </c>
      <c r="R4" s="37" t="s">
        <v>90</v>
      </c>
      <c r="S4" s="37" t="s">
        <v>99</v>
      </c>
      <c r="T4" s="37" t="s">
        <v>145</v>
      </c>
      <c r="U4" s="37" t="s">
        <v>89</v>
      </c>
      <c r="V4" s="37" t="s">
        <v>146</v>
      </c>
      <c r="W4" s="37" t="s">
        <v>92</v>
      </c>
      <c r="X4" s="37" t="s">
        <v>95</v>
      </c>
      <c r="Y4" s="37" t="s">
        <v>98</v>
      </c>
      <c r="Z4" s="37" t="s">
        <v>101</v>
      </c>
      <c r="AA4" s="37" t="s">
        <v>147</v>
      </c>
      <c r="AB4" s="37" t="s">
        <v>96</v>
      </c>
      <c r="AC4" s="37" t="s">
        <v>2345</v>
      </c>
      <c r="AD4" s="37" t="s">
        <v>2346</v>
      </c>
      <c r="AE4" s="37" t="s">
        <v>2347</v>
      </c>
      <c r="AF4" s="37" t="s">
        <v>150</v>
      </c>
    </row>
    <row r="5" customFormat="false" ht="26.85" hidden="false" customHeight="false" outlineLevel="0" collapsed="false">
      <c r="A5" s="41" t="s">
        <v>2285</v>
      </c>
      <c r="B5" s="14" t="s">
        <v>2286</v>
      </c>
      <c r="C5" s="41" t="s">
        <v>82</v>
      </c>
      <c r="D5" s="41" t="s">
        <v>64</v>
      </c>
      <c r="E5" s="41" t="s">
        <v>2348</v>
      </c>
      <c r="F5" s="41" t="s">
        <v>2349</v>
      </c>
      <c r="G5" s="33" t="s">
        <v>11</v>
      </c>
      <c r="H5" s="33"/>
      <c r="I5" s="33" t="n">
        <v>3</v>
      </c>
      <c r="J5" s="33" t="n">
        <v>3</v>
      </c>
      <c r="K5" s="33" t="n">
        <v>0</v>
      </c>
      <c r="L5" s="33" t="n">
        <v>2.5</v>
      </c>
      <c r="M5" s="33" t="n">
        <v>37</v>
      </c>
      <c r="N5" s="33" t="n">
        <v>45064</v>
      </c>
      <c r="O5" s="33" t="n">
        <v>15021.33</v>
      </c>
      <c r="P5" s="33" t="n">
        <v>13220</v>
      </c>
      <c r="Q5" s="33" t="n">
        <v>155900</v>
      </c>
      <c r="R5" s="33" t="n">
        <v>3590</v>
      </c>
      <c r="S5" s="33" t="n">
        <v>61630</v>
      </c>
      <c r="T5" s="33" t="n">
        <v>8930.22</v>
      </c>
      <c r="U5" s="33" t="n">
        <v>2976.74</v>
      </c>
      <c r="V5" s="33" t="n">
        <v>10878.38</v>
      </c>
      <c r="W5" s="33" t="n">
        <v>3626.13</v>
      </c>
      <c r="X5" s="33" t="n">
        <v>7679.97</v>
      </c>
      <c r="Y5" s="33" t="n">
        <v>81029.12</v>
      </c>
      <c r="Z5" s="33" t="n">
        <v>100338</v>
      </c>
      <c r="AA5" s="33" t="n">
        <v>208855.69</v>
      </c>
      <c r="AB5" s="33" t="n">
        <v>26106.96</v>
      </c>
      <c r="AC5" s="33" t="n">
        <v>279404</v>
      </c>
      <c r="AD5" s="41" t="n">
        <v>0</v>
      </c>
      <c r="AE5" s="41" t="n">
        <v>4128.27</v>
      </c>
      <c r="AF5" s="41" t="n">
        <v>514366.65</v>
      </c>
    </row>
    <row r="6" customFormat="false" ht="26.85" hidden="false" customHeight="false" outlineLevel="0" collapsed="false">
      <c r="A6" s="41" t="s">
        <v>2287</v>
      </c>
      <c r="B6" s="14" t="s">
        <v>2288</v>
      </c>
      <c r="C6" s="41" t="s">
        <v>82</v>
      </c>
      <c r="D6" s="41" t="s">
        <v>64</v>
      </c>
      <c r="E6" s="41" t="s">
        <v>2348</v>
      </c>
      <c r="F6" s="41" t="s">
        <v>2349</v>
      </c>
      <c r="G6" s="33" t="s">
        <v>11</v>
      </c>
      <c r="H6" s="33"/>
      <c r="I6" s="33" t="n">
        <v>5</v>
      </c>
      <c r="J6" s="33" t="n">
        <v>4</v>
      </c>
      <c r="K6" s="33" t="n">
        <v>1</v>
      </c>
      <c r="L6" s="33" t="n">
        <v>3</v>
      </c>
      <c r="M6" s="33" t="n">
        <v>43</v>
      </c>
      <c r="N6" s="33" t="n">
        <v>77056</v>
      </c>
      <c r="O6" s="33" t="n">
        <v>15411.2</v>
      </c>
      <c r="P6" s="33" t="n">
        <v>24950</v>
      </c>
      <c r="Q6" s="33" t="n">
        <v>160140</v>
      </c>
      <c r="R6" s="33" t="n">
        <v>17540</v>
      </c>
      <c r="S6" s="33" t="n">
        <v>111442</v>
      </c>
      <c r="T6" s="33" t="n">
        <v>15632.76</v>
      </c>
      <c r="U6" s="33" t="n">
        <v>3126.55</v>
      </c>
      <c r="V6" s="33" t="n">
        <v>16357.87</v>
      </c>
      <c r="W6" s="33" t="n">
        <v>3271.57</v>
      </c>
      <c r="X6" s="33" t="n">
        <v>10608.04</v>
      </c>
      <c r="Y6" s="33" t="n">
        <v>69035.6</v>
      </c>
      <c r="Z6" s="33" t="n">
        <v>89358.15</v>
      </c>
      <c r="AA6" s="33" t="n">
        <v>200992.42</v>
      </c>
      <c r="AB6" s="33" t="n">
        <v>25124.05</v>
      </c>
      <c r="AC6" s="33" t="n">
        <v>391128</v>
      </c>
      <c r="AD6" s="41" t="n">
        <v>0</v>
      </c>
      <c r="AE6" s="41" t="n">
        <v>2669.9</v>
      </c>
      <c r="AF6" s="41" t="n">
        <v>617244.47</v>
      </c>
    </row>
    <row r="7" customFormat="false" ht="26.85" hidden="false" customHeight="false" outlineLevel="0" collapsed="false">
      <c r="A7" s="41" t="s">
        <v>2289</v>
      </c>
      <c r="B7" s="14" t="s">
        <v>2290</v>
      </c>
      <c r="C7" s="41" t="s">
        <v>82</v>
      </c>
      <c r="D7" s="41" t="s">
        <v>64</v>
      </c>
      <c r="E7" s="41" t="s">
        <v>2348</v>
      </c>
      <c r="F7" s="41" t="s">
        <v>2349</v>
      </c>
      <c r="G7" s="33" t="s">
        <v>11</v>
      </c>
      <c r="H7" s="33"/>
      <c r="I7" s="33" t="n">
        <v>3</v>
      </c>
      <c r="J7" s="33" t="n">
        <v>3</v>
      </c>
      <c r="K7" s="33" t="n">
        <v>0</v>
      </c>
      <c r="L7" s="33" t="n">
        <v>3</v>
      </c>
      <c r="M7" s="33" t="n">
        <v>34</v>
      </c>
      <c r="N7" s="33" t="n">
        <v>45064</v>
      </c>
      <c r="O7" s="33" t="n">
        <v>15021.33</v>
      </c>
      <c r="P7" s="33" t="n">
        <v>6900</v>
      </c>
      <c r="Q7" s="33" t="n">
        <v>160140</v>
      </c>
      <c r="R7" s="33" t="n">
        <v>4270</v>
      </c>
      <c r="S7" s="33" t="n">
        <v>96442</v>
      </c>
      <c r="T7" s="33" t="n">
        <v>6509.33</v>
      </c>
      <c r="U7" s="33" t="n">
        <v>2169.78</v>
      </c>
      <c r="V7" s="33" t="n">
        <v>9126.94</v>
      </c>
      <c r="W7" s="33" t="n">
        <v>3042.31</v>
      </c>
      <c r="X7" s="33" t="n">
        <v>8576.26</v>
      </c>
      <c r="Y7" s="33" t="n">
        <v>74332.61</v>
      </c>
      <c r="Z7" s="33" t="n">
        <v>89130.17</v>
      </c>
      <c r="AA7" s="33" t="n">
        <v>187675.31</v>
      </c>
      <c r="AB7" s="33" t="n">
        <v>23459.41</v>
      </c>
      <c r="AC7" s="33" t="n">
        <v>312816</v>
      </c>
      <c r="AD7" s="41" t="n">
        <v>0</v>
      </c>
      <c r="AE7" s="41" t="n">
        <v>381.3</v>
      </c>
      <c r="AF7" s="41" t="n">
        <v>523950.72</v>
      </c>
    </row>
    <row r="8" customFormat="false" ht="26.85" hidden="false" customHeight="false" outlineLevel="0" collapsed="false">
      <c r="A8" s="41" t="s">
        <v>2291</v>
      </c>
      <c r="B8" s="14" t="s">
        <v>2292</v>
      </c>
      <c r="C8" s="41" t="s">
        <v>82</v>
      </c>
      <c r="D8" s="41" t="s">
        <v>64</v>
      </c>
      <c r="E8" s="41" t="s">
        <v>2348</v>
      </c>
      <c r="F8" s="41" t="s">
        <v>2349</v>
      </c>
      <c r="G8" s="33" t="s">
        <v>11</v>
      </c>
      <c r="H8" s="33"/>
      <c r="I8" s="33" t="n">
        <v>3</v>
      </c>
      <c r="J8" s="33" t="n">
        <v>3</v>
      </c>
      <c r="K8" s="33" t="n">
        <v>0</v>
      </c>
      <c r="L8" s="33" t="n">
        <v>2.5</v>
      </c>
      <c r="M8" s="33" t="n">
        <v>34</v>
      </c>
      <c r="N8" s="33" t="n">
        <v>45064</v>
      </c>
      <c r="O8" s="33" t="n">
        <v>15021.33</v>
      </c>
      <c r="P8" s="33" t="n">
        <v>6470</v>
      </c>
      <c r="Q8" s="33" t="n">
        <v>154880</v>
      </c>
      <c r="R8" s="33" t="n">
        <v>5490</v>
      </c>
      <c r="S8" s="33" t="n">
        <v>96442</v>
      </c>
      <c r="T8" s="33" t="n">
        <v>8390.67</v>
      </c>
      <c r="U8" s="33" t="n">
        <v>2796.89</v>
      </c>
      <c r="V8" s="33" t="n">
        <v>10519.79</v>
      </c>
      <c r="W8" s="33" t="n">
        <v>3506.6</v>
      </c>
      <c r="X8" s="33" t="n">
        <v>11504.37</v>
      </c>
      <c r="Y8" s="33" t="n">
        <v>68450.42</v>
      </c>
      <c r="Z8" s="33" t="n">
        <v>89130.1</v>
      </c>
      <c r="AA8" s="33" t="n">
        <v>187995.35</v>
      </c>
      <c r="AB8" s="33" t="n">
        <v>23499.42</v>
      </c>
      <c r="AC8" s="33" t="n">
        <v>308346</v>
      </c>
      <c r="AD8" s="41" t="n">
        <v>0</v>
      </c>
      <c r="AE8" s="41" t="n">
        <v>1580.84</v>
      </c>
      <c r="AF8" s="41" t="n">
        <v>519840.77</v>
      </c>
    </row>
    <row r="9" customFormat="false" ht="26.85" hidden="false" customHeight="false" outlineLevel="0" collapsed="false">
      <c r="A9" s="41" t="s">
        <v>2293</v>
      </c>
      <c r="B9" s="14" t="s">
        <v>2294</v>
      </c>
      <c r="C9" s="41" t="s">
        <v>82</v>
      </c>
      <c r="D9" s="41" t="s">
        <v>64</v>
      </c>
      <c r="E9" s="41" t="s">
        <v>2348</v>
      </c>
      <c r="F9" s="41" t="s">
        <v>2349</v>
      </c>
      <c r="G9" s="33" t="s">
        <v>67</v>
      </c>
      <c r="H9" s="33"/>
      <c r="I9" s="33" t="n">
        <v>3</v>
      </c>
      <c r="J9" s="33" t="n">
        <v>2</v>
      </c>
      <c r="K9" s="33" t="n">
        <v>1</v>
      </c>
      <c r="L9" s="33" t="n">
        <v>2</v>
      </c>
      <c r="M9" s="33" t="n">
        <v>37</v>
      </c>
      <c r="N9" s="33" t="n">
        <v>31220</v>
      </c>
      <c r="O9" s="33" t="n">
        <v>10406.67</v>
      </c>
      <c r="P9" s="33" t="n">
        <v>7220</v>
      </c>
      <c r="Q9" s="33" t="n">
        <v>142770</v>
      </c>
      <c r="R9" s="33" t="n">
        <v>4200</v>
      </c>
      <c r="S9" s="33" t="n">
        <v>98442</v>
      </c>
      <c r="T9" s="33" t="n">
        <v>6078.53</v>
      </c>
      <c r="U9" s="33" t="n">
        <v>2026.18</v>
      </c>
      <c r="V9" s="33" t="n">
        <v>6306.92</v>
      </c>
      <c r="W9" s="33" t="n">
        <v>2102.31</v>
      </c>
      <c r="X9" s="33" t="n">
        <v>5583.38</v>
      </c>
      <c r="Y9" s="33" t="n">
        <v>79942.2</v>
      </c>
      <c r="Z9" s="33" t="n">
        <v>114163.9</v>
      </c>
      <c r="AA9" s="33" t="n">
        <v>212074.93</v>
      </c>
      <c r="AB9" s="33" t="n">
        <v>26509.37</v>
      </c>
      <c r="AC9" s="33" t="n">
        <v>283852</v>
      </c>
      <c r="AD9" s="41" t="n">
        <v>0</v>
      </c>
      <c r="AE9" s="41" t="n">
        <v>2304.68</v>
      </c>
      <c r="AF9" s="41" t="n">
        <v>522436.3</v>
      </c>
    </row>
    <row r="10" customFormat="false" ht="26.85" hidden="false" customHeight="false" outlineLevel="0" collapsed="false">
      <c r="A10" s="41" t="s">
        <v>2295</v>
      </c>
      <c r="B10" s="14" t="s">
        <v>2296</v>
      </c>
      <c r="C10" s="41" t="s">
        <v>82</v>
      </c>
      <c r="D10" s="41" t="s">
        <v>64</v>
      </c>
      <c r="E10" s="41" t="s">
        <v>2348</v>
      </c>
      <c r="F10" s="41" t="s">
        <v>2349</v>
      </c>
      <c r="G10" s="33" t="s">
        <v>11</v>
      </c>
      <c r="H10" s="33"/>
      <c r="I10" s="33" t="n">
        <v>3</v>
      </c>
      <c r="J10" s="33" t="n">
        <v>2</v>
      </c>
      <c r="K10" s="33" t="n">
        <v>1</v>
      </c>
      <c r="L10" s="33" t="n">
        <v>3</v>
      </c>
      <c r="M10" s="33" t="n">
        <v>35</v>
      </c>
      <c r="N10" s="33" t="n">
        <v>38528</v>
      </c>
      <c r="O10" s="33" t="n">
        <v>12842.67</v>
      </c>
      <c r="P10" s="33" t="n">
        <v>7330</v>
      </c>
      <c r="Q10" s="33" t="n">
        <v>160140</v>
      </c>
      <c r="R10" s="33" t="n">
        <v>3020</v>
      </c>
      <c r="S10" s="33" t="n">
        <v>97942</v>
      </c>
      <c r="T10" s="33" t="n">
        <v>6667.52</v>
      </c>
      <c r="U10" s="33" t="n">
        <v>2222.51</v>
      </c>
      <c r="V10" s="33" t="n">
        <v>10777.38</v>
      </c>
      <c r="W10" s="33" t="n">
        <v>3592.46</v>
      </c>
      <c r="X10" s="33" t="n">
        <v>8463.47</v>
      </c>
      <c r="Y10" s="33" t="n">
        <v>70433.19</v>
      </c>
      <c r="Z10" s="33" t="n">
        <v>89130.14</v>
      </c>
      <c r="AA10" s="33" t="n">
        <v>185471.7</v>
      </c>
      <c r="AB10" s="33" t="n">
        <v>23183.96</v>
      </c>
      <c r="AC10" s="33" t="n">
        <v>306960</v>
      </c>
      <c r="AD10" s="41" t="n">
        <v>0</v>
      </c>
      <c r="AE10" s="41" t="n">
        <v>2164.22</v>
      </c>
      <c r="AF10" s="41" t="n">
        <v>515615.66</v>
      </c>
    </row>
    <row r="11" customFormat="false" ht="26.85" hidden="false" customHeight="false" outlineLevel="0" collapsed="false">
      <c r="A11" s="41" t="s">
        <v>2297</v>
      </c>
      <c r="B11" s="14" t="s">
        <v>2298</v>
      </c>
      <c r="C11" s="41" t="s">
        <v>82</v>
      </c>
      <c r="D11" s="41" t="s">
        <v>64</v>
      </c>
      <c r="E11" s="41" t="s">
        <v>2348</v>
      </c>
      <c r="F11" s="41" t="s">
        <v>2349</v>
      </c>
      <c r="G11" s="33" t="s">
        <v>11</v>
      </c>
      <c r="H11" s="33"/>
      <c r="I11" s="33" t="n">
        <v>4</v>
      </c>
      <c r="J11" s="33" t="n">
        <v>4</v>
      </c>
      <c r="K11" s="33" t="n">
        <v>0</v>
      </c>
      <c r="L11" s="33" t="n">
        <v>3.5</v>
      </c>
      <c r="M11" s="33" t="n">
        <v>41</v>
      </c>
      <c r="N11" s="33" t="n">
        <v>55728</v>
      </c>
      <c r="O11" s="33" t="n">
        <v>13932</v>
      </c>
      <c r="P11" s="33" t="n">
        <v>16771</v>
      </c>
      <c r="Q11" s="33" t="n">
        <v>165000</v>
      </c>
      <c r="R11" s="33" t="n">
        <v>6630</v>
      </c>
      <c r="S11" s="33" t="n">
        <v>97942</v>
      </c>
      <c r="T11" s="33" t="n">
        <v>11224.27</v>
      </c>
      <c r="U11" s="33" t="n">
        <v>2806.07</v>
      </c>
      <c r="V11" s="33" t="n">
        <v>9660.1</v>
      </c>
      <c r="W11" s="33" t="n">
        <v>2415.03</v>
      </c>
      <c r="X11" s="33" t="n">
        <v>9713.08</v>
      </c>
      <c r="Y11" s="33" t="n">
        <v>61871.43</v>
      </c>
      <c r="Z11" s="33" t="n">
        <v>89130.15</v>
      </c>
      <c r="AA11" s="33" t="n">
        <v>181599.03</v>
      </c>
      <c r="AB11" s="33" t="n">
        <v>22699.88</v>
      </c>
      <c r="AC11" s="33" t="n">
        <v>342071</v>
      </c>
      <c r="AD11" s="41" t="n">
        <v>0</v>
      </c>
      <c r="AE11" s="41" t="n">
        <v>2146.67</v>
      </c>
      <c r="AF11" s="41" t="n">
        <v>546369.91</v>
      </c>
    </row>
    <row r="12" customFormat="false" ht="26.85" hidden="false" customHeight="false" outlineLevel="0" collapsed="false">
      <c r="A12" s="41" t="s">
        <v>2299</v>
      </c>
      <c r="B12" s="14" t="s">
        <v>2300</v>
      </c>
      <c r="C12" s="41" t="s">
        <v>82</v>
      </c>
      <c r="D12" s="41" t="s">
        <v>64</v>
      </c>
      <c r="E12" s="41" t="s">
        <v>2348</v>
      </c>
      <c r="F12" s="41" t="s">
        <v>2349</v>
      </c>
      <c r="G12" s="33" t="s">
        <v>11</v>
      </c>
      <c r="H12" s="33"/>
      <c r="I12" s="33" t="n">
        <v>3</v>
      </c>
      <c r="J12" s="33" t="n">
        <v>2</v>
      </c>
      <c r="K12" s="33" t="n">
        <v>1</v>
      </c>
      <c r="L12" s="33" t="n">
        <v>2.5</v>
      </c>
      <c r="M12" s="33" t="n">
        <v>34</v>
      </c>
      <c r="N12" s="33" t="n">
        <v>39366</v>
      </c>
      <c r="O12" s="33" t="n">
        <v>13122</v>
      </c>
      <c r="P12" s="33" t="n">
        <v>6350</v>
      </c>
      <c r="Q12" s="33" t="n">
        <v>155090</v>
      </c>
      <c r="R12" s="33" t="n">
        <v>2925</v>
      </c>
      <c r="S12" s="33" t="n">
        <v>96442</v>
      </c>
      <c r="T12" s="33" t="n">
        <v>10318.53</v>
      </c>
      <c r="U12" s="33" t="n">
        <v>3439.51</v>
      </c>
      <c r="V12" s="33" t="n">
        <v>9581.4</v>
      </c>
      <c r="W12" s="33" t="n">
        <v>3193.8</v>
      </c>
      <c r="X12" s="33" t="n">
        <v>9304.66</v>
      </c>
      <c r="Y12" s="33" t="n">
        <v>66884.8</v>
      </c>
      <c r="Z12" s="33" t="n">
        <v>73205.2</v>
      </c>
      <c r="AA12" s="33" t="n">
        <v>169294.59</v>
      </c>
      <c r="AB12" s="33" t="n">
        <v>21161.82</v>
      </c>
      <c r="AC12" s="33" t="n">
        <v>300173</v>
      </c>
      <c r="AD12" s="41" t="n">
        <v>0</v>
      </c>
      <c r="AE12" s="41" t="n">
        <v>1741.28</v>
      </c>
      <c r="AF12" s="41" t="n">
        <v>490629.41</v>
      </c>
    </row>
    <row r="13" customFormat="false" ht="26.85" hidden="false" customHeight="false" outlineLevel="0" collapsed="false">
      <c r="A13" s="41" t="s">
        <v>2301</v>
      </c>
      <c r="B13" s="14" t="s">
        <v>2302</v>
      </c>
      <c r="C13" s="41" t="s">
        <v>82</v>
      </c>
      <c r="D13" s="41" t="s">
        <v>64</v>
      </c>
      <c r="E13" s="41" t="s">
        <v>2348</v>
      </c>
      <c r="F13" s="41" t="s">
        <v>2349</v>
      </c>
      <c r="G13" s="33" t="s">
        <v>11</v>
      </c>
      <c r="H13" s="33"/>
      <c r="I13" s="33" t="n">
        <v>3</v>
      </c>
      <c r="J13" s="33" t="n">
        <v>3</v>
      </c>
      <c r="K13" s="33" t="n">
        <v>0</v>
      </c>
      <c r="L13" s="33" t="n">
        <v>3</v>
      </c>
      <c r="M13" s="33" t="n">
        <v>39</v>
      </c>
      <c r="N13" s="33" t="n">
        <v>45064</v>
      </c>
      <c r="O13" s="33" t="n">
        <v>15021.33</v>
      </c>
      <c r="P13" s="33" t="n">
        <v>8900</v>
      </c>
      <c r="Q13" s="33" t="n">
        <v>160140</v>
      </c>
      <c r="R13" s="33" t="n">
        <v>7020</v>
      </c>
      <c r="S13" s="33" t="n">
        <v>99942</v>
      </c>
      <c r="T13" s="33" t="n">
        <v>9813.31</v>
      </c>
      <c r="U13" s="33" t="n">
        <v>3271.1</v>
      </c>
      <c r="V13" s="33" t="n">
        <v>11607.61</v>
      </c>
      <c r="W13" s="33" t="n">
        <v>3869.2</v>
      </c>
      <c r="X13" s="33" t="n">
        <v>9010.46</v>
      </c>
      <c r="Y13" s="33" t="n">
        <v>49210.94</v>
      </c>
      <c r="Z13" s="33" t="n">
        <v>83395.13</v>
      </c>
      <c r="AA13" s="33" t="n">
        <v>163037.45</v>
      </c>
      <c r="AB13" s="33" t="n">
        <v>20379.68</v>
      </c>
      <c r="AC13" s="33" t="n">
        <v>321066</v>
      </c>
      <c r="AD13" s="41" t="n">
        <v>0</v>
      </c>
      <c r="AE13" s="41" t="n">
        <v>1269</v>
      </c>
      <c r="AF13" s="41" t="n">
        <v>504483.13</v>
      </c>
    </row>
    <row r="14" customFormat="false" ht="26.85" hidden="false" customHeight="false" outlineLevel="0" collapsed="false">
      <c r="A14" s="41" t="s">
        <v>2303</v>
      </c>
      <c r="B14" s="14" t="s">
        <v>2304</v>
      </c>
      <c r="C14" s="41" t="s">
        <v>82</v>
      </c>
      <c r="D14" s="41" t="s">
        <v>64</v>
      </c>
      <c r="E14" s="41" t="s">
        <v>2348</v>
      </c>
      <c r="F14" s="41" t="s">
        <v>2349</v>
      </c>
      <c r="G14" s="33" t="s">
        <v>11</v>
      </c>
      <c r="H14" s="33"/>
      <c r="I14" s="33" t="n">
        <v>3</v>
      </c>
      <c r="J14" s="33" t="n">
        <v>3</v>
      </c>
      <c r="K14" s="33" t="n">
        <v>0</v>
      </c>
      <c r="L14" s="33" t="n">
        <v>3.5</v>
      </c>
      <c r="M14" s="33" t="n">
        <v>35</v>
      </c>
      <c r="N14" s="33" t="n">
        <v>41910</v>
      </c>
      <c r="O14" s="33" t="n">
        <v>13970</v>
      </c>
      <c r="P14" s="33" t="n">
        <v>9410</v>
      </c>
      <c r="Q14" s="33" t="n">
        <v>160840</v>
      </c>
      <c r="R14" s="33" t="n">
        <v>5160</v>
      </c>
      <c r="S14" s="33" t="n">
        <v>97942</v>
      </c>
      <c r="T14" s="33" t="n">
        <v>5055.58</v>
      </c>
      <c r="U14" s="33" t="n">
        <v>1685.19</v>
      </c>
      <c r="V14" s="33" t="n">
        <v>7374.36</v>
      </c>
      <c r="W14" s="33" t="n">
        <v>2458.12</v>
      </c>
      <c r="X14" s="33" t="n">
        <v>9574.41</v>
      </c>
      <c r="Y14" s="33" t="n">
        <v>69854.54</v>
      </c>
      <c r="Z14" s="33" t="n">
        <v>96735.12</v>
      </c>
      <c r="AA14" s="33" t="n">
        <v>188594.01</v>
      </c>
      <c r="AB14" s="33" t="n">
        <v>23574.25</v>
      </c>
      <c r="AC14" s="33" t="n">
        <v>315262</v>
      </c>
      <c r="AD14" s="41" t="n">
        <v>0</v>
      </c>
      <c r="AE14" s="41" t="n">
        <v>2578.5</v>
      </c>
      <c r="AF14" s="41" t="n">
        <v>527430.26</v>
      </c>
    </row>
    <row r="15" customFormat="false" ht="26.85" hidden="false" customHeight="false" outlineLevel="0" collapsed="false">
      <c r="A15" s="41" t="s">
        <v>2305</v>
      </c>
      <c r="B15" s="14" t="s">
        <v>2306</v>
      </c>
      <c r="C15" s="41" t="s">
        <v>82</v>
      </c>
      <c r="D15" s="41" t="s">
        <v>64</v>
      </c>
      <c r="E15" s="41" t="s">
        <v>2348</v>
      </c>
      <c r="F15" s="41" t="s">
        <v>2349</v>
      </c>
      <c r="G15" s="33" t="s">
        <v>11</v>
      </c>
      <c r="H15" s="33"/>
      <c r="I15" s="33" t="n">
        <v>4</v>
      </c>
      <c r="J15" s="33" t="n">
        <v>4</v>
      </c>
      <c r="K15" s="33" t="n">
        <v>0</v>
      </c>
      <c r="L15" s="33" t="n">
        <v>2.5</v>
      </c>
      <c r="M15" s="33" t="n">
        <v>45</v>
      </c>
      <c r="N15" s="33" t="n">
        <v>49020</v>
      </c>
      <c r="O15" s="33" t="n">
        <v>12255</v>
      </c>
      <c r="P15" s="33" t="n">
        <v>24260</v>
      </c>
      <c r="Q15" s="33" t="n">
        <v>151610</v>
      </c>
      <c r="R15" s="33" t="n">
        <v>7470</v>
      </c>
      <c r="S15" s="33" t="n">
        <v>99942</v>
      </c>
      <c r="T15" s="33" t="n">
        <v>13957.52</v>
      </c>
      <c r="U15" s="33" t="n">
        <v>3489.38</v>
      </c>
      <c r="V15" s="33" t="n">
        <v>11220.9</v>
      </c>
      <c r="W15" s="33" t="n">
        <v>2805.22</v>
      </c>
      <c r="X15" s="33" t="n">
        <v>12176.99</v>
      </c>
      <c r="Y15" s="33" t="n">
        <v>127140.2</v>
      </c>
      <c r="Z15" s="33" t="n">
        <v>80452.09</v>
      </c>
      <c r="AA15" s="33" t="n">
        <v>244947.7</v>
      </c>
      <c r="AB15" s="33" t="n">
        <v>30618.46</v>
      </c>
      <c r="AC15" s="33" t="n">
        <v>332302</v>
      </c>
      <c r="AD15" s="41" t="n">
        <v>0</v>
      </c>
      <c r="AE15" s="41" t="n">
        <v>2814.1</v>
      </c>
      <c r="AF15" s="41" t="n">
        <v>607868.16</v>
      </c>
    </row>
    <row r="16" customFormat="false" ht="26.85" hidden="false" customHeight="false" outlineLevel="0" collapsed="false">
      <c r="A16" s="41" t="s">
        <v>2307</v>
      </c>
      <c r="B16" s="14" t="s">
        <v>2308</v>
      </c>
      <c r="C16" s="41" t="s">
        <v>82</v>
      </c>
      <c r="D16" s="41" t="s">
        <v>64</v>
      </c>
      <c r="E16" s="41" t="s">
        <v>2348</v>
      </c>
      <c r="F16" s="41" t="s">
        <v>2349</v>
      </c>
      <c r="G16" s="33" t="s">
        <v>2350</v>
      </c>
      <c r="H16" s="33"/>
      <c r="I16" s="33" t="n">
        <v>3</v>
      </c>
      <c r="J16" s="33" t="n">
        <v>2</v>
      </c>
      <c r="K16" s="33" t="n">
        <v>1</v>
      </c>
      <c r="L16" s="33" t="n">
        <v>3.5</v>
      </c>
      <c r="M16" s="33" t="n">
        <v>41</v>
      </c>
      <c r="N16" s="33" t="n">
        <v>41910</v>
      </c>
      <c r="O16" s="33" t="n">
        <v>13970</v>
      </c>
      <c r="P16" s="33" t="n">
        <v>16350</v>
      </c>
      <c r="Q16" s="33" t="n">
        <v>160490</v>
      </c>
      <c r="R16" s="33" t="n">
        <v>5460</v>
      </c>
      <c r="S16" s="33" t="n">
        <v>97942</v>
      </c>
      <c r="T16" s="33" t="n">
        <v>11122.24</v>
      </c>
      <c r="U16" s="33" t="n">
        <v>3707.41</v>
      </c>
      <c r="V16" s="33" t="n">
        <v>10645.23</v>
      </c>
      <c r="W16" s="33" t="n">
        <v>3548.41</v>
      </c>
      <c r="X16" s="33" t="n">
        <v>12373.33</v>
      </c>
      <c r="Y16" s="33" t="n">
        <v>92911.23</v>
      </c>
      <c r="Z16" s="33" t="n">
        <v>100338</v>
      </c>
      <c r="AA16" s="33" t="n">
        <v>227390.03</v>
      </c>
      <c r="AB16" s="33" t="n">
        <v>28423.75</v>
      </c>
      <c r="AC16" s="33" t="n">
        <v>322152</v>
      </c>
      <c r="AD16" s="41" t="n">
        <v>0</v>
      </c>
      <c r="AE16" s="41" t="n">
        <v>645.32</v>
      </c>
      <c r="AF16" s="41" t="n">
        <v>577965.78</v>
      </c>
    </row>
    <row r="17" customFormat="false" ht="26.85" hidden="false" customHeight="false" outlineLevel="0" collapsed="false">
      <c r="A17" s="41" t="s">
        <v>2309</v>
      </c>
      <c r="B17" s="14" t="s">
        <v>2310</v>
      </c>
      <c r="C17" s="41" t="s">
        <v>82</v>
      </c>
      <c r="D17" s="41" t="s">
        <v>64</v>
      </c>
      <c r="E17" s="41" t="s">
        <v>2348</v>
      </c>
      <c r="F17" s="41" t="s">
        <v>2349</v>
      </c>
      <c r="G17" s="33" t="s">
        <v>67</v>
      </c>
      <c r="H17" s="33"/>
      <c r="I17" s="33" t="n">
        <v>3</v>
      </c>
      <c r="J17" s="33" t="n">
        <v>1</v>
      </c>
      <c r="K17" s="33" t="n">
        <v>2</v>
      </c>
      <c r="L17" s="33" t="n">
        <v>3</v>
      </c>
      <c r="M17" s="33" t="n">
        <v>38</v>
      </c>
      <c r="N17" s="33" t="n">
        <v>38730</v>
      </c>
      <c r="O17" s="33" t="n">
        <v>12910</v>
      </c>
      <c r="P17" s="33" t="n">
        <v>17550</v>
      </c>
      <c r="Q17" s="33" t="n">
        <v>160140</v>
      </c>
      <c r="R17" s="33" t="n">
        <v>3020</v>
      </c>
      <c r="S17" s="33" t="n">
        <v>96382</v>
      </c>
      <c r="T17" s="33" t="n">
        <v>8614.22</v>
      </c>
      <c r="U17" s="33" t="n">
        <v>2871.41</v>
      </c>
      <c r="V17" s="33" t="n">
        <v>9728.55</v>
      </c>
      <c r="W17" s="33" t="n">
        <v>3242.85</v>
      </c>
      <c r="X17" s="33" t="n">
        <v>14791.84</v>
      </c>
      <c r="Y17" s="33" t="n">
        <v>117772.13</v>
      </c>
      <c r="Z17" s="33" t="n">
        <v>98838.05</v>
      </c>
      <c r="AA17" s="33" t="n">
        <v>249744.79</v>
      </c>
      <c r="AB17" s="33" t="n">
        <v>31218.1</v>
      </c>
      <c r="AC17" s="33" t="n">
        <v>315822</v>
      </c>
      <c r="AD17" s="41" t="n">
        <v>0</v>
      </c>
      <c r="AE17" s="41" t="n">
        <v>7058.96</v>
      </c>
      <c r="AF17" s="41" t="n">
        <v>596784.89</v>
      </c>
    </row>
    <row r="18" customFormat="false" ht="26.85" hidden="false" customHeight="false" outlineLevel="0" collapsed="false">
      <c r="A18" s="41" t="s">
        <v>2311</v>
      </c>
      <c r="B18" s="14" t="s">
        <v>2312</v>
      </c>
      <c r="C18" s="41" t="s">
        <v>82</v>
      </c>
      <c r="D18" s="41" t="s">
        <v>64</v>
      </c>
      <c r="E18" s="41" t="s">
        <v>2348</v>
      </c>
      <c r="F18" s="41" t="s">
        <v>2349</v>
      </c>
      <c r="G18" s="33" t="s">
        <v>11</v>
      </c>
      <c r="H18" s="33"/>
      <c r="I18" s="33" t="n">
        <v>4</v>
      </c>
      <c r="J18" s="33" t="n">
        <v>2</v>
      </c>
      <c r="K18" s="33" t="n">
        <v>2</v>
      </c>
      <c r="L18" s="33" t="n">
        <v>3</v>
      </c>
      <c r="M18" s="33" t="n">
        <v>42</v>
      </c>
      <c r="N18" s="33" t="n">
        <v>49020</v>
      </c>
      <c r="O18" s="33" t="n">
        <v>12255</v>
      </c>
      <c r="P18" s="33" t="n">
        <v>19710</v>
      </c>
      <c r="Q18" s="33" t="n">
        <v>156310</v>
      </c>
      <c r="R18" s="33" t="n">
        <v>5570</v>
      </c>
      <c r="S18" s="33" t="n">
        <v>99442</v>
      </c>
      <c r="T18" s="33" t="n">
        <v>9190.65</v>
      </c>
      <c r="U18" s="33" t="n">
        <v>2297.66</v>
      </c>
      <c r="V18" s="33" t="n">
        <v>14279.95</v>
      </c>
      <c r="W18" s="33" t="n">
        <v>3569.99</v>
      </c>
      <c r="X18" s="33" t="n">
        <v>8199.17</v>
      </c>
      <c r="Y18" s="33" t="n">
        <v>119309.28</v>
      </c>
      <c r="Z18" s="33" t="n">
        <v>100244.26</v>
      </c>
      <c r="AA18" s="33" t="n">
        <v>251223.31</v>
      </c>
      <c r="AB18" s="33" t="n">
        <v>31402.91</v>
      </c>
      <c r="AC18" s="33" t="n">
        <v>330052</v>
      </c>
      <c r="AD18" s="41" t="n">
        <v>0</v>
      </c>
      <c r="AE18" s="41" t="n">
        <v>7755.38</v>
      </c>
      <c r="AF18" s="41" t="n">
        <v>612678.22</v>
      </c>
    </row>
    <row r="19" customFormat="false" ht="26.85" hidden="false" customHeight="false" outlineLevel="0" collapsed="false">
      <c r="A19" s="41" t="s">
        <v>2313</v>
      </c>
      <c r="B19" s="14" t="s">
        <v>2314</v>
      </c>
      <c r="C19" s="41" t="s">
        <v>82</v>
      </c>
      <c r="D19" s="41" t="s">
        <v>64</v>
      </c>
      <c r="E19" s="41" t="s">
        <v>2348</v>
      </c>
      <c r="F19" s="41" t="s">
        <v>2349</v>
      </c>
      <c r="G19" s="33" t="s">
        <v>11</v>
      </c>
      <c r="H19" s="33"/>
      <c r="I19" s="33" t="n">
        <v>3</v>
      </c>
      <c r="J19" s="33" t="n">
        <v>2</v>
      </c>
      <c r="K19" s="33" t="n">
        <v>1</v>
      </c>
      <c r="L19" s="33" t="n">
        <v>3</v>
      </c>
      <c r="M19" s="33" t="n">
        <v>39</v>
      </c>
      <c r="N19" s="33" t="n">
        <v>56528</v>
      </c>
      <c r="O19" s="33" t="n">
        <v>18842.67</v>
      </c>
      <c r="P19" s="33" t="n">
        <v>14760</v>
      </c>
      <c r="Q19" s="33" t="n">
        <v>160140</v>
      </c>
      <c r="R19" s="33" t="n">
        <v>4340</v>
      </c>
      <c r="S19" s="33" t="n">
        <v>98752</v>
      </c>
      <c r="T19" s="33" t="n">
        <v>7651.15</v>
      </c>
      <c r="U19" s="33" t="n">
        <v>2550.38</v>
      </c>
      <c r="V19" s="33" t="n">
        <v>11204.25</v>
      </c>
      <c r="W19" s="33" t="n">
        <v>3734.75</v>
      </c>
      <c r="X19" s="33" t="n">
        <v>8485</v>
      </c>
      <c r="Y19" s="33" t="n">
        <v>64100.79</v>
      </c>
      <c r="Z19" s="33" t="n">
        <v>89130.07</v>
      </c>
      <c r="AA19" s="33" t="n">
        <v>180571.26</v>
      </c>
      <c r="AB19" s="33" t="n">
        <v>22571.41</v>
      </c>
      <c r="AC19" s="33" t="n">
        <v>334520</v>
      </c>
      <c r="AD19" s="41" t="n">
        <v>0</v>
      </c>
      <c r="AE19" s="41" t="n">
        <v>906.23</v>
      </c>
      <c r="AF19" s="41" t="n">
        <v>537662.67</v>
      </c>
    </row>
    <row r="20" customFormat="false" ht="26.85" hidden="false" customHeight="false" outlineLevel="0" collapsed="false">
      <c r="A20" s="41" t="s">
        <v>2315</v>
      </c>
      <c r="B20" s="14" t="s">
        <v>2316</v>
      </c>
      <c r="C20" s="41" t="s">
        <v>82</v>
      </c>
      <c r="D20" s="41" t="s">
        <v>64</v>
      </c>
      <c r="E20" s="41" t="s">
        <v>2348</v>
      </c>
      <c r="F20" s="41" t="s">
        <v>2349</v>
      </c>
      <c r="G20" s="33" t="s">
        <v>67</v>
      </c>
      <c r="H20" s="33"/>
      <c r="I20" s="33" t="n">
        <v>4</v>
      </c>
      <c r="J20" s="33" t="n">
        <v>2</v>
      </c>
      <c r="K20" s="33" t="n">
        <v>2</v>
      </c>
      <c r="L20" s="33" t="n">
        <v>2.5</v>
      </c>
      <c r="M20" s="33" t="n">
        <v>40</v>
      </c>
      <c r="N20" s="33" t="n">
        <v>49020</v>
      </c>
      <c r="O20" s="33" t="n">
        <v>12255</v>
      </c>
      <c r="P20" s="33" t="n">
        <v>17550</v>
      </c>
      <c r="Q20" s="33" t="n">
        <v>154880</v>
      </c>
      <c r="R20" s="33" t="n">
        <v>6470</v>
      </c>
      <c r="S20" s="33" t="n">
        <v>98942</v>
      </c>
      <c r="T20" s="33" t="n">
        <v>11469.39</v>
      </c>
      <c r="U20" s="33" t="n">
        <v>2867.35</v>
      </c>
      <c r="V20" s="33" t="n">
        <v>13907.96</v>
      </c>
      <c r="W20" s="33" t="n">
        <v>3476.99</v>
      </c>
      <c r="X20" s="33" t="n">
        <v>11165.28</v>
      </c>
      <c r="Y20" s="33" t="n">
        <v>62171.09</v>
      </c>
      <c r="Z20" s="33" t="n">
        <v>83394.52</v>
      </c>
      <c r="AA20" s="33" t="n">
        <v>182108.24</v>
      </c>
      <c r="AB20" s="33" t="n">
        <v>22763.53</v>
      </c>
      <c r="AC20" s="33" t="n">
        <v>326862</v>
      </c>
      <c r="AD20" s="41" t="n">
        <v>0</v>
      </c>
      <c r="AE20" s="41" t="n">
        <v>1731.15</v>
      </c>
      <c r="AF20" s="41" t="n">
        <v>531733.77</v>
      </c>
    </row>
    <row r="21" customFormat="false" ht="26.85" hidden="false" customHeight="false" outlineLevel="0" collapsed="false">
      <c r="A21" s="41" t="s">
        <v>2317</v>
      </c>
      <c r="B21" s="14" t="s">
        <v>2318</v>
      </c>
      <c r="C21" s="41" t="s">
        <v>82</v>
      </c>
      <c r="D21" s="41" t="s">
        <v>64</v>
      </c>
      <c r="E21" s="41" t="s">
        <v>2348</v>
      </c>
      <c r="F21" s="41" t="s">
        <v>2349</v>
      </c>
      <c r="G21" s="33" t="s">
        <v>11</v>
      </c>
      <c r="H21" s="33"/>
      <c r="I21" s="33" t="n">
        <v>4</v>
      </c>
      <c r="J21" s="33" t="n">
        <v>2</v>
      </c>
      <c r="K21" s="33" t="n">
        <v>2</v>
      </c>
      <c r="L21" s="33" t="n">
        <v>2.5</v>
      </c>
      <c r="M21" s="33" t="n">
        <v>46</v>
      </c>
      <c r="N21" s="33" t="n">
        <v>56528</v>
      </c>
      <c r="O21" s="33" t="n">
        <v>14132</v>
      </c>
      <c r="P21" s="33" t="n">
        <v>33830</v>
      </c>
      <c r="Q21" s="33" t="n">
        <v>154880</v>
      </c>
      <c r="R21" s="33" t="n">
        <v>6240</v>
      </c>
      <c r="S21" s="33" t="n">
        <v>99442</v>
      </c>
      <c r="T21" s="33" t="n">
        <v>9419.37</v>
      </c>
      <c r="U21" s="33" t="n">
        <v>2354.84</v>
      </c>
      <c r="V21" s="33" t="n">
        <v>15355.5</v>
      </c>
      <c r="W21" s="33" t="n">
        <v>3838.88</v>
      </c>
      <c r="X21" s="33" t="n">
        <v>10286.18</v>
      </c>
      <c r="Y21" s="33" t="n">
        <v>111342.12</v>
      </c>
      <c r="Z21" s="33" t="n">
        <v>80358.25</v>
      </c>
      <c r="AA21" s="33" t="n">
        <v>226761.42</v>
      </c>
      <c r="AB21" s="33" t="n">
        <v>28345.18</v>
      </c>
      <c r="AC21" s="33" t="n">
        <v>350920</v>
      </c>
      <c r="AD21" s="41" t="n">
        <v>0</v>
      </c>
      <c r="AE21" s="41" t="n">
        <v>1627.8</v>
      </c>
      <c r="AF21" s="41" t="n">
        <v>606026.6</v>
      </c>
    </row>
    <row r="22" customFormat="false" ht="26.85" hidden="false" customHeight="false" outlineLevel="0" collapsed="false">
      <c r="A22" s="41" t="s">
        <v>2319</v>
      </c>
      <c r="B22" s="14" t="s">
        <v>2320</v>
      </c>
      <c r="C22" s="41" t="s">
        <v>82</v>
      </c>
      <c r="D22" s="41" t="s">
        <v>64</v>
      </c>
      <c r="E22" s="41" t="s">
        <v>2348</v>
      </c>
      <c r="F22" s="41" t="s">
        <v>2349</v>
      </c>
      <c r="G22" s="33" t="s">
        <v>11</v>
      </c>
      <c r="H22" s="33"/>
      <c r="I22" s="33" t="n">
        <v>3</v>
      </c>
      <c r="J22" s="33" t="n">
        <v>2</v>
      </c>
      <c r="K22" s="33" t="n">
        <v>1</v>
      </c>
      <c r="L22" s="33" t="n">
        <v>2.5</v>
      </c>
      <c r="M22" s="33" t="n">
        <v>41</v>
      </c>
      <c r="N22" s="33" t="n">
        <v>41910</v>
      </c>
      <c r="O22" s="33" t="n">
        <v>13970</v>
      </c>
      <c r="P22" s="33" t="n">
        <v>23310</v>
      </c>
      <c r="Q22" s="33" t="n">
        <v>154880</v>
      </c>
      <c r="R22" s="33" t="n">
        <v>4270</v>
      </c>
      <c r="S22" s="33" t="n">
        <v>101442</v>
      </c>
      <c r="T22" s="33" t="n">
        <v>8868.66</v>
      </c>
      <c r="U22" s="33" t="n">
        <v>2956.22</v>
      </c>
      <c r="V22" s="33" t="n">
        <v>10142</v>
      </c>
      <c r="W22" s="33" t="n">
        <v>3380.67</v>
      </c>
      <c r="X22" s="33" t="n">
        <v>10487.93</v>
      </c>
      <c r="Y22" s="33" t="n">
        <v>67101.6</v>
      </c>
      <c r="Z22" s="33" t="n">
        <v>73205.15</v>
      </c>
      <c r="AA22" s="33" t="n">
        <v>169805.34</v>
      </c>
      <c r="AB22" s="33" t="n">
        <v>21225.67</v>
      </c>
      <c r="AC22" s="33" t="n">
        <v>325812</v>
      </c>
      <c r="AD22" s="41" t="n">
        <v>0</v>
      </c>
      <c r="AE22" s="41" t="n">
        <v>486.63</v>
      </c>
      <c r="AF22" s="41" t="n">
        <v>516843.01</v>
      </c>
    </row>
    <row r="23" customFormat="false" ht="26.85" hidden="false" customHeight="false" outlineLevel="0" collapsed="false">
      <c r="A23" s="41" t="s">
        <v>2321</v>
      </c>
      <c r="B23" s="14" t="s">
        <v>2322</v>
      </c>
      <c r="C23" s="41" t="s">
        <v>82</v>
      </c>
      <c r="D23" s="41" t="s">
        <v>64</v>
      </c>
      <c r="E23" s="41" t="s">
        <v>2348</v>
      </c>
      <c r="F23" s="41" t="s">
        <v>2349</v>
      </c>
      <c r="G23" s="33" t="s">
        <v>11</v>
      </c>
      <c r="H23" s="33"/>
      <c r="I23" s="33" t="n">
        <v>3</v>
      </c>
      <c r="J23" s="33" t="n">
        <v>2</v>
      </c>
      <c r="K23" s="33" t="n">
        <v>1</v>
      </c>
      <c r="L23" s="33" t="n">
        <v>3</v>
      </c>
      <c r="M23" s="33" t="n">
        <v>38</v>
      </c>
      <c r="N23" s="33" t="n">
        <v>45664</v>
      </c>
      <c r="O23" s="33" t="n">
        <v>15221.33</v>
      </c>
      <c r="P23" s="33" t="n">
        <v>15550</v>
      </c>
      <c r="Q23" s="33" t="n">
        <v>160140</v>
      </c>
      <c r="R23" s="33" t="n">
        <v>3020</v>
      </c>
      <c r="S23" s="33" t="n">
        <v>96442</v>
      </c>
      <c r="T23" s="33" t="n">
        <v>7377.74</v>
      </c>
      <c r="U23" s="33" t="n">
        <v>2459.25</v>
      </c>
      <c r="V23" s="33" t="n">
        <v>9085.41</v>
      </c>
      <c r="W23" s="33" t="n">
        <v>3028.47</v>
      </c>
      <c r="X23" s="33" t="n">
        <v>11078.96</v>
      </c>
      <c r="Y23" s="33" t="n">
        <v>112267.85</v>
      </c>
      <c r="Z23" s="33" t="n">
        <v>100244.26</v>
      </c>
      <c r="AA23" s="33" t="n">
        <v>240054.22</v>
      </c>
      <c r="AB23" s="33" t="n">
        <v>30006.78</v>
      </c>
      <c r="AC23" s="33" t="n">
        <v>320816</v>
      </c>
      <c r="AD23" s="41" t="n">
        <v>0</v>
      </c>
      <c r="AE23" s="41" t="n">
        <v>3403</v>
      </c>
      <c r="AF23" s="41" t="n">
        <v>590877</v>
      </c>
    </row>
    <row r="24" customFormat="false" ht="26.85" hidden="false" customHeight="false" outlineLevel="0" collapsed="false">
      <c r="A24" s="41" t="s">
        <v>2323</v>
      </c>
      <c r="B24" s="14" t="s">
        <v>2324</v>
      </c>
      <c r="C24" s="41" t="s">
        <v>82</v>
      </c>
      <c r="D24" s="41" t="s">
        <v>64</v>
      </c>
      <c r="E24" s="41" t="s">
        <v>2348</v>
      </c>
      <c r="F24" s="41" t="s">
        <v>2349</v>
      </c>
      <c r="G24" s="33" t="s">
        <v>11</v>
      </c>
      <c r="H24" s="33"/>
      <c r="I24" s="33" t="n">
        <v>4</v>
      </c>
      <c r="J24" s="33" t="n">
        <v>2</v>
      </c>
      <c r="K24" s="33" t="n">
        <v>2</v>
      </c>
      <c r="L24" s="33" t="n">
        <v>2</v>
      </c>
      <c r="M24" s="33" t="n">
        <v>44</v>
      </c>
      <c r="N24" s="33" t="n">
        <v>56528</v>
      </c>
      <c r="O24" s="33" t="n">
        <v>14132</v>
      </c>
      <c r="P24" s="33" t="n">
        <v>18480</v>
      </c>
      <c r="Q24" s="33" t="n">
        <v>150170</v>
      </c>
      <c r="R24" s="33" t="n">
        <v>5720</v>
      </c>
      <c r="S24" s="33" t="n">
        <v>99442</v>
      </c>
      <c r="T24" s="33" t="n">
        <v>11570.32</v>
      </c>
      <c r="U24" s="33" t="n">
        <v>2892.58</v>
      </c>
      <c r="V24" s="33" t="n">
        <v>12449.04</v>
      </c>
      <c r="W24" s="33" t="n">
        <v>3112.26</v>
      </c>
      <c r="X24" s="33" t="n">
        <v>8629.16</v>
      </c>
      <c r="Y24" s="33" t="n">
        <v>65759.12</v>
      </c>
      <c r="Z24" s="33" t="n">
        <v>89130.15</v>
      </c>
      <c r="AA24" s="33" t="n">
        <v>187537.79</v>
      </c>
      <c r="AB24" s="33" t="n">
        <v>23442.22</v>
      </c>
      <c r="AC24" s="33" t="n">
        <v>330340</v>
      </c>
      <c r="AD24" s="41" t="n">
        <v>0</v>
      </c>
      <c r="AE24" s="41" t="n">
        <v>2088.38</v>
      </c>
      <c r="AF24" s="41" t="n">
        <v>541320.01</v>
      </c>
    </row>
    <row r="25" customFormat="false" ht="26.85" hidden="false" customHeight="false" outlineLevel="0" collapsed="false">
      <c r="A25" s="41" t="s">
        <v>2325</v>
      </c>
      <c r="B25" s="14" t="s">
        <v>2326</v>
      </c>
      <c r="C25" s="41" t="s">
        <v>82</v>
      </c>
      <c r="D25" s="41" t="s">
        <v>64</v>
      </c>
      <c r="E25" s="41" t="s">
        <v>2348</v>
      </c>
      <c r="F25" s="41" t="s">
        <v>2349</v>
      </c>
      <c r="G25" s="33" t="s">
        <v>11</v>
      </c>
      <c r="H25" s="33"/>
      <c r="I25" s="33" t="n">
        <v>3</v>
      </c>
      <c r="J25" s="33" t="n">
        <v>2</v>
      </c>
      <c r="K25" s="33" t="n">
        <v>1</v>
      </c>
      <c r="L25" s="33" t="n">
        <v>2.5</v>
      </c>
      <c r="M25" s="33" t="n">
        <v>39</v>
      </c>
      <c r="N25" s="33" t="n">
        <v>56528</v>
      </c>
      <c r="O25" s="33" t="n">
        <v>18842.67</v>
      </c>
      <c r="P25" s="33" t="n">
        <v>20140</v>
      </c>
      <c r="Q25" s="33" t="n">
        <v>154880</v>
      </c>
      <c r="R25" s="33" t="n">
        <v>6930</v>
      </c>
      <c r="S25" s="33" t="n">
        <v>96442</v>
      </c>
      <c r="T25" s="33" t="n">
        <v>8529.87</v>
      </c>
      <c r="U25" s="33" t="n">
        <v>2843.29</v>
      </c>
      <c r="V25" s="33" t="n">
        <v>11781.15</v>
      </c>
      <c r="W25" s="33" t="n">
        <v>3927.05</v>
      </c>
      <c r="X25" s="33" t="n">
        <v>5459.76</v>
      </c>
      <c r="Y25" s="33" t="n">
        <v>107787.47</v>
      </c>
      <c r="Z25" s="33" t="n">
        <v>98838.05</v>
      </c>
      <c r="AA25" s="33" t="n">
        <v>232396.3</v>
      </c>
      <c r="AB25" s="33" t="n">
        <v>29049.54</v>
      </c>
      <c r="AC25" s="33" t="n">
        <v>334920</v>
      </c>
      <c r="AD25" s="41" t="n">
        <v>0</v>
      </c>
      <c r="AE25" s="41" t="n">
        <v>1053.55</v>
      </c>
      <c r="AF25" s="41" t="n">
        <v>596365.84</v>
      </c>
    </row>
    <row r="26" customFormat="false" ht="26.85" hidden="false" customHeight="false" outlineLevel="0" collapsed="false">
      <c r="A26" s="41" t="s">
        <v>2327</v>
      </c>
      <c r="B26" s="14" t="s">
        <v>2328</v>
      </c>
      <c r="C26" s="41" t="s">
        <v>82</v>
      </c>
      <c r="D26" s="41" t="s">
        <v>64</v>
      </c>
      <c r="E26" s="41" t="s">
        <v>2348</v>
      </c>
      <c r="F26" s="41" t="s">
        <v>2349</v>
      </c>
      <c r="G26" s="33" t="s">
        <v>11</v>
      </c>
      <c r="H26" s="33"/>
      <c r="I26" s="33" t="n">
        <v>3</v>
      </c>
      <c r="J26" s="33" t="n">
        <v>1</v>
      </c>
      <c r="K26" s="33" t="n">
        <v>2</v>
      </c>
      <c r="L26" s="33" t="n">
        <v>3</v>
      </c>
      <c r="M26" s="33" t="n">
        <v>40</v>
      </c>
      <c r="N26" s="33" t="n">
        <v>39128</v>
      </c>
      <c r="O26" s="33" t="n">
        <v>13042.67</v>
      </c>
      <c r="P26" s="33" t="n">
        <v>13230</v>
      </c>
      <c r="Q26" s="33" t="n">
        <v>160140</v>
      </c>
      <c r="R26" s="33" t="n">
        <v>5880</v>
      </c>
      <c r="S26" s="33" t="n">
        <v>100252</v>
      </c>
      <c r="T26" s="33" t="n">
        <v>10732.62</v>
      </c>
      <c r="U26" s="33" t="n">
        <v>3577.54</v>
      </c>
      <c r="V26" s="33" t="n">
        <v>11988.44</v>
      </c>
      <c r="W26" s="33" t="n">
        <v>3996.15</v>
      </c>
      <c r="X26" s="33" t="n">
        <v>11824.32</v>
      </c>
      <c r="Y26" s="33" t="n">
        <v>64814.78</v>
      </c>
      <c r="Z26" s="33" t="n">
        <v>89130.12</v>
      </c>
      <c r="AA26" s="33" t="n">
        <v>188490.28</v>
      </c>
      <c r="AB26" s="33" t="n">
        <v>23561.28</v>
      </c>
      <c r="AC26" s="33" t="n">
        <v>318630</v>
      </c>
      <c r="AD26" s="41" t="n">
        <v>0</v>
      </c>
      <c r="AE26" s="41" t="n">
        <v>3607.78</v>
      </c>
      <c r="AF26" s="41" t="n">
        <v>530681.56</v>
      </c>
    </row>
    <row r="27" customFormat="false" ht="26.85" hidden="false" customHeight="false" outlineLevel="0" collapsed="false">
      <c r="A27" s="41" t="s">
        <v>2329</v>
      </c>
      <c r="B27" s="14" t="s">
        <v>2330</v>
      </c>
      <c r="C27" s="41" t="s">
        <v>82</v>
      </c>
      <c r="D27" s="41" t="s">
        <v>64</v>
      </c>
      <c r="E27" s="41" t="s">
        <v>2348</v>
      </c>
      <c r="F27" s="41" t="s">
        <v>2349</v>
      </c>
      <c r="G27" s="33" t="s">
        <v>11</v>
      </c>
      <c r="H27" s="33"/>
      <c r="I27" s="33" t="n">
        <v>3</v>
      </c>
      <c r="J27" s="33" t="n">
        <v>2</v>
      </c>
      <c r="K27" s="33" t="n">
        <v>1</v>
      </c>
      <c r="L27" s="33" t="n">
        <v>3</v>
      </c>
      <c r="M27" s="33" t="n">
        <v>36</v>
      </c>
      <c r="N27" s="33" t="n">
        <v>56528</v>
      </c>
      <c r="O27" s="33" t="n">
        <v>18842.67</v>
      </c>
      <c r="P27" s="33" t="n">
        <v>15190</v>
      </c>
      <c r="Q27" s="33" t="n">
        <v>159960</v>
      </c>
      <c r="R27" s="33" t="n">
        <v>3020</v>
      </c>
      <c r="S27" s="33" t="n">
        <v>95562</v>
      </c>
      <c r="T27" s="33" t="n">
        <v>9666.48</v>
      </c>
      <c r="U27" s="33" t="n">
        <v>3222.16</v>
      </c>
      <c r="V27" s="33" t="n">
        <v>13178.9</v>
      </c>
      <c r="W27" s="33" t="n">
        <v>4392.97</v>
      </c>
      <c r="X27" s="33" t="n">
        <v>11830.71</v>
      </c>
      <c r="Y27" s="33" t="n">
        <v>142365.98</v>
      </c>
      <c r="Z27" s="33" t="n">
        <v>98838.05</v>
      </c>
      <c r="AA27" s="33" t="n">
        <v>275880.12</v>
      </c>
      <c r="AB27" s="33" t="n">
        <v>34485.01</v>
      </c>
      <c r="AC27" s="33" t="n">
        <v>330260</v>
      </c>
      <c r="AD27" s="41" t="n">
        <v>0</v>
      </c>
      <c r="AE27" s="41" t="n">
        <v>750.41</v>
      </c>
      <c r="AF27" s="41" t="n">
        <v>640625.13</v>
      </c>
    </row>
    <row r="28" customFormat="false" ht="26.85" hidden="false" customHeight="false" outlineLevel="0" collapsed="false">
      <c r="A28" s="41" t="s">
        <v>2331</v>
      </c>
      <c r="B28" s="14" t="s">
        <v>2332</v>
      </c>
      <c r="C28" s="41" t="s">
        <v>82</v>
      </c>
      <c r="D28" s="41" t="s">
        <v>64</v>
      </c>
      <c r="E28" s="41" t="s">
        <v>2348</v>
      </c>
      <c r="F28" s="41" t="s">
        <v>2349</v>
      </c>
      <c r="G28" s="33" t="s">
        <v>67</v>
      </c>
      <c r="H28" s="33"/>
      <c r="I28" s="33" t="n">
        <v>3</v>
      </c>
      <c r="J28" s="33" t="n">
        <v>2</v>
      </c>
      <c r="K28" s="33" t="n">
        <v>1</v>
      </c>
      <c r="L28" s="33" t="n">
        <v>3</v>
      </c>
      <c r="M28" s="33" t="n">
        <v>40</v>
      </c>
      <c r="N28" s="33" t="n">
        <v>41910</v>
      </c>
      <c r="O28" s="33" t="n">
        <v>13970</v>
      </c>
      <c r="P28" s="33" t="n">
        <v>13210</v>
      </c>
      <c r="Q28" s="33" t="n">
        <v>158220</v>
      </c>
      <c r="R28" s="33" t="n">
        <v>4320</v>
      </c>
      <c r="S28" s="33" t="n">
        <v>99942</v>
      </c>
      <c r="T28" s="33" t="n">
        <v>9712.99</v>
      </c>
      <c r="U28" s="33" t="n">
        <v>3237.66</v>
      </c>
      <c r="V28" s="33" t="n">
        <v>10539.5</v>
      </c>
      <c r="W28" s="33" t="n">
        <v>3513.17</v>
      </c>
      <c r="X28" s="33" t="n">
        <v>8388.17</v>
      </c>
      <c r="Y28" s="33" t="n">
        <v>60384.01</v>
      </c>
      <c r="Z28" s="33" t="n">
        <v>89130.15</v>
      </c>
      <c r="AA28" s="33" t="n">
        <v>178154.82</v>
      </c>
      <c r="AB28" s="33" t="n">
        <v>22269.35</v>
      </c>
      <c r="AC28" s="33" t="n">
        <v>317602</v>
      </c>
      <c r="AD28" s="41" t="n">
        <v>0</v>
      </c>
      <c r="AE28" s="41" t="n">
        <v>1568.68</v>
      </c>
      <c r="AF28" s="41" t="n">
        <v>518026.17</v>
      </c>
    </row>
    <row r="29" customFormat="false" ht="26.85" hidden="false" customHeight="false" outlineLevel="0" collapsed="false">
      <c r="A29" s="41" t="s">
        <v>2333</v>
      </c>
      <c r="B29" s="14" t="s">
        <v>2334</v>
      </c>
      <c r="C29" s="41" t="s">
        <v>82</v>
      </c>
      <c r="D29" s="41" t="s">
        <v>64</v>
      </c>
      <c r="E29" s="41" t="s">
        <v>2348</v>
      </c>
      <c r="F29" s="41" t="s">
        <v>2349</v>
      </c>
      <c r="G29" s="33" t="s">
        <v>11</v>
      </c>
      <c r="H29" s="33"/>
      <c r="I29" s="33" t="n">
        <v>3</v>
      </c>
      <c r="J29" s="33" t="n">
        <v>1</v>
      </c>
      <c r="K29" s="33" t="n">
        <v>2</v>
      </c>
      <c r="L29" s="33" t="n">
        <v>5</v>
      </c>
      <c r="M29" s="33" t="n">
        <v>33</v>
      </c>
      <c r="N29" s="33" t="n">
        <v>39128</v>
      </c>
      <c r="O29" s="33" t="n">
        <v>13042.67</v>
      </c>
      <c r="P29" s="33" t="n">
        <v>6370</v>
      </c>
      <c r="Q29" s="33" t="n">
        <v>175340</v>
      </c>
      <c r="R29" s="33" t="n">
        <v>4000</v>
      </c>
      <c r="S29" s="33" t="n">
        <v>161442</v>
      </c>
      <c r="T29" s="33" t="n">
        <v>6166.94</v>
      </c>
      <c r="U29" s="33" t="n">
        <v>2055.65</v>
      </c>
      <c r="V29" s="33" t="n">
        <v>10035.53</v>
      </c>
      <c r="W29" s="33" t="n">
        <v>3345.18</v>
      </c>
      <c r="X29" s="33" t="n">
        <v>8570.36</v>
      </c>
      <c r="Y29" s="33" t="n">
        <v>75938.12</v>
      </c>
      <c r="Z29" s="33" t="n">
        <v>89130.25</v>
      </c>
      <c r="AA29" s="33" t="n">
        <v>189841.2</v>
      </c>
      <c r="AB29" s="33" t="n">
        <v>23730.15</v>
      </c>
      <c r="AC29" s="33" t="n">
        <v>386280</v>
      </c>
      <c r="AD29" s="41" t="n">
        <v>0</v>
      </c>
      <c r="AE29" s="41" t="n">
        <v>4231.06</v>
      </c>
      <c r="AF29" s="41" t="n">
        <v>599851.35</v>
      </c>
    </row>
    <row r="30" customFormat="false" ht="26.85" hidden="false" customHeight="false" outlineLevel="0" collapsed="false">
      <c r="A30" s="41" t="s">
        <v>2335</v>
      </c>
      <c r="B30" s="14" t="s">
        <v>2336</v>
      </c>
      <c r="C30" s="41" t="s">
        <v>82</v>
      </c>
      <c r="D30" s="41" t="s">
        <v>64</v>
      </c>
      <c r="E30" s="41" t="s">
        <v>2348</v>
      </c>
      <c r="F30" s="41" t="s">
        <v>2349</v>
      </c>
      <c r="G30" s="33" t="s">
        <v>11</v>
      </c>
      <c r="H30" s="33"/>
      <c r="I30" s="33" t="n">
        <v>3</v>
      </c>
      <c r="J30" s="33" t="n">
        <v>2</v>
      </c>
      <c r="K30" s="33" t="n">
        <v>1</v>
      </c>
      <c r="L30" s="33" t="n">
        <v>2.5</v>
      </c>
      <c r="M30" s="33" t="n">
        <v>39</v>
      </c>
      <c r="N30" s="33" t="n">
        <v>41910</v>
      </c>
      <c r="O30" s="33" t="n">
        <v>13970</v>
      </c>
      <c r="P30" s="33" t="n">
        <v>18170</v>
      </c>
      <c r="Q30" s="33" t="n">
        <v>152070</v>
      </c>
      <c r="R30" s="33" t="n">
        <v>5020</v>
      </c>
      <c r="S30" s="33" t="n">
        <v>97442</v>
      </c>
      <c r="T30" s="33" t="n">
        <v>8256.57</v>
      </c>
      <c r="U30" s="33" t="n">
        <v>2752.19</v>
      </c>
      <c r="V30" s="33" t="n">
        <v>8990.75</v>
      </c>
      <c r="W30" s="33" t="n">
        <v>2996.92</v>
      </c>
      <c r="X30" s="33" t="n">
        <v>7577.87</v>
      </c>
      <c r="Y30" s="33" t="n">
        <v>106892.11</v>
      </c>
      <c r="Z30" s="33" t="n">
        <v>100809.61</v>
      </c>
      <c r="AA30" s="33" t="n">
        <v>232526.91</v>
      </c>
      <c r="AB30" s="33" t="n">
        <v>29065.86</v>
      </c>
      <c r="AC30" s="33" t="n">
        <v>314612</v>
      </c>
      <c r="AD30" s="41" t="n">
        <v>0</v>
      </c>
      <c r="AE30" s="41" t="n">
        <v>1103.45</v>
      </c>
      <c r="AF30" s="41" t="n">
        <v>576204.77</v>
      </c>
    </row>
  </sheetData>
  <autoFilter ref="A4:AF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12" min="2" style="0" width="20"/>
    <col collapsed="false" customWidth="true" hidden="false" outlineLevel="0" max="13" min="13" style="0" width="24"/>
    <col collapsed="false" customWidth="true" hidden="false" outlineLevel="0" max="16" min="14" style="0" width="20"/>
  </cols>
  <sheetData>
    <row r="1" customFormat="false" ht="15" hidden="false" customHeight="false" outlineLevel="0" collapsed="false">
      <c r="A1" s="1" t="s">
        <v>2351</v>
      </c>
      <c r="B1" s="1"/>
      <c r="C1" s="1"/>
      <c r="D1" s="1"/>
      <c r="E1" s="1"/>
      <c r="F1" s="1"/>
      <c r="G1" s="1"/>
      <c r="H1" s="1"/>
      <c r="I1" s="1"/>
      <c r="J1" s="1"/>
      <c r="K1" s="1"/>
      <c r="L1" s="1"/>
    </row>
    <row r="2" customFormat="false" ht="15" hidden="false" customHeight="false" outlineLevel="0" collapsed="false">
      <c r="A2" s="36" t="s">
        <v>2</v>
      </c>
      <c r="B2" s="36"/>
      <c r="C2" s="36"/>
      <c r="D2" s="36"/>
      <c r="E2" s="36"/>
      <c r="F2" s="36"/>
      <c r="G2" s="36"/>
      <c r="H2" s="36"/>
      <c r="I2" s="36"/>
      <c r="J2" s="36"/>
      <c r="K2" s="36"/>
      <c r="L2" s="36"/>
    </row>
    <row r="3" customFormat="false" ht="52.2" hidden="false" customHeight="false" outlineLevel="0" collapsed="false">
      <c r="A3" s="55" t="s">
        <v>2352</v>
      </c>
      <c r="B3" s="55" t="s">
        <v>2353</v>
      </c>
      <c r="C3" s="55"/>
      <c r="D3" s="55"/>
      <c r="E3" s="55"/>
      <c r="F3" s="55"/>
      <c r="G3" s="55"/>
      <c r="H3" s="55"/>
      <c r="I3" s="55"/>
      <c r="J3" s="55"/>
      <c r="K3" s="55"/>
      <c r="L3" s="55"/>
    </row>
    <row r="4" customFormat="false" ht="64.9" hidden="false" customHeight="false" outlineLevel="0" collapsed="false">
      <c r="A4" s="55" t="s">
        <v>2354</v>
      </c>
      <c r="B4" s="55" t="s">
        <v>2355</v>
      </c>
      <c r="C4" s="55"/>
      <c r="D4" s="55"/>
      <c r="E4" s="55"/>
      <c r="F4" s="55"/>
      <c r="G4" s="55"/>
      <c r="H4" s="55"/>
      <c r="I4" s="55"/>
      <c r="J4" s="55"/>
      <c r="K4" s="55"/>
      <c r="L4" s="55"/>
    </row>
    <row r="6" customFormat="false" ht="15" hidden="false" customHeight="false" outlineLevel="0" collapsed="false">
      <c r="A6" s="5" t="s">
        <v>2356</v>
      </c>
      <c r="B6" s="5"/>
      <c r="C6" s="5"/>
      <c r="D6" s="5"/>
      <c r="E6" s="5"/>
      <c r="F6" s="5"/>
      <c r="G6" s="5"/>
      <c r="H6" s="5"/>
      <c r="I6" s="5"/>
      <c r="J6" s="5"/>
      <c r="K6" s="5"/>
      <c r="L6" s="5"/>
    </row>
    <row r="7" customFormat="false" ht="15" hidden="false" customHeight="false" outlineLevel="0" collapsed="false">
      <c r="A7" s="55" t="s">
        <v>2357</v>
      </c>
      <c r="B7" s="55" t="s">
        <v>19</v>
      </c>
      <c r="C7" s="55"/>
      <c r="D7" s="55"/>
      <c r="E7" s="55"/>
      <c r="F7" s="55"/>
      <c r="G7" s="55"/>
      <c r="H7" s="55"/>
      <c r="I7" s="55"/>
      <c r="J7" s="55"/>
      <c r="K7" s="55"/>
      <c r="L7" s="55"/>
    </row>
    <row r="8" customFormat="false" ht="15" hidden="false" customHeight="false" outlineLevel="0" collapsed="false">
      <c r="A8" s="55" t="s">
        <v>2358</v>
      </c>
      <c r="B8" s="55" t="s">
        <v>19</v>
      </c>
      <c r="C8" s="55"/>
      <c r="D8" s="55"/>
      <c r="E8" s="55"/>
      <c r="F8" s="55"/>
      <c r="G8" s="55"/>
      <c r="H8" s="55"/>
      <c r="I8" s="55"/>
      <c r="J8" s="55"/>
      <c r="K8" s="55"/>
      <c r="L8" s="55"/>
    </row>
    <row r="9" customFormat="false" ht="15" hidden="false" customHeight="false" outlineLevel="0" collapsed="false">
      <c r="A9" s="55" t="s">
        <v>2359</v>
      </c>
      <c r="B9" s="55" t="s">
        <v>25</v>
      </c>
      <c r="C9" s="55"/>
      <c r="D9" s="55"/>
      <c r="E9" s="55"/>
      <c r="F9" s="55"/>
      <c r="G9" s="55"/>
      <c r="H9" s="55"/>
      <c r="I9" s="55"/>
      <c r="J9" s="55"/>
      <c r="K9" s="55"/>
      <c r="L9" s="55"/>
    </row>
    <row r="10" customFormat="false" ht="26.85" hidden="false" customHeight="false" outlineLevel="0" collapsed="false">
      <c r="A10" s="55" t="s">
        <v>2360</v>
      </c>
      <c r="B10" s="55" t="s">
        <v>25</v>
      </c>
      <c r="C10" s="55"/>
      <c r="D10" s="55"/>
      <c r="E10" s="55"/>
      <c r="F10" s="55"/>
      <c r="G10" s="55"/>
      <c r="H10" s="55"/>
      <c r="I10" s="55"/>
      <c r="J10" s="55"/>
      <c r="K10" s="55"/>
      <c r="L10" s="55"/>
    </row>
    <row r="11" customFormat="false" ht="64.9" hidden="false" customHeight="false" outlineLevel="0" collapsed="false">
      <c r="A11" s="55" t="s">
        <v>2361</v>
      </c>
      <c r="B11" s="55" t="s">
        <v>2362</v>
      </c>
      <c r="C11" s="55"/>
      <c r="D11" s="55"/>
      <c r="E11" s="55"/>
      <c r="F11" s="55"/>
      <c r="G11" s="55"/>
      <c r="H11" s="55"/>
      <c r="I11" s="55"/>
      <c r="J11" s="55"/>
      <c r="K11" s="55"/>
      <c r="L11" s="55"/>
    </row>
    <row r="13" customFormat="false" ht="15" hidden="false" customHeight="false" outlineLevel="0" collapsed="false">
      <c r="A13" s="5" t="s">
        <v>2363</v>
      </c>
      <c r="B13" s="5"/>
      <c r="C13" s="5"/>
      <c r="D13" s="5"/>
      <c r="E13" s="5"/>
      <c r="F13" s="5"/>
      <c r="G13" s="5"/>
      <c r="H13" s="5"/>
      <c r="I13" s="5"/>
      <c r="J13" s="5"/>
      <c r="K13" s="5"/>
      <c r="L13" s="5"/>
      <c r="M13" s="5"/>
      <c r="N13" s="5"/>
      <c r="O13" s="5"/>
      <c r="P13" s="5"/>
    </row>
    <row r="14" customFormat="false" ht="15" hidden="false" customHeight="false" outlineLevel="0" collapsed="false">
      <c r="A14" s="18" t="s">
        <v>2364</v>
      </c>
      <c r="B14" s="18" t="s">
        <v>2365</v>
      </c>
      <c r="C14" s="18" t="s">
        <v>2366</v>
      </c>
      <c r="D14" s="18" t="s">
        <v>2367</v>
      </c>
      <c r="E14" s="18" t="s">
        <v>2368</v>
      </c>
      <c r="F14" s="18" t="s">
        <v>2369</v>
      </c>
      <c r="G14" s="18" t="s">
        <v>2370</v>
      </c>
      <c r="H14" s="18" t="s">
        <v>2371</v>
      </c>
      <c r="I14" s="18" t="s">
        <v>2372</v>
      </c>
      <c r="J14" s="18" t="s">
        <v>2373</v>
      </c>
      <c r="K14" s="18" t="s">
        <v>2374</v>
      </c>
      <c r="L14" s="18" t="s">
        <v>2375</v>
      </c>
      <c r="M14" s="18" t="s">
        <v>2376</v>
      </c>
    </row>
    <row r="15" customFormat="false" ht="15" hidden="false" customHeight="false" outlineLevel="0" collapsed="false">
      <c r="A15" s="55" t="s">
        <v>82</v>
      </c>
      <c r="B15" s="55" t="s">
        <v>677</v>
      </c>
      <c r="C15" s="55" t="s">
        <v>2377</v>
      </c>
      <c r="D15" s="55" t="s">
        <v>2378</v>
      </c>
      <c r="E15" s="55" t="s">
        <v>2379</v>
      </c>
      <c r="F15" s="55" t="s">
        <v>2380</v>
      </c>
      <c r="G15" s="55" t="s">
        <v>2381</v>
      </c>
      <c r="H15" s="55" t="s">
        <v>678</v>
      </c>
      <c r="I15" s="55" t="s">
        <v>678</v>
      </c>
      <c r="J15" s="55" t="s">
        <v>678</v>
      </c>
      <c r="K15" s="55" t="s">
        <v>678</v>
      </c>
      <c r="L15" s="55" t="s">
        <v>925</v>
      </c>
      <c r="M15" s="55" t="s">
        <v>2382</v>
      </c>
    </row>
    <row r="16" customFormat="false" ht="15" hidden="false" customHeight="false" outlineLevel="0" collapsed="false">
      <c r="A16" s="55" t="s">
        <v>121</v>
      </c>
      <c r="B16" s="55" t="s">
        <v>679</v>
      </c>
      <c r="C16" s="55" t="s">
        <v>679</v>
      </c>
      <c r="D16" s="55" t="s">
        <v>679</v>
      </c>
      <c r="E16" s="55" t="s">
        <v>679</v>
      </c>
      <c r="F16" s="55" t="s">
        <v>679</v>
      </c>
      <c r="G16" s="55" t="s">
        <v>679</v>
      </c>
      <c r="H16" s="55" t="s">
        <v>679</v>
      </c>
      <c r="I16" s="55" t="s">
        <v>679</v>
      </c>
      <c r="J16" s="55" t="s">
        <v>679</v>
      </c>
      <c r="K16" s="55" t="s">
        <v>679</v>
      </c>
      <c r="L16" s="55" t="s">
        <v>679</v>
      </c>
      <c r="M16" s="55"/>
    </row>
    <row r="17" customFormat="false" ht="15" hidden="false" customHeight="false" outlineLevel="0" collapsed="false">
      <c r="A17" s="55" t="s">
        <v>125</v>
      </c>
      <c r="B17" s="55" t="s">
        <v>679</v>
      </c>
      <c r="C17" s="55" t="s">
        <v>679</v>
      </c>
      <c r="D17" s="55" t="s">
        <v>679</v>
      </c>
      <c r="E17" s="55" t="s">
        <v>679</v>
      </c>
      <c r="F17" s="55" t="s">
        <v>679</v>
      </c>
      <c r="G17" s="55" t="s">
        <v>679</v>
      </c>
      <c r="H17" s="55" t="s">
        <v>679</v>
      </c>
      <c r="I17" s="55" t="s">
        <v>679</v>
      </c>
      <c r="J17" s="55" t="s">
        <v>679</v>
      </c>
      <c r="K17" s="55" t="s">
        <v>679</v>
      </c>
      <c r="L17" s="55" t="s">
        <v>679</v>
      </c>
      <c r="M17" s="55"/>
    </row>
    <row r="18" customFormat="false" ht="15" hidden="false" customHeight="false" outlineLevel="0" collapsed="false">
      <c r="A18" s="55" t="s">
        <v>85</v>
      </c>
      <c r="B18" s="55" t="s">
        <v>679</v>
      </c>
      <c r="C18" s="55" t="s">
        <v>679</v>
      </c>
      <c r="D18" s="55" t="s">
        <v>679</v>
      </c>
      <c r="E18" s="55" t="s">
        <v>679</v>
      </c>
      <c r="F18" s="55" t="s">
        <v>679</v>
      </c>
      <c r="G18" s="55" t="s">
        <v>679</v>
      </c>
      <c r="H18" s="55" t="s">
        <v>679</v>
      </c>
      <c r="I18" s="55" t="s">
        <v>679</v>
      </c>
      <c r="J18" s="55" t="s">
        <v>679</v>
      </c>
      <c r="K18" s="55" t="s">
        <v>679</v>
      </c>
      <c r="L18" s="55" t="s">
        <v>679</v>
      </c>
      <c r="M18" s="55"/>
    </row>
    <row r="19" customFormat="false" ht="15" hidden="false" customHeight="false" outlineLevel="0" collapsed="false">
      <c r="A19" s="55" t="s">
        <v>86</v>
      </c>
      <c r="B19" s="55" t="s">
        <v>679</v>
      </c>
      <c r="C19" s="55" t="s">
        <v>679</v>
      </c>
      <c r="D19" s="55" t="s">
        <v>679</v>
      </c>
      <c r="E19" s="55" t="s">
        <v>679</v>
      </c>
      <c r="F19" s="55" t="s">
        <v>679</v>
      </c>
      <c r="G19" s="55" t="s">
        <v>679</v>
      </c>
      <c r="H19" s="55" t="s">
        <v>679</v>
      </c>
      <c r="I19" s="55" t="s">
        <v>679</v>
      </c>
      <c r="J19" s="55" t="s">
        <v>679</v>
      </c>
      <c r="K19" s="55" t="s">
        <v>679</v>
      </c>
      <c r="L19" s="55" t="s">
        <v>679</v>
      </c>
      <c r="M19" s="55"/>
    </row>
    <row r="20" customFormat="false" ht="15" hidden="false" customHeight="false" outlineLevel="0" collapsed="false">
      <c r="A20" s="55" t="s">
        <v>87</v>
      </c>
      <c r="B20" s="55" t="s">
        <v>677</v>
      </c>
      <c r="C20" s="55" t="s">
        <v>2377</v>
      </c>
      <c r="D20" s="55" t="s">
        <v>2378</v>
      </c>
      <c r="E20" s="55" t="s">
        <v>2379</v>
      </c>
      <c r="F20" s="55" t="s">
        <v>2380</v>
      </c>
      <c r="G20" s="55" t="s">
        <v>2381</v>
      </c>
      <c r="H20" s="55" t="s">
        <v>678</v>
      </c>
      <c r="I20" s="55" t="s">
        <v>678</v>
      </c>
      <c r="J20" s="55" t="s">
        <v>678</v>
      </c>
      <c r="K20" s="55" t="s">
        <v>678</v>
      </c>
      <c r="L20" s="55" t="s">
        <v>925</v>
      </c>
      <c r="M20" s="55" t="s">
        <v>2382</v>
      </c>
    </row>
    <row r="22" customFormat="false" ht="15" hidden="false" customHeight="false" outlineLevel="0" collapsed="false">
      <c r="A22" s="5" t="s">
        <v>2383</v>
      </c>
      <c r="B22" s="5"/>
      <c r="C22" s="5"/>
      <c r="D22" s="5"/>
      <c r="E22" s="5"/>
      <c r="F22" s="5"/>
      <c r="G22" s="5"/>
      <c r="H22" s="5"/>
      <c r="I22" s="5"/>
      <c r="J22" s="5"/>
      <c r="K22" s="5"/>
      <c r="L22" s="5"/>
    </row>
    <row r="23" customFormat="false" ht="15" hidden="false" customHeight="false" outlineLevel="0" collapsed="false">
      <c r="A23" s="56" t="s">
        <v>661</v>
      </c>
      <c r="B23" s="56" t="n">
        <v>26</v>
      </c>
      <c r="C23" s="56"/>
      <c r="D23" s="56"/>
      <c r="E23" s="56"/>
      <c r="F23" s="56"/>
      <c r="G23" s="56"/>
      <c r="H23" s="56"/>
      <c r="I23" s="56"/>
      <c r="J23" s="56"/>
      <c r="K23" s="56"/>
      <c r="L23" s="56"/>
    </row>
    <row r="24" customFormat="false" ht="15" hidden="false" customHeight="false" outlineLevel="0" collapsed="false">
      <c r="A24" s="56" t="s">
        <v>2384</v>
      </c>
      <c r="B24" s="56" t="n">
        <v>96442</v>
      </c>
      <c r="C24" s="56"/>
      <c r="D24" s="56"/>
      <c r="E24" s="56"/>
      <c r="F24" s="56"/>
      <c r="G24" s="56"/>
      <c r="H24" s="56"/>
      <c r="I24" s="56"/>
      <c r="J24" s="56"/>
      <c r="K24" s="56"/>
      <c r="L24" s="56"/>
    </row>
    <row r="25" customFormat="false" ht="15" hidden="false" customHeight="false" outlineLevel="0" collapsed="false">
      <c r="A25" s="56" t="s">
        <v>2385</v>
      </c>
      <c r="B25" s="56" t="n">
        <v>98192</v>
      </c>
      <c r="C25" s="56"/>
      <c r="D25" s="56"/>
      <c r="E25" s="56"/>
      <c r="F25" s="56"/>
      <c r="G25" s="56"/>
      <c r="H25" s="56"/>
      <c r="I25" s="56"/>
      <c r="J25" s="56"/>
      <c r="K25" s="56"/>
      <c r="L25" s="56"/>
    </row>
    <row r="26" customFormat="false" ht="15" hidden="false" customHeight="false" outlineLevel="0" collapsed="false">
      <c r="A26" s="56" t="s">
        <v>2386</v>
      </c>
      <c r="B26" s="56" t="n">
        <v>99817</v>
      </c>
      <c r="C26" s="56"/>
      <c r="D26" s="56"/>
      <c r="E26" s="56"/>
      <c r="F26" s="56"/>
      <c r="G26" s="56"/>
      <c r="H26" s="56"/>
      <c r="I26" s="56"/>
      <c r="J26" s="56"/>
      <c r="K26" s="56"/>
      <c r="L26" s="56"/>
    </row>
    <row r="27" customFormat="false" ht="15" hidden="false" customHeight="false" outlineLevel="0" collapsed="false">
      <c r="A27" s="56" t="s">
        <v>2387</v>
      </c>
      <c r="B27" s="56" t="n">
        <v>79533.49</v>
      </c>
      <c r="C27" s="56"/>
      <c r="D27" s="56"/>
      <c r="E27" s="56"/>
      <c r="F27" s="56"/>
      <c r="G27" s="56"/>
      <c r="H27" s="56"/>
      <c r="I27" s="56"/>
      <c r="J27" s="56"/>
      <c r="K27" s="56"/>
      <c r="L27" s="56"/>
    </row>
    <row r="28" customFormat="false" ht="15" hidden="false" customHeight="false" outlineLevel="0" collapsed="false">
      <c r="A28" s="56" t="s">
        <v>2388</v>
      </c>
      <c r="B28" s="56" t="n">
        <v>82036.01</v>
      </c>
      <c r="C28" s="56"/>
      <c r="D28" s="56"/>
      <c r="E28" s="56"/>
      <c r="F28" s="56"/>
      <c r="G28" s="56"/>
      <c r="H28" s="56"/>
      <c r="I28" s="56"/>
      <c r="J28" s="56"/>
      <c r="K28" s="56"/>
      <c r="L28" s="56"/>
    </row>
    <row r="29" customFormat="false" ht="15" hidden="false" customHeight="false" outlineLevel="0" collapsed="false">
      <c r="A29" s="56" t="s">
        <v>2389</v>
      </c>
      <c r="B29" s="56" t="n">
        <v>84994.8325</v>
      </c>
      <c r="C29" s="56"/>
      <c r="D29" s="56"/>
      <c r="E29" s="56"/>
      <c r="F29" s="56"/>
      <c r="G29" s="56"/>
      <c r="H29" s="56"/>
      <c r="I29" s="56"/>
      <c r="J29" s="56"/>
      <c r="K29" s="56"/>
      <c r="L29" s="56"/>
    </row>
    <row r="30" customFormat="false" ht="15" hidden="false" customHeight="false" outlineLevel="0" collapsed="false">
      <c r="A30" s="56" t="s">
        <v>2390</v>
      </c>
      <c r="B30" s="56" t="n">
        <v>16015.185</v>
      </c>
      <c r="C30" s="56"/>
      <c r="D30" s="56"/>
      <c r="E30" s="56"/>
      <c r="F30" s="56"/>
      <c r="G30" s="56"/>
      <c r="H30" s="56"/>
      <c r="I30" s="56"/>
      <c r="J30" s="56"/>
      <c r="K30" s="56"/>
      <c r="L30" s="56"/>
    </row>
    <row r="31" customFormat="false" ht="15" hidden="false" customHeight="false" outlineLevel="0" collapsed="false">
      <c r="A31" s="56" t="s">
        <v>2391</v>
      </c>
      <c r="B31" s="56" t="n">
        <v>17.185</v>
      </c>
      <c r="C31" s="56"/>
      <c r="D31" s="56"/>
      <c r="E31" s="56"/>
      <c r="F31" s="56"/>
      <c r="G31" s="56"/>
      <c r="H31" s="56"/>
      <c r="I31" s="56"/>
      <c r="J31" s="56"/>
      <c r="K31" s="56"/>
      <c r="L31" s="5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J10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6"/>
    <col collapsed="false" customWidth="true" hidden="false" outlineLevel="0" max="9" min="3" style="0" width="18"/>
    <col collapsed="false" customWidth="true" hidden="false" outlineLevel="0" max="10" min="10" style="0" width="12"/>
    <col collapsed="false" customWidth="true" hidden="false" outlineLevel="0" max="11" min="11" style="0" width="14"/>
    <col collapsed="false" customWidth="true" hidden="false" outlineLevel="0" max="13" min="12" style="0" width="12"/>
    <col collapsed="false" customWidth="true" hidden="false" outlineLevel="0" max="14" min="14" style="0" width="28"/>
    <col collapsed="false" customWidth="true" hidden="false" outlineLevel="0" max="18" min="15" style="0" width="12"/>
    <col collapsed="false" customWidth="true" hidden="false" outlineLevel="0" max="22" min="19" style="0" width="18"/>
  </cols>
  <sheetData>
    <row r="1" customFormat="false" ht="15" hidden="false" customHeight="false" outlineLevel="0" collapsed="false">
      <c r="A1" s="1" t="s">
        <v>2392</v>
      </c>
      <c r="AZ1" s="15" t="s">
        <v>2393</v>
      </c>
      <c r="BA1" s="15" t="s">
        <v>2394</v>
      </c>
      <c r="BB1" s="15" t="s">
        <v>2395</v>
      </c>
      <c r="BC1" s="15" t="s">
        <v>2396</v>
      </c>
      <c r="BD1" s="15" t="s">
        <v>2397</v>
      </c>
      <c r="BE1" s="15" t="s">
        <v>2398</v>
      </c>
      <c r="BF1" s="15" t="s">
        <v>2399</v>
      </c>
      <c r="BG1" s="15" t="s">
        <v>2400</v>
      </c>
      <c r="BH1" s="15" t="s">
        <v>2401</v>
      </c>
      <c r="BI1" s="15" t="s">
        <v>2402</v>
      </c>
      <c r="BJ1" s="15" t="s">
        <v>2403</v>
      </c>
      <c r="BK1" s="15" t="s">
        <v>2404</v>
      </c>
      <c r="BL1" s="15" t="s">
        <v>2405</v>
      </c>
      <c r="BM1" s="15" t="s">
        <v>2406</v>
      </c>
      <c r="BN1" s="15" t="s">
        <v>2407</v>
      </c>
      <c r="BO1" s="15" t="s">
        <v>2408</v>
      </c>
      <c r="BP1" s="15" t="s">
        <v>2409</v>
      </c>
      <c r="BQ1" s="15" t="s">
        <v>2410</v>
      </c>
      <c r="BR1" s="15" t="s">
        <v>2411</v>
      </c>
      <c r="BS1" s="15" t="s">
        <v>2412</v>
      </c>
      <c r="BT1" s="15" t="s">
        <v>2413</v>
      </c>
      <c r="BU1" s="15" t="s">
        <v>2414</v>
      </c>
      <c r="BV1" s="15" t="s">
        <v>2415</v>
      </c>
      <c r="BW1" s="15" t="s">
        <v>2416</v>
      </c>
      <c r="BX1" s="15" t="s">
        <v>2417</v>
      </c>
      <c r="BY1" s="15" t="s">
        <v>2418</v>
      </c>
      <c r="BZ1" s="15" t="s">
        <v>2419</v>
      </c>
      <c r="CA1" s="15" t="s">
        <v>2420</v>
      </c>
      <c r="CB1" s="15" t="s">
        <v>2421</v>
      </c>
      <c r="CC1" s="15" t="s">
        <v>2422</v>
      </c>
      <c r="CD1" s="15" t="s">
        <v>2423</v>
      </c>
      <c r="CE1" s="15" t="s">
        <v>2424</v>
      </c>
      <c r="CF1" s="15" t="s">
        <v>2425</v>
      </c>
      <c r="CG1" s="15" t="s">
        <v>2426</v>
      </c>
      <c r="CH1" s="15" t="s">
        <v>2427</v>
      </c>
      <c r="CI1" s="15" t="s">
        <v>2428</v>
      </c>
      <c r="CJ1" s="15" t="s">
        <v>2429</v>
      </c>
      <c r="CK1" s="15" t="s">
        <v>2430</v>
      </c>
      <c r="CL1" s="15" t="s">
        <v>2431</v>
      </c>
      <c r="CM1" s="15" t="s">
        <v>2432</v>
      </c>
      <c r="CN1" s="15" t="s">
        <v>2433</v>
      </c>
      <c r="CO1" s="15" t="s">
        <v>2434</v>
      </c>
      <c r="CP1" s="15" t="s">
        <v>2435</v>
      </c>
      <c r="CQ1" s="15" t="s">
        <v>2436</v>
      </c>
      <c r="CR1" s="15" t="s">
        <v>2393</v>
      </c>
      <c r="CS1" s="15" t="s">
        <v>2437</v>
      </c>
      <c r="CT1" s="15" t="s">
        <v>2438</v>
      </c>
      <c r="CU1" s="15" t="s">
        <v>2439</v>
      </c>
      <c r="CV1" s="15" t="s">
        <v>2440</v>
      </c>
      <c r="CW1" s="15" t="s">
        <v>2441</v>
      </c>
      <c r="CX1" s="15" t="s">
        <v>2442</v>
      </c>
      <c r="CY1" s="15" t="s">
        <v>2443</v>
      </c>
      <c r="CZ1" s="15" t="s">
        <v>2444</v>
      </c>
      <c r="DA1" s="15" t="s">
        <v>2445</v>
      </c>
      <c r="DB1" s="15" t="s">
        <v>2446</v>
      </c>
      <c r="DC1" s="15" t="s">
        <v>2447</v>
      </c>
      <c r="DD1" s="15" t="s">
        <v>2448</v>
      </c>
      <c r="DE1" s="15" t="s">
        <v>2449</v>
      </c>
      <c r="DG1" s="15" t="s">
        <v>2436</v>
      </c>
      <c r="DH1" s="15" t="s">
        <v>2393</v>
      </c>
      <c r="DI1" s="15" t="s">
        <v>2437</v>
      </c>
      <c r="DJ1" s="15" t="s">
        <v>2438</v>
      </c>
      <c r="DK1" s="15" t="s">
        <v>2450</v>
      </c>
      <c r="DL1" s="15" t="s">
        <v>2441</v>
      </c>
      <c r="DM1" s="15" t="s">
        <v>2451</v>
      </c>
      <c r="DN1" s="15" t="s">
        <v>2452</v>
      </c>
      <c r="DO1" s="15" t="s">
        <v>2453</v>
      </c>
      <c r="DP1" s="15" t="s">
        <v>2454</v>
      </c>
      <c r="DQ1" s="15" t="s">
        <v>2455</v>
      </c>
      <c r="DR1" s="15" t="s">
        <v>2456</v>
      </c>
      <c r="DT1" s="15" t="s">
        <v>2364</v>
      </c>
      <c r="DU1" s="15" t="s">
        <v>2457</v>
      </c>
      <c r="DV1" s="15" t="s">
        <v>2458</v>
      </c>
      <c r="DW1" s="15" t="s">
        <v>2459</v>
      </c>
      <c r="DX1" s="15" t="s">
        <v>2460</v>
      </c>
      <c r="DY1" s="15" t="s">
        <v>2461</v>
      </c>
      <c r="DZ1" s="15" t="s">
        <v>2462</v>
      </c>
      <c r="EB1" s="15" t="s">
        <v>2463</v>
      </c>
      <c r="EC1" s="15" t="s">
        <v>2460</v>
      </c>
      <c r="ED1" s="15" t="s">
        <v>2461</v>
      </c>
      <c r="EE1" s="15" t="s">
        <v>2437</v>
      </c>
      <c r="EF1" s="15" t="s">
        <v>2438</v>
      </c>
      <c r="EG1" s="15" t="s">
        <v>2464</v>
      </c>
      <c r="EH1" s="15" t="s">
        <v>2465</v>
      </c>
      <c r="EI1" s="15" t="s">
        <v>2466</v>
      </c>
      <c r="EJ1" s="15" t="s">
        <v>2467</v>
      </c>
      <c r="EL1" s="15" t="s">
        <v>2463</v>
      </c>
      <c r="EM1" s="15" t="s">
        <v>2460</v>
      </c>
      <c r="EN1" s="15" t="s">
        <v>2461</v>
      </c>
      <c r="EO1" s="15" t="s">
        <v>2468</v>
      </c>
      <c r="EP1" s="15" t="s">
        <v>2469</v>
      </c>
      <c r="EQ1" s="15" t="s">
        <v>2437</v>
      </c>
      <c r="ER1" s="15" t="s">
        <v>2438</v>
      </c>
      <c r="ES1" s="15" t="s">
        <v>2464</v>
      </c>
      <c r="ET1" s="15" t="s">
        <v>2465</v>
      </c>
      <c r="EU1" s="15" t="s">
        <v>2466</v>
      </c>
      <c r="EV1" s="15" t="s">
        <v>2467</v>
      </c>
      <c r="EX1" s="15" t="s">
        <v>2437</v>
      </c>
      <c r="EY1" s="15" t="s">
        <v>2470</v>
      </c>
      <c r="EZ1" s="15" t="s">
        <v>2471</v>
      </c>
      <c r="FA1" s="15" t="s">
        <v>2472</v>
      </c>
      <c r="FC1" s="15" t="s">
        <v>2364</v>
      </c>
      <c r="FD1" s="15" t="s">
        <v>2365</v>
      </c>
      <c r="FE1" s="15" t="s">
        <v>2366</v>
      </c>
      <c r="FF1" s="15" t="s">
        <v>2367</v>
      </c>
      <c r="FG1" s="15" t="s">
        <v>2368</v>
      </c>
      <c r="FH1" s="15" t="s">
        <v>2473</v>
      </c>
      <c r="FI1" s="15" t="s">
        <v>2369</v>
      </c>
      <c r="FJ1" s="15" t="s">
        <v>2474</v>
      </c>
      <c r="FK1" s="15" t="s">
        <v>2475</v>
      </c>
      <c r="FL1" s="15" t="s">
        <v>2370</v>
      </c>
      <c r="FM1" s="15" t="s">
        <v>2476</v>
      </c>
      <c r="FN1" s="15" t="s">
        <v>2477</v>
      </c>
      <c r="FO1" s="15" t="s">
        <v>2478</v>
      </c>
      <c r="FP1" s="15" t="s">
        <v>2479</v>
      </c>
      <c r="FQ1" s="15" t="s">
        <v>2480</v>
      </c>
      <c r="FR1" s="15" t="s">
        <v>2481</v>
      </c>
      <c r="FS1" s="15" t="s">
        <v>2482</v>
      </c>
      <c r="FT1" s="15" t="s">
        <v>2483</v>
      </c>
      <c r="FU1" s="15" t="s">
        <v>2484</v>
      </c>
      <c r="FV1" s="15" t="s">
        <v>2485</v>
      </c>
      <c r="FW1" s="15" t="s">
        <v>2486</v>
      </c>
      <c r="FX1" s="15" t="s">
        <v>2487</v>
      </c>
      <c r="FY1" s="15" t="s">
        <v>2488</v>
      </c>
      <c r="FZ1" s="15" t="s">
        <v>2489</v>
      </c>
      <c r="GA1" s="15" t="s">
        <v>2490</v>
      </c>
      <c r="GB1" s="15" t="s">
        <v>2491</v>
      </c>
      <c r="GC1" s="15" t="s">
        <v>2376</v>
      </c>
      <c r="GD1" s="15" t="s">
        <v>2492</v>
      </c>
      <c r="GE1" s="15" t="s">
        <v>2493</v>
      </c>
      <c r="GF1" s="15" t="s">
        <v>2494</v>
      </c>
      <c r="GG1" s="15" t="s">
        <v>2495</v>
      </c>
      <c r="GH1" s="15" t="s">
        <v>2462</v>
      </c>
      <c r="GI1" s="15" t="s">
        <v>2496</v>
      </c>
      <c r="GJ1" s="15" t="s">
        <v>2497</v>
      </c>
      <c r="GK1" s="15" t="s">
        <v>2498</v>
      </c>
      <c r="GL1" s="15" t="s">
        <v>2499</v>
      </c>
      <c r="GM1" s="15" t="s">
        <v>2500</v>
      </c>
      <c r="GN1" s="15" t="s">
        <v>2501</v>
      </c>
      <c r="GO1" s="15" t="s">
        <v>2502</v>
      </c>
      <c r="GP1" s="15" t="s">
        <v>2503</v>
      </c>
      <c r="GQ1" s="15" t="s">
        <v>2504</v>
      </c>
      <c r="GR1" s="15" t="s">
        <v>2505</v>
      </c>
      <c r="GS1" s="15" t="s">
        <v>2506</v>
      </c>
      <c r="HA1" s="15" t="s">
        <v>2492</v>
      </c>
      <c r="HB1" s="15" t="s">
        <v>2393</v>
      </c>
      <c r="HC1" s="15" t="s">
        <v>2507</v>
      </c>
      <c r="HD1" s="15" t="s">
        <v>2508</v>
      </c>
      <c r="HE1" s="15" t="s">
        <v>2509</v>
      </c>
      <c r="HF1" s="15" t="s">
        <v>2510</v>
      </c>
      <c r="HG1" s="15" t="s">
        <v>2511</v>
      </c>
      <c r="HH1" s="15" t="s">
        <v>2512</v>
      </c>
      <c r="HI1" s="15" t="s">
        <v>2513</v>
      </c>
      <c r="HJ1" s="15" t="s">
        <v>2514</v>
      </c>
    </row>
    <row r="2" customFormat="false" ht="15" hidden="false" customHeight="false" outlineLevel="0" collapsed="false">
      <c r="S2" s="15" t="s">
        <v>2515</v>
      </c>
      <c r="AZ2" s="0" t="s">
        <v>82</v>
      </c>
      <c r="BA2" s="0" t="n">
        <v>26</v>
      </c>
      <c r="BB2" s="0" t="n">
        <v>26</v>
      </c>
      <c r="BC2" s="0" t="n">
        <v>0</v>
      </c>
      <c r="BD2" s="0" t="n">
        <v>0</v>
      </c>
      <c r="BE2" s="0" t="n">
        <v>0</v>
      </c>
      <c r="BF2" s="0" t="n">
        <v>3</v>
      </c>
      <c r="BG2" s="0" t="n">
        <v>3</v>
      </c>
      <c r="BH2" s="0" t="n">
        <v>3.75</v>
      </c>
      <c r="BI2" s="0" t="n">
        <v>2</v>
      </c>
      <c r="BJ2" s="0" t="n">
        <v>2</v>
      </c>
      <c r="BK2" s="0" t="n">
        <v>3</v>
      </c>
      <c r="BL2" s="0" t="n">
        <v>0.25</v>
      </c>
      <c r="BM2" s="0" t="n">
        <v>1</v>
      </c>
      <c r="BN2" s="0" t="n">
        <v>1.75</v>
      </c>
      <c r="BO2" s="0" t="n">
        <v>2.5</v>
      </c>
      <c r="BP2" s="0" t="n">
        <v>3</v>
      </c>
      <c r="BQ2" s="0" t="n">
        <v>3</v>
      </c>
      <c r="BR2" s="0" t="n">
        <v>36.25</v>
      </c>
      <c r="BS2" s="0" t="n">
        <v>39</v>
      </c>
      <c r="BT2" s="0" t="n">
        <v>41</v>
      </c>
      <c r="BU2" s="0" t="n">
        <v>7802.505</v>
      </c>
      <c r="BV2" s="0" t="n">
        <v>9060.435</v>
      </c>
      <c r="BW2" s="0" t="n">
        <v>10629.097</v>
      </c>
      <c r="BX2" s="0" t="n">
        <v>9677.213</v>
      </c>
      <c r="BY2" s="0" t="n">
        <v>10711.305</v>
      </c>
      <c r="BZ2" s="0" t="n">
        <v>11936.618</v>
      </c>
      <c r="CA2" s="0" t="n">
        <v>8468.852</v>
      </c>
      <c r="CB2" s="0" t="n">
        <v>9439.535</v>
      </c>
      <c r="CC2" s="0" t="n">
        <v>11143.7</v>
      </c>
      <c r="CD2" s="0" t="n">
        <v>66040.54</v>
      </c>
      <c r="CE2" s="0" t="n">
        <v>72382.9</v>
      </c>
      <c r="CF2" s="0" t="n">
        <v>107563.63</v>
      </c>
      <c r="CG2" s="0" t="n">
        <v>89130.078</v>
      </c>
      <c r="CH2" s="0" t="n">
        <v>89130.16</v>
      </c>
      <c r="CI2" s="0" t="n">
        <v>98838.05</v>
      </c>
      <c r="CJ2" s="0" t="n">
        <v>2380.94354166667</v>
      </c>
      <c r="CK2" s="0" t="n">
        <v>2855.31875</v>
      </c>
      <c r="CL2" s="0" t="n">
        <v>3198.258</v>
      </c>
      <c r="CM2" s="0" t="n">
        <v>3059.8</v>
      </c>
      <c r="CN2" s="0" t="n">
        <v>3428.82833333333</v>
      </c>
      <c r="CO2" s="0" t="n">
        <v>3617.71</v>
      </c>
      <c r="CP2" s="0" t="s">
        <v>679</v>
      </c>
      <c r="CQ2" s="0" t="s">
        <v>2516</v>
      </c>
      <c r="CR2" s="0" t="s">
        <v>82</v>
      </c>
      <c r="CS2" s="0" t="s">
        <v>290</v>
      </c>
      <c r="CT2" s="0" t="s">
        <v>289</v>
      </c>
      <c r="CU2" s="0" t="s">
        <v>81</v>
      </c>
      <c r="CV2" s="0" t="s">
        <v>289</v>
      </c>
      <c r="CW2" s="0" t="n">
        <v>3.85</v>
      </c>
      <c r="CX2" s="0" t="n">
        <v>1</v>
      </c>
      <c r="CY2" s="0" t="n">
        <v>1</v>
      </c>
      <c r="CZ2" s="0" t="n">
        <v>1</v>
      </c>
      <c r="DA2" s="0" t="n">
        <v>500</v>
      </c>
      <c r="DB2" s="0" t="n">
        <v>420</v>
      </c>
      <c r="DC2" s="0" t="n">
        <v>460</v>
      </c>
      <c r="DD2" s="0" t="n">
        <v>500</v>
      </c>
      <c r="DE2" s="0" t="n">
        <v>500</v>
      </c>
      <c r="DG2" s="0" t="s">
        <v>2517</v>
      </c>
      <c r="DH2" s="0" t="s">
        <v>82</v>
      </c>
      <c r="DI2" s="0" t="s">
        <v>672</v>
      </c>
      <c r="DJ2" s="0" t="s">
        <v>673</v>
      </c>
      <c r="DK2" s="0" t="s">
        <v>674</v>
      </c>
      <c r="DL2" s="0" t="n">
        <v>100</v>
      </c>
      <c r="DM2" s="0" t="s">
        <v>676</v>
      </c>
      <c r="DN2" s="0" t="s">
        <v>675</v>
      </c>
      <c r="DO2" s="0" t="n">
        <v>0</v>
      </c>
      <c r="DP2" s="0" t="n">
        <v>0</v>
      </c>
      <c r="DQ2" s="0" t="n">
        <v>270.7</v>
      </c>
      <c r="DR2" s="0" t="s">
        <v>2518</v>
      </c>
      <c r="DT2" s="0" t="s">
        <v>121</v>
      </c>
      <c r="DU2" s="0" t="s">
        <v>2519</v>
      </c>
      <c r="DV2" s="0" t="s">
        <v>2520</v>
      </c>
      <c r="DW2" s="0" t="s">
        <v>2521</v>
      </c>
      <c r="DX2" s="0" t="s">
        <v>2522</v>
      </c>
      <c r="DY2" s="0" t="s">
        <v>2523</v>
      </c>
      <c r="DZ2" s="0" t="n">
        <v>1688</v>
      </c>
      <c r="EB2" s="0" t="s">
        <v>2524</v>
      </c>
      <c r="EC2" s="0" t="s">
        <v>2216</v>
      </c>
      <c r="ED2" s="0" t="s">
        <v>2525</v>
      </c>
      <c r="EE2" s="0" t="s">
        <v>626</v>
      </c>
      <c r="EF2" s="0" t="s">
        <v>2526</v>
      </c>
      <c r="EG2" s="0" t="n">
        <v>360</v>
      </c>
      <c r="EH2" s="0" t="n">
        <v>400</v>
      </c>
      <c r="EI2" s="0" t="n">
        <v>430</v>
      </c>
      <c r="EJ2" s="0" t="n">
        <v>430</v>
      </c>
      <c r="EL2" s="0" t="s">
        <v>2527</v>
      </c>
      <c r="EM2" s="0" t="s">
        <v>2216</v>
      </c>
      <c r="EN2" s="0" t="s">
        <v>2525</v>
      </c>
      <c r="EO2" s="0" t="n">
        <v>0.5</v>
      </c>
      <c r="EP2" s="0" t="s">
        <v>2528</v>
      </c>
      <c r="EQ2" s="0" t="s">
        <v>2529</v>
      </c>
      <c r="ER2" s="0" t="s">
        <v>2530</v>
      </c>
      <c r="ES2" s="0" t="n">
        <v>5940</v>
      </c>
      <c r="ET2" s="0" t="n">
        <v>6540</v>
      </c>
      <c r="EU2" s="0" t="n">
        <v>7090</v>
      </c>
      <c r="EV2" s="0" t="n">
        <v>7090</v>
      </c>
      <c r="EX2" s="0" t="s">
        <v>2531</v>
      </c>
      <c r="EY2" s="0" t="s">
        <v>2532</v>
      </c>
      <c r="EZ2" s="0" t="s">
        <v>25</v>
      </c>
      <c r="FA2" s="0" t="s">
        <v>2533</v>
      </c>
      <c r="FC2" s="0" t="s">
        <v>82</v>
      </c>
      <c r="FD2" s="0" t="n">
        <v>26</v>
      </c>
      <c r="FE2" s="0" t="n">
        <v>96442</v>
      </c>
      <c r="FF2" s="0" t="n">
        <v>98192</v>
      </c>
      <c r="FG2" s="0" t="n">
        <v>99817</v>
      </c>
      <c r="FH2" s="0" t="n">
        <v>95562</v>
      </c>
      <c r="FI2" s="0" t="n">
        <v>97062</v>
      </c>
      <c r="FJ2" s="0" t="n">
        <v>98562</v>
      </c>
      <c r="FK2" s="0" t="n">
        <v>880</v>
      </c>
      <c r="FL2" s="0" t="n">
        <v>880</v>
      </c>
      <c r="FM2" s="0" t="n">
        <v>880</v>
      </c>
      <c r="FN2" s="0" t="n">
        <v>65000</v>
      </c>
      <c r="FO2" s="0" t="n">
        <v>65000</v>
      </c>
      <c r="FP2" s="0" t="n">
        <v>65000</v>
      </c>
      <c r="FQ2" s="0" t="n">
        <v>9750</v>
      </c>
      <c r="FR2" s="0" t="n">
        <v>9750</v>
      </c>
      <c r="FS2" s="0" t="n">
        <v>9750</v>
      </c>
      <c r="FT2" s="0" t="n">
        <v>16750</v>
      </c>
      <c r="FU2" s="0" t="n">
        <v>16750</v>
      </c>
      <c r="FV2" s="0" t="n">
        <v>16750</v>
      </c>
      <c r="FW2" s="0" t="n">
        <v>4062</v>
      </c>
      <c r="FX2" s="0" t="n">
        <v>4062</v>
      </c>
      <c r="FY2" s="0" t="n">
        <v>4062</v>
      </c>
      <c r="FZ2" s="0" t="n">
        <v>0</v>
      </c>
      <c r="GA2" s="0" t="n">
        <v>1500</v>
      </c>
      <c r="GB2" s="0" t="n">
        <v>3000</v>
      </c>
      <c r="GC2" s="0" t="s">
        <v>2382</v>
      </c>
      <c r="GD2" s="0" t="s">
        <v>2534</v>
      </c>
      <c r="GE2" s="0" t="s">
        <v>2535</v>
      </c>
      <c r="GF2" s="0" t="s">
        <v>82</v>
      </c>
      <c r="GG2" s="0" t="s">
        <v>82</v>
      </c>
      <c r="GH2" s="0" t="n">
        <v>26</v>
      </c>
      <c r="GI2" s="0" t="n">
        <v>36.25</v>
      </c>
      <c r="GJ2" s="0" t="n">
        <v>39</v>
      </c>
      <c r="GK2" s="0" t="n">
        <v>41</v>
      </c>
      <c r="GL2" s="0" t="n">
        <v>0.1218</v>
      </c>
      <c r="GM2" s="0" t="n">
        <v>39</v>
      </c>
      <c r="GN2" s="0" t="n">
        <v>0</v>
      </c>
      <c r="GO2" s="0" t="s">
        <v>2536</v>
      </c>
      <c r="GP2" s="0" t="s">
        <v>82</v>
      </c>
      <c r="GQ2" s="0" t="n">
        <v>26</v>
      </c>
      <c r="GR2" s="0" t="s">
        <v>2537</v>
      </c>
      <c r="GS2" s="0" t="s">
        <v>2538</v>
      </c>
      <c r="HA2" s="0" t="s">
        <v>2539</v>
      </c>
      <c r="HB2" s="0" t="s">
        <v>82</v>
      </c>
      <c r="HC2" s="0" t="s">
        <v>2540</v>
      </c>
      <c r="HD2" s="0" t="s">
        <v>142</v>
      </c>
      <c r="HE2" s="0" t="n">
        <v>3</v>
      </c>
      <c r="HF2" s="0" t="n">
        <v>5</v>
      </c>
      <c r="HG2" s="0" t="n">
        <v>3.30769230769231</v>
      </c>
      <c r="HH2" s="0" t="n">
        <v>3</v>
      </c>
      <c r="HI2" s="0" t="n">
        <v>3</v>
      </c>
      <c r="HJ2" s="0" t="n">
        <v>3.75</v>
      </c>
    </row>
    <row r="3" customFormat="false" ht="15" hidden="false" customHeight="false" outlineLevel="0" collapsed="false">
      <c r="A3" s="5" t="s">
        <v>2541</v>
      </c>
      <c r="S3" s="15" t="s">
        <v>2542</v>
      </c>
      <c r="T3" s="15" t="s">
        <v>2512</v>
      </c>
      <c r="U3" s="15" t="s">
        <v>2513</v>
      </c>
      <c r="V3" s="15" t="s">
        <v>2514</v>
      </c>
      <c r="AZ3" s="0" t="s">
        <v>121</v>
      </c>
      <c r="BA3" s="0" t="n">
        <v>0</v>
      </c>
      <c r="BB3" s="0" t="n">
        <v>0</v>
      </c>
      <c r="BC3" s="0" t="n">
        <v>0</v>
      </c>
      <c r="BD3" s="0" t="n">
        <v>0</v>
      </c>
      <c r="BE3" s="0" t="n">
        <v>0</v>
      </c>
      <c r="BF3" s="0" t="n">
        <v>0</v>
      </c>
      <c r="BG3" s="0" t="n">
        <v>0</v>
      </c>
      <c r="BH3" s="0" t="n">
        <v>0</v>
      </c>
      <c r="BI3" s="0" t="n">
        <v>0</v>
      </c>
      <c r="BJ3" s="0" t="n">
        <v>0</v>
      </c>
      <c r="BK3" s="0" t="n">
        <v>0</v>
      </c>
      <c r="BL3" s="0" t="n">
        <v>0</v>
      </c>
      <c r="BM3" s="0" t="n">
        <v>0</v>
      </c>
      <c r="BN3" s="0" t="n">
        <v>0</v>
      </c>
      <c r="BO3" s="0" t="n">
        <v>0</v>
      </c>
      <c r="BP3" s="0" t="n">
        <v>0</v>
      </c>
      <c r="BQ3" s="0" t="n">
        <v>0</v>
      </c>
      <c r="BR3" s="0" t="n">
        <v>0</v>
      </c>
      <c r="BS3" s="0" t="n">
        <v>0</v>
      </c>
      <c r="BT3" s="0" t="n">
        <v>0</v>
      </c>
      <c r="BU3" s="0" t="n">
        <v>0</v>
      </c>
      <c r="BV3" s="0" t="n">
        <v>0</v>
      </c>
      <c r="BW3" s="0" t="n">
        <v>0</v>
      </c>
      <c r="BX3" s="0" t="n">
        <v>0</v>
      </c>
      <c r="BY3" s="0" t="n">
        <v>0</v>
      </c>
      <c r="BZ3" s="0" t="n">
        <v>0</v>
      </c>
      <c r="CA3" s="0" t="n">
        <v>0</v>
      </c>
      <c r="CB3" s="0" t="n">
        <v>0</v>
      </c>
      <c r="CC3" s="0" t="n">
        <v>0</v>
      </c>
      <c r="CD3" s="0" t="n">
        <v>0</v>
      </c>
      <c r="CE3" s="0" t="n">
        <v>0</v>
      </c>
      <c r="CF3" s="0" t="n">
        <v>0</v>
      </c>
      <c r="CG3" s="0" t="n">
        <v>0</v>
      </c>
      <c r="CH3" s="0" t="n">
        <v>0</v>
      </c>
      <c r="CI3" s="0" t="n">
        <v>0</v>
      </c>
      <c r="CJ3" s="0" t="n">
        <v>0</v>
      </c>
      <c r="CK3" s="0" t="n">
        <v>0</v>
      </c>
      <c r="CL3" s="0" t="n">
        <v>0</v>
      </c>
      <c r="CM3" s="0" t="n">
        <v>0</v>
      </c>
      <c r="CN3" s="0" t="n">
        <v>0</v>
      </c>
      <c r="CO3" s="0" t="n">
        <v>0</v>
      </c>
      <c r="CP3" s="0" t="s">
        <v>679</v>
      </c>
      <c r="CQ3" s="0" t="s">
        <v>2543</v>
      </c>
      <c r="CR3" s="0" t="s">
        <v>82</v>
      </c>
      <c r="CS3" s="0" t="s">
        <v>275</v>
      </c>
      <c r="CT3" s="0" t="s">
        <v>273</v>
      </c>
      <c r="CU3" s="0" t="s">
        <v>81</v>
      </c>
      <c r="CV3" s="0" t="s">
        <v>274</v>
      </c>
      <c r="CW3" s="0" t="n">
        <v>3.85</v>
      </c>
      <c r="CX3" s="0" t="n">
        <v>1</v>
      </c>
      <c r="CY3" s="0" t="n">
        <v>1</v>
      </c>
      <c r="CZ3" s="0" t="n">
        <v>1</v>
      </c>
      <c r="DA3" s="0" t="n">
        <v>1200</v>
      </c>
      <c r="DB3" s="0" t="n">
        <v>1000</v>
      </c>
      <c r="DC3" s="0" t="n">
        <v>1110</v>
      </c>
      <c r="DD3" s="0" t="n">
        <v>1200</v>
      </c>
      <c r="DE3" s="0" t="n">
        <v>1200</v>
      </c>
      <c r="DG3" s="0" t="s">
        <v>2544</v>
      </c>
      <c r="DH3" s="0" t="s">
        <v>82</v>
      </c>
      <c r="DI3" s="0" t="s">
        <v>682</v>
      </c>
      <c r="DJ3" s="0" t="s">
        <v>683</v>
      </c>
      <c r="DK3" s="0" t="s">
        <v>674</v>
      </c>
      <c r="DL3" s="0" t="n">
        <v>100</v>
      </c>
      <c r="DM3" s="0" t="s">
        <v>676</v>
      </c>
      <c r="DN3" s="0" t="s">
        <v>675</v>
      </c>
      <c r="DO3" s="0" t="n">
        <v>0</v>
      </c>
      <c r="DP3" s="0" t="n">
        <v>0</v>
      </c>
      <c r="DQ3" s="0" t="n">
        <v>957.1</v>
      </c>
      <c r="DR3" s="0" t="s">
        <v>2545</v>
      </c>
      <c r="DT3" s="0" t="s">
        <v>121</v>
      </c>
      <c r="DU3" s="0" t="s">
        <v>2546</v>
      </c>
      <c r="DV3" s="0" t="s">
        <v>2547</v>
      </c>
      <c r="DW3" s="0" t="s">
        <v>2548</v>
      </c>
      <c r="DX3" s="0" t="s">
        <v>2522</v>
      </c>
      <c r="DY3" s="0" t="s">
        <v>2523</v>
      </c>
      <c r="DZ3" s="0" t="n">
        <v>675</v>
      </c>
      <c r="EB3" s="0" t="s">
        <v>2549</v>
      </c>
      <c r="EC3" s="0" t="s">
        <v>2216</v>
      </c>
      <c r="ED3" s="0" t="s">
        <v>2525</v>
      </c>
      <c r="EE3" s="0" t="s">
        <v>624</v>
      </c>
      <c r="EF3" s="0" t="s">
        <v>2550</v>
      </c>
      <c r="EG3" s="0" t="n">
        <v>580</v>
      </c>
      <c r="EH3" s="0" t="n">
        <v>660</v>
      </c>
      <c r="EI3" s="0" t="n">
        <v>760</v>
      </c>
      <c r="EJ3" s="0" t="n">
        <v>800</v>
      </c>
      <c r="EL3" s="0" t="s">
        <v>2551</v>
      </c>
      <c r="EM3" s="0" t="s">
        <v>2216</v>
      </c>
      <c r="EN3" s="0" t="s">
        <v>2525</v>
      </c>
      <c r="EO3" s="0" t="n">
        <v>0.5</v>
      </c>
      <c r="EP3" s="0" t="s">
        <v>2552</v>
      </c>
      <c r="EQ3" s="0" t="s">
        <v>2553</v>
      </c>
      <c r="ER3" s="0" t="s">
        <v>2554</v>
      </c>
      <c r="ES3" s="0" t="n">
        <v>6230</v>
      </c>
      <c r="ET3" s="0" t="n">
        <v>8220</v>
      </c>
      <c r="EU3" s="0" t="n">
        <v>8970</v>
      </c>
      <c r="EV3" s="0" t="n">
        <v>8970</v>
      </c>
      <c r="EX3" s="0" t="s">
        <v>2555</v>
      </c>
      <c r="EY3" s="0" t="s">
        <v>2532</v>
      </c>
      <c r="EZ3" s="0" t="s">
        <v>25</v>
      </c>
      <c r="FA3" s="0" t="s">
        <v>2533</v>
      </c>
      <c r="FC3" s="0" t="s">
        <v>121</v>
      </c>
      <c r="FD3" s="0" t="n">
        <v>0</v>
      </c>
      <c r="FE3" s="0" t="n">
        <v>0</v>
      </c>
      <c r="FF3" s="0" t="n">
        <v>0</v>
      </c>
      <c r="FG3" s="0" t="n">
        <v>0</v>
      </c>
      <c r="FH3" s="0" t="n">
        <v>0</v>
      </c>
      <c r="FI3" s="0" t="n">
        <v>0</v>
      </c>
      <c r="FJ3" s="0" t="n">
        <v>0</v>
      </c>
      <c r="FK3" s="0" t="n">
        <v>0</v>
      </c>
      <c r="FL3" s="0" t="n">
        <v>0</v>
      </c>
      <c r="FM3" s="0" t="n">
        <v>0</v>
      </c>
      <c r="FN3" s="0" t="n">
        <v>0</v>
      </c>
      <c r="FO3" s="0" t="n">
        <v>0</v>
      </c>
      <c r="FP3" s="0" t="n">
        <v>0</v>
      </c>
      <c r="FQ3" s="0" t="n">
        <v>0</v>
      </c>
      <c r="FR3" s="0" t="n">
        <v>0</v>
      </c>
      <c r="FS3" s="0" t="n">
        <v>0</v>
      </c>
      <c r="FT3" s="0" t="n">
        <v>0</v>
      </c>
      <c r="FU3" s="0" t="n">
        <v>0</v>
      </c>
      <c r="FV3" s="0" t="n">
        <v>0</v>
      </c>
      <c r="FW3" s="0" t="n">
        <v>0</v>
      </c>
      <c r="FX3" s="0" t="n">
        <v>0</v>
      </c>
      <c r="FY3" s="0" t="n">
        <v>0</v>
      </c>
      <c r="FZ3" s="0" t="n">
        <v>0</v>
      </c>
      <c r="GA3" s="0" t="n">
        <v>0</v>
      </c>
      <c r="GB3" s="0" t="n">
        <v>0</v>
      </c>
      <c r="GD3" s="0" t="s">
        <v>2534</v>
      </c>
      <c r="GE3" s="0" t="s">
        <v>2535</v>
      </c>
      <c r="GF3" s="0" t="s">
        <v>82</v>
      </c>
      <c r="GG3" s="0" t="s">
        <v>121</v>
      </c>
      <c r="GH3" s="0" t="n">
        <v>0</v>
      </c>
      <c r="GI3" s="0" t="n">
        <v>0</v>
      </c>
      <c r="GJ3" s="0" t="n">
        <v>0</v>
      </c>
      <c r="GK3" s="0" t="n">
        <v>0</v>
      </c>
      <c r="GL3" s="0" t="n">
        <v>0</v>
      </c>
      <c r="GM3" s="0" t="n">
        <v>0</v>
      </c>
      <c r="GN3" s="0" t="n">
        <v>1</v>
      </c>
      <c r="GO3" s="0" t="s">
        <v>2556</v>
      </c>
      <c r="GP3" s="0" t="s">
        <v>82</v>
      </c>
      <c r="GQ3" s="0" t="n">
        <v>26</v>
      </c>
      <c r="GR3" s="0" t="s">
        <v>2537</v>
      </c>
      <c r="GS3" s="0" t="s">
        <v>2538</v>
      </c>
      <c r="HA3" s="0" t="s">
        <v>2557</v>
      </c>
      <c r="HB3" s="0" t="s">
        <v>82</v>
      </c>
      <c r="HC3" s="0" t="s">
        <v>2558</v>
      </c>
      <c r="HD3" s="0" t="s">
        <v>37</v>
      </c>
      <c r="HE3" s="0" t="n">
        <v>1</v>
      </c>
      <c r="HF3" s="0" t="n">
        <v>4</v>
      </c>
      <c r="HG3" s="0" t="n">
        <v>2.30769230769231</v>
      </c>
      <c r="HH3" s="0" t="n">
        <v>2</v>
      </c>
      <c r="HI3" s="0" t="n">
        <v>2</v>
      </c>
      <c r="HJ3" s="0" t="n">
        <v>3</v>
      </c>
    </row>
    <row r="4" customFormat="false" ht="15" hidden="false" customHeight="false" outlineLevel="0" collapsed="false">
      <c r="A4" s="15" t="s">
        <v>2542</v>
      </c>
      <c r="B4" s="15" t="s">
        <v>2512</v>
      </c>
      <c r="C4" s="15" t="s">
        <v>2513</v>
      </c>
      <c r="D4" s="15" t="s">
        <v>2514</v>
      </c>
      <c r="S4" s="0" t="s">
        <v>2559</v>
      </c>
      <c r="T4" s="0" t="n">
        <v>0</v>
      </c>
      <c r="U4" s="0" t="n">
        <v>0</v>
      </c>
      <c r="V4" s="0" t="n">
        <v>0</v>
      </c>
      <c r="AZ4" s="0" t="s">
        <v>125</v>
      </c>
      <c r="BA4" s="0" t="n">
        <v>0</v>
      </c>
      <c r="BB4" s="0" t="n">
        <v>0</v>
      </c>
      <c r="BC4" s="0" t="n">
        <v>0</v>
      </c>
      <c r="BD4" s="0" t="n">
        <v>0</v>
      </c>
      <c r="BE4" s="0" t="n">
        <v>0</v>
      </c>
      <c r="BF4" s="0" t="n">
        <v>0</v>
      </c>
      <c r="BG4" s="0" t="n">
        <v>0</v>
      </c>
      <c r="BH4" s="0" t="n">
        <v>0</v>
      </c>
      <c r="BI4" s="0" t="n">
        <v>0</v>
      </c>
      <c r="BJ4" s="0" t="n">
        <v>0</v>
      </c>
      <c r="BK4" s="0" t="n">
        <v>0</v>
      </c>
      <c r="BL4" s="0" t="n">
        <v>0</v>
      </c>
      <c r="BM4" s="0" t="n">
        <v>0</v>
      </c>
      <c r="BN4" s="0" t="n">
        <v>0</v>
      </c>
      <c r="BO4" s="0" t="n">
        <v>0</v>
      </c>
      <c r="BP4" s="0" t="n">
        <v>0</v>
      </c>
      <c r="BQ4" s="0" t="n">
        <v>0</v>
      </c>
      <c r="BR4" s="0" t="n">
        <v>0</v>
      </c>
      <c r="BS4" s="0" t="n">
        <v>0</v>
      </c>
      <c r="BT4" s="0" t="n">
        <v>0</v>
      </c>
      <c r="BU4" s="0" t="n">
        <v>0</v>
      </c>
      <c r="BV4" s="0" t="n">
        <v>0</v>
      </c>
      <c r="BW4" s="0" t="n">
        <v>0</v>
      </c>
      <c r="BX4" s="0" t="n">
        <v>0</v>
      </c>
      <c r="BY4" s="0" t="n">
        <v>0</v>
      </c>
      <c r="BZ4" s="0" t="n">
        <v>0</v>
      </c>
      <c r="CA4" s="0" t="n">
        <v>0</v>
      </c>
      <c r="CB4" s="0" t="n">
        <v>0</v>
      </c>
      <c r="CC4" s="0" t="n">
        <v>0</v>
      </c>
      <c r="CD4" s="0" t="n">
        <v>0</v>
      </c>
      <c r="CE4" s="0" t="n">
        <v>0</v>
      </c>
      <c r="CF4" s="0" t="n">
        <v>0</v>
      </c>
      <c r="CG4" s="0" t="n">
        <v>0</v>
      </c>
      <c r="CH4" s="0" t="n">
        <v>0</v>
      </c>
      <c r="CI4" s="0" t="n">
        <v>0</v>
      </c>
      <c r="CJ4" s="0" t="n">
        <v>0</v>
      </c>
      <c r="CK4" s="0" t="n">
        <v>0</v>
      </c>
      <c r="CL4" s="0" t="n">
        <v>0</v>
      </c>
      <c r="CM4" s="0" t="n">
        <v>0</v>
      </c>
      <c r="CN4" s="0" t="n">
        <v>0</v>
      </c>
      <c r="CO4" s="0" t="n">
        <v>0</v>
      </c>
      <c r="CP4" s="0" t="s">
        <v>679</v>
      </c>
      <c r="CQ4" s="0" t="s">
        <v>2560</v>
      </c>
      <c r="CR4" s="0" t="s">
        <v>82</v>
      </c>
      <c r="CS4" s="0" t="s">
        <v>557</v>
      </c>
      <c r="CT4" s="0" t="s">
        <v>554</v>
      </c>
      <c r="CU4" s="0" t="s">
        <v>81</v>
      </c>
      <c r="CV4" s="0" t="s">
        <v>274</v>
      </c>
      <c r="CW4" s="0" t="n">
        <v>100</v>
      </c>
      <c r="CX4" s="0" t="n">
        <v>1</v>
      </c>
      <c r="CY4" s="0" t="n">
        <v>1</v>
      </c>
      <c r="CZ4" s="0" t="n">
        <v>1</v>
      </c>
      <c r="DA4" s="0" t="n">
        <v>1990</v>
      </c>
      <c r="DB4" s="0" t="n">
        <v>1670</v>
      </c>
      <c r="DC4" s="0" t="n">
        <v>1850</v>
      </c>
      <c r="DD4" s="0" t="n">
        <v>1990</v>
      </c>
      <c r="DE4" s="0" t="n">
        <v>1990</v>
      </c>
      <c r="DG4" s="0" t="s">
        <v>2561</v>
      </c>
      <c r="DH4" s="0" t="s">
        <v>82</v>
      </c>
      <c r="DI4" s="0" t="s">
        <v>687</v>
      </c>
      <c r="DJ4" s="0" t="s">
        <v>688</v>
      </c>
      <c r="DK4" s="0" t="s">
        <v>674</v>
      </c>
      <c r="DL4" s="0" t="n">
        <v>100</v>
      </c>
      <c r="DM4" s="0" t="s">
        <v>676</v>
      </c>
      <c r="DN4" s="0" t="s">
        <v>676</v>
      </c>
      <c r="DO4" s="0" t="n">
        <v>0</v>
      </c>
      <c r="DP4" s="0" t="n">
        <v>0</v>
      </c>
      <c r="DQ4" s="0" t="n">
        <v>215.56</v>
      </c>
      <c r="DR4" s="0" t="s">
        <v>2562</v>
      </c>
      <c r="DT4" s="0" t="s">
        <v>121</v>
      </c>
      <c r="DU4" s="0" t="s">
        <v>2563</v>
      </c>
      <c r="DV4" s="0" t="s">
        <v>2564</v>
      </c>
      <c r="DW4" s="0" t="s">
        <v>2565</v>
      </c>
      <c r="DX4" s="0" t="s">
        <v>2522</v>
      </c>
      <c r="DY4" s="0" t="s">
        <v>2523</v>
      </c>
      <c r="DZ4" s="0" t="n">
        <v>628</v>
      </c>
      <c r="EB4" s="0" t="s">
        <v>2566</v>
      </c>
      <c r="EC4" s="0" t="s">
        <v>2216</v>
      </c>
      <c r="ED4" s="0" t="s">
        <v>2525</v>
      </c>
      <c r="EE4" s="0" t="s">
        <v>622</v>
      </c>
      <c r="EF4" s="0" t="s">
        <v>2567</v>
      </c>
      <c r="EG4" s="0" t="n">
        <v>1230</v>
      </c>
      <c r="EH4" s="0" t="n">
        <v>1360</v>
      </c>
      <c r="EI4" s="0" t="n">
        <v>1470</v>
      </c>
      <c r="EJ4" s="0" t="n">
        <v>1470</v>
      </c>
      <c r="EL4" s="0" t="s">
        <v>2568</v>
      </c>
      <c r="EM4" s="0" t="s">
        <v>2216</v>
      </c>
      <c r="EN4" s="0" t="s">
        <v>2525</v>
      </c>
      <c r="EO4" s="0" t="n">
        <v>1</v>
      </c>
      <c r="EP4" s="0" t="s">
        <v>2528</v>
      </c>
      <c r="EQ4" s="0" t="s">
        <v>2569</v>
      </c>
      <c r="ER4" s="0" t="s">
        <v>2570</v>
      </c>
      <c r="ES4" s="0" t="n">
        <v>11880</v>
      </c>
      <c r="ET4" s="0" t="n">
        <v>13130</v>
      </c>
      <c r="EU4" s="0" t="n">
        <v>14180</v>
      </c>
      <c r="EV4" s="0" t="n">
        <v>14180</v>
      </c>
      <c r="EX4" s="0" t="s">
        <v>588</v>
      </c>
      <c r="EY4" s="0" t="s">
        <v>2532</v>
      </c>
      <c r="EZ4" s="0" t="s">
        <v>25</v>
      </c>
      <c r="FA4" s="0" t="s">
        <v>2533</v>
      </c>
      <c r="FC4" s="0" t="s">
        <v>125</v>
      </c>
      <c r="FD4" s="0" t="n">
        <v>0</v>
      </c>
      <c r="FE4" s="0" t="n">
        <v>0</v>
      </c>
      <c r="FF4" s="0" t="n">
        <v>0</v>
      </c>
      <c r="FG4" s="0" t="n">
        <v>0</v>
      </c>
      <c r="FH4" s="0" t="n">
        <v>0</v>
      </c>
      <c r="FI4" s="0" t="n">
        <v>0</v>
      </c>
      <c r="FJ4" s="0" t="n">
        <v>0</v>
      </c>
      <c r="FK4" s="0" t="n">
        <v>0</v>
      </c>
      <c r="FL4" s="0" t="n">
        <v>0</v>
      </c>
      <c r="FM4" s="0" t="n">
        <v>0</v>
      </c>
      <c r="FN4" s="0" t="n">
        <v>0</v>
      </c>
      <c r="FO4" s="0" t="n">
        <v>0</v>
      </c>
      <c r="FP4" s="0" t="n">
        <v>0</v>
      </c>
      <c r="FQ4" s="0" t="n">
        <v>0</v>
      </c>
      <c r="FR4" s="0" t="n">
        <v>0</v>
      </c>
      <c r="FS4" s="0" t="n">
        <v>0</v>
      </c>
      <c r="FT4" s="0" t="n">
        <v>0</v>
      </c>
      <c r="FU4" s="0" t="n">
        <v>0</v>
      </c>
      <c r="FV4" s="0" t="n">
        <v>0</v>
      </c>
      <c r="FW4" s="0" t="n">
        <v>0</v>
      </c>
      <c r="FX4" s="0" t="n">
        <v>0</v>
      </c>
      <c r="FY4" s="0" t="n">
        <v>0</v>
      </c>
      <c r="FZ4" s="0" t="n">
        <v>0</v>
      </c>
      <c r="GA4" s="0" t="n">
        <v>0</v>
      </c>
      <c r="GB4" s="0" t="n">
        <v>0</v>
      </c>
      <c r="GD4" s="0" t="s">
        <v>2534</v>
      </c>
      <c r="GE4" s="0" t="s">
        <v>2535</v>
      </c>
      <c r="GF4" s="0" t="s">
        <v>82</v>
      </c>
      <c r="GG4" s="0" t="s">
        <v>125</v>
      </c>
      <c r="GH4" s="0" t="n">
        <v>0</v>
      </c>
      <c r="GI4" s="0" t="n">
        <v>0</v>
      </c>
      <c r="GJ4" s="0" t="n">
        <v>0</v>
      </c>
      <c r="GK4" s="0" t="n">
        <v>0</v>
      </c>
      <c r="GL4" s="0" t="n">
        <v>0</v>
      </c>
      <c r="GM4" s="0" t="n">
        <v>0</v>
      </c>
      <c r="GN4" s="0" t="n">
        <v>1</v>
      </c>
      <c r="GO4" s="0" t="s">
        <v>2556</v>
      </c>
      <c r="GP4" s="0" t="s">
        <v>82</v>
      </c>
      <c r="GQ4" s="0" t="n">
        <v>26</v>
      </c>
      <c r="GR4" s="0" t="s">
        <v>2537</v>
      </c>
      <c r="GS4" s="0" t="s">
        <v>2538</v>
      </c>
      <c r="HA4" s="0" t="s">
        <v>2571</v>
      </c>
      <c r="HB4" s="0" t="s">
        <v>82</v>
      </c>
      <c r="HC4" s="0" t="s">
        <v>2572</v>
      </c>
      <c r="HD4" s="0" t="s">
        <v>38</v>
      </c>
      <c r="HE4" s="0" t="n">
        <v>0</v>
      </c>
      <c r="HF4" s="0" t="n">
        <v>2</v>
      </c>
      <c r="HG4" s="0" t="n">
        <v>1</v>
      </c>
      <c r="HH4" s="0" t="n">
        <v>0.25</v>
      </c>
      <c r="HI4" s="0" t="n">
        <v>1</v>
      </c>
      <c r="HJ4" s="0" t="n">
        <v>1.75</v>
      </c>
    </row>
    <row r="5" customFormat="false" ht="15" hidden="false" customHeight="false" outlineLevel="0" collapsed="false">
      <c r="A5" s="0" t="s">
        <v>2540</v>
      </c>
      <c r="B5" s="0" t="n">
        <v>3</v>
      </c>
      <c r="C5" s="0" t="n">
        <v>3</v>
      </c>
      <c r="D5" s="0" t="n">
        <v>3.75</v>
      </c>
      <c r="AZ5" s="0" t="s">
        <v>85</v>
      </c>
      <c r="BA5" s="0" t="n">
        <v>0</v>
      </c>
      <c r="BB5" s="0" t="n">
        <v>0</v>
      </c>
      <c r="BC5" s="0" t="n">
        <v>0</v>
      </c>
      <c r="BD5" s="0" t="n">
        <v>0</v>
      </c>
      <c r="BE5" s="0" t="n">
        <v>0</v>
      </c>
      <c r="BF5" s="0" t="n">
        <v>0</v>
      </c>
      <c r="BG5" s="0" t="n">
        <v>0</v>
      </c>
      <c r="BH5" s="0" t="n">
        <v>0</v>
      </c>
      <c r="BI5" s="0" t="n">
        <v>0</v>
      </c>
      <c r="BJ5" s="0" t="n">
        <v>0</v>
      </c>
      <c r="BK5" s="0" t="n">
        <v>0</v>
      </c>
      <c r="BL5" s="0" t="n">
        <v>0</v>
      </c>
      <c r="BM5" s="0" t="n">
        <v>0</v>
      </c>
      <c r="BN5" s="0" t="n">
        <v>0</v>
      </c>
      <c r="BO5" s="0" t="n">
        <v>0</v>
      </c>
      <c r="BP5" s="0" t="n">
        <v>0</v>
      </c>
      <c r="BQ5" s="0" t="n">
        <v>0</v>
      </c>
      <c r="BR5" s="0" t="n">
        <v>0</v>
      </c>
      <c r="BS5" s="0" t="n">
        <v>0</v>
      </c>
      <c r="BT5" s="0" t="n">
        <v>0</v>
      </c>
      <c r="BU5" s="0" t="n">
        <v>0</v>
      </c>
      <c r="BV5" s="0" t="n">
        <v>0</v>
      </c>
      <c r="BW5" s="0" t="n">
        <v>0</v>
      </c>
      <c r="BX5" s="0" t="n">
        <v>0</v>
      </c>
      <c r="BY5" s="0" t="n">
        <v>0</v>
      </c>
      <c r="BZ5" s="0" t="n">
        <v>0</v>
      </c>
      <c r="CA5" s="0" t="n">
        <v>0</v>
      </c>
      <c r="CB5" s="0" t="n">
        <v>0</v>
      </c>
      <c r="CC5" s="0" t="n">
        <v>0</v>
      </c>
      <c r="CD5" s="0" t="n">
        <v>0</v>
      </c>
      <c r="CE5" s="0" t="n">
        <v>0</v>
      </c>
      <c r="CF5" s="0" t="n">
        <v>0</v>
      </c>
      <c r="CG5" s="0" t="n">
        <v>0</v>
      </c>
      <c r="CH5" s="0" t="n">
        <v>0</v>
      </c>
      <c r="CI5" s="0" t="n">
        <v>0</v>
      </c>
      <c r="CJ5" s="0" t="n">
        <v>0</v>
      </c>
      <c r="CK5" s="0" t="n">
        <v>0</v>
      </c>
      <c r="CL5" s="0" t="n">
        <v>0</v>
      </c>
      <c r="CM5" s="0" t="n">
        <v>0</v>
      </c>
      <c r="CN5" s="0" t="n">
        <v>0</v>
      </c>
      <c r="CO5" s="0" t="n">
        <v>0</v>
      </c>
      <c r="CP5" s="0" t="s">
        <v>679</v>
      </c>
      <c r="CQ5" s="0" t="s">
        <v>2573</v>
      </c>
      <c r="CR5" s="0" t="s">
        <v>82</v>
      </c>
      <c r="CS5" s="0" t="s">
        <v>298</v>
      </c>
      <c r="CT5" s="0" t="s">
        <v>297</v>
      </c>
      <c r="CU5" s="0" t="s">
        <v>81</v>
      </c>
      <c r="CV5" s="0" t="s">
        <v>274</v>
      </c>
      <c r="CW5" s="0" t="n">
        <v>7.69</v>
      </c>
      <c r="CX5" s="0" t="n">
        <v>1</v>
      </c>
      <c r="CY5" s="0" t="n">
        <v>1</v>
      </c>
      <c r="CZ5" s="0" t="n">
        <v>1</v>
      </c>
      <c r="DA5" s="0" t="n">
        <v>410.5</v>
      </c>
      <c r="DB5" s="0" t="n">
        <v>1</v>
      </c>
      <c r="DC5" s="0" t="n">
        <v>1</v>
      </c>
      <c r="DD5" s="0" t="n">
        <v>1</v>
      </c>
      <c r="DE5" s="0" t="n">
        <v>1</v>
      </c>
      <c r="DG5" s="0" t="s">
        <v>2574</v>
      </c>
      <c r="DH5" s="0" t="s">
        <v>82</v>
      </c>
      <c r="DI5" s="0" t="s">
        <v>692</v>
      </c>
      <c r="DJ5" s="0" t="s">
        <v>693</v>
      </c>
      <c r="DK5" s="0" t="s">
        <v>674</v>
      </c>
      <c r="DL5" s="0" t="n">
        <v>100</v>
      </c>
      <c r="DM5" s="0" t="s">
        <v>676</v>
      </c>
      <c r="DN5" s="0" t="s">
        <v>676</v>
      </c>
      <c r="DO5" s="0" t="n">
        <v>4</v>
      </c>
      <c r="DP5" s="0" t="n">
        <v>785.12</v>
      </c>
      <c r="DQ5" s="0" t="n">
        <v>785.12</v>
      </c>
      <c r="DR5" s="0" t="s">
        <v>2575</v>
      </c>
      <c r="DT5" s="0" t="s">
        <v>121</v>
      </c>
      <c r="DU5" s="0" t="s">
        <v>2576</v>
      </c>
      <c r="DV5" s="0" t="s">
        <v>2577</v>
      </c>
      <c r="DW5" s="0" t="s">
        <v>2578</v>
      </c>
      <c r="DX5" s="0" t="s">
        <v>2522</v>
      </c>
      <c r="DY5" s="0" t="s">
        <v>2523</v>
      </c>
      <c r="DZ5" s="0" t="n">
        <v>407</v>
      </c>
      <c r="EB5" s="0" t="s">
        <v>2579</v>
      </c>
      <c r="EC5" s="0" t="s">
        <v>2216</v>
      </c>
      <c r="ED5" s="0" t="s">
        <v>2525</v>
      </c>
      <c r="EE5" s="0" t="s">
        <v>620</v>
      </c>
      <c r="EF5" s="0" t="s">
        <v>2580</v>
      </c>
      <c r="EG5" s="0" t="n">
        <v>730</v>
      </c>
      <c r="EH5" s="0" t="n">
        <v>800</v>
      </c>
      <c r="EI5" s="0" t="n">
        <v>870</v>
      </c>
      <c r="EJ5" s="0" t="n">
        <v>870</v>
      </c>
      <c r="EL5" s="0" t="s">
        <v>2581</v>
      </c>
      <c r="EM5" s="0" t="s">
        <v>2216</v>
      </c>
      <c r="EN5" s="0" t="s">
        <v>2525</v>
      </c>
      <c r="EO5" s="0" t="n">
        <v>1</v>
      </c>
      <c r="EP5" s="0" t="s">
        <v>2552</v>
      </c>
      <c r="EQ5" s="0" t="s">
        <v>2582</v>
      </c>
      <c r="ER5" s="0" t="s">
        <v>2583</v>
      </c>
      <c r="ES5" s="0" t="n">
        <v>12460</v>
      </c>
      <c r="ET5" s="0" t="n">
        <v>16450</v>
      </c>
      <c r="EU5" s="0" t="n">
        <v>17940</v>
      </c>
      <c r="EV5" s="0" t="n">
        <v>17940</v>
      </c>
      <c r="EX5" s="0" t="s">
        <v>2584</v>
      </c>
      <c r="EY5" s="0" t="s">
        <v>2532</v>
      </c>
      <c r="EZ5" s="0" t="s">
        <v>25</v>
      </c>
      <c r="FA5" s="0" t="s">
        <v>2533</v>
      </c>
      <c r="FC5" s="0" t="s">
        <v>85</v>
      </c>
      <c r="FD5" s="0" t="n">
        <v>0</v>
      </c>
      <c r="FE5" s="0" t="n">
        <v>0</v>
      </c>
      <c r="FF5" s="0" t="n">
        <v>0</v>
      </c>
      <c r="FG5" s="0" t="n">
        <v>0</v>
      </c>
      <c r="FH5" s="0" t="n">
        <v>0</v>
      </c>
      <c r="FI5" s="0" t="n">
        <v>0</v>
      </c>
      <c r="FJ5" s="0" t="n">
        <v>0</v>
      </c>
      <c r="FK5" s="0" t="n">
        <v>0</v>
      </c>
      <c r="FL5" s="0" t="n">
        <v>0</v>
      </c>
      <c r="FM5" s="0" t="n">
        <v>0</v>
      </c>
      <c r="FN5" s="0" t="n">
        <v>0</v>
      </c>
      <c r="FO5" s="0" t="n">
        <v>0</v>
      </c>
      <c r="FP5" s="0" t="n">
        <v>0</v>
      </c>
      <c r="FQ5" s="0" t="n">
        <v>0</v>
      </c>
      <c r="FR5" s="0" t="n">
        <v>0</v>
      </c>
      <c r="FS5" s="0" t="n">
        <v>0</v>
      </c>
      <c r="FT5" s="0" t="n">
        <v>0</v>
      </c>
      <c r="FU5" s="0" t="n">
        <v>0</v>
      </c>
      <c r="FV5" s="0" t="n">
        <v>0</v>
      </c>
      <c r="FW5" s="0" t="n">
        <v>0</v>
      </c>
      <c r="FX5" s="0" t="n">
        <v>0</v>
      </c>
      <c r="FY5" s="0" t="n">
        <v>0</v>
      </c>
      <c r="FZ5" s="0" t="n">
        <v>0</v>
      </c>
      <c r="GA5" s="0" t="n">
        <v>0</v>
      </c>
      <c r="GB5" s="0" t="n">
        <v>0</v>
      </c>
      <c r="GD5" s="0" t="s">
        <v>2534</v>
      </c>
      <c r="GE5" s="0" t="s">
        <v>2535</v>
      </c>
      <c r="GF5" s="0" t="s">
        <v>82</v>
      </c>
      <c r="GG5" s="0" t="s">
        <v>85</v>
      </c>
      <c r="GH5" s="0" t="n">
        <v>0</v>
      </c>
      <c r="GI5" s="0" t="n">
        <v>0</v>
      </c>
      <c r="GJ5" s="0" t="n">
        <v>0</v>
      </c>
      <c r="GK5" s="0" t="n">
        <v>0</v>
      </c>
      <c r="GL5" s="0" t="n">
        <v>0</v>
      </c>
      <c r="GM5" s="0" t="n">
        <v>0</v>
      </c>
      <c r="GN5" s="0" t="n">
        <v>1</v>
      </c>
      <c r="GO5" s="0" t="s">
        <v>2556</v>
      </c>
      <c r="GP5" s="0" t="s">
        <v>82</v>
      </c>
      <c r="GQ5" s="0" t="n">
        <v>26</v>
      </c>
      <c r="GR5" s="0" t="s">
        <v>2537</v>
      </c>
      <c r="GS5" s="0" t="s">
        <v>2538</v>
      </c>
      <c r="HA5" s="0" t="s">
        <v>2585</v>
      </c>
      <c r="HB5" s="0" t="s">
        <v>82</v>
      </c>
      <c r="HC5" s="0" t="s">
        <v>2586</v>
      </c>
      <c r="HD5" s="0" t="s">
        <v>39</v>
      </c>
      <c r="HE5" s="0" t="n">
        <v>2</v>
      </c>
      <c r="HF5" s="0" t="n">
        <v>5</v>
      </c>
      <c r="HG5" s="0" t="n">
        <v>2.88461538461539</v>
      </c>
      <c r="HH5" s="0" t="n">
        <v>2.5</v>
      </c>
      <c r="HI5" s="0" t="n">
        <v>3</v>
      </c>
      <c r="HJ5" s="0" t="n">
        <v>3</v>
      </c>
    </row>
    <row r="6" customFormat="false" ht="15" hidden="false" customHeight="false" outlineLevel="0" collapsed="false">
      <c r="A6" s="0" t="s">
        <v>2558</v>
      </c>
      <c r="B6" s="0" t="n">
        <v>2</v>
      </c>
      <c r="C6" s="0" t="n">
        <v>2</v>
      </c>
      <c r="D6" s="0" t="n">
        <v>3</v>
      </c>
      <c r="AZ6" s="0" t="s">
        <v>86</v>
      </c>
      <c r="BA6" s="0" t="n">
        <v>0</v>
      </c>
      <c r="BB6" s="0" t="n">
        <v>0</v>
      </c>
      <c r="BC6" s="0" t="n">
        <v>0</v>
      </c>
      <c r="BD6" s="0" t="n">
        <v>0</v>
      </c>
      <c r="BE6" s="0" t="n">
        <v>0</v>
      </c>
      <c r="BF6" s="0" t="n">
        <v>0</v>
      </c>
      <c r="BG6" s="0" t="n">
        <v>0</v>
      </c>
      <c r="BH6" s="0" t="n">
        <v>0</v>
      </c>
      <c r="BI6" s="0" t="n">
        <v>0</v>
      </c>
      <c r="BJ6" s="0" t="n">
        <v>0</v>
      </c>
      <c r="BK6" s="0" t="n">
        <v>0</v>
      </c>
      <c r="BL6" s="0" t="n">
        <v>0</v>
      </c>
      <c r="BM6" s="0" t="n">
        <v>0</v>
      </c>
      <c r="BN6" s="0" t="n">
        <v>0</v>
      </c>
      <c r="BO6" s="0" t="n">
        <v>0</v>
      </c>
      <c r="BP6" s="0" t="n">
        <v>0</v>
      </c>
      <c r="BQ6" s="0" t="n">
        <v>0</v>
      </c>
      <c r="BR6" s="0" t="n">
        <v>0</v>
      </c>
      <c r="BS6" s="0" t="n">
        <v>0</v>
      </c>
      <c r="BT6" s="0" t="n">
        <v>0</v>
      </c>
      <c r="BU6" s="0" t="n">
        <v>0</v>
      </c>
      <c r="BV6" s="0" t="n">
        <v>0</v>
      </c>
      <c r="BW6" s="0" t="n">
        <v>0</v>
      </c>
      <c r="BX6" s="0" t="n">
        <v>0</v>
      </c>
      <c r="BY6" s="0" t="n">
        <v>0</v>
      </c>
      <c r="BZ6" s="0" t="n">
        <v>0</v>
      </c>
      <c r="CA6" s="0" t="n">
        <v>0</v>
      </c>
      <c r="CB6" s="0" t="n">
        <v>0</v>
      </c>
      <c r="CC6" s="0" t="n">
        <v>0</v>
      </c>
      <c r="CD6" s="0" t="n">
        <v>0</v>
      </c>
      <c r="CE6" s="0" t="n">
        <v>0</v>
      </c>
      <c r="CF6" s="0" t="n">
        <v>0</v>
      </c>
      <c r="CG6" s="0" t="n">
        <v>0</v>
      </c>
      <c r="CH6" s="0" t="n">
        <v>0</v>
      </c>
      <c r="CI6" s="0" t="n">
        <v>0</v>
      </c>
      <c r="CJ6" s="0" t="n">
        <v>0</v>
      </c>
      <c r="CK6" s="0" t="n">
        <v>0</v>
      </c>
      <c r="CL6" s="0" t="n">
        <v>0</v>
      </c>
      <c r="CM6" s="0" t="n">
        <v>0</v>
      </c>
      <c r="CN6" s="0" t="n">
        <v>0</v>
      </c>
      <c r="CO6" s="0" t="n">
        <v>0</v>
      </c>
      <c r="CP6" s="0" t="s">
        <v>679</v>
      </c>
      <c r="CQ6" s="0" t="s">
        <v>2587</v>
      </c>
      <c r="CR6" s="0" t="s">
        <v>82</v>
      </c>
      <c r="CS6" s="0" t="s">
        <v>626</v>
      </c>
      <c r="CT6" s="0" t="s">
        <v>2526</v>
      </c>
      <c r="CU6" s="0" t="s">
        <v>81</v>
      </c>
      <c r="CV6" s="0" t="s">
        <v>285</v>
      </c>
      <c r="CW6" s="0" t="n">
        <v>96.15</v>
      </c>
      <c r="CX6" s="0" t="n">
        <v>1</v>
      </c>
      <c r="CY6" s="0" t="n">
        <v>1</v>
      </c>
      <c r="CZ6" s="0" t="n">
        <v>1</v>
      </c>
      <c r="DA6" s="0" t="n">
        <v>430</v>
      </c>
      <c r="DB6" s="0" t="n">
        <v>360</v>
      </c>
      <c r="DC6" s="0" t="n">
        <v>400</v>
      </c>
      <c r="DD6" s="0" t="n">
        <v>430</v>
      </c>
      <c r="DE6" s="0" t="n">
        <v>430</v>
      </c>
      <c r="DG6" s="0" t="s">
        <v>2588</v>
      </c>
      <c r="DH6" s="0" t="s">
        <v>82</v>
      </c>
      <c r="DI6" s="0" t="s">
        <v>698</v>
      </c>
      <c r="DJ6" s="0" t="s">
        <v>699</v>
      </c>
      <c r="DK6" s="0" t="s">
        <v>674</v>
      </c>
      <c r="DL6" s="0" t="n">
        <v>100</v>
      </c>
      <c r="DM6" s="0" t="s">
        <v>676</v>
      </c>
      <c r="DN6" s="0" t="s">
        <v>675</v>
      </c>
      <c r="DO6" s="0" t="n">
        <v>0</v>
      </c>
      <c r="DP6" s="0" t="n">
        <v>0</v>
      </c>
      <c r="DQ6" s="0" t="n">
        <v>44.75</v>
      </c>
      <c r="DR6" s="0" t="s">
        <v>2589</v>
      </c>
      <c r="DT6" s="0" t="s">
        <v>125</v>
      </c>
      <c r="DU6" s="0" t="s">
        <v>2590</v>
      </c>
      <c r="DV6" s="0" t="s">
        <v>2591</v>
      </c>
      <c r="DW6" s="0" t="s">
        <v>2592</v>
      </c>
      <c r="DX6" s="0" t="s">
        <v>2593</v>
      </c>
      <c r="DY6" s="0" t="s">
        <v>2594</v>
      </c>
      <c r="DZ6" s="0" t="n">
        <v>849</v>
      </c>
      <c r="EB6" s="0" t="s">
        <v>2595</v>
      </c>
      <c r="EC6" s="0" t="s">
        <v>2216</v>
      </c>
      <c r="ED6" s="0" t="s">
        <v>2525</v>
      </c>
      <c r="EE6" s="0" t="s">
        <v>618</v>
      </c>
      <c r="EF6" s="0" t="s">
        <v>2596</v>
      </c>
      <c r="EG6" s="0" t="n">
        <v>360</v>
      </c>
      <c r="EH6" s="0" t="n">
        <v>400</v>
      </c>
      <c r="EI6" s="0" t="n">
        <v>430</v>
      </c>
      <c r="EJ6" s="0" t="n">
        <v>430</v>
      </c>
      <c r="EL6" s="0" t="s">
        <v>2597</v>
      </c>
      <c r="EM6" s="0" t="s">
        <v>2216</v>
      </c>
      <c r="EN6" s="0" t="s">
        <v>2525</v>
      </c>
      <c r="EO6" s="0" t="n">
        <v>1.5</v>
      </c>
      <c r="EP6" s="0" t="s">
        <v>2528</v>
      </c>
      <c r="EQ6" s="0" t="s">
        <v>2598</v>
      </c>
      <c r="ER6" s="0" t="s">
        <v>2599</v>
      </c>
      <c r="ES6" s="0" t="n">
        <v>17720</v>
      </c>
      <c r="ET6" s="0" t="n">
        <v>19570</v>
      </c>
      <c r="EU6" s="0" t="n">
        <v>21150</v>
      </c>
      <c r="EV6" s="0" t="n">
        <v>21150</v>
      </c>
      <c r="EX6" s="0" t="s">
        <v>2600</v>
      </c>
      <c r="EY6" s="0" t="s">
        <v>2532</v>
      </c>
      <c r="EZ6" s="0" t="s">
        <v>25</v>
      </c>
      <c r="FA6" s="0" t="s">
        <v>2533</v>
      </c>
      <c r="FC6" s="0" t="s">
        <v>86</v>
      </c>
      <c r="FD6" s="0" t="n">
        <v>0</v>
      </c>
      <c r="FE6" s="0" t="n">
        <v>0</v>
      </c>
      <c r="FF6" s="0" t="n">
        <v>0</v>
      </c>
      <c r="FG6" s="0" t="n">
        <v>0</v>
      </c>
      <c r="FH6" s="0" t="n">
        <v>0</v>
      </c>
      <c r="FI6" s="0" t="n">
        <v>0</v>
      </c>
      <c r="FJ6" s="0" t="n">
        <v>0</v>
      </c>
      <c r="FK6" s="0" t="n">
        <v>0</v>
      </c>
      <c r="FL6" s="0" t="n">
        <v>0</v>
      </c>
      <c r="FM6" s="0" t="n">
        <v>0</v>
      </c>
      <c r="FN6" s="0" t="n">
        <v>0</v>
      </c>
      <c r="FO6" s="0" t="n">
        <v>0</v>
      </c>
      <c r="FP6" s="0" t="n">
        <v>0</v>
      </c>
      <c r="FQ6" s="0" t="n">
        <v>0</v>
      </c>
      <c r="FR6" s="0" t="n">
        <v>0</v>
      </c>
      <c r="FS6" s="0" t="n">
        <v>0</v>
      </c>
      <c r="FT6" s="0" t="n">
        <v>0</v>
      </c>
      <c r="FU6" s="0" t="n">
        <v>0</v>
      </c>
      <c r="FV6" s="0" t="n">
        <v>0</v>
      </c>
      <c r="FW6" s="0" t="n">
        <v>0</v>
      </c>
      <c r="FX6" s="0" t="n">
        <v>0</v>
      </c>
      <c r="FY6" s="0" t="n">
        <v>0</v>
      </c>
      <c r="FZ6" s="0" t="n">
        <v>0</v>
      </c>
      <c r="GA6" s="0" t="n">
        <v>0</v>
      </c>
      <c r="GB6" s="0" t="n">
        <v>0</v>
      </c>
      <c r="GD6" s="0" t="s">
        <v>2534</v>
      </c>
      <c r="GE6" s="0" t="s">
        <v>2535</v>
      </c>
      <c r="GF6" s="0" t="s">
        <v>82</v>
      </c>
      <c r="GG6" s="0" t="s">
        <v>86</v>
      </c>
      <c r="GH6" s="0" t="n">
        <v>0</v>
      </c>
      <c r="GI6" s="0" t="n">
        <v>0</v>
      </c>
      <c r="GJ6" s="0" t="n">
        <v>0</v>
      </c>
      <c r="GK6" s="0" t="n">
        <v>0</v>
      </c>
      <c r="GL6" s="0" t="n">
        <v>0</v>
      </c>
      <c r="GM6" s="0" t="n">
        <v>0</v>
      </c>
      <c r="GN6" s="0" t="n">
        <v>1</v>
      </c>
      <c r="GO6" s="0" t="s">
        <v>2556</v>
      </c>
      <c r="GP6" s="0" t="s">
        <v>82</v>
      </c>
      <c r="GQ6" s="0" t="n">
        <v>26</v>
      </c>
      <c r="GR6" s="0" t="s">
        <v>2537</v>
      </c>
      <c r="GS6" s="0" t="s">
        <v>2538</v>
      </c>
      <c r="HA6" s="0" t="s">
        <v>2601</v>
      </c>
      <c r="HB6" s="0" t="s">
        <v>82</v>
      </c>
      <c r="HC6" s="0" t="s">
        <v>2602</v>
      </c>
      <c r="HD6" s="0" t="s">
        <v>143</v>
      </c>
      <c r="HE6" s="0" t="n">
        <v>33</v>
      </c>
      <c r="HF6" s="0" t="n">
        <v>46</v>
      </c>
      <c r="HG6" s="0" t="n">
        <v>38.8461538461539</v>
      </c>
      <c r="HH6" s="0" t="n">
        <v>36.25</v>
      </c>
      <c r="HI6" s="0" t="n">
        <v>39</v>
      </c>
      <c r="HJ6" s="0" t="n">
        <v>41</v>
      </c>
    </row>
    <row r="7" customFormat="false" ht="15" hidden="false" customHeight="false" outlineLevel="0" collapsed="false">
      <c r="A7" s="0" t="s">
        <v>2572</v>
      </c>
      <c r="B7" s="0" t="n">
        <v>0.25</v>
      </c>
      <c r="C7" s="0" t="n">
        <v>1</v>
      </c>
      <c r="D7" s="0" t="n">
        <v>1.75</v>
      </c>
      <c r="AZ7" s="0" t="s">
        <v>87</v>
      </c>
      <c r="BA7" s="0" t="n">
        <v>26</v>
      </c>
      <c r="BB7" s="0" t="n">
        <v>26</v>
      </c>
      <c r="BC7" s="0" t="n">
        <v>0</v>
      </c>
      <c r="BD7" s="0" t="n">
        <v>0</v>
      </c>
      <c r="BE7" s="0" t="n">
        <v>0</v>
      </c>
      <c r="BF7" s="0" t="n">
        <v>3</v>
      </c>
      <c r="BG7" s="0" t="n">
        <v>3</v>
      </c>
      <c r="BH7" s="0" t="n">
        <v>3.75</v>
      </c>
      <c r="BI7" s="0" t="n">
        <v>2</v>
      </c>
      <c r="BJ7" s="0" t="n">
        <v>2</v>
      </c>
      <c r="BK7" s="0" t="n">
        <v>3</v>
      </c>
      <c r="BL7" s="0" t="n">
        <v>0.25</v>
      </c>
      <c r="BM7" s="0" t="n">
        <v>1</v>
      </c>
      <c r="BN7" s="0" t="n">
        <v>1.75</v>
      </c>
      <c r="BO7" s="0" t="n">
        <v>2.5</v>
      </c>
      <c r="BP7" s="0" t="n">
        <v>3</v>
      </c>
      <c r="BQ7" s="0" t="n">
        <v>3</v>
      </c>
      <c r="BR7" s="0" t="n">
        <v>36.25</v>
      </c>
      <c r="BS7" s="0" t="n">
        <v>39</v>
      </c>
      <c r="BT7" s="0" t="n">
        <v>41</v>
      </c>
      <c r="BU7" s="0" t="n">
        <v>7802.505</v>
      </c>
      <c r="BV7" s="0" t="n">
        <v>9060.435</v>
      </c>
      <c r="BW7" s="0" t="n">
        <v>10629.097</v>
      </c>
      <c r="BX7" s="0" t="n">
        <v>9677.213</v>
      </c>
      <c r="BY7" s="0" t="n">
        <v>10711.305</v>
      </c>
      <c r="BZ7" s="0" t="n">
        <v>11936.618</v>
      </c>
      <c r="CA7" s="0" t="n">
        <v>8468.852</v>
      </c>
      <c r="CB7" s="0" t="n">
        <v>9439.535</v>
      </c>
      <c r="CC7" s="0" t="n">
        <v>11143.7</v>
      </c>
      <c r="CD7" s="0" t="n">
        <v>66040.54</v>
      </c>
      <c r="CE7" s="0" t="n">
        <v>72382.9</v>
      </c>
      <c r="CF7" s="0" t="n">
        <v>107563.63</v>
      </c>
      <c r="CG7" s="0" t="n">
        <v>89130.078</v>
      </c>
      <c r="CH7" s="0" t="n">
        <v>89130.16</v>
      </c>
      <c r="CI7" s="0" t="n">
        <v>98838.05</v>
      </c>
      <c r="CJ7" s="0" t="n">
        <v>2380.94354166667</v>
      </c>
      <c r="CK7" s="0" t="n">
        <v>2855.31875</v>
      </c>
      <c r="CL7" s="0" t="n">
        <v>3198.258</v>
      </c>
      <c r="CM7" s="0" t="n">
        <v>3059.8</v>
      </c>
      <c r="CN7" s="0" t="n">
        <v>3428.82833333333</v>
      </c>
      <c r="CO7" s="0" t="n">
        <v>3617.71</v>
      </c>
      <c r="CP7" s="0" t="s">
        <v>679</v>
      </c>
      <c r="CQ7" s="0" t="s">
        <v>2603</v>
      </c>
      <c r="CR7" s="0" t="s">
        <v>82</v>
      </c>
      <c r="CS7" s="0" t="s">
        <v>624</v>
      </c>
      <c r="CT7" s="0" t="s">
        <v>2550</v>
      </c>
      <c r="CU7" s="0" t="s">
        <v>81</v>
      </c>
      <c r="CV7" s="0" t="s">
        <v>285</v>
      </c>
      <c r="CW7" s="0" t="n">
        <v>96.15</v>
      </c>
      <c r="CX7" s="0" t="n">
        <v>1</v>
      </c>
      <c r="CY7" s="0" t="n">
        <v>1</v>
      </c>
      <c r="CZ7" s="0" t="n">
        <v>1</v>
      </c>
      <c r="DA7" s="0" t="n">
        <v>800</v>
      </c>
      <c r="DB7" s="0" t="n">
        <v>580</v>
      </c>
      <c r="DC7" s="0" t="n">
        <v>660</v>
      </c>
      <c r="DD7" s="0" t="n">
        <v>760</v>
      </c>
      <c r="DE7" s="0" t="n">
        <v>800</v>
      </c>
      <c r="DG7" s="0" t="s">
        <v>2604</v>
      </c>
      <c r="DH7" s="0" t="s">
        <v>82</v>
      </c>
      <c r="DI7" s="0" t="s">
        <v>703</v>
      </c>
      <c r="DJ7" s="0" t="s">
        <v>704</v>
      </c>
      <c r="DK7" s="0" t="s">
        <v>705</v>
      </c>
      <c r="DL7" s="0" t="n">
        <v>100</v>
      </c>
      <c r="DM7" s="0" t="s">
        <v>675</v>
      </c>
      <c r="DN7" s="0" t="s">
        <v>676</v>
      </c>
      <c r="DO7" s="0" t="n">
        <v>1</v>
      </c>
      <c r="DP7" s="0" t="n">
        <v>913</v>
      </c>
      <c r="DQ7" s="0" t="n">
        <v>913</v>
      </c>
      <c r="DR7" s="0" t="s">
        <v>2605</v>
      </c>
      <c r="DT7" s="0" t="s">
        <v>125</v>
      </c>
      <c r="DU7" s="0" t="s">
        <v>2606</v>
      </c>
      <c r="DV7" s="0" t="s">
        <v>2607</v>
      </c>
      <c r="DW7" s="0" t="s">
        <v>2608</v>
      </c>
      <c r="DX7" s="0" t="s">
        <v>2609</v>
      </c>
      <c r="DY7" s="0" t="s">
        <v>2610</v>
      </c>
      <c r="DZ7" s="0" t="n">
        <v>719</v>
      </c>
      <c r="EB7" s="0" t="s">
        <v>2611</v>
      </c>
      <c r="EC7" s="0" t="s">
        <v>2216</v>
      </c>
      <c r="ED7" s="0" t="s">
        <v>2525</v>
      </c>
      <c r="EE7" s="0" t="s">
        <v>616</v>
      </c>
      <c r="EF7" s="0" t="s">
        <v>2612</v>
      </c>
      <c r="EG7" s="0" t="n">
        <v>480</v>
      </c>
      <c r="EH7" s="0" t="n">
        <v>530</v>
      </c>
      <c r="EI7" s="0" t="n">
        <v>570</v>
      </c>
      <c r="EJ7" s="0" t="n">
        <v>570</v>
      </c>
      <c r="EL7" s="0" t="s">
        <v>2613</v>
      </c>
      <c r="EM7" s="0" t="s">
        <v>2216</v>
      </c>
      <c r="EN7" s="0" t="s">
        <v>2525</v>
      </c>
      <c r="EO7" s="0" t="n">
        <v>1.5</v>
      </c>
      <c r="EP7" s="0" t="s">
        <v>2552</v>
      </c>
      <c r="EQ7" s="0" t="s">
        <v>2614</v>
      </c>
      <c r="ER7" s="0" t="s">
        <v>2615</v>
      </c>
      <c r="ES7" s="0" t="n">
        <v>18570</v>
      </c>
      <c r="ET7" s="0" t="n">
        <v>24510</v>
      </c>
      <c r="EU7" s="0" t="n">
        <v>26740</v>
      </c>
      <c r="EV7" s="0" t="n">
        <v>26740</v>
      </c>
      <c r="EX7" s="0" t="s">
        <v>607</v>
      </c>
      <c r="EY7" s="0" t="s">
        <v>2532</v>
      </c>
      <c r="EZ7" s="0" t="s">
        <v>25</v>
      </c>
      <c r="FA7" s="0" t="s">
        <v>2533</v>
      </c>
      <c r="FC7" s="0" t="s">
        <v>87</v>
      </c>
      <c r="FD7" s="0" t="n">
        <v>26</v>
      </c>
      <c r="FE7" s="0" t="n">
        <v>96442</v>
      </c>
      <c r="FF7" s="0" t="n">
        <v>98192</v>
      </c>
      <c r="FG7" s="0" t="n">
        <v>99817</v>
      </c>
      <c r="FH7" s="0" t="n">
        <v>95562</v>
      </c>
      <c r="FI7" s="0" t="n">
        <v>97062</v>
      </c>
      <c r="FJ7" s="0" t="n">
        <v>98562</v>
      </c>
      <c r="FK7" s="0" t="n">
        <v>880</v>
      </c>
      <c r="FL7" s="0" t="n">
        <v>880</v>
      </c>
      <c r="FM7" s="0" t="n">
        <v>880</v>
      </c>
      <c r="FN7" s="0" t="n">
        <v>65000</v>
      </c>
      <c r="FO7" s="0" t="n">
        <v>65000</v>
      </c>
      <c r="FP7" s="0" t="n">
        <v>65000</v>
      </c>
      <c r="FQ7" s="0" t="n">
        <v>9750</v>
      </c>
      <c r="FR7" s="0" t="n">
        <v>9750</v>
      </c>
      <c r="FS7" s="0" t="n">
        <v>9750</v>
      </c>
      <c r="FT7" s="0" t="n">
        <v>16750</v>
      </c>
      <c r="FU7" s="0" t="n">
        <v>16750</v>
      </c>
      <c r="FV7" s="0" t="n">
        <v>16750</v>
      </c>
      <c r="FW7" s="0" t="n">
        <v>4062</v>
      </c>
      <c r="FX7" s="0" t="n">
        <v>4062</v>
      </c>
      <c r="FY7" s="0" t="n">
        <v>4062</v>
      </c>
      <c r="FZ7" s="0" t="n">
        <v>0</v>
      </c>
      <c r="GA7" s="0" t="n">
        <v>1500</v>
      </c>
      <c r="GB7" s="0" t="n">
        <v>3000</v>
      </c>
      <c r="GC7" s="0" t="s">
        <v>2382</v>
      </c>
      <c r="GD7" s="0" t="s">
        <v>2534</v>
      </c>
      <c r="GE7" s="0" t="s">
        <v>2535</v>
      </c>
      <c r="GF7" s="0" t="s">
        <v>82</v>
      </c>
      <c r="GG7" s="0" t="s">
        <v>87</v>
      </c>
      <c r="GH7" s="0" t="n">
        <v>26</v>
      </c>
      <c r="GI7" s="0" t="n">
        <v>36.25</v>
      </c>
      <c r="GJ7" s="0" t="n">
        <v>39</v>
      </c>
      <c r="GK7" s="0" t="n">
        <v>41</v>
      </c>
      <c r="GL7" s="0" t="n">
        <v>0.1218</v>
      </c>
      <c r="GM7" s="0" t="n">
        <v>39</v>
      </c>
      <c r="GN7" s="0" t="n">
        <v>0</v>
      </c>
      <c r="GO7" s="0" t="s">
        <v>2616</v>
      </c>
      <c r="GP7" s="0" t="s">
        <v>82</v>
      </c>
      <c r="GQ7" s="0" t="n">
        <v>26</v>
      </c>
      <c r="GR7" s="0" t="s">
        <v>2537</v>
      </c>
      <c r="GS7" s="0" t="s">
        <v>2538</v>
      </c>
      <c r="HA7" s="0" t="s">
        <v>2617</v>
      </c>
      <c r="HB7" s="0" t="s">
        <v>82</v>
      </c>
      <c r="HC7" s="0" t="s">
        <v>2618</v>
      </c>
      <c r="HD7" s="0" t="s">
        <v>79</v>
      </c>
      <c r="HE7" s="0" t="n">
        <v>31220</v>
      </c>
      <c r="HF7" s="0" t="n">
        <v>77056</v>
      </c>
      <c r="HG7" s="0" t="n">
        <v>47079</v>
      </c>
      <c r="HH7" s="0" t="n">
        <v>41910</v>
      </c>
      <c r="HI7" s="0" t="n">
        <v>45064</v>
      </c>
      <c r="HJ7" s="0" t="n">
        <v>54051</v>
      </c>
    </row>
    <row r="8" customFormat="false" ht="15" hidden="false" customHeight="false" outlineLevel="0" collapsed="false">
      <c r="A8" s="0" t="s">
        <v>2586</v>
      </c>
      <c r="B8" s="0" t="n">
        <v>2.5</v>
      </c>
      <c r="C8" s="0" t="n">
        <v>3</v>
      </c>
      <c r="D8" s="0" t="n">
        <v>3</v>
      </c>
      <c r="CQ8" s="0" t="s">
        <v>2619</v>
      </c>
      <c r="CR8" s="0" t="s">
        <v>82</v>
      </c>
      <c r="CS8" s="0" t="s">
        <v>622</v>
      </c>
      <c r="CT8" s="0" t="s">
        <v>2567</v>
      </c>
      <c r="CU8" s="0" t="s">
        <v>81</v>
      </c>
      <c r="CV8" s="0" t="s">
        <v>285</v>
      </c>
      <c r="CW8" s="0" t="n">
        <v>100</v>
      </c>
      <c r="CX8" s="0" t="n">
        <v>1</v>
      </c>
      <c r="CY8" s="0" t="n">
        <v>1</v>
      </c>
      <c r="CZ8" s="0" t="n">
        <v>1</v>
      </c>
      <c r="DA8" s="0" t="n">
        <v>1470</v>
      </c>
      <c r="DB8" s="0" t="n">
        <v>1230</v>
      </c>
      <c r="DC8" s="0" t="n">
        <v>1360</v>
      </c>
      <c r="DD8" s="0" t="n">
        <v>1470</v>
      </c>
      <c r="DE8" s="0" t="n">
        <v>1470</v>
      </c>
      <c r="DG8" s="0" t="s">
        <v>2620</v>
      </c>
      <c r="DH8" s="0" t="s">
        <v>82</v>
      </c>
      <c r="DI8" s="0" t="s">
        <v>709</v>
      </c>
      <c r="DJ8" s="0" t="s">
        <v>710</v>
      </c>
      <c r="DK8" s="0" t="s">
        <v>705</v>
      </c>
      <c r="DL8" s="0" t="n">
        <v>100</v>
      </c>
      <c r="DM8" s="0" t="s">
        <v>675</v>
      </c>
      <c r="DN8" s="0" t="s">
        <v>676</v>
      </c>
      <c r="DO8" s="0" t="n">
        <v>1</v>
      </c>
      <c r="DP8" s="0" t="n">
        <v>61.88</v>
      </c>
      <c r="DQ8" s="0" t="n">
        <v>61.88</v>
      </c>
      <c r="DR8" s="0" t="s">
        <v>2621</v>
      </c>
      <c r="DT8" s="0" t="s">
        <v>125</v>
      </c>
      <c r="DU8" s="0" t="s">
        <v>2622</v>
      </c>
      <c r="DV8" s="0" t="s">
        <v>2623</v>
      </c>
      <c r="DW8" s="0" t="s">
        <v>2624</v>
      </c>
      <c r="DX8" s="0" t="s">
        <v>2625</v>
      </c>
      <c r="DY8" s="0" t="s">
        <v>2626</v>
      </c>
      <c r="DZ8" s="0" t="n">
        <v>535</v>
      </c>
      <c r="EB8" s="0" t="s">
        <v>2627</v>
      </c>
      <c r="EC8" s="0" t="s">
        <v>2216</v>
      </c>
      <c r="ED8" s="0" t="s">
        <v>2525</v>
      </c>
      <c r="EE8" s="0" t="s">
        <v>614</v>
      </c>
      <c r="EF8" s="0" t="s">
        <v>2628</v>
      </c>
      <c r="EG8" s="0" t="n">
        <v>980</v>
      </c>
      <c r="EH8" s="0" t="n">
        <v>1080</v>
      </c>
      <c r="EI8" s="0" t="n">
        <v>1170</v>
      </c>
      <c r="EJ8" s="0" t="n">
        <v>1170</v>
      </c>
      <c r="EL8" s="0" t="s">
        <v>2629</v>
      </c>
      <c r="EM8" s="0" t="s">
        <v>2216</v>
      </c>
      <c r="EN8" s="0" t="s">
        <v>2525</v>
      </c>
      <c r="EO8" s="0" t="n">
        <v>2</v>
      </c>
      <c r="EP8" s="0" t="s">
        <v>2528</v>
      </c>
      <c r="EQ8" s="0" t="s">
        <v>2630</v>
      </c>
      <c r="ER8" s="0" t="s">
        <v>2631</v>
      </c>
      <c r="ES8" s="0" t="n">
        <v>22890</v>
      </c>
      <c r="ET8" s="0" t="n">
        <v>25290</v>
      </c>
      <c r="EU8" s="0" t="n">
        <v>27320</v>
      </c>
      <c r="EV8" s="0" t="n">
        <v>27320</v>
      </c>
      <c r="EX8" s="0" t="s">
        <v>2632</v>
      </c>
      <c r="EY8" s="0" t="s">
        <v>2532</v>
      </c>
      <c r="EZ8" s="0" t="s">
        <v>25</v>
      </c>
      <c r="FA8" s="0" t="s">
        <v>2533</v>
      </c>
      <c r="GD8" s="0" t="s">
        <v>2633</v>
      </c>
      <c r="GE8" s="0" t="s">
        <v>2634</v>
      </c>
      <c r="GF8" s="0" t="s">
        <v>82</v>
      </c>
      <c r="GG8" s="0" t="s">
        <v>82</v>
      </c>
      <c r="GH8" s="0" t="n">
        <v>26</v>
      </c>
      <c r="GI8" s="0" t="n">
        <v>7802.505</v>
      </c>
      <c r="GJ8" s="0" t="n">
        <v>9060.435</v>
      </c>
      <c r="GK8" s="0" t="n">
        <v>10629.097</v>
      </c>
      <c r="GL8" s="0" t="n">
        <v>0.312</v>
      </c>
      <c r="GM8" s="0" t="n">
        <v>9060.435</v>
      </c>
      <c r="GN8" s="0" t="n">
        <v>0</v>
      </c>
      <c r="GO8" s="0" t="s">
        <v>2536</v>
      </c>
      <c r="GP8" s="0" t="s">
        <v>82</v>
      </c>
      <c r="GQ8" s="0" t="n">
        <v>26</v>
      </c>
      <c r="GR8" s="0" t="s">
        <v>2537</v>
      </c>
      <c r="GS8" s="0" t="s">
        <v>2635</v>
      </c>
      <c r="HA8" s="0" t="s">
        <v>2636</v>
      </c>
      <c r="HB8" s="0" t="s">
        <v>82</v>
      </c>
      <c r="HC8" s="0" t="s">
        <v>2637</v>
      </c>
      <c r="HD8" s="0" t="s">
        <v>144</v>
      </c>
      <c r="HE8" s="0" t="n">
        <v>10406.67</v>
      </c>
      <c r="HF8" s="0" t="n">
        <v>18842.67</v>
      </c>
      <c r="HG8" s="0" t="n">
        <v>14285.5207692308</v>
      </c>
      <c r="HH8" s="0" t="n">
        <v>13042.67</v>
      </c>
      <c r="HI8" s="0" t="n">
        <v>13970</v>
      </c>
      <c r="HJ8" s="0" t="n">
        <v>15021.33</v>
      </c>
    </row>
    <row r="9" customFormat="false" ht="15" hidden="false" customHeight="false" outlineLevel="0" collapsed="false">
      <c r="CQ9" s="0" t="s">
        <v>2638</v>
      </c>
      <c r="CR9" s="0" t="s">
        <v>82</v>
      </c>
      <c r="CS9" s="0" t="s">
        <v>620</v>
      </c>
      <c r="CT9" s="0" t="s">
        <v>2580</v>
      </c>
      <c r="CU9" s="0" t="s">
        <v>81</v>
      </c>
      <c r="CV9" s="0" t="s">
        <v>285</v>
      </c>
      <c r="CW9" s="0" t="n">
        <v>76.92</v>
      </c>
      <c r="CX9" s="0" t="n">
        <v>1</v>
      </c>
      <c r="CY9" s="0" t="n">
        <v>1</v>
      </c>
      <c r="CZ9" s="0" t="n">
        <v>1</v>
      </c>
      <c r="DA9" s="0" t="n">
        <v>870</v>
      </c>
      <c r="DB9" s="0" t="n">
        <v>730</v>
      </c>
      <c r="DC9" s="0" t="n">
        <v>800</v>
      </c>
      <c r="DD9" s="0" t="n">
        <v>870</v>
      </c>
      <c r="DE9" s="0" t="n">
        <v>870</v>
      </c>
      <c r="DG9" s="0" t="s">
        <v>2639</v>
      </c>
      <c r="DH9" s="0" t="s">
        <v>82</v>
      </c>
      <c r="DI9" s="0" t="s">
        <v>712</v>
      </c>
      <c r="DJ9" s="0" t="s">
        <v>713</v>
      </c>
      <c r="DK9" s="0" t="s">
        <v>705</v>
      </c>
      <c r="DL9" s="0" t="n">
        <v>100</v>
      </c>
      <c r="DM9" s="0" t="s">
        <v>676</v>
      </c>
      <c r="DN9" s="0" t="s">
        <v>676</v>
      </c>
      <c r="DO9" s="0" t="n">
        <v>3</v>
      </c>
      <c r="DP9" s="0" t="n">
        <v>105</v>
      </c>
      <c r="DQ9" s="0" t="n">
        <v>105</v>
      </c>
      <c r="DR9" s="0" t="s">
        <v>2640</v>
      </c>
      <c r="DT9" s="0" t="s">
        <v>125</v>
      </c>
      <c r="DU9" s="0" t="s">
        <v>2641</v>
      </c>
      <c r="DV9" s="0" t="s">
        <v>2642</v>
      </c>
      <c r="DW9" s="0" t="s">
        <v>2643</v>
      </c>
      <c r="DX9" s="0" t="s">
        <v>2644</v>
      </c>
      <c r="DY9" s="0" t="s">
        <v>2645</v>
      </c>
      <c r="DZ9" s="0" t="n">
        <v>427</v>
      </c>
      <c r="EB9" s="0" t="s">
        <v>2646</v>
      </c>
      <c r="EC9" s="0" t="s">
        <v>2216</v>
      </c>
      <c r="ED9" s="0" t="s">
        <v>2525</v>
      </c>
      <c r="EE9" s="0" t="s">
        <v>612</v>
      </c>
      <c r="EF9" s="0" t="s">
        <v>2647</v>
      </c>
      <c r="EG9" s="0" t="n">
        <v>740</v>
      </c>
      <c r="EH9" s="0" t="n">
        <v>820</v>
      </c>
      <c r="EI9" s="0" t="n">
        <v>880</v>
      </c>
      <c r="EJ9" s="0" t="n">
        <v>880</v>
      </c>
      <c r="EL9" s="0" t="s">
        <v>2648</v>
      </c>
      <c r="EM9" s="0" t="s">
        <v>2216</v>
      </c>
      <c r="EN9" s="0" t="s">
        <v>2525</v>
      </c>
      <c r="EO9" s="0" t="n">
        <v>2</v>
      </c>
      <c r="EP9" s="0" t="s">
        <v>2552</v>
      </c>
      <c r="EQ9" s="0" t="s">
        <v>2649</v>
      </c>
      <c r="ER9" s="0" t="s">
        <v>2650</v>
      </c>
      <c r="ES9" s="0" t="n">
        <v>23980</v>
      </c>
      <c r="ET9" s="0" t="n">
        <v>31650</v>
      </c>
      <c r="EU9" s="0" t="n">
        <v>34530</v>
      </c>
      <c r="EV9" s="0" t="n">
        <v>34530</v>
      </c>
      <c r="EX9" s="0" t="s">
        <v>261</v>
      </c>
      <c r="EY9" s="0" t="s">
        <v>2532</v>
      </c>
      <c r="EZ9" s="0" t="s">
        <v>25</v>
      </c>
      <c r="FA9" s="0" t="s">
        <v>2533</v>
      </c>
      <c r="GD9" s="0" t="s">
        <v>2633</v>
      </c>
      <c r="GE9" s="0" t="s">
        <v>2634</v>
      </c>
      <c r="GF9" s="0" t="s">
        <v>82</v>
      </c>
      <c r="GG9" s="0" t="s">
        <v>121</v>
      </c>
      <c r="GH9" s="0" t="n">
        <v>0</v>
      </c>
      <c r="GI9" s="0" t="n">
        <v>0</v>
      </c>
      <c r="GJ9" s="0" t="n">
        <v>0</v>
      </c>
      <c r="GK9" s="0" t="n">
        <v>0</v>
      </c>
      <c r="GL9" s="0" t="n">
        <v>0</v>
      </c>
      <c r="GM9" s="0" t="n">
        <v>0</v>
      </c>
      <c r="GN9" s="0" t="n">
        <v>1</v>
      </c>
      <c r="GO9" s="0" t="s">
        <v>2556</v>
      </c>
      <c r="GP9" s="0" t="s">
        <v>82</v>
      </c>
      <c r="GQ9" s="0" t="n">
        <v>26</v>
      </c>
      <c r="GR9" s="0" t="s">
        <v>2537</v>
      </c>
      <c r="GS9" s="0" t="s">
        <v>2635</v>
      </c>
      <c r="HA9" s="0" t="s">
        <v>2651</v>
      </c>
      <c r="HB9" s="0" t="s">
        <v>82</v>
      </c>
      <c r="HC9" s="0" t="s">
        <v>2652</v>
      </c>
      <c r="HD9" s="0" t="s">
        <v>81</v>
      </c>
      <c r="HE9" s="0" t="n">
        <v>6350</v>
      </c>
      <c r="HF9" s="0" t="n">
        <v>33830</v>
      </c>
      <c r="HG9" s="0" t="n">
        <v>15199.2692307692</v>
      </c>
      <c r="HH9" s="0" t="n">
        <v>9027.5</v>
      </c>
      <c r="HI9" s="0" t="n">
        <v>15370</v>
      </c>
      <c r="HJ9" s="0" t="n">
        <v>18402.5</v>
      </c>
    </row>
    <row r="10" customFormat="false" ht="15" hidden="false" customHeight="false" outlineLevel="0" collapsed="false">
      <c r="A10" s="5" t="s">
        <v>2653</v>
      </c>
      <c r="CQ10" s="0" t="s">
        <v>2654</v>
      </c>
      <c r="CR10" s="0" t="s">
        <v>82</v>
      </c>
      <c r="CS10" s="0" t="s">
        <v>286</v>
      </c>
      <c r="CT10" s="0" t="s">
        <v>284</v>
      </c>
      <c r="CU10" s="0" t="s">
        <v>81</v>
      </c>
      <c r="CV10" s="0" t="s">
        <v>285</v>
      </c>
      <c r="CW10" s="0" t="n">
        <v>3.85</v>
      </c>
      <c r="CX10" s="0" t="n">
        <v>1</v>
      </c>
      <c r="CY10" s="0" t="n">
        <v>1</v>
      </c>
      <c r="CZ10" s="0" t="n">
        <v>1</v>
      </c>
      <c r="DA10" s="0" t="n">
        <v>940</v>
      </c>
      <c r="DB10" s="0" t="n">
        <v>680</v>
      </c>
      <c r="DC10" s="0" t="n">
        <v>750</v>
      </c>
      <c r="DD10" s="0" t="n">
        <v>810</v>
      </c>
      <c r="DE10" s="0" t="n">
        <v>810</v>
      </c>
      <c r="DG10" s="0" t="s">
        <v>2655</v>
      </c>
      <c r="DH10" s="0" t="s">
        <v>82</v>
      </c>
      <c r="DI10" s="0" t="s">
        <v>717</v>
      </c>
      <c r="DJ10" s="0" t="s">
        <v>718</v>
      </c>
      <c r="DK10" s="0" t="s">
        <v>705</v>
      </c>
      <c r="DL10" s="0" t="n">
        <v>100</v>
      </c>
      <c r="DM10" s="0" t="s">
        <v>675</v>
      </c>
      <c r="DN10" s="0" t="s">
        <v>676</v>
      </c>
      <c r="DO10" s="0" t="n">
        <v>1</v>
      </c>
      <c r="DP10" s="0" t="n">
        <v>1903</v>
      </c>
      <c r="DQ10" s="0" t="n">
        <v>1903</v>
      </c>
      <c r="DR10" s="0" t="s">
        <v>2656</v>
      </c>
      <c r="DT10" s="0" t="s">
        <v>125</v>
      </c>
      <c r="DU10" s="0" t="s">
        <v>2657</v>
      </c>
      <c r="DV10" s="0" t="s">
        <v>2658</v>
      </c>
      <c r="DW10" s="0" t="s">
        <v>2659</v>
      </c>
      <c r="DX10" s="0" t="s">
        <v>2660</v>
      </c>
      <c r="DY10" s="0" t="s">
        <v>2661</v>
      </c>
      <c r="DZ10" s="0" t="n">
        <v>426</v>
      </c>
      <c r="EB10" s="0" t="s">
        <v>2662</v>
      </c>
      <c r="EC10" s="0" t="s">
        <v>2216</v>
      </c>
      <c r="ED10" s="0" t="s">
        <v>2525</v>
      </c>
      <c r="EE10" s="0" t="s">
        <v>609</v>
      </c>
      <c r="EF10" s="0" t="s">
        <v>2663</v>
      </c>
      <c r="EG10" s="0" t="n">
        <v>350</v>
      </c>
      <c r="EH10" s="0" t="n">
        <v>350</v>
      </c>
      <c r="EI10" s="0" t="n">
        <v>350</v>
      </c>
      <c r="EJ10" s="0" t="n">
        <v>350</v>
      </c>
      <c r="EL10" s="0" t="s">
        <v>2664</v>
      </c>
      <c r="EM10" s="0" t="s">
        <v>2216</v>
      </c>
      <c r="EN10" s="0" t="s">
        <v>2525</v>
      </c>
      <c r="EO10" s="0" t="n">
        <v>2.5</v>
      </c>
      <c r="EP10" s="0" t="s">
        <v>2528</v>
      </c>
      <c r="EQ10" s="0" t="s">
        <v>2665</v>
      </c>
      <c r="ER10" s="0" t="s">
        <v>2666</v>
      </c>
      <c r="ES10" s="0" t="n">
        <v>27690</v>
      </c>
      <c r="ET10" s="0" t="n">
        <v>30590</v>
      </c>
      <c r="EU10" s="0" t="n">
        <v>33050</v>
      </c>
      <c r="EV10" s="0" t="n">
        <v>33050</v>
      </c>
      <c r="EX10" s="0" t="s">
        <v>2667</v>
      </c>
      <c r="EY10" s="0" t="s">
        <v>2532</v>
      </c>
      <c r="EZ10" s="0" t="s">
        <v>25</v>
      </c>
      <c r="FA10" s="0" t="s">
        <v>2533</v>
      </c>
      <c r="GD10" s="0" t="s">
        <v>2633</v>
      </c>
      <c r="GE10" s="0" t="s">
        <v>2634</v>
      </c>
      <c r="GF10" s="0" t="s">
        <v>82</v>
      </c>
      <c r="GG10" s="0" t="s">
        <v>125</v>
      </c>
      <c r="GH10" s="0" t="n">
        <v>0</v>
      </c>
      <c r="GI10" s="0" t="n">
        <v>0</v>
      </c>
      <c r="GJ10" s="0" t="n">
        <v>0</v>
      </c>
      <c r="GK10" s="0" t="n">
        <v>0</v>
      </c>
      <c r="GL10" s="0" t="n">
        <v>0</v>
      </c>
      <c r="GM10" s="0" t="n">
        <v>0</v>
      </c>
      <c r="GN10" s="0" t="n">
        <v>1</v>
      </c>
      <c r="GO10" s="0" t="s">
        <v>2556</v>
      </c>
      <c r="GP10" s="0" t="s">
        <v>82</v>
      </c>
      <c r="GQ10" s="0" t="n">
        <v>26</v>
      </c>
      <c r="GR10" s="0" t="s">
        <v>2537</v>
      </c>
      <c r="GS10" s="0" t="s">
        <v>2635</v>
      </c>
      <c r="HA10" s="0" t="s">
        <v>2668</v>
      </c>
      <c r="HB10" s="0" t="s">
        <v>82</v>
      </c>
      <c r="HC10" s="0" t="s">
        <v>2669</v>
      </c>
      <c r="HD10" s="0" t="s">
        <v>88</v>
      </c>
      <c r="HE10" s="0" t="n">
        <v>142770</v>
      </c>
      <c r="HF10" s="0" t="n">
        <v>175340</v>
      </c>
      <c r="HG10" s="0" t="n">
        <v>157665</v>
      </c>
      <c r="HH10" s="0" t="n">
        <v>154880</v>
      </c>
      <c r="HI10" s="0" t="n">
        <v>159090</v>
      </c>
      <c r="HJ10" s="0" t="n">
        <v>160140</v>
      </c>
    </row>
    <row r="11" customFormat="false" ht="15" hidden="false" customHeight="false" outlineLevel="0" collapsed="false">
      <c r="A11" s="15" t="s">
        <v>2670</v>
      </c>
      <c r="B11" s="15" t="s">
        <v>2512</v>
      </c>
      <c r="C11" s="15" t="s">
        <v>2513</v>
      </c>
      <c r="D11" s="15" t="s">
        <v>2514</v>
      </c>
      <c r="CQ11" s="0" t="s">
        <v>2671</v>
      </c>
      <c r="CR11" s="0" t="s">
        <v>82</v>
      </c>
      <c r="CS11" s="0" t="s">
        <v>272</v>
      </c>
      <c r="CT11" s="0" t="s">
        <v>270</v>
      </c>
      <c r="CU11" s="0" t="s">
        <v>81</v>
      </c>
      <c r="CV11" s="0" t="s">
        <v>271</v>
      </c>
      <c r="CW11" s="0" t="n">
        <v>3.85</v>
      </c>
      <c r="CX11" s="0" t="n">
        <v>1</v>
      </c>
      <c r="CY11" s="0" t="n">
        <v>1</v>
      </c>
      <c r="CZ11" s="0" t="n">
        <v>1</v>
      </c>
      <c r="DA11" s="0" t="n">
        <v>1710</v>
      </c>
      <c r="DB11" s="0" t="n">
        <v>1430</v>
      </c>
      <c r="DC11" s="0" t="n">
        <v>1580</v>
      </c>
      <c r="DD11" s="0" t="n">
        <v>1710</v>
      </c>
      <c r="DE11" s="0" t="n">
        <v>1710</v>
      </c>
      <c r="DG11" s="0" t="s">
        <v>2672</v>
      </c>
      <c r="DH11" s="0" t="s">
        <v>82</v>
      </c>
      <c r="DI11" s="0" t="s">
        <v>720</v>
      </c>
      <c r="DJ11" s="0" t="s">
        <v>721</v>
      </c>
      <c r="DK11" s="0" t="s">
        <v>705</v>
      </c>
      <c r="DL11" s="0" t="n">
        <v>100</v>
      </c>
      <c r="DM11" s="0" t="s">
        <v>676</v>
      </c>
      <c r="DN11" s="0" t="s">
        <v>676</v>
      </c>
      <c r="DO11" s="0" t="n">
        <v>0</v>
      </c>
      <c r="DP11" s="0" t="n">
        <v>0</v>
      </c>
      <c r="DQ11" s="0" t="n">
        <v>1769</v>
      </c>
      <c r="DR11" s="0" t="s">
        <v>2673</v>
      </c>
      <c r="DT11" s="0" t="s">
        <v>125</v>
      </c>
      <c r="DU11" s="0" t="s">
        <v>2674</v>
      </c>
      <c r="DV11" s="0" t="s">
        <v>2675</v>
      </c>
      <c r="DW11" s="0" t="s">
        <v>2676</v>
      </c>
      <c r="DX11" s="0" t="s">
        <v>2677</v>
      </c>
      <c r="DY11" s="0" t="s">
        <v>2678</v>
      </c>
      <c r="DZ11" s="0" t="n">
        <v>317</v>
      </c>
      <c r="EB11" s="0" t="s">
        <v>2679</v>
      </c>
      <c r="EC11" s="0" t="s">
        <v>2216</v>
      </c>
      <c r="ED11" s="0" t="s">
        <v>2525</v>
      </c>
      <c r="EE11" s="0" t="s">
        <v>607</v>
      </c>
      <c r="EF11" s="0" t="s">
        <v>2680</v>
      </c>
      <c r="EG11" s="0" t="n">
        <v>850</v>
      </c>
      <c r="EH11" s="0" t="n">
        <v>850</v>
      </c>
      <c r="EI11" s="0" t="n">
        <v>850</v>
      </c>
      <c r="EJ11" s="0" t="n">
        <v>850</v>
      </c>
      <c r="EL11" s="0" t="s">
        <v>2681</v>
      </c>
      <c r="EM11" s="0" t="s">
        <v>2216</v>
      </c>
      <c r="EN11" s="0" t="s">
        <v>2525</v>
      </c>
      <c r="EO11" s="0" t="n">
        <v>2.5</v>
      </c>
      <c r="EP11" s="0" t="s">
        <v>2552</v>
      </c>
      <c r="EQ11" s="0" t="s">
        <v>2682</v>
      </c>
      <c r="ER11" s="0" t="s">
        <v>2683</v>
      </c>
      <c r="ES11" s="0" t="n">
        <v>29000</v>
      </c>
      <c r="ET11" s="0" t="n">
        <v>38280</v>
      </c>
      <c r="EU11" s="0" t="n">
        <v>41760</v>
      </c>
      <c r="EV11" s="0" t="n">
        <v>41760</v>
      </c>
      <c r="EX11" s="0" t="s">
        <v>2684</v>
      </c>
      <c r="EY11" s="0" t="s">
        <v>2532</v>
      </c>
      <c r="EZ11" s="0" t="s">
        <v>25</v>
      </c>
      <c r="FA11" s="0" t="s">
        <v>2533</v>
      </c>
      <c r="GD11" s="0" t="s">
        <v>2633</v>
      </c>
      <c r="GE11" s="0" t="s">
        <v>2634</v>
      </c>
      <c r="GF11" s="0" t="s">
        <v>82</v>
      </c>
      <c r="GG11" s="0" t="s">
        <v>85</v>
      </c>
      <c r="GH11" s="0" t="n">
        <v>0</v>
      </c>
      <c r="GI11" s="0" t="n">
        <v>0</v>
      </c>
      <c r="GJ11" s="0" t="n">
        <v>0</v>
      </c>
      <c r="GK11" s="0" t="n">
        <v>0</v>
      </c>
      <c r="GL11" s="0" t="n">
        <v>0</v>
      </c>
      <c r="GM11" s="0" t="n">
        <v>0</v>
      </c>
      <c r="GN11" s="0" t="n">
        <v>1</v>
      </c>
      <c r="GO11" s="0" t="s">
        <v>2556</v>
      </c>
      <c r="GP11" s="0" t="s">
        <v>82</v>
      </c>
      <c r="GQ11" s="0" t="n">
        <v>26</v>
      </c>
      <c r="GR11" s="0" t="s">
        <v>2537</v>
      </c>
      <c r="GS11" s="0" t="s">
        <v>2635</v>
      </c>
      <c r="HA11" s="0" t="s">
        <v>2685</v>
      </c>
      <c r="HB11" s="0" t="s">
        <v>82</v>
      </c>
      <c r="HC11" s="0" t="s">
        <v>2686</v>
      </c>
      <c r="HD11" s="0" t="s">
        <v>90</v>
      </c>
      <c r="HE11" s="0" t="n">
        <v>2925</v>
      </c>
      <c r="HF11" s="0" t="n">
        <v>17540</v>
      </c>
      <c r="HG11" s="0" t="n">
        <v>5407.5</v>
      </c>
      <c r="HH11" s="0" t="n">
        <v>4050</v>
      </c>
      <c r="HI11" s="0" t="n">
        <v>5090</v>
      </c>
      <c r="HJ11" s="0" t="n">
        <v>6150</v>
      </c>
    </row>
    <row r="12" customFormat="false" ht="15" hidden="false" customHeight="false" outlineLevel="0" collapsed="false">
      <c r="A12" s="0" t="s">
        <v>2687</v>
      </c>
      <c r="B12" s="0" t="n">
        <v>7802.505</v>
      </c>
      <c r="C12" s="0" t="n">
        <v>9060.435</v>
      </c>
      <c r="D12" s="0" t="n">
        <v>10629.097</v>
      </c>
      <c r="CQ12" s="0" t="s">
        <v>2688</v>
      </c>
      <c r="CR12" s="0" t="s">
        <v>82</v>
      </c>
      <c r="CS12" s="0" t="s">
        <v>283</v>
      </c>
      <c r="CT12" s="0" t="s">
        <v>281</v>
      </c>
      <c r="CU12" s="0" t="s">
        <v>81</v>
      </c>
      <c r="CV12" s="0" t="s">
        <v>282</v>
      </c>
      <c r="CW12" s="0" t="n">
        <v>7.69</v>
      </c>
      <c r="CX12" s="0" t="n">
        <v>1</v>
      </c>
      <c r="CY12" s="0" t="n">
        <v>1</v>
      </c>
      <c r="CZ12" s="0" t="n">
        <v>1</v>
      </c>
      <c r="DA12" s="0" t="n">
        <v>415</v>
      </c>
      <c r="DB12" s="0" t="n">
        <v>360</v>
      </c>
      <c r="DC12" s="0" t="n">
        <v>400</v>
      </c>
      <c r="DD12" s="0" t="n">
        <v>430</v>
      </c>
      <c r="DE12" s="0" t="n">
        <v>430</v>
      </c>
      <c r="DG12" s="0" t="s">
        <v>2689</v>
      </c>
      <c r="DH12" s="0" t="s">
        <v>82</v>
      </c>
      <c r="DI12" s="0" t="s">
        <v>725</v>
      </c>
      <c r="DJ12" s="0" t="s">
        <v>726</v>
      </c>
      <c r="DK12" s="0" t="s">
        <v>705</v>
      </c>
      <c r="DL12" s="0" t="n">
        <v>100</v>
      </c>
      <c r="DM12" s="0" t="s">
        <v>676</v>
      </c>
      <c r="DN12" s="0" t="s">
        <v>676</v>
      </c>
      <c r="DO12" s="0" t="n">
        <v>5</v>
      </c>
      <c r="DP12" s="0" t="n">
        <v>510</v>
      </c>
      <c r="DQ12" s="0" t="n">
        <v>561</v>
      </c>
      <c r="DR12" s="0" t="s">
        <v>2690</v>
      </c>
      <c r="DT12" s="0" t="s">
        <v>125</v>
      </c>
      <c r="DU12" s="0" t="s">
        <v>2691</v>
      </c>
      <c r="DV12" s="0" t="s">
        <v>2692</v>
      </c>
      <c r="DW12" s="0" t="s">
        <v>2693</v>
      </c>
      <c r="DX12" s="0" t="s">
        <v>2694</v>
      </c>
      <c r="DY12" s="0" t="s">
        <v>2695</v>
      </c>
      <c r="DZ12" s="0" t="n">
        <v>259</v>
      </c>
      <c r="EB12" s="0" t="s">
        <v>2696</v>
      </c>
      <c r="EC12" s="0" t="s">
        <v>2216</v>
      </c>
      <c r="ED12" s="0" t="s">
        <v>2525</v>
      </c>
      <c r="EE12" s="0" t="s">
        <v>605</v>
      </c>
      <c r="EF12" s="0" t="s">
        <v>2697</v>
      </c>
      <c r="EG12" s="0" t="n">
        <v>930</v>
      </c>
      <c r="EH12" s="0" t="n">
        <v>930</v>
      </c>
      <c r="EI12" s="0" t="n">
        <v>930</v>
      </c>
      <c r="EJ12" s="0" t="n">
        <v>930</v>
      </c>
      <c r="EL12" s="0" t="s">
        <v>2698</v>
      </c>
      <c r="EM12" s="0" t="s">
        <v>2216</v>
      </c>
      <c r="EN12" s="0" t="s">
        <v>2525</v>
      </c>
      <c r="EO12" s="0" t="n">
        <v>3</v>
      </c>
      <c r="EP12" s="0" t="s">
        <v>2528</v>
      </c>
      <c r="EQ12" s="0" t="s">
        <v>2699</v>
      </c>
      <c r="ER12" s="0" t="s">
        <v>2700</v>
      </c>
      <c r="ES12" s="0" t="n">
        <v>32090</v>
      </c>
      <c r="ET12" s="0" t="n">
        <v>35440</v>
      </c>
      <c r="EU12" s="0" t="n">
        <v>38310</v>
      </c>
      <c r="EV12" s="0" t="n">
        <v>38310</v>
      </c>
      <c r="EX12" s="0" t="s">
        <v>575</v>
      </c>
      <c r="EY12" s="0" t="s">
        <v>2532</v>
      </c>
      <c r="EZ12" s="0" t="s">
        <v>25</v>
      </c>
      <c r="FA12" s="0" t="s">
        <v>2533</v>
      </c>
      <c r="GD12" s="0" t="s">
        <v>2633</v>
      </c>
      <c r="GE12" s="0" t="s">
        <v>2634</v>
      </c>
      <c r="GF12" s="0" t="s">
        <v>82</v>
      </c>
      <c r="GG12" s="0" t="s">
        <v>86</v>
      </c>
      <c r="GH12" s="0" t="n">
        <v>0</v>
      </c>
      <c r="GI12" s="0" t="n">
        <v>0</v>
      </c>
      <c r="GJ12" s="0" t="n">
        <v>0</v>
      </c>
      <c r="GK12" s="0" t="n">
        <v>0</v>
      </c>
      <c r="GL12" s="0" t="n">
        <v>0</v>
      </c>
      <c r="GM12" s="0" t="n">
        <v>0</v>
      </c>
      <c r="GN12" s="0" t="n">
        <v>1</v>
      </c>
      <c r="GO12" s="0" t="s">
        <v>2556</v>
      </c>
      <c r="GP12" s="0" t="s">
        <v>82</v>
      </c>
      <c r="GQ12" s="0" t="n">
        <v>26</v>
      </c>
      <c r="GR12" s="0" t="s">
        <v>2537</v>
      </c>
      <c r="GS12" s="0" t="s">
        <v>2635</v>
      </c>
      <c r="HA12" s="0" t="s">
        <v>2701</v>
      </c>
      <c r="HB12" s="0" t="s">
        <v>82</v>
      </c>
      <c r="HC12" s="0" t="s">
        <v>2702</v>
      </c>
      <c r="HD12" s="0" t="s">
        <v>99</v>
      </c>
      <c r="HE12" s="0" t="n">
        <v>61630</v>
      </c>
      <c r="HF12" s="0" t="n">
        <v>161442</v>
      </c>
      <c r="HG12" s="0" t="n">
        <v>99763.8461538462</v>
      </c>
      <c r="HH12" s="0" t="n">
        <v>96442</v>
      </c>
      <c r="HI12" s="0" t="n">
        <v>98192</v>
      </c>
      <c r="HJ12" s="0" t="n">
        <v>99817</v>
      </c>
    </row>
    <row r="13" customFormat="false" ht="15" hidden="false" customHeight="false" outlineLevel="0" collapsed="false">
      <c r="A13" s="0" t="s">
        <v>2703</v>
      </c>
      <c r="B13" s="0" t="n">
        <v>9677.213</v>
      </c>
      <c r="C13" s="0" t="n">
        <v>10711.305</v>
      </c>
      <c r="D13" s="0" t="n">
        <v>11936.618</v>
      </c>
      <c r="CQ13" s="0" t="s">
        <v>2704</v>
      </c>
      <c r="CR13" s="0" t="s">
        <v>82</v>
      </c>
      <c r="CS13" s="0" t="s">
        <v>267</v>
      </c>
      <c r="CT13" s="0" t="s">
        <v>265</v>
      </c>
      <c r="CU13" s="0" t="s">
        <v>81</v>
      </c>
      <c r="CV13" s="0" t="s">
        <v>266</v>
      </c>
      <c r="CW13" s="0" t="n">
        <v>3.85</v>
      </c>
      <c r="CX13" s="0" t="n">
        <v>1</v>
      </c>
      <c r="CY13" s="0" t="n">
        <v>1</v>
      </c>
      <c r="CZ13" s="0" t="n">
        <v>1</v>
      </c>
      <c r="DA13" s="0" t="n">
        <v>2290</v>
      </c>
      <c r="DB13" s="0" t="n">
        <v>1920</v>
      </c>
      <c r="DC13" s="0" t="n">
        <v>2120</v>
      </c>
      <c r="DD13" s="0" t="n">
        <v>2290</v>
      </c>
      <c r="DE13" s="0" t="n">
        <v>2290</v>
      </c>
      <c r="DG13" s="0" t="s">
        <v>2705</v>
      </c>
      <c r="DH13" s="0" t="s">
        <v>82</v>
      </c>
      <c r="DI13" s="0" t="s">
        <v>732</v>
      </c>
      <c r="DJ13" s="0" t="s">
        <v>733</v>
      </c>
      <c r="DK13" s="0" t="s">
        <v>705</v>
      </c>
      <c r="DL13" s="0" t="n">
        <v>100</v>
      </c>
      <c r="DM13" s="0" t="s">
        <v>675</v>
      </c>
      <c r="DN13" s="0" t="s">
        <v>676</v>
      </c>
      <c r="DO13" s="0" t="n">
        <v>1</v>
      </c>
      <c r="DP13" s="0" t="n">
        <v>7.67</v>
      </c>
      <c r="DQ13" s="0" t="n">
        <v>7.67</v>
      </c>
      <c r="DR13" s="0" t="s">
        <v>2706</v>
      </c>
      <c r="DT13" s="0" t="s">
        <v>125</v>
      </c>
      <c r="DU13" s="0" t="s">
        <v>2707</v>
      </c>
      <c r="DV13" s="0" t="s">
        <v>2708</v>
      </c>
      <c r="DW13" s="0" t="s">
        <v>2709</v>
      </c>
      <c r="DX13" s="0" t="s">
        <v>2710</v>
      </c>
      <c r="DY13" s="0" t="s">
        <v>2711</v>
      </c>
      <c r="DZ13" s="0" t="n">
        <v>175</v>
      </c>
      <c r="EB13" s="0" t="s">
        <v>2712</v>
      </c>
      <c r="EC13" s="0" t="s">
        <v>2216</v>
      </c>
      <c r="ED13" s="0" t="s">
        <v>2525</v>
      </c>
      <c r="EE13" s="0" t="s">
        <v>629</v>
      </c>
      <c r="EF13" s="0" t="s">
        <v>2713</v>
      </c>
      <c r="EG13" s="0" t="n">
        <v>1200</v>
      </c>
      <c r="EH13" s="0" t="n">
        <v>1200</v>
      </c>
      <c r="EI13" s="0" t="n">
        <v>1200</v>
      </c>
      <c r="EJ13" s="0" t="n">
        <v>1200</v>
      </c>
      <c r="EL13" s="0" t="s">
        <v>2714</v>
      </c>
      <c r="EM13" s="0" t="s">
        <v>2216</v>
      </c>
      <c r="EN13" s="0" t="s">
        <v>2525</v>
      </c>
      <c r="EO13" s="0" t="n">
        <v>3</v>
      </c>
      <c r="EP13" s="0" t="s">
        <v>2552</v>
      </c>
      <c r="EQ13" s="0" t="s">
        <v>2715</v>
      </c>
      <c r="ER13" s="0" t="s">
        <v>2716</v>
      </c>
      <c r="ES13" s="0" t="n">
        <v>33630</v>
      </c>
      <c r="ET13" s="0" t="n">
        <v>44390</v>
      </c>
      <c r="EU13" s="0" t="n">
        <v>48430</v>
      </c>
      <c r="EV13" s="0" t="n">
        <v>48430</v>
      </c>
      <c r="EX13" s="0" t="s">
        <v>567</v>
      </c>
      <c r="EY13" s="0" t="s">
        <v>2532</v>
      </c>
      <c r="EZ13" s="0" t="s">
        <v>25</v>
      </c>
      <c r="FA13" s="0" t="s">
        <v>2533</v>
      </c>
      <c r="GD13" s="0" t="s">
        <v>2633</v>
      </c>
      <c r="GE13" s="0" t="s">
        <v>2634</v>
      </c>
      <c r="GF13" s="0" t="s">
        <v>82</v>
      </c>
      <c r="GG13" s="0" t="s">
        <v>87</v>
      </c>
      <c r="GH13" s="0" t="n">
        <v>26</v>
      </c>
      <c r="GI13" s="0" t="n">
        <v>7802.505</v>
      </c>
      <c r="GJ13" s="0" t="n">
        <v>9060.435</v>
      </c>
      <c r="GK13" s="0" t="n">
        <v>10629.097</v>
      </c>
      <c r="GL13" s="0" t="n">
        <v>0.312</v>
      </c>
      <c r="GM13" s="0" t="n">
        <v>9060.435</v>
      </c>
      <c r="GN13" s="0" t="n">
        <v>0</v>
      </c>
      <c r="GO13" s="0" t="s">
        <v>2616</v>
      </c>
      <c r="GP13" s="0" t="s">
        <v>82</v>
      </c>
      <c r="GQ13" s="0" t="n">
        <v>26</v>
      </c>
      <c r="GR13" s="0" t="s">
        <v>2537</v>
      </c>
      <c r="GS13" s="0" t="s">
        <v>2635</v>
      </c>
      <c r="HA13" s="0" t="s">
        <v>2717</v>
      </c>
      <c r="HB13" s="0" t="s">
        <v>82</v>
      </c>
      <c r="HC13" s="0" t="s">
        <v>2687</v>
      </c>
      <c r="HD13" s="0" t="s">
        <v>145</v>
      </c>
      <c r="HE13" s="0" t="n">
        <v>5055.58</v>
      </c>
      <c r="HF13" s="0" t="n">
        <v>15632.76</v>
      </c>
      <c r="HG13" s="0" t="n">
        <v>9266.44038461538</v>
      </c>
      <c r="HH13" s="0" t="n">
        <v>7802.505</v>
      </c>
      <c r="HI13" s="0" t="n">
        <v>9060.435</v>
      </c>
      <c r="HJ13" s="0" t="n">
        <v>10629.0975</v>
      </c>
    </row>
    <row r="14" customFormat="false" ht="15" hidden="false" customHeight="false" outlineLevel="0" collapsed="false">
      <c r="A14" s="0" t="s">
        <v>2718</v>
      </c>
      <c r="B14" s="0" t="n">
        <v>8468.852</v>
      </c>
      <c r="C14" s="0" t="n">
        <v>9439.535</v>
      </c>
      <c r="D14" s="0" t="n">
        <v>11143.7</v>
      </c>
      <c r="CQ14" s="0" t="s">
        <v>2719</v>
      </c>
      <c r="CR14" s="0" t="s">
        <v>82</v>
      </c>
      <c r="CS14" s="0" t="s">
        <v>258</v>
      </c>
      <c r="CT14" s="0" t="s">
        <v>256</v>
      </c>
      <c r="CU14" s="0" t="s">
        <v>81</v>
      </c>
      <c r="CV14" s="0" t="s">
        <v>257</v>
      </c>
      <c r="CW14" s="0" t="n">
        <v>3.85</v>
      </c>
      <c r="CX14" s="0" t="n">
        <v>1</v>
      </c>
      <c r="CY14" s="0" t="n">
        <v>1</v>
      </c>
      <c r="CZ14" s="0" t="n">
        <v>1</v>
      </c>
      <c r="DA14" s="0" t="n">
        <v>3470</v>
      </c>
      <c r="DB14" s="0" t="n">
        <v>2910</v>
      </c>
      <c r="DC14" s="0" t="n">
        <v>3220</v>
      </c>
      <c r="DD14" s="0" t="n">
        <v>3470</v>
      </c>
      <c r="DE14" s="0" t="n">
        <v>3470</v>
      </c>
      <c r="DG14" s="0" t="s">
        <v>2720</v>
      </c>
      <c r="DH14" s="0" t="s">
        <v>82</v>
      </c>
      <c r="DI14" s="0" t="s">
        <v>737</v>
      </c>
      <c r="DJ14" s="0" t="s">
        <v>738</v>
      </c>
      <c r="DK14" s="0" t="s">
        <v>705</v>
      </c>
      <c r="DL14" s="0" t="n">
        <v>100</v>
      </c>
      <c r="DM14" s="0" t="s">
        <v>675</v>
      </c>
      <c r="DN14" s="0" t="s">
        <v>676</v>
      </c>
      <c r="DO14" s="0" t="n">
        <v>2</v>
      </c>
      <c r="DP14" s="0" t="n">
        <v>15.34</v>
      </c>
      <c r="DQ14" s="0" t="n">
        <v>15.34</v>
      </c>
      <c r="DR14" s="0" t="s">
        <v>2721</v>
      </c>
      <c r="DT14" s="0" t="s">
        <v>125</v>
      </c>
      <c r="DU14" s="0" t="s">
        <v>2722</v>
      </c>
      <c r="DV14" s="0" t="s">
        <v>2723</v>
      </c>
      <c r="DW14" s="0" t="s">
        <v>2724</v>
      </c>
      <c r="DX14" s="0" t="s">
        <v>2725</v>
      </c>
      <c r="DY14" s="0" t="s">
        <v>2726</v>
      </c>
      <c r="DZ14" s="0" t="n">
        <v>154</v>
      </c>
      <c r="EB14" s="0" t="s">
        <v>2727</v>
      </c>
      <c r="EC14" s="0" t="s">
        <v>2216</v>
      </c>
      <c r="ED14" s="0" t="s">
        <v>2525</v>
      </c>
      <c r="EE14" s="0" t="s">
        <v>602</v>
      </c>
      <c r="EF14" s="0" t="s">
        <v>2728</v>
      </c>
      <c r="EG14" s="0" t="n">
        <v>350</v>
      </c>
      <c r="EH14" s="0" t="n">
        <v>350</v>
      </c>
      <c r="EI14" s="0" t="n">
        <v>350</v>
      </c>
      <c r="EJ14" s="0" t="n">
        <v>350</v>
      </c>
      <c r="EL14" s="0" t="s">
        <v>2729</v>
      </c>
      <c r="EM14" s="0" t="s">
        <v>2216</v>
      </c>
      <c r="EN14" s="0" t="s">
        <v>2525</v>
      </c>
      <c r="EO14" s="0" t="n">
        <v>3.5</v>
      </c>
      <c r="EP14" s="0" t="s">
        <v>2528</v>
      </c>
      <c r="EQ14" s="0" t="s">
        <v>2730</v>
      </c>
      <c r="ER14" s="0" t="s">
        <v>2731</v>
      </c>
      <c r="ES14" s="0" t="n">
        <v>36170</v>
      </c>
      <c r="ET14" s="0" t="n">
        <v>39970</v>
      </c>
      <c r="EU14" s="0" t="n">
        <v>43170</v>
      </c>
      <c r="EV14" s="0" t="n">
        <v>43170</v>
      </c>
      <c r="EX14" s="0" t="s">
        <v>586</v>
      </c>
      <c r="EY14" s="0" t="s">
        <v>2532</v>
      </c>
      <c r="EZ14" s="0" t="s">
        <v>25</v>
      </c>
      <c r="FA14" s="0" t="s">
        <v>2533</v>
      </c>
      <c r="GD14" s="0" t="s">
        <v>2732</v>
      </c>
      <c r="GE14" s="0" t="s">
        <v>2733</v>
      </c>
      <c r="GF14" s="0" t="s">
        <v>82</v>
      </c>
      <c r="GG14" s="0" t="s">
        <v>82</v>
      </c>
      <c r="GH14" s="0" t="n">
        <v>26</v>
      </c>
      <c r="GI14" s="0" t="n">
        <v>96442</v>
      </c>
      <c r="GJ14" s="0" t="n">
        <v>98192</v>
      </c>
      <c r="GK14" s="0" t="n">
        <v>99817</v>
      </c>
      <c r="GL14" s="0" t="n">
        <v>0.0344</v>
      </c>
      <c r="GM14" s="0" t="n">
        <v>98192</v>
      </c>
      <c r="GN14" s="0" t="n">
        <v>0</v>
      </c>
      <c r="GO14" s="0" t="s">
        <v>2536</v>
      </c>
      <c r="GP14" s="0" t="s">
        <v>82</v>
      </c>
      <c r="GQ14" s="0" t="n">
        <v>26</v>
      </c>
      <c r="GR14" s="0" t="s">
        <v>2537</v>
      </c>
      <c r="GS14" s="0" t="s">
        <v>2734</v>
      </c>
      <c r="HA14" s="0" t="s">
        <v>2735</v>
      </c>
      <c r="HB14" s="0" t="s">
        <v>82</v>
      </c>
      <c r="HC14" s="0" t="s">
        <v>2736</v>
      </c>
      <c r="HD14" s="0" t="s">
        <v>89</v>
      </c>
      <c r="HE14" s="0" t="n">
        <v>1685.19</v>
      </c>
      <c r="HF14" s="0" t="n">
        <v>3707.41</v>
      </c>
      <c r="HG14" s="0" t="n">
        <v>2794.44192307692</v>
      </c>
      <c r="HH14" s="0" t="n">
        <v>2380.9425</v>
      </c>
      <c r="HI14" s="0" t="n">
        <v>2855.32</v>
      </c>
      <c r="HJ14" s="0" t="n">
        <v>3198.2575</v>
      </c>
    </row>
    <row r="15" customFormat="false" ht="15" hidden="false" customHeight="false" outlineLevel="0" collapsed="false">
      <c r="A15" s="0" t="s">
        <v>2737</v>
      </c>
      <c r="B15" s="0" t="n">
        <v>66040.54</v>
      </c>
      <c r="C15" s="0" t="n">
        <v>72382.9</v>
      </c>
      <c r="D15" s="0" t="n">
        <v>107563.63</v>
      </c>
      <c r="CQ15" s="0" t="s">
        <v>2738</v>
      </c>
      <c r="CR15" s="0" t="s">
        <v>82</v>
      </c>
      <c r="CS15" s="0" t="s">
        <v>222</v>
      </c>
      <c r="CT15" s="0" t="s">
        <v>220</v>
      </c>
      <c r="CU15" s="0" t="s">
        <v>81</v>
      </c>
      <c r="CV15" s="0" t="s">
        <v>221</v>
      </c>
      <c r="CW15" s="0" t="n">
        <v>61.54</v>
      </c>
      <c r="CX15" s="0" t="n">
        <v>1.75</v>
      </c>
      <c r="CY15" s="0" t="n">
        <v>2</v>
      </c>
      <c r="CZ15" s="0" t="n">
        <v>2</v>
      </c>
      <c r="DA15" s="0" t="n">
        <v>5590</v>
      </c>
      <c r="DB15" s="0" t="n">
        <v>2430</v>
      </c>
      <c r="DC15" s="0" t="n">
        <v>2690</v>
      </c>
      <c r="DD15" s="0" t="n">
        <v>2900</v>
      </c>
      <c r="DE15" s="0" t="n">
        <v>2900</v>
      </c>
      <c r="DG15" s="0" t="s">
        <v>2739</v>
      </c>
      <c r="DH15" s="0" t="s">
        <v>82</v>
      </c>
      <c r="DI15" s="0" t="s">
        <v>740</v>
      </c>
      <c r="DJ15" s="0" t="s">
        <v>741</v>
      </c>
      <c r="DK15" s="0" t="s">
        <v>705</v>
      </c>
      <c r="DL15" s="0" t="n">
        <v>100</v>
      </c>
      <c r="DM15" s="0" t="s">
        <v>676</v>
      </c>
      <c r="DN15" s="0" t="s">
        <v>676</v>
      </c>
      <c r="DO15" s="0" t="n">
        <v>3</v>
      </c>
      <c r="DP15" s="0" t="n">
        <v>998.4</v>
      </c>
      <c r="DQ15" s="0" t="n">
        <v>998.4</v>
      </c>
      <c r="DR15" s="0" t="s">
        <v>2740</v>
      </c>
      <c r="DT15" s="0" t="s">
        <v>125</v>
      </c>
      <c r="DU15" s="0" t="s">
        <v>2741</v>
      </c>
      <c r="DV15" s="0" t="s">
        <v>2742</v>
      </c>
      <c r="DW15" s="0" t="s">
        <v>2743</v>
      </c>
      <c r="DX15" s="0" t="s">
        <v>2644</v>
      </c>
      <c r="DY15" s="0" t="s">
        <v>2645</v>
      </c>
      <c r="DZ15" s="0" t="n">
        <v>148</v>
      </c>
      <c r="EB15" s="0" t="s">
        <v>2744</v>
      </c>
      <c r="EC15" s="0" t="s">
        <v>2216</v>
      </c>
      <c r="ED15" s="0" t="s">
        <v>2525</v>
      </c>
      <c r="EE15" s="0" t="s">
        <v>599</v>
      </c>
      <c r="EF15" s="0" t="s">
        <v>2745</v>
      </c>
      <c r="EG15" s="0" t="n">
        <v>1500</v>
      </c>
      <c r="EH15" s="0" t="n">
        <v>1500</v>
      </c>
      <c r="EI15" s="0" t="n">
        <v>1500</v>
      </c>
      <c r="EJ15" s="0" t="n">
        <v>1500</v>
      </c>
      <c r="EL15" s="0" t="s">
        <v>2746</v>
      </c>
      <c r="EM15" s="0" t="s">
        <v>2216</v>
      </c>
      <c r="EN15" s="0" t="s">
        <v>2525</v>
      </c>
      <c r="EO15" s="0" t="n">
        <v>3.5</v>
      </c>
      <c r="EP15" s="0" t="s">
        <v>2552</v>
      </c>
      <c r="EQ15" s="0" t="s">
        <v>2747</v>
      </c>
      <c r="ER15" s="0" t="s">
        <v>2748</v>
      </c>
      <c r="ES15" s="0" t="n">
        <v>37860</v>
      </c>
      <c r="ET15" s="0" t="n">
        <v>49980</v>
      </c>
      <c r="EU15" s="0" t="n">
        <v>54520</v>
      </c>
      <c r="EV15" s="0" t="n">
        <v>54520</v>
      </c>
      <c r="EX15" s="0" t="s">
        <v>2749</v>
      </c>
      <c r="EY15" s="0" t="s">
        <v>2532</v>
      </c>
      <c r="EZ15" s="0" t="s">
        <v>25</v>
      </c>
      <c r="FA15" s="0" t="s">
        <v>2533</v>
      </c>
      <c r="GD15" s="0" t="s">
        <v>2732</v>
      </c>
      <c r="GE15" s="0" t="s">
        <v>2733</v>
      </c>
      <c r="GF15" s="0" t="s">
        <v>82</v>
      </c>
      <c r="GG15" s="0" t="s">
        <v>121</v>
      </c>
      <c r="GH15" s="0" t="n">
        <v>0</v>
      </c>
      <c r="GI15" s="0" t="n">
        <v>0</v>
      </c>
      <c r="GJ15" s="0" t="n">
        <v>0</v>
      </c>
      <c r="GK15" s="0" t="n">
        <v>0</v>
      </c>
      <c r="GL15" s="0" t="n">
        <v>0</v>
      </c>
      <c r="GM15" s="0" t="n">
        <v>0</v>
      </c>
      <c r="GN15" s="0" t="n">
        <v>1</v>
      </c>
      <c r="GO15" s="0" t="s">
        <v>2556</v>
      </c>
      <c r="GP15" s="0" t="s">
        <v>82</v>
      </c>
      <c r="GQ15" s="0" t="n">
        <v>26</v>
      </c>
      <c r="GR15" s="0" t="s">
        <v>2537</v>
      </c>
      <c r="GS15" s="0" t="s">
        <v>2734</v>
      </c>
      <c r="HA15" s="0" t="s">
        <v>2750</v>
      </c>
      <c r="HB15" s="0" t="s">
        <v>82</v>
      </c>
      <c r="HC15" s="0" t="s">
        <v>2703</v>
      </c>
      <c r="HD15" s="0" t="s">
        <v>146</v>
      </c>
      <c r="HE15" s="0" t="n">
        <v>6306.92</v>
      </c>
      <c r="HF15" s="0" t="n">
        <v>16357.87</v>
      </c>
      <c r="HG15" s="0" t="n">
        <v>11027.8388461539</v>
      </c>
      <c r="HH15" s="0" t="n">
        <v>9677.2125</v>
      </c>
      <c r="HI15" s="0" t="n">
        <v>10711.305</v>
      </c>
      <c r="HJ15" s="0" t="n">
        <v>11936.6175</v>
      </c>
    </row>
    <row r="16" customFormat="false" ht="15" hidden="false" customHeight="false" outlineLevel="0" collapsed="false">
      <c r="A16" s="0" t="s">
        <v>2751</v>
      </c>
      <c r="B16" s="0" t="n">
        <v>89130.078</v>
      </c>
      <c r="C16" s="0" t="n">
        <v>89130.16</v>
      </c>
      <c r="D16" s="0" t="n">
        <v>98838.05</v>
      </c>
      <c r="CQ16" s="0" t="s">
        <v>2752</v>
      </c>
      <c r="CR16" s="0" t="s">
        <v>82</v>
      </c>
      <c r="CS16" s="0" t="s">
        <v>233</v>
      </c>
      <c r="CT16" s="0" t="s">
        <v>231</v>
      </c>
      <c r="CU16" s="0" t="s">
        <v>81</v>
      </c>
      <c r="CV16" s="0" t="s">
        <v>232</v>
      </c>
      <c r="CW16" s="0" t="n">
        <v>53.85</v>
      </c>
      <c r="CX16" s="0" t="n">
        <v>1</v>
      </c>
      <c r="CY16" s="0" t="n">
        <v>1</v>
      </c>
      <c r="CZ16" s="0" t="n">
        <v>1</v>
      </c>
      <c r="DA16" s="0" t="n">
        <v>1320</v>
      </c>
      <c r="DB16" s="0" t="n">
        <v>1110</v>
      </c>
      <c r="DC16" s="0" t="n">
        <v>1220</v>
      </c>
      <c r="DD16" s="0" t="n">
        <v>1320</v>
      </c>
      <c r="DE16" s="0" t="n">
        <v>1320</v>
      </c>
      <c r="DG16" s="0" t="s">
        <v>2753</v>
      </c>
      <c r="DH16" s="0" t="s">
        <v>82</v>
      </c>
      <c r="DI16" s="0" t="s">
        <v>744</v>
      </c>
      <c r="DJ16" s="0" t="s">
        <v>745</v>
      </c>
      <c r="DK16" s="0" t="s">
        <v>705</v>
      </c>
      <c r="DL16" s="0" t="n">
        <v>100</v>
      </c>
      <c r="DM16" s="0" t="s">
        <v>676</v>
      </c>
      <c r="DN16" s="0" t="s">
        <v>676</v>
      </c>
      <c r="DO16" s="0" t="n">
        <v>2</v>
      </c>
      <c r="DP16" s="0" t="n">
        <v>76.4</v>
      </c>
      <c r="DQ16" s="0" t="n">
        <v>382</v>
      </c>
      <c r="DR16" s="0" t="s">
        <v>2754</v>
      </c>
      <c r="DT16" s="0" t="s">
        <v>125</v>
      </c>
      <c r="DU16" s="0" t="s">
        <v>2755</v>
      </c>
      <c r="DV16" s="0" t="s">
        <v>2756</v>
      </c>
      <c r="DW16" s="0" t="s">
        <v>2757</v>
      </c>
      <c r="DX16" s="0" t="s">
        <v>2710</v>
      </c>
      <c r="DY16" s="0" t="s">
        <v>2711</v>
      </c>
      <c r="DZ16" s="0" t="n">
        <v>128</v>
      </c>
      <c r="EB16" s="0" t="s">
        <v>2758</v>
      </c>
      <c r="EC16" s="0" t="s">
        <v>2216</v>
      </c>
      <c r="ED16" s="0" t="s">
        <v>2525</v>
      </c>
      <c r="EE16" s="0" t="s">
        <v>597</v>
      </c>
      <c r="EF16" s="0" t="s">
        <v>2759</v>
      </c>
      <c r="EG16" s="0" t="n">
        <v>3000</v>
      </c>
      <c r="EH16" s="0" t="n">
        <v>3000</v>
      </c>
      <c r="EI16" s="0" t="n">
        <v>3000</v>
      </c>
      <c r="EJ16" s="0" t="n">
        <v>3000</v>
      </c>
      <c r="EL16" s="0" t="s">
        <v>2760</v>
      </c>
      <c r="EM16" s="0" t="s">
        <v>2216</v>
      </c>
      <c r="EN16" s="0" t="s">
        <v>2525</v>
      </c>
      <c r="EO16" s="0" t="n">
        <v>4</v>
      </c>
      <c r="EP16" s="0" t="s">
        <v>2528</v>
      </c>
      <c r="EQ16" s="0" t="s">
        <v>2761</v>
      </c>
      <c r="ER16" s="0" t="s">
        <v>2762</v>
      </c>
      <c r="ES16" s="0" t="n">
        <v>39780</v>
      </c>
      <c r="ET16" s="0" t="n">
        <v>43930</v>
      </c>
      <c r="EU16" s="0" t="n">
        <v>47480</v>
      </c>
      <c r="EV16" s="0" t="n">
        <v>47480</v>
      </c>
      <c r="EX16" s="0" t="s">
        <v>599</v>
      </c>
      <c r="EY16" s="0" t="s">
        <v>2532</v>
      </c>
      <c r="EZ16" s="0" t="s">
        <v>25</v>
      </c>
      <c r="FA16" s="0" t="s">
        <v>2533</v>
      </c>
      <c r="GD16" s="0" t="s">
        <v>2732</v>
      </c>
      <c r="GE16" s="0" t="s">
        <v>2733</v>
      </c>
      <c r="GF16" s="0" t="s">
        <v>82</v>
      </c>
      <c r="GG16" s="0" t="s">
        <v>125</v>
      </c>
      <c r="GH16" s="0" t="n">
        <v>0</v>
      </c>
      <c r="GI16" s="0" t="n">
        <v>0</v>
      </c>
      <c r="GJ16" s="0" t="n">
        <v>0</v>
      </c>
      <c r="GK16" s="0" t="n">
        <v>0</v>
      </c>
      <c r="GL16" s="0" t="n">
        <v>0</v>
      </c>
      <c r="GM16" s="0" t="n">
        <v>0</v>
      </c>
      <c r="GN16" s="0" t="n">
        <v>1</v>
      </c>
      <c r="GO16" s="0" t="s">
        <v>2556</v>
      </c>
      <c r="GP16" s="0" t="s">
        <v>82</v>
      </c>
      <c r="GQ16" s="0" t="n">
        <v>26</v>
      </c>
      <c r="GR16" s="0" t="s">
        <v>2537</v>
      </c>
      <c r="GS16" s="0" t="s">
        <v>2734</v>
      </c>
      <c r="HA16" s="0" t="s">
        <v>2763</v>
      </c>
      <c r="HB16" s="0" t="s">
        <v>82</v>
      </c>
      <c r="HC16" s="0" t="s">
        <v>2764</v>
      </c>
      <c r="HD16" s="0" t="s">
        <v>92</v>
      </c>
      <c r="HE16" s="0" t="n">
        <v>2102.31</v>
      </c>
      <c r="HF16" s="0" t="n">
        <v>4392.97</v>
      </c>
      <c r="HG16" s="0" t="n">
        <v>3345.67153846154</v>
      </c>
      <c r="HH16" s="0" t="n">
        <v>3059.7975</v>
      </c>
      <c r="HI16" s="0" t="n">
        <v>3428.83</v>
      </c>
      <c r="HJ16" s="0" t="n">
        <v>3617.7125</v>
      </c>
    </row>
    <row r="17" customFormat="false" ht="15" hidden="false" customHeight="false" outlineLevel="0" collapsed="false">
      <c r="CQ17" s="0" t="s">
        <v>2765</v>
      </c>
      <c r="CR17" s="0" t="s">
        <v>82</v>
      </c>
      <c r="CS17" s="0" t="s">
        <v>618</v>
      </c>
      <c r="CT17" s="0" t="s">
        <v>2596</v>
      </c>
      <c r="CU17" s="0" t="s">
        <v>81</v>
      </c>
      <c r="CV17" s="0" t="s">
        <v>2766</v>
      </c>
      <c r="CW17" s="0" t="n">
        <v>76.92</v>
      </c>
      <c r="CX17" s="0" t="n">
        <v>1</v>
      </c>
      <c r="CY17" s="0" t="n">
        <v>1</v>
      </c>
      <c r="CZ17" s="0" t="n">
        <v>1</v>
      </c>
      <c r="DA17" s="0" t="n">
        <v>430</v>
      </c>
      <c r="DB17" s="0" t="n">
        <v>360</v>
      </c>
      <c r="DC17" s="0" t="n">
        <v>400</v>
      </c>
      <c r="DD17" s="0" t="n">
        <v>430</v>
      </c>
      <c r="DE17" s="0" t="n">
        <v>430</v>
      </c>
      <c r="DG17" s="0" t="s">
        <v>2767</v>
      </c>
      <c r="DH17" s="0" t="s">
        <v>82</v>
      </c>
      <c r="DI17" s="0" t="s">
        <v>752</v>
      </c>
      <c r="DJ17" s="0" t="s">
        <v>753</v>
      </c>
      <c r="DK17" s="0" t="s">
        <v>705</v>
      </c>
      <c r="DL17" s="0" t="n">
        <v>100</v>
      </c>
      <c r="DM17" s="0" t="s">
        <v>676</v>
      </c>
      <c r="DN17" s="0" t="s">
        <v>676</v>
      </c>
      <c r="DO17" s="0" t="n">
        <v>3</v>
      </c>
      <c r="DP17" s="0" t="n">
        <v>51.3</v>
      </c>
      <c r="DQ17" s="0" t="n">
        <v>94.05</v>
      </c>
      <c r="DR17" s="0" t="s">
        <v>2768</v>
      </c>
      <c r="DT17" s="0" t="s">
        <v>125</v>
      </c>
      <c r="DU17" s="0" t="s">
        <v>2769</v>
      </c>
      <c r="DV17" s="0" t="s">
        <v>2770</v>
      </c>
      <c r="DW17" s="0" t="s">
        <v>2771</v>
      </c>
      <c r="DX17" s="0" t="s">
        <v>2644</v>
      </c>
      <c r="DY17" s="0" t="s">
        <v>2645</v>
      </c>
      <c r="DZ17" s="0" t="n">
        <v>118</v>
      </c>
      <c r="EB17" s="0" t="s">
        <v>2772</v>
      </c>
      <c r="EC17" s="0" t="s">
        <v>2216</v>
      </c>
      <c r="ED17" s="0" t="s">
        <v>2525</v>
      </c>
      <c r="EE17" s="0" t="s">
        <v>2699</v>
      </c>
      <c r="EF17" s="0" t="s">
        <v>2700</v>
      </c>
      <c r="EG17" s="0" t="n">
        <v>32090</v>
      </c>
      <c r="EH17" s="0" t="n">
        <v>35440</v>
      </c>
      <c r="EI17" s="0" t="n">
        <v>38310</v>
      </c>
      <c r="EJ17" s="0" t="n">
        <v>38310</v>
      </c>
      <c r="EL17" s="0" t="s">
        <v>2773</v>
      </c>
      <c r="EM17" s="0" t="s">
        <v>2216</v>
      </c>
      <c r="EN17" s="0" t="s">
        <v>2525</v>
      </c>
      <c r="EO17" s="0" t="n">
        <v>4</v>
      </c>
      <c r="EP17" s="0" t="s">
        <v>2552</v>
      </c>
      <c r="EQ17" s="0" t="s">
        <v>2774</v>
      </c>
      <c r="ER17" s="0" t="s">
        <v>2775</v>
      </c>
      <c r="ES17" s="0" t="n">
        <v>41710</v>
      </c>
      <c r="ET17" s="0" t="n">
        <v>55060</v>
      </c>
      <c r="EU17" s="0" t="n">
        <v>60060</v>
      </c>
      <c r="EV17" s="0" t="n">
        <v>60060</v>
      </c>
      <c r="EX17" s="0" t="s">
        <v>2776</v>
      </c>
      <c r="EY17" s="0" t="s">
        <v>2532</v>
      </c>
      <c r="EZ17" s="0" t="s">
        <v>25</v>
      </c>
      <c r="FA17" s="0" t="s">
        <v>2533</v>
      </c>
      <c r="GD17" s="0" t="s">
        <v>2732</v>
      </c>
      <c r="GE17" s="0" t="s">
        <v>2733</v>
      </c>
      <c r="GF17" s="0" t="s">
        <v>82</v>
      </c>
      <c r="GG17" s="0" t="s">
        <v>85</v>
      </c>
      <c r="GH17" s="0" t="n">
        <v>0</v>
      </c>
      <c r="GI17" s="0" t="n">
        <v>0</v>
      </c>
      <c r="GJ17" s="0" t="n">
        <v>0</v>
      </c>
      <c r="GK17" s="0" t="n">
        <v>0</v>
      </c>
      <c r="GL17" s="0" t="n">
        <v>0</v>
      </c>
      <c r="GM17" s="0" t="n">
        <v>0</v>
      </c>
      <c r="GN17" s="0" t="n">
        <v>1</v>
      </c>
      <c r="GO17" s="0" t="s">
        <v>2556</v>
      </c>
      <c r="GP17" s="0" t="s">
        <v>82</v>
      </c>
      <c r="GQ17" s="0" t="n">
        <v>26</v>
      </c>
      <c r="GR17" s="0" t="s">
        <v>2537</v>
      </c>
      <c r="GS17" s="0" t="s">
        <v>2734</v>
      </c>
      <c r="HA17" s="0" t="s">
        <v>2777</v>
      </c>
      <c r="HB17" s="0" t="s">
        <v>82</v>
      </c>
      <c r="HC17" s="0" t="s">
        <v>2718</v>
      </c>
      <c r="HD17" s="0" t="s">
        <v>95</v>
      </c>
      <c r="HE17" s="0" t="n">
        <v>5459.76</v>
      </c>
      <c r="HF17" s="0" t="n">
        <v>14791.84</v>
      </c>
      <c r="HG17" s="0" t="n">
        <v>9667.04346153846</v>
      </c>
      <c r="HH17" s="0" t="n">
        <v>8468.8525</v>
      </c>
      <c r="HI17" s="0" t="n">
        <v>9439.535</v>
      </c>
      <c r="HJ17" s="0" t="n">
        <v>11143.7</v>
      </c>
    </row>
    <row r="18" customFormat="false" ht="15" hidden="false" customHeight="false" outlineLevel="0" collapsed="false">
      <c r="A18" s="5" t="s">
        <v>2778</v>
      </c>
      <c r="CQ18" s="0" t="s">
        <v>2779</v>
      </c>
      <c r="CR18" s="0" t="s">
        <v>82</v>
      </c>
      <c r="CS18" s="0" t="s">
        <v>225</v>
      </c>
      <c r="CT18" s="0" t="s">
        <v>223</v>
      </c>
      <c r="CU18" s="0" t="s">
        <v>81</v>
      </c>
      <c r="CV18" s="0" t="s">
        <v>224</v>
      </c>
      <c r="CW18" s="0" t="n">
        <v>38.46</v>
      </c>
      <c r="CX18" s="0" t="n">
        <v>1</v>
      </c>
      <c r="CY18" s="0" t="n">
        <v>1</v>
      </c>
      <c r="CZ18" s="0" t="n">
        <v>2.75</v>
      </c>
      <c r="DA18" s="0" t="n">
        <v>3260</v>
      </c>
      <c r="DB18" s="0" t="n">
        <v>2730</v>
      </c>
      <c r="DC18" s="0" t="n">
        <v>3020</v>
      </c>
      <c r="DD18" s="0" t="n">
        <v>3260</v>
      </c>
      <c r="DE18" s="0" t="n">
        <v>3260</v>
      </c>
      <c r="DG18" s="0" t="s">
        <v>2780</v>
      </c>
      <c r="DH18" s="0" t="s">
        <v>82</v>
      </c>
      <c r="DI18" s="0" t="s">
        <v>757</v>
      </c>
      <c r="DJ18" s="0" t="s">
        <v>758</v>
      </c>
      <c r="DK18" s="0" t="s">
        <v>705</v>
      </c>
      <c r="DL18" s="0" t="n">
        <v>100</v>
      </c>
      <c r="DM18" s="0" t="s">
        <v>676</v>
      </c>
      <c r="DN18" s="0" t="s">
        <v>675</v>
      </c>
      <c r="DO18" s="0" t="n">
        <v>0</v>
      </c>
      <c r="DP18" s="0" t="n">
        <v>0</v>
      </c>
      <c r="DQ18" s="0" t="n">
        <v>646.9</v>
      </c>
      <c r="DR18" s="0" t="s">
        <v>2781</v>
      </c>
      <c r="DT18" s="0" t="s">
        <v>125</v>
      </c>
      <c r="DU18" s="0" t="s">
        <v>2782</v>
      </c>
      <c r="DV18" s="0" t="s">
        <v>2783</v>
      </c>
      <c r="DW18" s="0" t="s">
        <v>2784</v>
      </c>
      <c r="DX18" s="0" t="s">
        <v>2710</v>
      </c>
      <c r="DY18" s="0" t="s">
        <v>2711</v>
      </c>
      <c r="DZ18" s="0" t="n">
        <v>83</v>
      </c>
      <c r="EB18" s="0" t="s">
        <v>2785</v>
      </c>
      <c r="EC18" s="0" t="s">
        <v>2216</v>
      </c>
      <c r="ED18" s="0" t="s">
        <v>2525</v>
      </c>
      <c r="EE18" s="0" t="s">
        <v>590</v>
      </c>
      <c r="EF18" s="0" t="s">
        <v>2786</v>
      </c>
      <c r="EG18" s="0" t="n">
        <v>3020</v>
      </c>
      <c r="EH18" s="0" t="n">
        <v>3020</v>
      </c>
      <c r="EI18" s="0" t="n">
        <v>3020</v>
      </c>
      <c r="EJ18" s="0" t="n">
        <v>3020</v>
      </c>
      <c r="EL18" s="0" t="s">
        <v>2787</v>
      </c>
      <c r="EM18" s="0" t="s">
        <v>2216</v>
      </c>
      <c r="EN18" s="0" t="s">
        <v>2525</v>
      </c>
      <c r="EO18" s="0" t="n">
        <v>4.5</v>
      </c>
      <c r="EP18" s="0" t="s">
        <v>2528</v>
      </c>
      <c r="EQ18" s="0" t="s">
        <v>2788</v>
      </c>
      <c r="ER18" s="0" t="s">
        <v>2789</v>
      </c>
      <c r="ES18" s="0" t="n">
        <v>43090</v>
      </c>
      <c r="ET18" s="0" t="n">
        <v>47590</v>
      </c>
      <c r="EU18" s="0" t="n">
        <v>51430</v>
      </c>
      <c r="EV18" s="0" t="n">
        <v>51430</v>
      </c>
      <c r="EX18" s="0" t="s">
        <v>2790</v>
      </c>
      <c r="EY18" s="0" t="s">
        <v>2532</v>
      </c>
      <c r="EZ18" s="0" t="s">
        <v>25</v>
      </c>
      <c r="FA18" s="0" t="s">
        <v>2533</v>
      </c>
      <c r="GD18" s="0" t="s">
        <v>2732</v>
      </c>
      <c r="GE18" s="0" t="s">
        <v>2733</v>
      </c>
      <c r="GF18" s="0" t="s">
        <v>82</v>
      </c>
      <c r="GG18" s="0" t="s">
        <v>86</v>
      </c>
      <c r="GH18" s="0" t="n">
        <v>0</v>
      </c>
      <c r="GI18" s="0" t="n">
        <v>0</v>
      </c>
      <c r="GJ18" s="0" t="n">
        <v>0</v>
      </c>
      <c r="GK18" s="0" t="n">
        <v>0</v>
      </c>
      <c r="GL18" s="0" t="n">
        <v>0</v>
      </c>
      <c r="GM18" s="0" t="n">
        <v>0</v>
      </c>
      <c r="GN18" s="0" t="n">
        <v>1</v>
      </c>
      <c r="GO18" s="0" t="s">
        <v>2556</v>
      </c>
      <c r="GP18" s="0" t="s">
        <v>82</v>
      </c>
      <c r="GQ18" s="0" t="n">
        <v>26</v>
      </c>
      <c r="GR18" s="0" t="s">
        <v>2537</v>
      </c>
      <c r="GS18" s="0" t="s">
        <v>2734</v>
      </c>
      <c r="HA18" s="0" t="s">
        <v>2791</v>
      </c>
      <c r="HB18" s="0" t="s">
        <v>82</v>
      </c>
      <c r="HC18" s="0" t="s">
        <v>2737</v>
      </c>
      <c r="HD18" s="0" t="s">
        <v>98</v>
      </c>
      <c r="HE18" s="0" t="n">
        <v>49210.94</v>
      </c>
      <c r="HF18" s="0" t="n">
        <v>142365.98</v>
      </c>
      <c r="HG18" s="0" t="n">
        <v>84196.2588461538</v>
      </c>
      <c r="HH18" s="0" t="n">
        <v>66040.54</v>
      </c>
      <c r="HI18" s="0" t="n">
        <v>72382.9</v>
      </c>
      <c r="HJ18" s="0" t="n">
        <v>107563.63</v>
      </c>
    </row>
    <row r="19" customFormat="false" ht="15" hidden="false" customHeight="false" outlineLevel="0" collapsed="false">
      <c r="A19" s="15" t="s">
        <v>2542</v>
      </c>
      <c r="B19" s="15" t="s">
        <v>2512</v>
      </c>
      <c r="C19" s="15" t="s">
        <v>2513</v>
      </c>
      <c r="D19" s="15" t="s">
        <v>2514</v>
      </c>
      <c r="CQ19" s="0" t="s">
        <v>2792</v>
      </c>
      <c r="CR19" s="0" t="s">
        <v>82</v>
      </c>
      <c r="CS19" s="0" t="s">
        <v>288</v>
      </c>
      <c r="CT19" s="0" t="s">
        <v>287</v>
      </c>
      <c r="CU19" s="0" t="s">
        <v>81</v>
      </c>
      <c r="CV19" s="0" t="s">
        <v>236</v>
      </c>
      <c r="CW19" s="0" t="n">
        <v>3.85</v>
      </c>
      <c r="CX19" s="0" t="n">
        <v>1</v>
      </c>
      <c r="CY19" s="0" t="n">
        <v>1</v>
      </c>
      <c r="CZ19" s="0" t="n">
        <v>1</v>
      </c>
      <c r="DA19" s="0" t="n">
        <v>580</v>
      </c>
      <c r="DB19" s="0" t="n">
        <v>450</v>
      </c>
      <c r="DC19" s="0" t="n">
        <v>530</v>
      </c>
      <c r="DD19" s="0" t="n">
        <v>580</v>
      </c>
      <c r="DE19" s="0" t="n">
        <v>580</v>
      </c>
      <c r="DG19" s="0" t="s">
        <v>2793</v>
      </c>
      <c r="DH19" s="0" t="s">
        <v>82</v>
      </c>
      <c r="DI19" s="0" t="s">
        <v>763</v>
      </c>
      <c r="DJ19" s="0" t="s">
        <v>764</v>
      </c>
      <c r="DK19" s="0" t="s">
        <v>674</v>
      </c>
      <c r="DL19" s="0" t="n">
        <v>96.15</v>
      </c>
      <c r="DM19" s="0" t="s">
        <v>675</v>
      </c>
      <c r="DN19" s="0" t="s">
        <v>676</v>
      </c>
      <c r="DO19" s="0" t="n">
        <v>10</v>
      </c>
      <c r="DP19" s="0" t="n">
        <v>2006</v>
      </c>
      <c r="DQ19" s="0" t="n">
        <v>2006</v>
      </c>
      <c r="DR19" s="0" t="s">
        <v>2794</v>
      </c>
      <c r="DT19" s="0" t="s">
        <v>125</v>
      </c>
      <c r="DU19" s="0" t="s">
        <v>2795</v>
      </c>
      <c r="DV19" s="0" t="s">
        <v>2796</v>
      </c>
      <c r="DW19" s="0" t="s">
        <v>2797</v>
      </c>
      <c r="DX19" s="0" t="s">
        <v>2798</v>
      </c>
      <c r="DY19" s="0" t="s">
        <v>2799</v>
      </c>
      <c r="DZ19" s="0" t="n">
        <v>65</v>
      </c>
      <c r="EB19" s="0" t="s">
        <v>2800</v>
      </c>
      <c r="EC19" s="0" t="s">
        <v>2216</v>
      </c>
      <c r="ED19" s="0" t="s">
        <v>2525</v>
      </c>
      <c r="EE19" s="0" t="s">
        <v>588</v>
      </c>
      <c r="EF19" s="0" t="s">
        <v>2801</v>
      </c>
      <c r="EG19" s="0" t="n">
        <v>2470</v>
      </c>
      <c r="EH19" s="0" t="n">
        <v>2470</v>
      </c>
      <c r="EI19" s="0" t="n">
        <v>2470</v>
      </c>
      <c r="EJ19" s="0" t="n">
        <v>2470</v>
      </c>
      <c r="EL19" s="0" t="s">
        <v>2802</v>
      </c>
      <c r="EM19" s="0" t="s">
        <v>2216</v>
      </c>
      <c r="EN19" s="0" t="s">
        <v>2525</v>
      </c>
      <c r="EO19" s="0" t="n">
        <v>4.5</v>
      </c>
      <c r="EP19" s="0" t="s">
        <v>2552</v>
      </c>
      <c r="EQ19" s="0" t="s">
        <v>2803</v>
      </c>
      <c r="ER19" s="0" t="s">
        <v>2804</v>
      </c>
      <c r="ES19" s="0" t="n">
        <v>45160</v>
      </c>
      <c r="ET19" s="0" t="n">
        <v>59610</v>
      </c>
      <c r="EU19" s="0" t="n">
        <v>65030</v>
      </c>
      <c r="EV19" s="0" t="n">
        <v>65030</v>
      </c>
      <c r="EX19" s="0" t="s">
        <v>2805</v>
      </c>
      <c r="EY19" s="0" t="s">
        <v>2532</v>
      </c>
      <c r="EZ19" s="0" t="s">
        <v>25</v>
      </c>
      <c r="FA19" s="0" t="s">
        <v>2533</v>
      </c>
      <c r="GD19" s="0" t="s">
        <v>2732</v>
      </c>
      <c r="GE19" s="0" t="s">
        <v>2733</v>
      </c>
      <c r="GF19" s="0" t="s">
        <v>82</v>
      </c>
      <c r="GG19" s="0" t="s">
        <v>87</v>
      </c>
      <c r="GH19" s="0" t="n">
        <v>26</v>
      </c>
      <c r="GI19" s="0" t="n">
        <v>96442</v>
      </c>
      <c r="GJ19" s="0" t="n">
        <v>98192</v>
      </c>
      <c r="GK19" s="0" t="n">
        <v>99817</v>
      </c>
      <c r="GL19" s="0" t="n">
        <v>0.0344</v>
      </c>
      <c r="GM19" s="0" t="n">
        <v>98192</v>
      </c>
      <c r="GN19" s="0" t="n">
        <v>0</v>
      </c>
      <c r="GO19" s="0" t="s">
        <v>2616</v>
      </c>
      <c r="GP19" s="0" t="s">
        <v>82</v>
      </c>
      <c r="GQ19" s="0" t="n">
        <v>26</v>
      </c>
      <c r="GR19" s="0" t="s">
        <v>2537</v>
      </c>
      <c r="GS19" s="0" t="s">
        <v>2734</v>
      </c>
      <c r="HA19" s="0" t="s">
        <v>2806</v>
      </c>
      <c r="HB19" s="0" t="s">
        <v>82</v>
      </c>
      <c r="HC19" s="0" t="s">
        <v>2751</v>
      </c>
      <c r="HD19" s="0" t="s">
        <v>101</v>
      </c>
      <c r="HE19" s="0" t="n">
        <v>73205.15</v>
      </c>
      <c r="HF19" s="0" t="n">
        <v>114163.9</v>
      </c>
      <c r="HG19" s="0" t="n">
        <v>91343.3496153846</v>
      </c>
      <c r="HH19" s="0" t="n">
        <v>89130.0775</v>
      </c>
      <c r="HI19" s="0" t="n">
        <v>89130.16</v>
      </c>
      <c r="HJ19" s="0" t="n">
        <v>98838.05</v>
      </c>
    </row>
    <row r="20" customFormat="false" ht="15" hidden="false" customHeight="false" outlineLevel="0" collapsed="false">
      <c r="A20" s="0" t="s">
        <v>2807</v>
      </c>
      <c r="B20" s="0" t="n">
        <v>2380.94354166667</v>
      </c>
      <c r="C20" s="0" t="n">
        <v>2855.31875</v>
      </c>
      <c r="D20" s="0" t="n">
        <v>3198.258</v>
      </c>
      <c r="CQ20" s="0" t="s">
        <v>2808</v>
      </c>
      <c r="CR20" s="0" t="s">
        <v>82</v>
      </c>
      <c r="CS20" s="0" t="s">
        <v>269</v>
      </c>
      <c r="CT20" s="0" t="s">
        <v>268</v>
      </c>
      <c r="CU20" s="0" t="s">
        <v>81</v>
      </c>
      <c r="CV20" s="0" t="s">
        <v>236</v>
      </c>
      <c r="CW20" s="0" t="n">
        <v>26.92</v>
      </c>
      <c r="CX20" s="0" t="n">
        <v>1</v>
      </c>
      <c r="CY20" s="0" t="n">
        <v>1</v>
      </c>
      <c r="CZ20" s="0" t="n">
        <v>1</v>
      </c>
      <c r="DA20" s="0" t="n">
        <v>280</v>
      </c>
      <c r="DB20" s="0" t="n">
        <v>280</v>
      </c>
      <c r="DC20" s="0" t="n">
        <v>280</v>
      </c>
      <c r="DD20" s="0" t="n">
        <v>280</v>
      </c>
      <c r="DE20" s="0" t="n">
        <v>280</v>
      </c>
      <c r="DG20" s="0" t="s">
        <v>2809</v>
      </c>
      <c r="DH20" s="0" t="s">
        <v>82</v>
      </c>
      <c r="DI20" s="0" t="s">
        <v>771</v>
      </c>
      <c r="DJ20" s="0" t="s">
        <v>772</v>
      </c>
      <c r="DK20" s="0" t="s">
        <v>705</v>
      </c>
      <c r="DL20" s="0" t="n">
        <v>96.15</v>
      </c>
      <c r="DM20" s="0" t="s">
        <v>675</v>
      </c>
      <c r="DN20" s="0" t="s">
        <v>676</v>
      </c>
      <c r="DO20" s="0" t="n">
        <v>1</v>
      </c>
      <c r="DP20" s="0" t="n">
        <v>1004</v>
      </c>
      <c r="DQ20" s="0" t="n">
        <v>1004</v>
      </c>
      <c r="DR20" s="0" t="s">
        <v>2810</v>
      </c>
      <c r="DT20" s="0" t="s">
        <v>125</v>
      </c>
      <c r="DU20" s="0" t="s">
        <v>2811</v>
      </c>
      <c r="DV20" s="0" t="s">
        <v>2812</v>
      </c>
      <c r="DW20" s="0" t="s">
        <v>2813</v>
      </c>
      <c r="DX20" s="0" t="s">
        <v>2216</v>
      </c>
      <c r="DY20" s="0" t="s">
        <v>2525</v>
      </c>
      <c r="DZ20" s="0" t="n">
        <v>62</v>
      </c>
      <c r="EB20" s="0" t="s">
        <v>2814</v>
      </c>
      <c r="EC20" s="0" t="s">
        <v>2216</v>
      </c>
      <c r="ED20" s="0" t="s">
        <v>2525</v>
      </c>
      <c r="EE20" s="0" t="s">
        <v>586</v>
      </c>
      <c r="EF20" s="0" t="s">
        <v>2815</v>
      </c>
      <c r="EG20" s="0" t="n">
        <v>10480</v>
      </c>
      <c r="EH20" s="0" t="n">
        <v>10480</v>
      </c>
      <c r="EI20" s="0" t="n">
        <v>10480</v>
      </c>
      <c r="EJ20" s="0" t="n">
        <v>10480</v>
      </c>
      <c r="EL20" s="0" t="s">
        <v>2816</v>
      </c>
      <c r="EM20" s="0" t="s">
        <v>2216</v>
      </c>
      <c r="EN20" s="0" t="s">
        <v>2525</v>
      </c>
      <c r="EO20" s="0" t="n">
        <v>5</v>
      </c>
      <c r="EP20" s="0" t="s">
        <v>2528</v>
      </c>
      <c r="EQ20" s="0" t="s">
        <v>2817</v>
      </c>
      <c r="ER20" s="0" t="s">
        <v>2818</v>
      </c>
      <c r="ES20" s="0" t="n">
        <v>46040</v>
      </c>
      <c r="ET20" s="0" t="n">
        <v>50890</v>
      </c>
      <c r="EU20" s="0" t="n">
        <v>54960</v>
      </c>
      <c r="EV20" s="0" t="n">
        <v>54960</v>
      </c>
      <c r="EX20" s="0" t="s">
        <v>2819</v>
      </c>
      <c r="EY20" s="0" t="s">
        <v>2532</v>
      </c>
      <c r="EZ20" s="0" t="s">
        <v>25</v>
      </c>
      <c r="FA20" s="0" t="s">
        <v>2533</v>
      </c>
      <c r="GD20" s="0" t="s">
        <v>2820</v>
      </c>
      <c r="GE20" s="0" t="s">
        <v>2535</v>
      </c>
      <c r="GF20" s="0" t="s">
        <v>121</v>
      </c>
      <c r="GG20" s="0" t="s">
        <v>82</v>
      </c>
      <c r="GH20" s="0" t="n">
        <v>26</v>
      </c>
      <c r="GI20" s="0" t="n">
        <v>36.25</v>
      </c>
      <c r="GJ20" s="0" t="n">
        <v>39</v>
      </c>
      <c r="GK20" s="0" t="n">
        <v>41</v>
      </c>
      <c r="GL20" s="0" t="n">
        <v>0.1218</v>
      </c>
      <c r="GM20" s="0" t="n">
        <v>39</v>
      </c>
      <c r="GN20" s="0" t="n">
        <v>0</v>
      </c>
      <c r="GO20" s="0" t="s">
        <v>2616</v>
      </c>
      <c r="GP20" s="0" t="s">
        <v>87</v>
      </c>
      <c r="GQ20" s="0" t="n">
        <v>26</v>
      </c>
      <c r="GR20" s="0" t="s">
        <v>2537</v>
      </c>
      <c r="GS20" s="0" t="s">
        <v>2821</v>
      </c>
      <c r="HA20" s="0" t="s">
        <v>2822</v>
      </c>
      <c r="HB20" s="0" t="s">
        <v>82</v>
      </c>
      <c r="HC20" s="0" t="s">
        <v>2823</v>
      </c>
      <c r="HD20" s="0" t="s">
        <v>147</v>
      </c>
      <c r="HE20" s="0" t="n">
        <v>163037.45</v>
      </c>
      <c r="HF20" s="0" t="n">
        <v>275880.12</v>
      </c>
      <c r="HG20" s="0" t="n">
        <v>205500.931153846</v>
      </c>
      <c r="HH20" s="0" t="n">
        <v>182949.105</v>
      </c>
      <c r="HI20" s="0" t="n">
        <v>189217.605</v>
      </c>
      <c r="HJ20" s="0" t="n">
        <v>231144.7325</v>
      </c>
    </row>
    <row r="21" customFormat="false" ht="15" hidden="false" customHeight="false" outlineLevel="0" collapsed="false">
      <c r="A21" s="0" t="s">
        <v>2824</v>
      </c>
      <c r="B21" s="0" t="n">
        <v>3059.8</v>
      </c>
      <c r="C21" s="0" t="n">
        <v>3428.82833333333</v>
      </c>
      <c r="D21" s="0" t="n">
        <v>3617.71</v>
      </c>
      <c r="CQ21" s="0" t="s">
        <v>2825</v>
      </c>
      <c r="CR21" s="0" t="s">
        <v>82</v>
      </c>
      <c r="CS21" s="0" t="s">
        <v>237</v>
      </c>
      <c r="CT21" s="0" t="s">
        <v>235</v>
      </c>
      <c r="CU21" s="0" t="s">
        <v>81</v>
      </c>
      <c r="CV21" s="0" t="s">
        <v>236</v>
      </c>
      <c r="CW21" s="0" t="n">
        <v>19.23</v>
      </c>
      <c r="CX21" s="0" t="n">
        <v>1</v>
      </c>
      <c r="CY21" s="0" t="n">
        <v>1</v>
      </c>
      <c r="CZ21" s="0" t="n">
        <v>1</v>
      </c>
      <c r="DA21" s="0" t="n">
        <v>2650</v>
      </c>
      <c r="DB21" s="0" t="n">
        <v>2650</v>
      </c>
      <c r="DC21" s="0" t="n">
        <v>2650</v>
      </c>
      <c r="DD21" s="0" t="n">
        <v>2650</v>
      </c>
      <c r="DE21" s="0" t="n">
        <v>2650</v>
      </c>
      <c r="DG21" s="0" t="s">
        <v>2826</v>
      </c>
      <c r="DH21" s="0" t="s">
        <v>82</v>
      </c>
      <c r="DI21" s="0" t="s">
        <v>776</v>
      </c>
      <c r="DJ21" s="0" t="s">
        <v>777</v>
      </c>
      <c r="DK21" s="0" t="s">
        <v>705</v>
      </c>
      <c r="DL21" s="0" t="n">
        <v>96.15</v>
      </c>
      <c r="DM21" s="0" t="s">
        <v>675</v>
      </c>
      <c r="DN21" s="0" t="s">
        <v>676</v>
      </c>
      <c r="DO21" s="0" t="n">
        <v>2</v>
      </c>
      <c r="DP21" s="0" t="n">
        <v>2592</v>
      </c>
      <c r="DQ21" s="0" t="n">
        <v>2592</v>
      </c>
      <c r="DR21" s="0" t="s">
        <v>2827</v>
      </c>
      <c r="DT21" s="0" t="s">
        <v>125</v>
      </c>
      <c r="DU21" s="0" t="s">
        <v>2828</v>
      </c>
      <c r="DV21" s="0" t="s">
        <v>2829</v>
      </c>
      <c r="DW21" s="0" t="s">
        <v>2830</v>
      </c>
      <c r="DX21" s="0" t="s">
        <v>2831</v>
      </c>
      <c r="DY21" s="0" t="s">
        <v>2832</v>
      </c>
      <c r="DZ21" s="0" t="n">
        <v>54</v>
      </c>
      <c r="EB21" s="0" t="s">
        <v>2833</v>
      </c>
      <c r="EC21" s="0" t="s">
        <v>2216</v>
      </c>
      <c r="ED21" s="0" t="s">
        <v>2525</v>
      </c>
      <c r="EE21" s="0" t="s">
        <v>584</v>
      </c>
      <c r="EF21" s="0" t="s">
        <v>583</v>
      </c>
      <c r="EG21" s="0" t="n">
        <v>100000</v>
      </c>
      <c r="EH21" s="0" t="n">
        <v>100000</v>
      </c>
      <c r="EI21" s="0" t="n">
        <v>100000</v>
      </c>
      <c r="EJ21" s="0" t="n">
        <v>100000</v>
      </c>
      <c r="EL21" s="0" t="s">
        <v>2834</v>
      </c>
      <c r="EM21" s="0" t="s">
        <v>2216</v>
      </c>
      <c r="EN21" s="0" t="s">
        <v>2525</v>
      </c>
      <c r="EO21" s="0" t="n">
        <v>5</v>
      </c>
      <c r="EP21" s="0" t="s">
        <v>2552</v>
      </c>
      <c r="EQ21" s="0" t="s">
        <v>2835</v>
      </c>
      <c r="ER21" s="0" t="s">
        <v>2836</v>
      </c>
      <c r="ES21" s="0" t="n">
        <v>48230</v>
      </c>
      <c r="ET21" s="0" t="n">
        <v>63660</v>
      </c>
      <c r="EU21" s="0" t="n">
        <v>69450</v>
      </c>
      <c r="EV21" s="0" t="n">
        <v>69450</v>
      </c>
      <c r="EX21" s="0" t="s">
        <v>2837</v>
      </c>
      <c r="EY21" s="0" t="s">
        <v>2532</v>
      </c>
      <c r="EZ21" s="0" t="s">
        <v>25</v>
      </c>
      <c r="FA21" s="0" t="s">
        <v>2533</v>
      </c>
      <c r="GD21" s="0" t="s">
        <v>2820</v>
      </c>
      <c r="GE21" s="0" t="s">
        <v>2535</v>
      </c>
      <c r="GF21" s="0" t="s">
        <v>121</v>
      </c>
      <c r="GG21" s="0" t="s">
        <v>121</v>
      </c>
      <c r="GH21" s="0" t="n">
        <v>0</v>
      </c>
      <c r="GI21" s="0" t="n">
        <v>0</v>
      </c>
      <c r="GJ21" s="0" t="n">
        <v>0</v>
      </c>
      <c r="GK21" s="0" t="n">
        <v>0</v>
      </c>
      <c r="GL21" s="0" t="n">
        <v>0</v>
      </c>
      <c r="GM21" s="0" t="n">
        <v>0</v>
      </c>
      <c r="GN21" s="0" t="n">
        <v>1</v>
      </c>
      <c r="GO21" s="0" t="s">
        <v>2556</v>
      </c>
      <c r="GP21" s="0" t="s">
        <v>87</v>
      </c>
      <c r="GQ21" s="0" t="n">
        <v>26</v>
      </c>
      <c r="GR21" s="0" t="s">
        <v>2537</v>
      </c>
      <c r="GS21" s="0" t="s">
        <v>2821</v>
      </c>
      <c r="HA21" s="0" t="s">
        <v>2838</v>
      </c>
      <c r="HB21" s="0" t="s">
        <v>82</v>
      </c>
      <c r="HC21" s="0" t="s">
        <v>2839</v>
      </c>
      <c r="HD21" s="0" t="s">
        <v>96</v>
      </c>
      <c r="HE21" s="0" t="n">
        <v>20379.68</v>
      </c>
      <c r="HF21" s="0" t="n">
        <v>34485.01</v>
      </c>
      <c r="HG21" s="0" t="n">
        <v>25687.6153846154</v>
      </c>
      <c r="HH21" s="0" t="n">
        <v>22868.6375</v>
      </c>
      <c r="HI21" s="0" t="n">
        <v>23652.2</v>
      </c>
      <c r="HJ21" s="0" t="n">
        <v>28893.0925</v>
      </c>
    </row>
    <row r="22" customFormat="false" ht="15" hidden="false" customHeight="false" outlineLevel="0" collapsed="false">
      <c r="CQ22" s="0" t="s">
        <v>2840</v>
      </c>
      <c r="CR22" s="0" t="s">
        <v>82</v>
      </c>
      <c r="CS22" s="0" t="s">
        <v>249</v>
      </c>
      <c r="CT22" s="0" t="s">
        <v>247</v>
      </c>
      <c r="CU22" s="0" t="s">
        <v>81</v>
      </c>
      <c r="CV22" s="0" t="s">
        <v>248</v>
      </c>
      <c r="CW22" s="0" t="n">
        <v>53.85</v>
      </c>
      <c r="CX22" s="0" t="n">
        <v>1</v>
      </c>
      <c r="CY22" s="0" t="n">
        <v>1</v>
      </c>
      <c r="CZ22" s="0" t="n">
        <v>1</v>
      </c>
      <c r="DA22" s="0" t="n">
        <v>370</v>
      </c>
      <c r="DB22" s="0" t="n">
        <v>310</v>
      </c>
      <c r="DC22" s="0" t="n">
        <v>340</v>
      </c>
      <c r="DD22" s="0" t="n">
        <v>370</v>
      </c>
      <c r="DE22" s="0" t="n">
        <v>370</v>
      </c>
      <c r="DG22" s="0" t="s">
        <v>2841</v>
      </c>
      <c r="DH22" s="0" t="s">
        <v>82</v>
      </c>
      <c r="DI22" s="0" t="s">
        <v>782</v>
      </c>
      <c r="DJ22" s="0" t="s">
        <v>783</v>
      </c>
      <c r="DK22" s="0" t="s">
        <v>705</v>
      </c>
      <c r="DL22" s="0" t="n">
        <v>96.15</v>
      </c>
      <c r="DM22" s="0" t="s">
        <v>676</v>
      </c>
      <c r="DN22" s="0" t="s">
        <v>675</v>
      </c>
      <c r="DO22" s="0" t="n">
        <v>0</v>
      </c>
      <c r="DP22" s="0" t="n">
        <v>0</v>
      </c>
      <c r="DQ22" s="0" t="n">
        <v>245</v>
      </c>
      <c r="DR22" s="0" t="s">
        <v>2842</v>
      </c>
      <c r="DT22" s="0" t="s">
        <v>125</v>
      </c>
      <c r="DU22" s="0" t="s">
        <v>2843</v>
      </c>
      <c r="DV22" s="0" t="s">
        <v>2844</v>
      </c>
      <c r="DW22" s="0" t="s">
        <v>2845</v>
      </c>
      <c r="DX22" s="0" t="s">
        <v>2710</v>
      </c>
      <c r="DY22" s="0" t="s">
        <v>2711</v>
      </c>
      <c r="DZ22" s="0" t="n">
        <v>43</v>
      </c>
      <c r="EB22" s="0" t="s">
        <v>2846</v>
      </c>
      <c r="EC22" s="0" t="s">
        <v>2216</v>
      </c>
      <c r="ED22" s="0" t="s">
        <v>2525</v>
      </c>
      <c r="EE22" s="0" t="s">
        <v>330</v>
      </c>
      <c r="EF22" s="0" t="s">
        <v>331</v>
      </c>
      <c r="EG22" s="0" t="n">
        <v>1050</v>
      </c>
      <c r="EH22" s="0" t="n">
        <v>1160</v>
      </c>
      <c r="EI22" s="0" t="n">
        <v>1250</v>
      </c>
      <c r="EJ22" s="0" t="n">
        <v>1250</v>
      </c>
      <c r="EL22" s="0" t="s">
        <v>2847</v>
      </c>
      <c r="EM22" s="0" t="s">
        <v>2216</v>
      </c>
      <c r="EN22" s="0" t="s">
        <v>2525</v>
      </c>
      <c r="EO22" s="0" t="n">
        <v>5.5</v>
      </c>
      <c r="EP22" s="0" t="s">
        <v>2528</v>
      </c>
      <c r="EQ22" s="0" t="s">
        <v>2848</v>
      </c>
      <c r="ER22" s="0" t="s">
        <v>2849</v>
      </c>
      <c r="ES22" s="0" t="n">
        <v>48570</v>
      </c>
      <c r="ET22" s="0" t="n">
        <v>53670</v>
      </c>
      <c r="EU22" s="0" t="n">
        <v>57970</v>
      </c>
      <c r="EV22" s="0" t="n">
        <v>57970</v>
      </c>
      <c r="EX22" s="0" t="s">
        <v>2850</v>
      </c>
      <c r="EY22" s="0" t="s">
        <v>2532</v>
      </c>
      <c r="EZ22" s="0" t="s">
        <v>25</v>
      </c>
      <c r="FA22" s="0" t="s">
        <v>2533</v>
      </c>
      <c r="GD22" s="0" t="s">
        <v>2820</v>
      </c>
      <c r="GE22" s="0" t="s">
        <v>2535</v>
      </c>
      <c r="GF22" s="0" t="s">
        <v>121</v>
      </c>
      <c r="GG22" s="0" t="s">
        <v>125</v>
      </c>
      <c r="GH22" s="0" t="n">
        <v>0</v>
      </c>
      <c r="GI22" s="0" t="n">
        <v>0</v>
      </c>
      <c r="GJ22" s="0" t="n">
        <v>0</v>
      </c>
      <c r="GK22" s="0" t="n">
        <v>0</v>
      </c>
      <c r="GL22" s="0" t="n">
        <v>0</v>
      </c>
      <c r="GM22" s="0" t="n">
        <v>0</v>
      </c>
      <c r="GN22" s="0" t="n">
        <v>1</v>
      </c>
      <c r="GO22" s="0" t="s">
        <v>2556</v>
      </c>
      <c r="GP22" s="0" t="s">
        <v>87</v>
      </c>
      <c r="GQ22" s="0" t="n">
        <v>26</v>
      </c>
      <c r="GR22" s="0" t="s">
        <v>2537</v>
      </c>
      <c r="GS22" s="0" t="s">
        <v>2821</v>
      </c>
      <c r="HA22" s="0" t="s">
        <v>2851</v>
      </c>
      <c r="HB22" s="0" t="s">
        <v>82</v>
      </c>
      <c r="HC22" s="0" t="s">
        <v>2852</v>
      </c>
      <c r="HD22" s="0" t="s">
        <v>2345</v>
      </c>
      <c r="HE22" s="0" t="n">
        <v>279404</v>
      </c>
      <c r="HF22" s="0" t="n">
        <v>391128</v>
      </c>
      <c r="HG22" s="0" t="n">
        <v>325114.615384615</v>
      </c>
      <c r="HH22" s="0" t="n">
        <v>314774.5</v>
      </c>
      <c r="HI22" s="0" t="n">
        <v>321609</v>
      </c>
      <c r="HJ22" s="0" t="n">
        <v>331811.5</v>
      </c>
    </row>
    <row r="23" customFormat="false" ht="15" hidden="false" customHeight="false" outlineLevel="0" collapsed="false">
      <c r="A23" s="5" t="s">
        <v>2853</v>
      </c>
      <c r="CQ23" s="0" t="s">
        <v>2854</v>
      </c>
      <c r="CR23" s="0" t="s">
        <v>82</v>
      </c>
      <c r="CS23" s="0" t="s">
        <v>293</v>
      </c>
      <c r="CT23" s="0" t="s">
        <v>291</v>
      </c>
      <c r="CU23" s="0" t="s">
        <v>81</v>
      </c>
      <c r="CV23" s="0" t="s">
        <v>292</v>
      </c>
      <c r="CW23" s="0" t="n">
        <v>3.85</v>
      </c>
      <c r="CX23" s="0" t="n">
        <v>1</v>
      </c>
      <c r="CY23" s="0" t="n">
        <v>1</v>
      </c>
      <c r="CZ23" s="0" t="n">
        <v>1</v>
      </c>
      <c r="DA23" s="0" t="n">
        <v>460</v>
      </c>
      <c r="DB23" s="0" t="n">
        <v>330</v>
      </c>
      <c r="DC23" s="0" t="n">
        <v>370</v>
      </c>
      <c r="DD23" s="0" t="n">
        <v>400</v>
      </c>
      <c r="DE23" s="0" t="n">
        <v>400</v>
      </c>
      <c r="DG23" s="0" t="s">
        <v>2855</v>
      </c>
      <c r="DH23" s="0" t="s">
        <v>82</v>
      </c>
      <c r="DI23" s="0" t="s">
        <v>786</v>
      </c>
      <c r="DJ23" s="0" t="s">
        <v>787</v>
      </c>
      <c r="DK23" s="0" t="s">
        <v>705</v>
      </c>
      <c r="DL23" s="0" t="n">
        <v>96.15</v>
      </c>
      <c r="DM23" s="0" t="s">
        <v>676</v>
      </c>
      <c r="DN23" s="0" t="s">
        <v>676</v>
      </c>
      <c r="DO23" s="0" t="n">
        <v>1</v>
      </c>
      <c r="DP23" s="0" t="n">
        <v>1416.94</v>
      </c>
      <c r="DQ23" s="0" t="n">
        <v>1416.94</v>
      </c>
      <c r="DR23" s="0" t="s">
        <v>2856</v>
      </c>
      <c r="DT23" s="0" t="s">
        <v>125</v>
      </c>
      <c r="DU23" s="0" t="s">
        <v>2857</v>
      </c>
      <c r="DV23" s="0" t="s">
        <v>2858</v>
      </c>
      <c r="DW23" s="0" t="s">
        <v>2859</v>
      </c>
      <c r="DX23" s="0" t="s">
        <v>2710</v>
      </c>
      <c r="DY23" s="0" t="s">
        <v>2711</v>
      </c>
      <c r="DZ23" s="0" t="n">
        <v>36</v>
      </c>
      <c r="EB23" s="0" t="s">
        <v>2860</v>
      </c>
      <c r="EC23" s="0" t="s">
        <v>2216</v>
      </c>
      <c r="ED23" s="0" t="s">
        <v>2525</v>
      </c>
      <c r="EE23" s="0" t="s">
        <v>334</v>
      </c>
      <c r="EF23" s="0" t="s">
        <v>335</v>
      </c>
      <c r="EG23" s="0" t="n">
        <v>380</v>
      </c>
      <c r="EH23" s="0" t="n">
        <v>420</v>
      </c>
      <c r="EI23" s="0" t="n">
        <v>460</v>
      </c>
      <c r="EJ23" s="0" t="n">
        <v>460</v>
      </c>
      <c r="EL23" s="0" t="s">
        <v>2861</v>
      </c>
      <c r="EM23" s="0" t="s">
        <v>2216</v>
      </c>
      <c r="EN23" s="0" t="s">
        <v>2525</v>
      </c>
      <c r="EO23" s="0" t="n">
        <v>5.5</v>
      </c>
      <c r="EP23" s="0" t="s">
        <v>2552</v>
      </c>
      <c r="EQ23" s="0" t="s">
        <v>2862</v>
      </c>
      <c r="ER23" s="0" t="s">
        <v>2863</v>
      </c>
      <c r="ES23" s="0" t="n">
        <v>50900</v>
      </c>
      <c r="ET23" s="0" t="n">
        <v>67190</v>
      </c>
      <c r="EU23" s="0" t="n">
        <v>73300</v>
      </c>
      <c r="EV23" s="0" t="n">
        <v>73300</v>
      </c>
      <c r="EX23" s="0" t="s">
        <v>2864</v>
      </c>
      <c r="EY23" s="0" t="s">
        <v>2532</v>
      </c>
      <c r="EZ23" s="0" t="s">
        <v>25</v>
      </c>
      <c r="FA23" s="0" t="s">
        <v>2533</v>
      </c>
      <c r="GD23" s="0" t="s">
        <v>2820</v>
      </c>
      <c r="GE23" s="0" t="s">
        <v>2535</v>
      </c>
      <c r="GF23" s="0" t="s">
        <v>121</v>
      </c>
      <c r="GG23" s="0" t="s">
        <v>85</v>
      </c>
      <c r="GH23" s="0" t="n">
        <v>0</v>
      </c>
      <c r="GI23" s="0" t="n">
        <v>0</v>
      </c>
      <c r="GJ23" s="0" t="n">
        <v>0</v>
      </c>
      <c r="GK23" s="0" t="n">
        <v>0</v>
      </c>
      <c r="GL23" s="0" t="n">
        <v>0</v>
      </c>
      <c r="GM23" s="0" t="n">
        <v>0</v>
      </c>
      <c r="GN23" s="0" t="n">
        <v>1</v>
      </c>
      <c r="GO23" s="0" t="s">
        <v>2556</v>
      </c>
      <c r="GP23" s="0" t="s">
        <v>87</v>
      </c>
      <c r="GQ23" s="0" t="n">
        <v>26</v>
      </c>
      <c r="GR23" s="0" t="s">
        <v>2537</v>
      </c>
      <c r="GS23" s="0" t="s">
        <v>2821</v>
      </c>
      <c r="HA23" s="0" t="s">
        <v>2865</v>
      </c>
      <c r="HB23" s="0" t="s">
        <v>82</v>
      </c>
      <c r="HC23" s="0" t="s">
        <v>2866</v>
      </c>
      <c r="HD23" s="0" t="s">
        <v>2346</v>
      </c>
      <c r="HE23" s="0" t="n">
        <v>0</v>
      </c>
      <c r="HF23" s="0" t="n">
        <v>0</v>
      </c>
      <c r="HG23" s="0" t="n">
        <v>0</v>
      </c>
      <c r="HH23" s="0" t="n">
        <v>0</v>
      </c>
      <c r="HI23" s="0" t="n">
        <v>0</v>
      </c>
      <c r="HJ23" s="0" t="n">
        <v>0</v>
      </c>
    </row>
    <row r="24" customFormat="false" ht="15" hidden="false" customHeight="false" outlineLevel="0" collapsed="false">
      <c r="A24" s="15" t="s">
        <v>2542</v>
      </c>
      <c r="B24" s="15" t="s">
        <v>2512</v>
      </c>
      <c r="C24" s="15" t="s">
        <v>2513</v>
      </c>
      <c r="D24" s="15" t="s">
        <v>2514</v>
      </c>
      <c r="CQ24" s="0" t="s">
        <v>2867</v>
      </c>
      <c r="CR24" s="0" t="s">
        <v>82</v>
      </c>
      <c r="CS24" s="0" t="s">
        <v>330</v>
      </c>
      <c r="CT24" s="0" t="s">
        <v>331</v>
      </c>
      <c r="CU24" s="0" t="s">
        <v>81</v>
      </c>
      <c r="CV24" s="0" t="s">
        <v>248</v>
      </c>
      <c r="CW24" s="0" t="n">
        <v>96.15</v>
      </c>
      <c r="CX24" s="0" t="n">
        <v>1</v>
      </c>
      <c r="CY24" s="0" t="n">
        <v>1</v>
      </c>
      <c r="CZ24" s="0" t="n">
        <v>1</v>
      </c>
      <c r="DA24" s="0" t="n">
        <v>1250</v>
      </c>
      <c r="DB24" s="0" t="n">
        <v>1050</v>
      </c>
      <c r="DC24" s="0" t="n">
        <v>1160</v>
      </c>
      <c r="DD24" s="0" t="n">
        <v>1250</v>
      </c>
      <c r="DE24" s="0" t="n">
        <v>1250</v>
      </c>
      <c r="DG24" s="0" t="s">
        <v>2868</v>
      </c>
      <c r="DH24" s="0" t="s">
        <v>82</v>
      </c>
      <c r="DI24" s="0" t="s">
        <v>791</v>
      </c>
      <c r="DJ24" s="0" t="s">
        <v>792</v>
      </c>
      <c r="DK24" s="0" t="s">
        <v>705</v>
      </c>
      <c r="DL24" s="0" t="n">
        <v>96.15</v>
      </c>
      <c r="DM24" s="0" t="s">
        <v>676</v>
      </c>
      <c r="DN24" s="0" t="s">
        <v>676</v>
      </c>
      <c r="DO24" s="0" t="n">
        <v>0</v>
      </c>
      <c r="DP24" s="0" t="n">
        <v>0</v>
      </c>
      <c r="DQ24" s="0" t="n">
        <v>871.5</v>
      </c>
      <c r="DR24" s="0" t="s">
        <v>2869</v>
      </c>
      <c r="DT24" s="0" t="s">
        <v>125</v>
      </c>
      <c r="DU24" s="0" t="s">
        <v>2870</v>
      </c>
      <c r="DV24" s="0" t="s">
        <v>2871</v>
      </c>
      <c r="DW24" s="0" t="s">
        <v>2872</v>
      </c>
      <c r="DX24" s="0" t="s">
        <v>2873</v>
      </c>
      <c r="DY24" s="0" t="s">
        <v>2874</v>
      </c>
      <c r="DZ24" s="0" t="n">
        <v>36</v>
      </c>
      <c r="EB24" s="0" t="s">
        <v>2875</v>
      </c>
      <c r="EC24" s="0" t="s">
        <v>2216</v>
      </c>
      <c r="ED24" s="0" t="s">
        <v>2525</v>
      </c>
      <c r="EE24" s="0" t="s">
        <v>582</v>
      </c>
      <c r="EF24" s="0" t="s">
        <v>580</v>
      </c>
      <c r="EG24" s="0" t="n">
        <v>2030</v>
      </c>
      <c r="EH24" s="0" t="n">
        <v>2210</v>
      </c>
      <c r="EI24" s="0" t="n">
        <v>2380</v>
      </c>
      <c r="EJ24" s="0" t="n">
        <v>2560</v>
      </c>
      <c r="EL24" s="0" t="s">
        <v>2876</v>
      </c>
      <c r="EM24" s="0" t="s">
        <v>2216</v>
      </c>
      <c r="EN24" s="0" t="s">
        <v>2525</v>
      </c>
      <c r="EO24" s="0" t="n">
        <v>6</v>
      </c>
      <c r="EP24" s="0" t="s">
        <v>2528</v>
      </c>
      <c r="EQ24" s="0" t="s">
        <v>2877</v>
      </c>
      <c r="ER24" s="0" t="s">
        <v>2878</v>
      </c>
      <c r="ES24" s="0" t="n">
        <v>50740</v>
      </c>
      <c r="ET24" s="0" t="n">
        <v>56040</v>
      </c>
      <c r="EU24" s="0" t="n">
        <v>60560</v>
      </c>
      <c r="EV24" s="0" t="n">
        <v>60560</v>
      </c>
      <c r="GD24" s="0" t="s">
        <v>2820</v>
      </c>
      <c r="GE24" s="0" t="s">
        <v>2535</v>
      </c>
      <c r="GF24" s="0" t="s">
        <v>121</v>
      </c>
      <c r="GG24" s="0" t="s">
        <v>86</v>
      </c>
      <c r="GH24" s="0" t="n">
        <v>0</v>
      </c>
      <c r="GI24" s="0" t="n">
        <v>0</v>
      </c>
      <c r="GJ24" s="0" t="n">
        <v>0</v>
      </c>
      <c r="GK24" s="0" t="n">
        <v>0</v>
      </c>
      <c r="GL24" s="0" t="n">
        <v>0</v>
      </c>
      <c r="GM24" s="0" t="n">
        <v>0</v>
      </c>
      <c r="GN24" s="0" t="n">
        <v>1</v>
      </c>
      <c r="GO24" s="0" t="s">
        <v>2556</v>
      </c>
      <c r="GP24" s="0" t="s">
        <v>87</v>
      </c>
      <c r="GQ24" s="0" t="n">
        <v>26</v>
      </c>
      <c r="GR24" s="0" t="s">
        <v>2537</v>
      </c>
      <c r="GS24" s="0" t="s">
        <v>2821</v>
      </c>
      <c r="HA24" s="0" t="s">
        <v>2879</v>
      </c>
      <c r="HB24" s="0" t="s">
        <v>82</v>
      </c>
      <c r="HC24" s="0" t="s">
        <v>2880</v>
      </c>
      <c r="HD24" s="0" t="s">
        <v>2347</v>
      </c>
      <c r="HE24" s="0" t="n">
        <v>381.3</v>
      </c>
      <c r="HF24" s="0" t="n">
        <v>7755.38</v>
      </c>
      <c r="HG24" s="0" t="n">
        <v>2376.79</v>
      </c>
      <c r="HH24" s="0" t="n">
        <v>1144.8375</v>
      </c>
      <c r="HI24" s="0" t="n">
        <v>1914.83</v>
      </c>
      <c r="HJ24" s="0" t="n">
        <v>2778.05</v>
      </c>
    </row>
    <row r="25" customFormat="false" ht="15" hidden="false" customHeight="false" outlineLevel="0" collapsed="false">
      <c r="A25" s="0" t="s">
        <v>2881</v>
      </c>
      <c r="B25" s="0" t="n">
        <v>36.25</v>
      </c>
      <c r="C25" s="0" t="n">
        <v>39</v>
      </c>
      <c r="D25" s="0" t="n">
        <v>41</v>
      </c>
      <c r="CQ25" s="0" t="s">
        <v>2882</v>
      </c>
      <c r="CR25" s="0" t="s">
        <v>82</v>
      </c>
      <c r="CS25" s="0" t="s">
        <v>334</v>
      </c>
      <c r="CT25" s="0" t="s">
        <v>335</v>
      </c>
      <c r="CU25" s="0" t="s">
        <v>81</v>
      </c>
      <c r="CV25" s="0" t="s">
        <v>248</v>
      </c>
      <c r="CW25" s="0" t="n">
        <v>88.46</v>
      </c>
      <c r="CX25" s="0" t="n">
        <v>1</v>
      </c>
      <c r="CY25" s="0" t="n">
        <v>1</v>
      </c>
      <c r="CZ25" s="0" t="n">
        <v>1</v>
      </c>
      <c r="DA25" s="0" t="n">
        <v>460</v>
      </c>
      <c r="DB25" s="0" t="n">
        <v>380</v>
      </c>
      <c r="DC25" s="0" t="n">
        <v>420</v>
      </c>
      <c r="DD25" s="0" t="n">
        <v>460</v>
      </c>
      <c r="DE25" s="0" t="n">
        <v>460</v>
      </c>
      <c r="DG25" s="0" t="s">
        <v>2883</v>
      </c>
      <c r="DH25" s="0" t="s">
        <v>82</v>
      </c>
      <c r="DI25" s="0" t="s">
        <v>794</v>
      </c>
      <c r="DJ25" s="0" t="s">
        <v>795</v>
      </c>
      <c r="DK25" s="0" t="s">
        <v>705</v>
      </c>
      <c r="DL25" s="0" t="n">
        <v>96.15</v>
      </c>
      <c r="DM25" s="0" t="s">
        <v>676</v>
      </c>
      <c r="DN25" s="0" t="s">
        <v>676</v>
      </c>
      <c r="DO25" s="0" t="n">
        <v>2</v>
      </c>
      <c r="DP25" s="0" t="n">
        <v>50.62</v>
      </c>
      <c r="DQ25" s="0" t="n">
        <v>126.25</v>
      </c>
      <c r="DR25" s="0" t="s">
        <v>2884</v>
      </c>
      <c r="DT25" s="0" t="s">
        <v>125</v>
      </c>
      <c r="DU25" s="0" t="s">
        <v>2885</v>
      </c>
      <c r="DV25" s="0" t="s">
        <v>2886</v>
      </c>
      <c r="DW25" s="0" t="s">
        <v>2887</v>
      </c>
      <c r="DX25" s="0" t="s">
        <v>2216</v>
      </c>
      <c r="DY25" s="0" t="s">
        <v>2525</v>
      </c>
      <c r="DZ25" s="0" t="n">
        <v>33</v>
      </c>
      <c r="EB25" s="0" t="s">
        <v>2888</v>
      </c>
      <c r="EC25" s="0" t="s">
        <v>2216</v>
      </c>
      <c r="ED25" s="0" t="s">
        <v>2525</v>
      </c>
      <c r="EE25" s="0" t="s">
        <v>579</v>
      </c>
      <c r="EF25" s="0" t="s">
        <v>2889</v>
      </c>
      <c r="EG25" s="0" t="n">
        <v>1300</v>
      </c>
      <c r="EH25" s="0" t="n">
        <v>1300</v>
      </c>
      <c r="EI25" s="0" t="n">
        <v>1300</v>
      </c>
      <c r="EJ25" s="0" t="n">
        <v>1300</v>
      </c>
      <c r="EL25" s="0" t="s">
        <v>2890</v>
      </c>
      <c r="EM25" s="0" t="s">
        <v>2216</v>
      </c>
      <c r="EN25" s="0" t="s">
        <v>2525</v>
      </c>
      <c r="EO25" s="0" t="n">
        <v>6</v>
      </c>
      <c r="EP25" s="0" t="s">
        <v>2552</v>
      </c>
      <c r="EQ25" s="0" t="s">
        <v>2891</v>
      </c>
      <c r="ER25" s="0" t="s">
        <v>2892</v>
      </c>
      <c r="ES25" s="0" t="n">
        <v>53180</v>
      </c>
      <c r="ET25" s="0" t="n">
        <v>70200</v>
      </c>
      <c r="EU25" s="0" t="n">
        <v>76580</v>
      </c>
      <c r="EV25" s="0" t="n">
        <v>76580</v>
      </c>
      <c r="GD25" s="0" t="s">
        <v>2820</v>
      </c>
      <c r="GE25" s="0" t="s">
        <v>2535</v>
      </c>
      <c r="GF25" s="0" t="s">
        <v>121</v>
      </c>
      <c r="GG25" s="0" t="s">
        <v>87</v>
      </c>
      <c r="GH25" s="0" t="n">
        <v>26</v>
      </c>
      <c r="GI25" s="0" t="n">
        <v>36.25</v>
      </c>
      <c r="GJ25" s="0" t="n">
        <v>39</v>
      </c>
      <c r="GK25" s="0" t="n">
        <v>41</v>
      </c>
      <c r="GL25" s="0" t="n">
        <v>0.1218</v>
      </c>
      <c r="GM25" s="0" t="n">
        <v>39</v>
      </c>
      <c r="GN25" s="0" t="n">
        <v>0</v>
      </c>
      <c r="GO25" s="0" t="s">
        <v>2893</v>
      </c>
      <c r="GP25" s="0" t="s">
        <v>87</v>
      </c>
      <c r="GQ25" s="0" t="n">
        <v>26</v>
      </c>
      <c r="GR25" s="0" t="s">
        <v>2537</v>
      </c>
      <c r="GS25" s="0" t="s">
        <v>2821</v>
      </c>
      <c r="HA25" s="0" t="s">
        <v>2894</v>
      </c>
      <c r="HB25" s="0" t="s">
        <v>82</v>
      </c>
      <c r="HC25" s="0" t="s">
        <v>2895</v>
      </c>
      <c r="HD25" s="0" t="s">
        <v>150</v>
      </c>
      <c r="HE25" s="0" t="n">
        <v>490629.41</v>
      </c>
      <c r="HF25" s="0" t="n">
        <v>640625.13</v>
      </c>
      <c r="HG25" s="0" t="n">
        <v>556303.161923077</v>
      </c>
      <c r="HH25" s="0" t="n">
        <v>520489.6525</v>
      </c>
      <c r="HI25" s="0" t="n">
        <v>539491.34</v>
      </c>
      <c r="HJ25" s="0" t="n">
        <v>596680.1275</v>
      </c>
    </row>
    <row r="26" customFormat="false" ht="15" hidden="false" customHeight="false" outlineLevel="0" collapsed="false">
      <c r="CQ26" s="0" t="s">
        <v>2896</v>
      </c>
      <c r="CR26" s="0" t="s">
        <v>82</v>
      </c>
      <c r="CS26" s="0" t="s">
        <v>280</v>
      </c>
      <c r="CT26" s="0" t="s">
        <v>279</v>
      </c>
      <c r="CU26" s="0" t="s">
        <v>81</v>
      </c>
      <c r="CV26" s="0" t="s">
        <v>248</v>
      </c>
      <c r="CW26" s="0" t="n">
        <v>3.85</v>
      </c>
      <c r="CX26" s="0" t="n">
        <v>1</v>
      </c>
      <c r="CY26" s="0" t="n">
        <v>1</v>
      </c>
      <c r="CZ26" s="0" t="n">
        <v>1</v>
      </c>
      <c r="DA26" s="0" t="n">
        <v>545</v>
      </c>
      <c r="DB26" s="0" t="n">
        <v>860</v>
      </c>
      <c r="DC26" s="0" t="n">
        <v>950</v>
      </c>
      <c r="DD26" s="0" t="n">
        <v>1020</v>
      </c>
      <c r="DE26" s="0" t="n">
        <v>1020</v>
      </c>
      <c r="DG26" s="0" t="s">
        <v>2897</v>
      </c>
      <c r="DH26" s="0" t="s">
        <v>82</v>
      </c>
      <c r="DI26" s="0" t="s">
        <v>802</v>
      </c>
      <c r="DJ26" s="0" t="s">
        <v>803</v>
      </c>
      <c r="DK26" s="0" t="s">
        <v>674</v>
      </c>
      <c r="DL26" s="0" t="n">
        <v>92.31</v>
      </c>
      <c r="DM26" s="0" t="s">
        <v>676</v>
      </c>
      <c r="DN26" s="0" t="s">
        <v>676</v>
      </c>
      <c r="DO26" s="0" t="n">
        <v>1</v>
      </c>
      <c r="DP26" s="0" t="n">
        <v>313.12</v>
      </c>
      <c r="DQ26" s="0" t="n">
        <v>313.12</v>
      </c>
      <c r="DR26" s="0" t="s">
        <v>2898</v>
      </c>
      <c r="DT26" s="0" t="s">
        <v>125</v>
      </c>
      <c r="DU26" s="0" t="s">
        <v>2899</v>
      </c>
      <c r="DV26" s="0" t="s">
        <v>2900</v>
      </c>
      <c r="DW26" s="0" t="s">
        <v>2901</v>
      </c>
      <c r="DX26" s="0" t="s">
        <v>2710</v>
      </c>
      <c r="DY26" s="0" t="s">
        <v>2711</v>
      </c>
      <c r="DZ26" s="0" t="n">
        <v>32</v>
      </c>
      <c r="EB26" s="0" t="s">
        <v>2902</v>
      </c>
      <c r="EC26" s="0" t="s">
        <v>2216</v>
      </c>
      <c r="ED26" s="0" t="s">
        <v>2525</v>
      </c>
      <c r="EE26" s="0" t="s">
        <v>575</v>
      </c>
      <c r="EF26" s="0" t="s">
        <v>573</v>
      </c>
      <c r="EG26" s="0" t="n">
        <v>2000</v>
      </c>
      <c r="EH26" s="0" t="n">
        <v>2000</v>
      </c>
      <c r="EI26" s="0" t="n">
        <v>2000</v>
      </c>
      <c r="EJ26" s="0" t="n">
        <v>2000</v>
      </c>
      <c r="EL26" s="0" t="s">
        <v>2903</v>
      </c>
      <c r="EM26" s="0" t="s">
        <v>2216</v>
      </c>
      <c r="EN26" s="0" t="s">
        <v>2525</v>
      </c>
      <c r="EO26" s="0" t="n">
        <v>6.5</v>
      </c>
      <c r="EP26" s="0" t="s">
        <v>2528</v>
      </c>
      <c r="EQ26" s="0" t="s">
        <v>2904</v>
      </c>
      <c r="ER26" s="0" t="s">
        <v>2905</v>
      </c>
      <c r="ES26" s="0" t="n">
        <v>52550</v>
      </c>
      <c r="ET26" s="0" t="n">
        <v>58050</v>
      </c>
      <c r="EU26" s="0" t="n">
        <v>62730</v>
      </c>
      <c r="EV26" s="0" t="n">
        <v>62730</v>
      </c>
      <c r="GD26" s="0" t="s">
        <v>2906</v>
      </c>
      <c r="GE26" s="0" t="s">
        <v>2634</v>
      </c>
      <c r="GF26" s="0" t="s">
        <v>121</v>
      </c>
      <c r="GG26" s="0" t="s">
        <v>82</v>
      </c>
      <c r="GH26" s="0" t="n">
        <v>26</v>
      </c>
      <c r="GI26" s="0" t="n">
        <v>7802.505</v>
      </c>
      <c r="GJ26" s="0" t="n">
        <v>9060.435</v>
      </c>
      <c r="GK26" s="0" t="n">
        <v>10629.097</v>
      </c>
      <c r="GL26" s="0" t="n">
        <v>0.312</v>
      </c>
      <c r="GM26" s="0" t="n">
        <v>9060.435</v>
      </c>
      <c r="GN26" s="0" t="n">
        <v>0</v>
      </c>
      <c r="GO26" s="0" t="s">
        <v>2616</v>
      </c>
      <c r="GP26" s="0" t="s">
        <v>87</v>
      </c>
      <c r="GQ26" s="0" t="n">
        <v>26</v>
      </c>
      <c r="GR26" s="0" t="s">
        <v>2537</v>
      </c>
      <c r="GS26" s="0" t="s">
        <v>2907</v>
      </c>
      <c r="HA26" s="0" t="s">
        <v>2908</v>
      </c>
      <c r="HB26" s="0" t="s">
        <v>121</v>
      </c>
      <c r="HC26" s="0" t="s">
        <v>2540</v>
      </c>
      <c r="HD26" s="0" t="s">
        <v>142</v>
      </c>
      <c r="HE26" s="0" t="n">
        <v>0</v>
      </c>
      <c r="HF26" s="0" t="n">
        <v>0</v>
      </c>
      <c r="HG26" s="0" t="n">
        <v>0</v>
      </c>
      <c r="HH26" s="0" t="n">
        <v>0</v>
      </c>
      <c r="HI26" s="0" t="n">
        <v>0</v>
      </c>
      <c r="HJ26" s="0" t="n">
        <v>0</v>
      </c>
    </row>
    <row r="27" customFormat="false" ht="15" hidden="false" customHeight="false" outlineLevel="0" collapsed="false">
      <c r="A27" s="5" t="s">
        <v>2909</v>
      </c>
      <c r="CQ27" s="0" t="s">
        <v>2910</v>
      </c>
      <c r="CR27" s="0" t="s">
        <v>82</v>
      </c>
      <c r="CS27" s="0" t="s">
        <v>582</v>
      </c>
      <c r="CT27" s="0" t="s">
        <v>580</v>
      </c>
      <c r="CU27" s="0" t="s">
        <v>581</v>
      </c>
      <c r="CV27" s="0" t="s">
        <v>581</v>
      </c>
      <c r="CW27" s="0" t="n">
        <v>96.15</v>
      </c>
      <c r="CX27" s="0" t="n">
        <v>1</v>
      </c>
      <c r="CY27" s="0" t="n">
        <v>1</v>
      </c>
      <c r="CZ27" s="0" t="n">
        <v>1</v>
      </c>
      <c r="DA27" s="0" t="n">
        <v>2560</v>
      </c>
      <c r="DB27" s="0" t="n">
        <v>2030</v>
      </c>
      <c r="DC27" s="0" t="n">
        <v>2210</v>
      </c>
      <c r="DD27" s="0" t="n">
        <v>2380</v>
      </c>
      <c r="DE27" s="0" t="n">
        <v>2560</v>
      </c>
      <c r="DG27" s="0" t="s">
        <v>2911</v>
      </c>
      <c r="DH27" s="0" t="s">
        <v>82</v>
      </c>
      <c r="DI27" s="0" t="s">
        <v>807</v>
      </c>
      <c r="DJ27" s="0" t="s">
        <v>808</v>
      </c>
      <c r="DK27" s="0" t="s">
        <v>674</v>
      </c>
      <c r="DL27" s="0" t="n">
        <v>92.31</v>
      </c>
      <c r="DM27" s="0" t="s">
        <v>675</v>
      </c>
      <c r="DN27" s="0" t="s">
        <v>676</v>
      </c>
      <c r="DO27" s="0" t="n">
        <v>1</v>
      </c>
      <c r="DP27" s="0" t="n">
        <v>132.15</v>
      </c>
      <c r="DQ27" s="0" t="n">
        <v>132.15</v>
      </c>
      <c r="DR27" s="0" t="s">
        <v>2912</v>
      </c>
      <c r="DT27" s="0" t="s">
        <v>125</v>
      </c>
      <c r="DU27" s="0" t="s">
        <v>2913</v>
      </c>
      <c r="DV27" s="0" t="s">
        <v>2914</v>
      </c>
      <c r="DW27" s="0" t="s">
        <v>2915</v>
      </c>
      <c r="DX27" s="0" t="s">
        <v>2216</v>
      </c>
      <c r="DY27" s="0" t="s">
        <v>2525</v>
      </c>
      <c r="DZ27" s="0" t="n">
        <v>27</v>
      </c>
      <c r="EB27" s="0" t="s">
        <v>2916</v>
      </c>
      <c r="EC27" s="0" t="s">
        <v>2216</v>
      </c>
      <c r="ED27" s="0" t="s">
        <v>2525</v>
      </c>
      <c r="EE27" s="0" t="s">
        <v>2917</v>
      </c>
      <c r="EF27" s="0" t="s">
        <v>2918</v>
      </c>
      <c r="EG27" s="0" t="n">
        <v>3320</v>
      </c>
      <c r="EH27" s="0" t="n">
        <v>3320</v>
      </c>
      <c r="EI27" s="0" t="n">
        <v>3320</v>
      </c>
      <c r="EJ27" s="0" t="n">
        <v>3320</v>
      </c>
      <c r="EL27" s="0" t="s">
        <v>2919</v>
      </c>
      <c r="EM27" s="0" t="s">
        <v>2216</v>
      </c>
      <c r="EN27" s="0" t="s">
        <v>2525</v>
      </c>
      <c r="EO27" s="0" t="n">
        <v>6.5</v>
      </c>
      <c r="EP27" s="0" t="s">
        <v>2552</v>
      </c>
      <c r="EQ27" s="0" t="s">
        <v>2920</v>
      </c>
      <c r="ER27" s="0" t="s">
        <v>2921</v>
      </c>
      <c r="ES27" s="0" t="n">
        <v>55070</v>
      </c>
      <c r="ET27" s="0" t="n">
        <v>72690</v>
      </c>
      <c r="EU27" s="0" t="n">
        <v>79300</v>
      </c>
      <c r="EV27" s="0" t="n">
        <v>79300</v>
      </c>
      <c r="GD27" s="0" t="s">
        <v>2906</v>
      </c>
      <c r="GE27" s="0" t="s">
        <v>2634</v>
      </c>
      <c r="GF27" s="0" t="s">
        <v>121</v>
      </c>
      <c r="GG27" s="0" t="s">
        <v>121</v>
      </c>
      <c r="GH27" s="0" t="n">
        <v>0</v>
      </c>
      <c r="GI27" s="0" t="n">
        <v>0</v>
      </c>
      <c r="GJ27" s="0" t="n">
        <v>0</v>
      </c>
      <c r="GK27" s="0" t="n">
        <v>0</v>
      </c>
      <c r="GL27" s="0" t="n">
        <v>0</v>
      </c>
      <c r="GM27" s="0" t="n">
        <v>0</v>
      </c>
      <c r="GN27" s="0" t="n">
        <v>1</v>
      </c>
      <c r="GO27" s="0" t="s">
        <v>2556</v>
      </c>
      <c r="GP27" s="0" t="s">
        <v>87</v>
      </c>
      <c r="GQ27" s="0" t="n">
        <v>26</v>
      </c>
      <c r="GR27" s="0" t="s">
        <v>2537</v>
      </c>
      <c r="GS27" s="0" t="s">
        <v>2907</v>
      </c>
      <c r="HA27" s="0" t="s">
        <v>2922</v>
      </c>
      <c r="HB27" s="0" t="s">
        <v>121</v>
      </c>
      <c r="HC27" s="0" t="s">
        <v>2558</v>
      </c>
      <c r="HD27" s="0" t="s">
        <v>37</v>
      </c>
      <c r="HE27" s="0" t="n">
        <v>0</v>
      </c>
      <c r="HF27" s="0" t="n">
        <v>0</v>
      </c>
      <c r="HG27" s="0" t="n">
        <v>0</v>
      </c>
      <c r="HH27" s="0" t="n">
        <v>0</v>
      </c>
      <c r="HI27" s="0" t="n">
        <v>0</v>
      </c>
      <c r="HJ27" s="0" t="n">
        <v>0</v>
      </c>
    </row>
    <row r="28" customFormat="false" ht="15" hidden="false" customHeight="false" outlineLevel="0" collapsed="false">
      <c r="A28" s="15" t="s">
        <v>2437</v>
      </c>
      <c r="B28" s="15" t="s">
        <v>2438</v>
      </c>
      <c r="C28" s="15" t="s">
        <v>2439</v>
      </c>
      <c r="D28" s="15" t="s">
        <v>2440</v>
      </c>
      <c r="E28" s="15" t="s">
        <v>2441</v>
      </c>
      <c r="F28" s="15" t="s">
        <v>2442</v>
      </c>
      <c r="G28" s="15" t="s">
        <v>2443</v>
      </c>
      <c r="H28" s="15" t="s">
        <v>2444</v>
      </c>
      <c r="I28" s="15" t="s">
        <v>2445</v>
      </c>
      <c r="CQ28" s="0" t="s">
        <v>2923</v>
      </c>
      <c r="CR28" s="0" t="s">
        <v>82</v>
      </c>
      <c r="CS28" s="0" t="s">
        <v>264</v>
      </c>
      <c r="CT28" s="0" t="s">
        <v>262</v>
      </c>
      <c r="CU28" s="0" t="s">
        <v>2252</v>
      </c>
      <c r="CV28" s="0" t="s">
        <v>263</v>
      </c>
      <c r="CW28" s="0" t="n">
        <v>11.54</v>
      </c>
      <c r="CX28" s="0" t="n">
        <v>1</v>
      </c>
      <c r="CY28" s="0" t="n">
        <v>1</v>
      </c>
      <c r="CZ28" s="0" t="n">
        <v>1</v>
      </c>
      <c r="DA28" s="0" t="n">
        <v>810</v>
      </c>
      <c r="DB28" s="0" t="n">
        <v>680</v>
      </c>
      <c r="DC28" s="0" t="n">
        <v>750</v>
      </c>
      <c r="DD28" s="0" t="n">
        <v>810</v>
      </c>
      <c r="DE28" s="0" t="n">
        <v>810</v>
      </c>
      <c r="DG28" s="0" t="s">
        <v>2924</v>
      </c>
      <c r="DH28" s="0" t="s">
        <v>82</v>
      </c>
      <c r="DI28" s="0" t="s">
        <v>812</v>
      </c>
      <c r="DJ28" s="0" t="s">
        <v>813</v>
      </c>
      <c r="DK28" s="0" t="s">
        <v>705</v>
      </c>
      <c r="DL28" s="0" t="n">
        <v>92.31</v>
      </c>
      <c r="DM28" s="0" t="s">
        <v>675</v>
      </c>
      <c r="DN28" s="0" t="s">
        <v>676</v>
      </c>
      <c r="DO28" s="0" t="n">
        <v>1</v>
      </c>
      <c r="DP28" s="0" t="n">
        <v>1130</v>
      </c>
      <c r="DQ28" s="0" t="n">
        <v>1130</v>
      </c>
      <c r="DR28" s="0" t="s">
        <v>2925</v>
      </c>
      <c r="DT28" s="0" t="s">
        <v>125</v>
      </c>
      <c r="DU28" s="0" t="s">
        <v>2926</v>
      </c>
      <c r="DV28" s="0" t="s">
        <v>2927</v>
      </c>
      <c r="DW28" s="0" t="s">
        <v>2928</v>
      </c>
      <c r="DX28" s="0" t="s">
        <v>2929</v>
      </c>
      <c r="DY28" s="0" t="s">
        <v>2930</v>
      </c>
      <c r="DZ28" s="0" t="n">
        <v>23</v>
      </c>
      <c r="EB28" s="0" t="s">
        <v>2931</v>
      </c>
      <c r="EC28" s="0" t="s">
        <v>2216</v>
      </c>
      <c r="ED28" s="0" t="s">
        <v>2525</v>
      </c>
      <c r="EE28" s="0" t="s">
        <v>2932</v>
      </c>
      <c r="EF28" s="0" t="s">
        <v>2933</v>
      </c>
      <c r="EG28" s="0" t="n">
        <v>4660</v>
      </c>
      <c r="EH28" s="0" t="n">
        <v>4660</v>
      </c>
      <c r="EI28" s="0" t="n">
        <v>4660</v>
      </c>
      <c r="EJ28" s="0" t="n">
        <v>4660</v>
      </c>
      <c r="EL28" s="0" t="s">
        <v>2934</v>
      </c>
      <c r="EM28" s="0" t="s">
        <v>2216</v>
      </c>
      <c r="EN28" s="0" t="s">
        <v>2525</v>
      </c>
      <c r="EO28" s="0" t="n">
        <v>7</v>
      </c>
      <c r="EP28" s="0" t="s">
        <v>2528</v>
      </c>
      <c r="EQ28" s="0" t="s">
        <v>2935</v>
      </c>
      <c r="ER28" s="0" t="s">
        <v>2936</v>
      </c>
      <c r="ES28" s="0" t="n">
        <v>53990</v>
      </c>
      <c r="ET28" s="0" t="n">
        <v>59640</v>
      </c>
      <c r="EU28" s="0" t="n">
        <v>64440</v>
      </c>
      <c r="EV28" s="0" t="n">
        <v>64440</v>
      </c>
      <c r="GD28" s="0" t="s">
        <v>2906</v>
      </c>
      <c r="GE28" s="0" t="s">
        <v>2634</v>
      </c>
      <c r="GF28" s="0" t="s">
        <v>121</v>
      </c>
      <c r="GG28" s="0" t="s">
        <v>125</v>
      </c>
      <c r="GH28" s="0" t="n">
        <v>0</v>
      </c>
      <c r="GI28" s="0" t="n">
        <v>0</v>
      </c>
      <c r="GJ28" s="0" t="n">
        <v>0</v>
      </c>
      <c r="GK28" s="0" t="n">
        <v>0</v>
      </c>
      <c r="GL28" s="0" t="n">
        <v>0</v>
      </c>
      <c r="GM28" s="0" t="n">
        <v>0</v>
      </c>
      <c r="GN28" s="0" t="n">
        <v>1</v>
      </c>
      <c r="GO28" s="0" t="s">
        <v>2556</v>
      </c>
      <c r="GP28" s="0" t="s">
        <v>87</v>
      </c>
      <c r="GQ28" s="0" t="n">
        <v>26</v>
      </c>
      <c r="GR28" s="0" t="s">
        <v>2537</v>
      </c>
      <c r="GS28" s="0" t="s">
        <v>2907</v>
      </c>
      <c r="HA28" s="0" t="s">
        <v>2937</v>
      </c>
      <c r="HB28" s="0" t="s">
        <v>121</v>
      </c>
      <c r="HC28" s="0" t="s">
        <v>2572</v>
      </c>
      <c r="HD28" s="0" t="s">
        <v>38</v>
      </c>
      <c r="HE28" s="0" t="n">
        <v>0</v>
      </c>
      <c r="HF28" s="0" t="n">
        <v>0</v>
      </c>
      <c r="HG28" s="0" t="n">
        <v>0</v>
      </c>
      <c r="HH28" s="0" t="n">
        <v>0</v>
      </c>
      <c r="HI28" s="0" t="n">
        <v>0</v>
      </c>
      <c r="HJ28" s="0" t="n">
        <v>0</v>
      </c>
    </row>
    <row r="29" customFormat="false" ht="15" hidden="false" customHeight="false" outlineLevel="0" collapsed="false">
      <c r="A29" s="0" t="s">
        <v>290</v>
      </c>
      <c r="B29" s="0" t="s">
        <v>289</v>
      </c>
      <c r="C29" s="0" t="s">
        <v>81</v>
      </c>
      <c r="D29" s="0" t="s">
        <v>289</v>
      </c>
      <c r="E29" s="0" t="s">
        <v>1750</v>
      </c>
      <c r="F29" s="0" t="s">
        <v>680</v>
      </c>
      <c r="G29" s="0" t="s">
        <v>680</v>
      </c>
      <c r="H29" s="0" t="s">
        <v>680</v>
      </c>
      <c r="I29" s="0" t="s">
        <v>2217</v>
      </c>
      <c r="CQ29" s="0" t="s">
        <v>2938</v>
      </c>
      <c r="CR29" s="0" t="s">
        <v>82</v>
      </c>
      <c r="CS29" s="0" t="s">
        <v>612</v>
      </c>
      <c r="CT29" s="0" t="s">
        <v>2647</v>
      </c>
      <c r="CU29" s="0" t="s">
        <v>2939</v>
      </c>
      <c r="CV29" s="0" t="s">
        <v>277</v>
      </c>
      <c r="CW29" s="0" t="n">
        <v>96.15</v>
      </c>
      <c r="CX29" s="0" t="n">
        <v>1</v>
      </c>
      <c r="CY29" s="0" t="n">
        <v>1</v>
      </c>
      <c r="CZ29" s="0" t="n">
        <v>1</v>
      </c>
      <c r="DA29" s="0" t="n">
        <v>880</v>
      </c>
      <c r="DB29" s="0" t="n">
        <v>740</v>
      </c>
      <c r="DC29" s="0" t="n">
        <v>820</v>
      </c>
      <c r="DD29" s="0" t="n">
        <v>880</v>
      </c>
      <c r="DE29" s="0" t="n">
        <v>880</v>
      </c>
      <c r="DG29" s="0" t="s">
        <v>2940</v>
      </c>
      <c r="DH29" s="0" t="s">
        <v>82</v>
      </c>
      <c r="DI29" s="0" t="s">
        <v>817</v>
      </c>
      <c r="DJ29" s="0" t="s">
        <v>818</v>
      </c>
      <c r="DK29" s="0" t="s">
        <v>705</v>
      </c>
      <c r="DL29" s="0" t="n">
        <v>92.31</v>
      </c>
      <c r="DM29" s="0" t="s">
        <v>676</v>
      </c>
      <c r="DN29" s="0" t="s">
        <v>675</v>
      </c>
      <c r="DO29" s="0" t="n">
        <v>0</v>
      </c>
      <c r="DP29" s="0" t="n">
        <v>0</v>
      </c>
      <c r="DQ29" s="0" t="n">
        <v>595</v>
      </c>
      <c r="DR29" s="0" t="s">
        <v>2941</v>
      </c>
      <c r="DT29" s="0" t="s">
        <v>125</v>
      </c>
      <c r="DU29" s="0" t="s">
        <v>2942</v>
      </c>
      <c r="DV29" s="0" t="s">
        <v>2943</v>
      </c>
      <c r="DW29" s="0" t="s">
        <v>2944</v>
      </c>
      <c r="DX29" s="0" t="s">
        <v>2216</v>
      </c>
      <c r="DY29" s="0" t="s">
        <v>2525</v>
      </c>
      <c r="DZ29" s="0" t="n">
        <v>16</v>
      </c>
      <c r="EB29" s="0" t="s">
        <v>2945</v>
      </c>
      <c r="EC29" s="0" t="s">
        <v>2216</v>
      </c>
      <c r="ED29" s="0" t="s">
        <v>2525</v>
      </c>
      <c r="EE29" s="0" t="s">
        <v>2946</v>
      </c>
      <c r="EF29" s="0" t="s">
        <v>2947</v>
      </c>
      <c r="EG29" s="0" t="n">
        <v>7680</v>
      </c>
      <c r="EH29" s="0" t="n">
        <v>7680</v>
      </c>
      <c r="EI29" s="0" t="n">
        <v>7680</v>
      </c>
      <c r="EJ29" s="0" t="n">
        <v>7680</v>
      </c>
      <c r="EL29" s="0" t="s">
        <v>2948</v>
      </c>
      <c r="EM29" s="0" t="s">
        <v>2216</v>
      </c>
      <c r="EN29" s="0" t="s">
        <v>2525</v>
      </c>
      <c r="EO29" s="0" t="n">
        <v>7</v>
      </c>
      <c r="EP29" s="0" t="s">
        <v>2552</v>
      </c>
      <c r="EQ29" s="0" t="s">
        <v>2949</v>
      </c>
      <c r="ER29" s="0" t="s">
        <v>2950</v>
      </c>
      <c r="ES29" s="0" t="n">
        <v>56570</v>
      </c>
      <c r="ET29" s="0" t="n">
        <v>74670</v>
      </c>
      <c r="EU29" s="0" t="n">
        <v>81460</v>
      </c>
      <c r="EV29" s="0" t="n">
        <v>81460</v>
      </c>
      <c r="GD29" s="0" t="s">
        <v>2906</v>
      </c>
      <c r="GE29" s="0" t="s">
        <v>2634</v>
      </c>
      <c r="GF29" s="0" t="s">
        <v>121</v>
      </c>
      <c r="GG29" s="0" t="s">
        <v>85</v>
      </c>
      <c r="GH29" s="0" t="n">
        <v>0</v>
      </c>
      <c r="GI29" s="0" t="n">
        <v>0</v>
      </c>
      <c r="GJ29" s="0" t="n">
        <v>0</v>
      </c>
      <c r="GK29" s="0" t="n">
        <v>0</v>
      </c>
      <c r="GL29" s="0" t="n">
        <v>0</v>
      </c>
      <c r="GM29" s="0" t="n">
        <v>0</v>
      </c>
      <c r="GN29" s="0" t="n">
        <v>1</v>
      </c>
      <c r="GO29" s="0" t="s">
        <v>2556</v>
      </c>
      <c r="GP29" s="0" t="s">
        <v>87</v>
      </c>
      <c r="GQ29" s="0" t="n">
        <v>26</v>
      </c>
      <c r="GR29" s="0" t="s">
        <v>2537</v>
      </c>
      <c r="GS29" s="0" t="s">
        <v>2907</v>
      </c>
      <c r="HA29" s="0" t="s">
        <v>2951</v>
      </c>
      <c r="HB29" s="0" t="s">
        <v>121</v>
      </c>
      <c r="HC29" s="0" t="s">
        <v>2586</v>
      </c>
      <c r="HD29" s="0" t="s">
        <v>39</v>
      </c>
      <c r="HE29" s="0" t="n">
        <v>0</v>
      </c>
      <c r="HF29" s="0" t="n">
        <v>0</v>
      </c>
      <c r="HG29" s="0" t="n">
        <v>0</v>
      </c>
      <c r="HH29" s="0" t="n">
        <v>0</v>
      </c>
      <c r="HI29" s="0" t="n">
        <v>0</v>
      </c>
      <c r="HJ29" s="0" t="n">
        <v>0</v>
      </c>
    </row>
    <row r="30" customFormat="false" ht="15" hidden="false" customHeight="false" outlineLevel="0" collapsed="false">
      <c r="A30" s="0" t="s">
        <v>275</v>
      </c>
      <c r="B30" s="0" t="s">
        <v>273</v>
      </c>
      <c r="C30" s="0" t="s">
        <v>81</v>
      </c>
      <c r="D30" s="0" t="s">
        <v>274</v>
      </c>
      <c r="E30" s="0" t="s">
        <v>1750</v>
      </c>
      <c r="F30" s="0" t="s">
        <v>680</v>
      </c>
      <c r="G30" s="0" t="s">
        <v>680</v>
      </c>
      <c r="H30" s="0" t="s">
        <v>680</v>
      </c>
      <c r="I30" s="0" t="s">
        <v>1041</v>
      </c>
      <c r="CQ30" s="0" t="s">
        <v>2952</v>
      </c>
      <c r="CR30" s="0" t="s">
        <v>82</v>
      </c>
      <c r="CS30" s="0" t="s">
        <v>278</v>
      </c>
      <c r="CT30" s="0" t="s">
        <v>276</v>
      </c>
      <c r="CU30" s="0" t="s">
        <v>581</v>
      </c>
      <c r="CV30" s="0" t="s">
        <v>277</v>
      </c>
      <c r="CW30" s="0" t="n">
        <v>3.85</v>
      </c>
      <c r="CX30" s="0" t="n">
        <v>1</v>
      </c>
      <c r="CY30" s="0" t="n">
        <v>1</v>
      </c>
      <c r="CZ30" s="0" t="n">
        <v>1</v>
      </c>
      <c r="DA30" s="0" t="n">
        <v>1110</v>
      </c>
      <c r="DB30" s="0" t="n">
        <v>930</v>
      </c>
      <c r="DC30" s="0" t="n">
        <v>1030</v>
      </c>
      <c r="DD30" s="0" t="n">
        <v>1110</v>
      </c>
      <c r="DE30" s="0" t="n">
        <v>1110</v>
      </c>
      <c r="DG30" s="0" t="s">
        <v>2953</v>
      </c>
      <c r="DH30" s="0" t="s">
        <v>82</v>
      </c>
      <c r="DI30" s="0" t="s">
        <v>820</v>
      </c>
      <c r="DJ30" s="0" t="s">
        <v>821</v>
      </c>
      <c r="DK30" s="0" t="s">
        <v>705</v>
      </c>
      <c r="DL30" s="0" t="n">
        <v>92.31</v>
      </c>
      <c r="DM30" s="0" t="s">
        <v>675</v>
      </c>
      <c r="DN30" s="0" t="s">
        <v>676</v>
      </c>
      <c r="DO30" s="0" t="n">
        <v>1</v>
      </c>
      <c r="DP30" s="0" t="n">
        <v>120.3</v>
      </c>
      <c r="DQ30" s="0" t="n">
        <v>120.3</v>
      </c>
      <c r="DR30" s="0" t="s">
        <v>2954</v>
      </c>
      <c r="DT30" s="0" t="s">
        <v>125</v>
      </c>
      <c r="DU30" s="0" t="s">
        <v>2955</v>
      </c>
      <c r="DV30" s="0" t="s">
        <v>2956</v>
      </c>
      <c r="DW30" s="0" t="s">
        <v>2957</v>
      </c>
      <c r="DX30" s="0" t="s">
        <v>2831</v>
      </c>
      <c r="DY30" s="0" t="s">
        <v>2832</v>
      </c>
      <c r="DZ30" s="0" t="n">
        <v>15</v>
      </c>
      <c r="EB30" s="0" t="s">
        <v>2958</v>
      </c>
      <c r="EC30" s="0" t="s">
        <v>2216</v>
      </c>
      <c r="ED30" s="0" t="s">
        <v>2525</v>
      </c>
      <c r="EE30" s="0" t="s">
        <v>567</v>
      </c>
      <c r="EF30" s="0" t="s">
        <v>2959</v>
      </c>
      <c r="EG30" s="0" t="n">
        <v>1250</v>
      </c>
      <c r="EH30" s="0" t="n">
        <v>1250</v>
      </c>
      <c r="EI30" s="0" t="n">
        <v>1250</v>
      </c>
      <c r="EJ30" s="0" t="n">
        <v>1250</v>
      </c>
      <c r="EL30" s="0" t="s">
        <v>2960</v>
      </c>
      <c r="EM30" s="0" t="s">
        <v>2216</v>
      </c>
      <c r="EN30" s="0" t="s">
        <v>2525</v>
      </c>
      <c r="EO30" s="0" t="n">
        <v>7.5</v>
      </c>
      <c r="EP30" s="0" t="s">
        <v>2528</v>
      </c>
      <c r="EQ30" s="0" t="s">
        <v>2961</v>
      </c>
      <c r="ER30" s="0" t="s">
        <v>2962</v>
      </c>
      <c r="ES30" s="0" t="n">
        <v>55030</v>
      </c>
      <c r="ET30" s="0" t="n">
        <v>60830</v>
      </c>
      <c r="EU30" s="0" t="n">
        <v>65690</v>
      </c>
      <c r="EV30" s="0" t="n">
        <v>65690</v>
      </c>
      <c r="GD30" s="0" t="s">
        <v>2906</v>
      </c>
      <c r="GE30" s="0" t="s">
        <v>2634</v>
      </c>
      <c r="GF30" s="0" t="s">
        <v>121</v>
      </c>
      <c r="GG30" s="0" t="s">
        <v>86</v>
      </c>
      <c r="GH30" s="0" t="n">
        <v>0</v>
      </c>
      <c r="GI30" s="0" t="n">
        <v>0</v>
      </c>
      <c r="GJ30" s="0" t="n">
        <v>0</v>
      </c>
      <c r="GK30" s="0" t="n">
        <v>0</v>
      </c>
      <c r="GL30" s="0" t="n">
        <v>0</v>
      </c>
      <c r="GM30" s="0" t="n">
        <v>0</v>
      </c>
      <c r="GN30" s="0" t="n">
        <v>1</v>
      </c>
      <c r="GO30" s="0" t="s">
        <v>2556</v>
      </c>
      <c r="GP30" s="0" t="s">
        <v>87</v>
      </c>
      <c r="GQ30" s="0" t="n">
        <v>26</v>
      </c>
      <c r="GR30" s="0" t="s">
        <v>2537</v>
      </c>
      <c r="GS30" s="0" t="s">
        <v>2907</v>
      </c>
      <c r="HA30" s="0" t="s">
        <v>2963</v>
      </c>
      <c r="HB30" s="0" t="s">
        <v>121</v>
      </c>
      <c r="HC30" s="0" t="s">
        <v>2602</v>
      </c>
      <c r="HD30" s="0" t="s">
        <v>143</v>
      </c>
      <c r="HE30" s="0" t="n">
        <v>0</v>
      </c>
      <c r="HF30" s="0" t="n">
        <v>0</v>
      </c>
      <c r="HG30" s="0" t="n">
        <v>0</v>
      </c>
      <c r="HH30" s="0" t="n">
        <v>0</v>
      </c>
      <c r="HI30" s="0" t="n">
        <v>0</v>
      </c>
      <c r="HJ30" s="0" t="n">
        <v>0</v>
      </c>
    </row>
    <row r="31" customFormat="false" ht="15" hidden="false" customHeight="false" outlineLevel="0" collapsed="false">
      <c r="A31" s="0" t="s">
        <v>298</v>
      </c>
      <c r="B31" s="0" t="s">
        <v>297</v>
      </c>
      <c r="C31" s="0" t="s">
        <v>81</v>
      </c>
      <c r="D31" s="0" t="s">
        <v>274</v>
      </c>
      <c r="E31" s="0" t="s">
        <v>1557</v>
      </c>
      <c r="F31" s="0" t="s">
        <v>680</v>
      </c>
      <c r="G31" s="0" t="s">
        <v>680</v>
      </c>
      <c r="H31" s="0" t="s">
        <v>680</v>
      </c>
      <c r="I31" s="0" t="s">
        <v>2220</v>
      </c>
      <c r="CQ31" s="0" t="s">
        <v>2964</v>
      </c>
      <c r="CR31" s="0" t="s">
        <v>82</v>
      </c>
      <c r="CS31" s="0" t="s">
        <v>616</v>
      </c>
      <c r="CT31" s="0" t="s">
        <v>2612</v>
      </c>
      <c r="CU31" s="0" t="s">
        <v>90</v>
      </c>
      <c r="CV31" s="0" t="s">
        <v>289</v>
      </c>
      <c r="CW31" s="0" t="n">
        <v>96.15</v>
      </c>
      <c r="CX31" s="0" t="n">
        <v>1</v>
      </c>
      <c r="CY31" s="0" t="n">
        <v>1</v>
      </c>
      <c r="CZ31" s="0" t="n">
        <v>1</v>
      </c>
      <c r="DA31" s="0" t="n">
        <v>570</v>
      </c>
      <c r="DB31" s="0" t="n">
        <v>480</v>
      </c>
      <c r="DC31" s="0" t="n">
        <v>530</v>
      </c>
      <c r="DD31" s="0" t="n">
        <v>570</v>
      </c>
      <c r="DE31" s="0" t="n">
        <v>570</v>
      </c>
      <c r="DG31" s="0" t="s">
        <v>2965</v>
      </c>
      <c r="DH31" s="0" t="s">
        <v>82</v>
      </c>
      <c r="DI31" s="0" t="s">
        <v>826</v>
      </c>
      <c r="DJ31" s="0" t="s">
        <v>827</v>
      </c>
      <c r="DK31" s="0" t="s">
        <v>674</v>
      </c>
      <c r="DL31" s="0" t="n">
        <v>88.46</v>
      </c>
      <c r="DM31" s="0" t="s">
        <v>675</v>
      </c>
      <c r="DN31" s="0" t="s">
        <v>676</v>
      </c>
      <c r="DO31" s="0" t="n">
        <v>5</v>
      </c>
      <c r="DP31" s="0" t="n">
        <v>537</v>
      </c>
      <c r="DQ31" s="0" t="n">
        <v>537</v>
      </c>
      <c r="DR31" s="0" t="s">
        <v>2966</v>
      </c>
      <c r="DT31" s="0" t="s">
        <v>125</v>
      </c>
      <c r="DU31" s="0" t="s">
        <v>2967</v>
      </c>
      <c r="DV31" s="0" t="s">
        <v>2968</v>
      </c>
      <c r="DW31" s="0" t="s">
        <v>2969</v>
      </c>
      <c r="DX31" s="0" t="s">
        <v>2970</v>
      </c>
      <c r="DY31" s="0" t="s">
        <v>2971</v>
      </c>
      <c r="DZ31" s="0" t="n">
        <v>13</v>
      </c>
      <c r="EB31" s="0" t="s">
        <v>2972</v>
      </c>
      <c r="EC31" s="0" t="s">
        <v>2216</v>
      </c>
      <c r="ED31" s="0" t="s">
        <v>2525</v>
      </c>
      <c r="EE31" s="0" t="s">
        <v>569</v>
      </c>
      <c r="EF31" s="0" t="s">
        <v>2973</v>
      </c>
      <c r="EG31" s="0" t="n">
        <v>10500</v>
      </c>
      <c r="EH31" s="0" t="n">
        <v>10500</v>
      </c>
      <c r="EI31" s="0" t="n">
        <v>10500</v>
      </c>
      <c r="EJ31" s="0" t="n">
        <v>10500</v>
      </c>
      <c r="EL31" s="0" t="s">
        <v>2974</v>
      </c>
      <c r="EM31" s="0" t="s">
        <v>2216</v>
      </c>
      <c r="EN31" s="0" t="s">
        <v>2525</v>
      </c>
      <c r="EO31" s="0" t="n">
        <v>7.5</v>
      </c>
      <c r="EP31" s="0" t="s">
        <v>2552</v>
      </c>
      <c r="EQ31" s="0" t="s">
        <v>2975</v>
      </c>
      <c r="ER31" s="0" t="s">
        <v>2976</v>
      </c>
      <c r="ES31" s="0" t="n">
        <v>55560</v>
      </c>
      <c r="ET31" s="0" t="n">
        <v>60610</v>
      </c>
      <c r="EU31" s="0" t="n">
        <v>65660</v>
      </c>
      <c r="EV31" s="0" t="n">
        <v>70720</v>
      </c>
      <c r="GD31" s="0" t="s">
        <v>2906</v>
      </c>
      <c r="GE31" s="0" t="s">
        <v>2634</v>
      </c>
      <c r="GF31" s="0" t="s">
        <v>121</v>
      </c>
      <c r="GG31" s="0" t="s">
        <v>87</v>
      </c>
      <c r="GH31" s="0" t="n">
        <v>26</v>
      </c>
      <c r="GI31" s="0" t="n">
        <v>7802.505</v>
      </c>
      <c r="GJ31" s="0" t="n">
        <v>9060.435</v>
      </c>
      <c r="GK31" s="0" t="n">
        <v>10629.097</v>
      </c>
      <c r="GL31" s="0" t="n">
        <v>0.312</v>
      </c>
      <c r="GM31" s="0" t="n">
        <v>9060.435</v>
      </c>
      <c r="GN31" s="0" t="n">
        <v>0</v>
      </c>
      <c r="GO31" s="0" t="s">
        <v>2893</v>
      </c>
      <c r="GP31" s="0" t="s">
        <v>87</v>
      </c>
      <c r="GQ31" s="0" t="n">
        <v>26</v>
      </c>
      <c r="GR31" s="0" t="s">
        <v>2537</v>
      </c>
      <c r="GS31" s="0" t="s">
        <v>2907</v>
      </c>
      <c r="HA31" s="0" t="s">
        <v>2977</v>
      </c>
      <c r="HB31" s="0" t="s">
        <v>121</v>
      </c>
      <c r="HC31" s="0" t="s">
        <v>2618</v>
      </c>
      <c r="HD31" s="0" t="s">
        <v>79</v>
      </c>
      <c r="HE31" s="0" t="n">
        <v>0</v>
      </c>
      <c r="HF31" s="0" t="n">
        <v>0</v>
      </c>
      <c r="HG31" s="0" t="n">
        <v>0</v>
      </c>
      <c r="HH31" s="0" t="n">
        <v>0</v>
      </c>
      <c r="HI31" s="0" t="n">
        <v>0</v>
      </c>
      <c r="HJ31" s="0" t="n">
        <v>0</v>
      </c>
    </row>
    <row r="32" customFormat="false" ht="15" hidden="false" customHeight="false" outlineLevel="0" collapsed="false">
      <c r="A32" s="0" t="s">
        <v>286</v>
      </c>
      <c r="B32" s="0" t="s">
        <v>284</v>
      </c>
      <c r="C32" s="0" t="s">
        <v>81</v>
      </c>
      <c r="D32" s="0" t="s">
        <v>285</v>
      </c>
      <c r="E32" s="0" t="s">
        <v>1750</v>
      </c>
      <c r="F32" s="0" t="s">
        <v>680</v>
      </c>
      <c r="G32" s="0" t="s">
        <v>680</v>
      </c>
      <c r="H32" s="0" t="s">
        <v>680</v>
      </c>
      <c r="I32" s="0" t="s">
        <v>2223</v>
      </c>
      <c r="CQ32" s="0" t="s">
        <v>2978</v>
      </c>
      <c r="CR32" s="0" t="s">
        <v>82</v>
      </c>
      <c r="CS32" s="0" t="s">
        <v>614</v>
      </c>
      <c r="CT32" s="0" t="s">
        <v>2628</v>
      </c>
      <c r="CU32" s="0" t="s">
        <v>90</v>
      </c>
      <c r="CV32" s="0" t="s">
        <v>2979</v>
      </c>
      <c r="CW32" s="0" t="n">
        <v>96.15</v>
      </c>
      <c r="CX32" s="0" t="n">
        <v>1</v>
      </c>
      <c r="CY32" s="0" t="n">
        <v>1</v>
      </c>
      <c r="CZ32" s="0" t="n">
        <v>1</v>
      </c>
      <c r="DA32" s="0" t="n">
        <v>1170</v>
      </c>
      <c r="DB32" s="0" t="n">
        <v>980</v>
      </c>
      <c r="DC32" s="0" t="n">
        <v>1080</v>
      </c>
      <c r="DD32" s="0" t="n">
        <v>1170</v>
      </c>
      <c r="DE32" s="0" t="n">
        <v>1170</v>
      </c>
      <c r="DG32" s="0" t="s">
        <v>2980</v>
      </c>
      <c r="DH32" s="0" t="s">
        <v>82</v>
      </c>
      <c r="DI32" s="0" t="s">
        <v>834</v>
      </c>
      <c r="DJ32" s="0" t="s">
        <v>835</v>
      </c>
      <c r="DK32" s="0" t="s">
        <v>674</v>
      </c>
      <c r="DL32" s="0" t="n">
        <v>88.46</v>
      </c>
      <c r="DM32" s="0" t="s">
        <v>675</v>
      </c>
      <c r="DN32" s="0" t="s">
        <v>676</v>
      </c>
      <c r="DO32" s="0" t="n">
        <v>1</v>
      </c>
      <c r="DP32" s="0" t="n">
        <v>13.04</v>
      </c>
      <c r="DQ32" s="0" t="n">
        <v>13.04</v>
      </c>
      <c r="DR32" s="0" t="s">
        <v>2981</v>
      </c>
      <c r="DT32" s="0" t="s">
        <v>125</v>
      </c>
      <c r="DU32" s="0" t="s">
        <v>2982</v>
      </c>
      <c r="DV32" s="0" t="s">
        <v>2983</v>
      </c>
      <c r="DW32" s="0" t="s">
        <v>2984</v>
      </c>
      <c r="DX32" s="0" t="s">
        <v>2216</v>
      </c>
      <c r="DY32" s="0" t="s">
        <v>2525</v>
      </c>
      <c r="DZ32" s="0" t="n">
        <v>12</v>
      </c>
      <c r="EB32" s="0" t="s">
        <v>2985</v>
      </c>
      <c r="EC32" s="0" t="s">
        <v>2216</v>
      </c>
      <c r="ED32" s="0" t="s">
        <v>2525</v>
      </c>
      <c r="EE32" s="0" t="s">
        <v>562</v>
      </c>
      <c r="EF32" s="0" t="s">
        <v>2986</v>
      </c>
      <c r="EG32" s="0" t="n">
        <v>550</v>
      </c>
      <c r="EH32" s="0" t="n">
        <v>850</v>
      </c>
      <c r="EI32" s="0" t="n">
        <v>1200</v>
      </c>
      <c r="EJ32" s="0" t="n">
        <v>1200</v>
      </c>
      <c r="EL32" s="0" t="s">
        <v>2987</v>
      </c>
      <c r="EM32" s="0" t="s">
        <v>2216</v>
      </c>
      <c r="EN32" s="0" t="s">
        <v>2525</v>
      </c>
      <c r="EO32" s="0" t="n">
        <v>8</v>
      </c>
      <c r="EP32" s="0" t="s">
        <v>2528</v>
      </c>
      <c r="EQ32" s="0" t="s">
        <v>2988</v>
      </c>
      <c r="ER32" s="0" t="s">
        <v>2989</v>
      </c>
      <c r="ES32" s="0" t="n">
        <v>55700</v>
      </c>
      <c r="ET32" s="0" t="n">
        <v>61550</v>
      </c>
      <c r="EU32" s="0" t="n">
        <v>66480</v>
      </c>
      <c r="EV32" s="0" t="n">
        <v>66480</v>
      </c>
      <c r="GD32" s="0" t="s">
        <v>2990</v>
      </c>
      <c r="GE32" s="0" t="s">
        <v>2733</v>
      </c>
      <c r="GF32" s="0" t="s">
        <v>121</v>
      </c>
      <c r="GG32" s="0" t="s">
        <v>82</v>
      </c>
      <c r="GH32" s="0" t="n">
        <v>26</v>
      </c>
      <c r="GI32" s="0" t="n">
        <v>96442</v>
      </c>
      <c r="GJ32" s="0" t="n">
        <v>98192</v>
      </c>
      <c r="GK32" s="0" t="n">
        <v>99817</v>
      </c>
      <c r="GL32" s="0" t="n">
        <v>0.0344</v>
      </c>
      <c r="GM32" s="0" t="n">
        <v>98192</v>
      </c>
      <c r="GN32" s="0" t="n">
        <v>0</v>
      </c>
      <c r="GO32" s="0" t="s">
        <v>2616</v>
      </c>
      <c r="GP32" s="0" t="s">
        <v>87</v>
      </c>
      <c r="GQ32" s="0" t="n">
        <v>26</v>
      </c>
      <c r="GR32" s="0" t="s">
        <v>2537</v>
      </c>
      <c r="GS32" s="0" t="s">
        <v>2991</v>
      </c>
      <c r="HA32" s="0" t="s">
        <v>2992</v>
      </c>
      <c r="HB32" s="0" t="s">
        <v>121</v>
      </c>
      <c r="HC32" s="0" t="s">
        <v>2637</v>
      </c>
      <c r="HD32" s="0" t="s">
        <v>144</v>
      </c>
      <c r="HE32" s="0" t="n">
        <v>0</v>
      </c>
      <c r="HF32" s="0" t="n">
        <v>0</v>
      </c>
      <c r="HG32" s="0" t="n">
        <v>0</v>
      </c>
      <c r="HH32" s="0" t="n">
        <v>0</v>
      </c>
      <c r="HI32" s="0" t="n">
        <v>0</v>
      </c>
      <c r="HJ32" s="0" t="n">
        <v>0</v>
      </c>
    </row>
    <row r="33" customFormat="false" ht="15" hidden="false" customHeight="false" outlineLevel="0" collapsed="false">
      <c r="A33" s="0" t="s">
        <v>272</v>
      </c>
      <c r="B33" s="0" t="s">
        <v>270</v>
      </c>
      <c r="C33" s="0" t="s">
        <v>81</v>
      </c>
      <c r="D33" s="0" t="s">
        <v>271</v>
      </c>
      <c r="E33" s="0" t="s">
        <v>1750</v>
      </c>
      <c r="F33" s="0" t="s">
        <v>680</v>
      </c>
      <c r="G33" s="0" t="s">
        <v>680</v>
      </c>
      <c r="H33" s="0" t="s">
        <v>680</v>
      </c>
      <c r="I33" s="0" t="s">
        <v>321</v>
      </c>
      <c r="CQ33" s="0" t="s">
        <v>2993</v>
      </c>
      <c r="CR33" s="0" t="s">
        <v>82</v>
      </c>
      <c r="CS33" s="0" t="s">
        <v>240</v>
      </c>
      <c r="CT33" s="0" t="s">
        <v>238</v>
      </c>
      <c r="CU33" s="0" t="s">
        <v>90</v>
      </c>
      <c r="CV33" s="0" t="s">
        <v>239</v>
      </c>
      <c r="CW33" s="0" t="n">
        <v>3.85</v>
      </c>
      <c r="CX33" s="0" t="n">
        <v>2</v>
      </c>
      <c r="CY33" s="0" t="n">
        <v>2</v>
      </c>
      <c r="CZ33" s="0" t="n">
        <v>2</v>
      </c>
      <c r="DA33" s="0" t="n">
        <v>7240</v>
      </c>
      <c r="DB33" s="0" t="n">
        <v>3620</v>
      </c>
      <c r="DC33" s="0" t="n">
        <v>3620</v>
      </c>
      <c r="DD33" s="0" t="n">
        <v>3620</v>
      </c>
      <c r="DE33" s="0" t="n">
        <v>3620</v>
      </c>
      <c r="DG33" s="0" t="s">
        <v>2994</v>
      </c>
      <c r="DH33" s="0" t="s">
        <v>82</v>
      </c>
      <c r="DI33" s="0" t="s">
        <v>837</v>
      </c>
      <c r="DJ33" s="0" t="s">
        <v>838</v>
      </c>
      <c r="DK33" s="0" t="s">
        <v>674</v>
      </c>
      <c r="DL33" s="0" t="n">
        <v>84.62</v>
      </c>
      <c r="DM33" s="0" t="s">
        <v>675</v>
      </c>
      <c r="DN33" s="0" t="s">
        <v>676</v>
      </c>
      <c r="DO33" s="0" t="n">
        <v>1</v>
      </c>
      <c r="DP33" s="0" t="n">
        <v>10.88</v>
      </c>
      <c r="DQ33" s="0" t="n">
        <v>10.88</v>
      </c>
      <c r="DR33" s="0" t="s">
        <v>2995</v>
      </c>
      <c r="DT33" s="0" t="s">
        <v>125</v>
      </c>
      <c r="DU33" s="0" t="s">
        <v>2843</v>
      </c>
      <c r="DV33" s="0" t="s">
        <v>2996</v>
      </c>
      <c r="DW33" s="0" t="s">
        <v>2997</v>
      </c>
      <c r="DX33" s="0" t="s">
        <v>2710</v>
      </c>
      <c r="DY33" s="0" t="s">
        <v>2711</v>
      </c>
      <c r="DZ33" s="0" t="n">
        <v>11</v>
      </c>
      <c r="EB33" s="0" t="s">
        <v>2998</v>
      </c>
      <c r="EC33" s="0" t="s">
        <v>2216</v>
      </c>
      <c r="ED33" s="0" t="s">
        <v>2525</v>
      </c>
      <c r="EE33" s="0" t="s">
        <v>557</v>
      </c>
      <c r="EF33" s="0" t="s">
        <v>554</v>
      </c>
      <c r="EG33" s="0" t="n">
        <v>1670</v>
      </c>
      <c r="EH33" s="0" t="n">
        <v>1850</v>
      </c>
      <c r="EI33" s="0" t="n">
        <v>1990</v>
      </c>
      <c r="EJ33" s="0" t="n">
        <v>1990</v>
      </c>
      <c r="EL33" s="0" t="s">
        <v>2999</v>
      </c>
      <c r="EM33" s="0" t="s">
        <v>2216</v>
      </c>
      <c r="EN33" s="0" t="s">
        <v>2525</v>
      </c>
      <c r="EO33" s="0" t="n">
        <v>8</v>
      </c>
      <c r="EP33" s="0" t="s">
        <v>2552</v>
      </c>
      <c r="EQ33" s="0" t="s">
        <v>3000</v>
      </c>
      <c r="ER33" s="0" t="s">
        <v>3001</v>
      </c>
      <c r="ES33" s="0" t="n">
        <v>58390</v>
      </c>
      <c r="ET33" s="0" t="n">
        <v>77070</v>
      </c>
      <c r="EU33" s="0" t="n">
        <v>84080</v>
      </c>
      <c r="EV33" s="0" t="n">
        <v>84080</v>
      </c>
      <c r="GD33" s="0" t="s">
        <v>2990</v>
      </c>
      <c r="GE33" s="0" t="s">
        <v>2733</v>
      </c>
      <c r="GF33" s="0" t="s">
        <v>121</v>
      </c>
      <c r="GG33" s="0" t="s">
        <v>121</v>
      </c>
      <c r="GH33" s="0" t="n">
        <v>0</v>
      </c>
      <c r="GI33" s="0" t="n">
        <v>0</v>
      </c>
      <c r="GJ33" s="0" t="n">
        <v>0</v>
      </c>
      <c r="GK33" s="0" t="n">
        <v>0</v>
      </c>
      <c r="GL33" s="0" t="n">
        <v>0</v>
      </c>
      <c r="GM33" s="0" t="n">
        <v>0</v>
      </c>
      <c r="GN33" s="0" t="n">
        <v>1</v>
      </c>
      <c r="GO33" s="0" t="s">
        <v>2556</v>
      </c>
      <c r="GP33" s="0" t="s">
        <v>87</v>
      </c>
      <c r="GQ33" s="0" t="n">
        <v>26</v>
      </c>
      <c r="GR33" s="0" t="s">
        <v>2537</v>
      </c>
      <c r="GS33" s="0" t="s">
        <v>2991</v>
      </c>
      <c r="HA33" s="0" t="s">
        <v>3002</v>
      </c>
      <c r="HB33" s="0" t="s">
        <v>121</v>
      </c>
      <c r="HC33" s="0" t="s">
        <v>2652</v>
      </c>
      <c r="HD33" s="0" t="s">
        <v>81</v>
      </c>
      <c r="HE33" s="0" t="n">
        <v>0</v>
      </c>
      <c r="HF33" s="0" t="n">
        <v>0</v>
      </c>
      <c r="HG33" s="0" t="n">
        <v>0</v>
      </c>
      <c r="HH33" s="0" t="n">
        <v>0</v>
      </c>
      <c r="HI33" s="0" t="n">
        <v>0</v>
      </c>
      <c r="HJ33" s="0" t="n">
        <v>0</v>
      </c>
    </row>
    <row r="34" customFormat="false" ht="15" hidden="false" customHeight="false" outlineLevel="0" collapsed="false">
      <c r="A34" s="0" t="s">
        <v>283</v>
      </c>
      <c r="B34" s="0" t="s">
        <v>281</v>
      </c>
      <c r="C34" s="0" t="s">
        <v>81</v>
      </c>
      <c r="D34" s="0" t="s">
        <v>282</v>
      </c>
      <c r="E34" s="0" t="s">
        <v>1557</v>
      </c>
      <c r="F34" s="0" t="s">
        <v>680</v>
      </c>
      <c r="G34" s="0" t="s">
        <v>680</v>
      </c>
      <c r="H34" s="0" t="s">
        <v>680</v>
      </c>
      <c r="I34" s="0" t="s">
        <v>2229</v>
      </c>
      <c r="CQ34" s="0" t="s">
        <v>3003</v>
      </c>
      <c r="CR34" s="0" t="s">
        <v>82</v>
      </c>
      <c r="CS34" s="0" t="s">
        <v>609</v>
      </c>
      <c r="CT34" s="0" t="s">
        <v>2663</v>
      </c>
      <c r="CU34" s="0" t="s">
        <v>90</v>
      </c>
      <c r="CV34" s="0" t="s">
        <v>239</v>
      </c>
      <c r="CW34" s="0" t="n">
        <v>96.15</v>
      </c>
      <c r="CX34" s="0" t="n">
        <v>1</v>
      </c>
      <c r="CY34" s="0" t="n">
        <v>1</v>
      </c>
      <c r="CZ34" s="0" t="n">
        <v>1</v>
      </c>
      <c r="DA34" s="0" t="n">
        <v>350</v>
      </c>
      <c r="DB34" s="0" t="n">
        <v>350</v>
      </c>
      <c r="DC34" s="0" t="n">
        <v>350</v>
      </c>
      <c r="DD34" s="0" t="n">
        <v>350</v>
      </c>
      <c r="DE34" s="0" t="n">
        <v>350</v>
      </c>
      <c r="DG34" s="0" t="s">
        <v>3004</v>
      </c>
      <c r="DH34" s="0" t="s">
        <v>82</v>
      </c>
      <c r="DI34" s="0" t="s">
        <v>842</v>
      </c>
      <c r="DJ34" s="0" t="s">
        <v>843</v>
      </c>
      <c r="DK34" s="0" t="s">
        <v>674</v>
      </c>
      <c r="DL34" s="0" t="n">
        <v>84.62</v>
      </c>
      <c r="DM34" s="0" t="s">
        <v>675</v>
      </c>
      <c r="DN34" s="0" t="s">
        <v>676</v>
      </c>
      <c r="DO34" s="0" t="n">
        <v>2</v>
      </c>
      <c r="DP34" s="0" t="n">
        <v>75.44</v>
      </c>
      <c r="DQ34" s="0" t="n">
        <v>75.44</v>
      </c>
      <c r="DR34" s="0" t="s">
        <v>3005</v>
      </c>
      <c r="DT34" s="0" t="s">
        <v>125</v>
      </c>
      <c r="DU34" s="0" t="s">
        <v>3006</v>
      </c>
      <c r="DV34" s="0" t="s">
        <v>3007</v>
      </c>
      <c r="DW34" s="0" t="s">
        <v>3008</v>
      </c>
      <c r="DX34" s="0" t="s">
        <v>2970</v>
      </c>
      <c r="DY34" s="0" t="s">
        <v>2971</v>
      </c>
      <c r="DZ34" s="0" t="n">
        <v>10</v>
      </c>
      <c r="EB34" s="0" t="s">
        <v>3009</v>
      </c>
      <c r="EC34" s="0" t="s">
        <v>2216</v>
      </c>
      <c r="ED34" s="0" t="s">
        <v>2525</v>
      </c>
      <c r="EE34" s="0" t="s">
        <v>290</v>
      </c>
      <c r="EF34" s="0" t="s">
        <v>289</v>
      </c>
      <c r="EG34" s="0" t="n">
        <v>420</v>
      </c>
      <c r="EH34" s="0" t="n">
        <v>460</v>
      </c>
      <c r="EI34" s="0" t="n">
        <v>500</v>
      </c>
      <c r="EJ34" s="0" t="n">
        <v>500</v>
      </c>
      <c r="EL34" s="0" t="s">
        <v>3010</v>
      </c>
      <c r="EM34" s="0" t="s">
        <v>2970</v>
      </c>
      <c r="EN34" s="0" t="s">
        <v>2971</v>
      </c>
      <c r="EO34" s="0" t="n">
        <v>0.5</v>
      </c>
      <c r="EP34" s="0" t="s">
        <v>2528</v>
      </c>
      <c r="EQ34" s="0" t="s">
        <v>2529</v>
      </c>
      <c r="ER34" s="0" t="s">
        <v>2530</v>
      </c>
      <c r="ES34" s="0" t="n">
        <v>4000</v>
      </c>
      <c r="ET34" s="0" t="n">
        <v>4000</v>
      </c>
      <c r="EU34" s="0" t="n">
        <v>4000</v>
      </c>
      <c r="EV34" s="0" t="n">
        <v>4000</v>
      </c>
      <c r="GD34" s="0" t="s">
        <v>2990</v>
      </c>
      <c r="GE34" s="0" t="s">
        <v>2733</v>
      </c>
      <c r="GF34" s="0" t="s">
        <v>121</v>
      </c>
      <c r="GG34" s="0" t="s">
        <v>125</v>
      </c>
      <c r="GH34" s="0" t="n">
        <v>0</v>
      </c>
      <c r="GI34" s="0" t="n">
        <v>0</v>
      </c>
      <c r="GJ34" s="0" t="n">
        <v>0</v>
      </c>
      <c r="GK34" s="0" t="n">
        <v>0</v>
      </c>
      <c r="GL34" s="0" t="n">
        <v>0</v>
      </c>
      <c r="GM34" s="0" t="n">
        <v>0</v>
      </c>
      <c r="GN34" s="0" t="n">
        <v>1</v>
      </c>
      <c r="GO34" s="0" t="s">
        <v>2556</v>
      </c>
      <c r="GP34" s="0" t="s">
        <v>87</v>
      </c>
      <c r="GQ34" s="0" t="n">
        <v>26</v>
      </c>
      <c r="GR34" s="0" t="s">
        <v>2537</v>
      </c>
      <c r="GS34" s="0" t="s">
        <v>2991</v>
      </c>
      <c r="HA34" s="0" t="s">
        <v>3011</v>
      </c>
      <c r="HB34" s="0" t="s">
        <v>121</v>
      </c>
      <c r="HC34" s="0" t="s">
        <v>2669</v>
      </c>
      <c r="HD34" s="0" t="s">
        <v>88</v>
      </c>
      <c r="HE34" s="0" t="n">
        <v>0</v>
      </c>
      <c r="HF34" s="0" t="n">
        <v>0</v>
      </c>
      <c r="HG34" s="0" t="n">
        <v>0</v>
      </c>
      <c r="HH34" s="0" t="n">
        <v>0</v>
      </c>
      <c r="HI34" s="0" t="n">
        <v>0</v>
      </c>
      <c r="HJ34" s="0" t="n">
        <v>0</v>
      </c>
    </row>
    <row r="35" customFormat="false" ht="15" hidden="false" customHeight="false" outlineLevel="0" collapsed="false">
      <c r="A35" s="0" t="s">
        <v>267</v>
      </c>
      <c r="B35" s="0" t="s">
        <v>265</v>
      </c>
      <c r="C35" s="0" t="s">
        <v>81</v>
      </c>
      <c r="D35" s="0" t="s">
        <v>266</v>
      </c>
      <c r="E35" s="0" t="s">
        <v>1750</v>
      </c>
      <c r="F35" s="0" t="s">
        <v>680</v>
      </c>
      <c r="G35" s="0" t="s">
        <v>680</v>
      </c>
      <c r="H35" s="0" t="s">
        <v>680</v>
      </c>
      <c r="I35" s="0" t="s">
        <v>2232</v>
      </c>
      <c r="CQ35" s="0" t="s">
        <v>3012</v>
      </c>
      <c r="CR35" s="0" t="s">
        <v>82</v>
      </c>
      <c r="CS35" s="0" t="s">
        <v>252</v>
      </c>
      <c r="CT35" s="0" t="s">
        <v>250</v>
      </c>
      <c r="CU35" s="0" t="s">
        <v>90</v>
      </c>
      <c r="CV35" s="0" t="s">
        <v>251</v>
      </c>
      <c r="CW35" s="0" t="n">
        <v>15.38</v>
      </c>
      <c r="CX35" s="0" t="n">
        <v>1</v>
      </c>
      <c r="CY35" s="0" t="n">
        <v>1</v>
      </c>
      <c r="CZ35" s="0" t="n">
        <v>1</v>
      </c>
      <c r="DA35" s="0" t="n">
        <v>890</v>
      </c>
      <c r="DB35" s="0" t="n">
        <v>890</v>
      </c>
      <c r="DC35" s="0" t="n">
        <v>890</v>
      </c>
      <c r="DD35" s="0" t="n">
        <v>890</v>
      </c>
      <c r="DE35" s="0" t="n">
        <v>890</v>
      </c>
      <c r="DG35" s="0" t="s">
        <v>3013</v>
      </c>
      <c r="DH35" s="0" t="s">
        <v>82</v>
      </c>
      <c r="DI35" s="0" t="s">
        <v>846</v>
      </c>
      <c r="DJ35" s="0" t="s">
        <v>847</v>
      </c>
      <c r="DK35" s="0" t="s">
        <v>705</v>
      </c>
      <c r="DL35" s="0" t="n">
        <v>84.62</v>
      </c>
      <c r="DM35" s="0" t="s">
        <v>675</v>
      </c>
      <c r="DN35" s="0" t="s">
        <v>676</v>
      </c>
      <c r="DO35" s="0" t="n">
        <v>2</v>
      </c>
      <c r="DP35" s="0" t="n">
        <v>1369.7</v>
      </c>
      <c r="DQ35" s="0" t="n">
        <v>1369.7</v>
      </c>
      <c r="DR35" s="0" t="s">
        <v>3014</v>
      </c>
      <c r="DT35" s="0" t="s">
        <v>125</v>
      </c>
      <c r="DU35" s="0" t="s">
        <v>3015</v>
      </c>
      <c r="DV35" s="0" t="s">
        <v>3016</v>
      </c>
      <c r="DW35" s="0" t="s">
        <v>3017</v>
      </c>
      <c r="DX35" s="0" t="s">
        <v>2831</v>
      </c>
      <c r="DY35" s="0" t="s">
        <v>2832</v>
      </c>
      <c r="DZ35" s="0" t="n">
        <v>10</v>
      </c>
      <c r="EB35" s="0" t="s">
        <v>3018</v>
      </c>
      <c r="EC35" s="0" t="s">
        <v>2216</v>
      </c>
      <c r="ED35" s="0" t="s">
        <v>2525</v>
      </c>
      <c r="EE35" s="0" t="s">
        <v>275</v>
      </c>
      <c r="EF35" s="0" t="s">
        <v>273</v>
      </c>
      <c r="EG35" s="0" t="n">
        <v>1000</v>
      </c>
      <c r="EH35" s="0" t="n">
        <v>1110</v>
      </c>
      <c r="EI35" s="0" t="n">
        <v>1200</v>
      </c>
      <c r="EJ35" s="0" t="n">
        <v>1200</v>
      </c>
      <c r="EL35" s="0" t="s">
        <v>3019</v>
      </c>
      <c r="EM35" s="0" t="s">
        <v>2970</v>
      </c>
      <c r="EN35" s="0" t="s">
        <v>2971</v>
      </c>
      <c r="EO35" s="0" t="n">
        <v>1</v>
      </c>
      <c r="EP35" s="0" t="s">
        <v>2528</v>
      </c>
      <c r="EQ35" s="0" t="s">
        <v>2569</v>
      </c>
      <c r="ER35" s="0" t="s">
        <v>2570</v>
      </c>
      <c r="ES35" s="0" t="n">
        <v>8000</v>
      </c>
      <c r="ET35" s="0" t="n">
        <v>8000</v>
      </c>
      <c r="EU35" s="0" t="n">
        <v>8000</v>
      </c>
      <c r="EV35" s="0" t="n">
        <v>8000</v>
      </c>
      <c r="GD35" s="0" t="s">
        <v>2990</v>
      </c>
      <c r="GE35" s="0" t="s">
        <v>2733</v>
      </c>
      <c r="GF35" s="0" t="s">
        <v>121</v>
      </c>
      <c r="GG35" s="0" t="s">
        <v>85</v>
      </c>
      <c r="GH35" s="0" t="n">
        <v>0</v>
      </c>
      <c r="GI35" s="0" t="n">
        <v>0</v>
      </c>
      <c r="GJ35" s="0" t="n">
        <v>0</v>
      </c>
      <c r="GK35" s="0" t="n">
        <v>0</v>
      </c>
      <c r="GL35" s="0" t="n">
        <v>0</v>
      </c>
      <c r="GM35" s="0" t="n">
        <v>0</v>
      </c>
      <c r="GN35" s="0" t="n">
        <v>1</v>
      </c>
      <c r="GO35" s="0" t="s">
        <v>2556</v>
      </c>
      <c r="GP35" s="0" t="s">
        <v>87</v>
      </c>
      <c r="GQ35" s="0" t="n">
        <v>26</v>
      </c>
      <c r="GR35" s="0" t="s">
        <v>2537</v>
      </c>
      <c r="GS35" s="0" t="s">
        <v>2991</v>
      </c>
      <c r="HA35" s="0" t="s">
        <v>3020</v>
      </c>
      <c r="HB35" s="0" t="s">
        <v>121</v>
      </c>
      <c r="HC35" s="0" t="s">
        <v>2686</v>
      </c>
      <c r="HD35" s="0" t="s">
        <v>90</v>
      </c>
      <c r="HE35" s="0" t="n">
        <v>0</v>
      </c>
      <c r="HF35" s="0" t="n">
        <v>0</v>
      </c>
      <c r="HG35" s="0" t="n">
        <v>0</v>
      </c>
      <c r="HH35" s="0" t="n">
        <v>0</v>
      </c>
      <c r="HI35" s="0" t="n">
        <v>0</v>
      </c>
      <c r="HJ35" s="0" t="n">
        <v>0</v>
      </c>
    </row>
    <row r="36" customFormat="false" ht="15" hidden="false" customHeight="false" outlineLevel="0" collapsed="false">
      <c r="A36" s="0" t="s">
        <v>258</v>
      </c>
      <c r="B36" s="0" t="s">
        <v>256</v>
      </c>
      <c r="C36" s="0" t="s">
        <v>81</v>
      </c>
      <c r="D36" s="0" t="s">
        <v>257</v>
      </c>
      <c r="E36" s="0" t="s">
        <v>1750</v>
      </c>
      <c r="F36" s="0" t="s">
        <v>680</v>
      </c>
      <c r="G36" s="0" t="s">
        <v>680</v>
      </c>
      <c r="H36" s="0" t="s">
        <v>680</v>
      </c>
      <c r="I36" s="0" t="s">
        <v>2235</v>
      </c>
      <c r="CQ36" s="0" t="s">
        <v>3021</v>
      </c>
      <c r="CR36" s="0" t="s">
        <v>82</v>
      </c>
      <c r="CS36" s="0" t="s">
        <v>607</v>
      </c>
      <c r="CT36" s="0" t="s">
        <v>2680</v>
      </c>
      <c r="CU36" s="0" t="s">
        <v>90</v>
      </c>
      <c r="CV36" s="0" t="s">
        <v>242</v>
      </c>
      <c r="CW36" s="0" t="n">
        <v>100</v>
      </c>
      <c r="CX36" s="0" t="n">
        <v>2</v>
      </c>
      <c r="CY36" s="0" t="n">
        <v>2</v>
      </c>
      <c r="CZ36" s="0" t="n">
        <v>2</v>
      </c>
      <c r="DA36" s="0" t="n">
        <v>1700</v>
      </c>
      <c r="DB36" s="0" t="n">
        <v>850</v>
      </c>
      <c r="DC36" s="0" t="n">
        <v>850</v>
      </c>
      <c r="DD36" s="0" t="n">
        <v>850</v>
      </c>
      <c r="DE36" s="0" t="n">
        <v>850</v>
      </c>
      <c r="DG36" s="0" t="s">
        <v>3022</v>
      </c>
      <c r="DH36" s="0" t="s">
        <v>82</v>
      </c>
      <c r="DI36" s="0" t="s">
        <v>852</v>
      </c>
      <c r="DJ36" s="0" t="s">
        <v>853</v>
      </c>
      <c r="DK36" s="0" t="s">
        <v>674</v>
      </c>
      <c r="DL36" s="0" t="n">
        <v>80.77</v>
      </c>
      <c r="DM36" s="0" t="s">
        <v>675</v>
      </c>
      <c r="DN36" s="0" t="s">
        <v>676</v>
      </c>
      <c r="DO36" s="0" t="n">
        <v>5</v>
      </c>
      <c r="DP36" s="0" t="n">
        <v>1078</v>
      </c>
      <c r="DQ36" s="0" t="n">
        <v>1078</v>
      </c>
      <c r="DR36" s="0" t="s">
        <v>3023</v>
      </c>
      <c r="DT36" s="0" t="s">
        <v>125</v>
      </c>
      <c r="DU36" s="0" t="s">
        <v>3024</v>
      </c>
      <c r="DV36" s="0" t="s">
        <v>3025</v>
      </c>
      <c r="DW36" s="0" t="s">
        <v>3026</v>
      </c>
      <c r="DX36" s="0" t="s">
        <v>2644</v>
      </c>
      <c r="DY36" s="0" t="s">
        <v>2645</v>
      </c>
      <c r="DZ36" s="0" t="n">
        <v>10</v>
      </c>
      <c r="EB36" s="0" t="s">
        <v>3027</v>
      </c>
      <c r="EC36" s="0" t="s">
        <v>2216</v>
      </c>
      <c r="ED36" s="0" t="s">
        <v>2525</v>
      </c>
      <c r="EE36" s="0" t="s">
        <v>298</v>
      </c>
      <c r="EF36" s="0" t="s">
        <v>297</v>
      </c>
      <c r="EG36" s="0" t="n">
        <v>1</v>
      </c>
      <c r="EH36" s="0" t="n">
        <v>1</v>
      </c>
      <c r="EI36" s="0" t="n">
        <v>1</v>
      </c>
      <c r="EJ36" s="0" t="n">
        <v>1</v>
      </c>
      <c r="EL36" s="0" t="s">
        <v>3028</v>
      </c>
      <c r="EM36" s="0" t="s">
        <v>2970</v>
      </c>
      <c r="EN36" s="0" t="s">
        <v>2971</v>
      </c>
      <c r="EO36" s="0" t="n">
        <v>1.5</v>
      </c>
      <c r="EP36" s="0" t="s">
        <v>2528</v>
      </c>
      <c r="EQ36" s="0" t="s">
        <v>2598</v>
      </c>
      <c r="ER36" s="0" t="s">
        <v>2599</v>
      </c>
      <c r="ES36" s="0" t="n">
        <v>12000</v>
      </c>
      <c r="ET36" s="0" t="n">
        <v>12000</v>
      </c>
      <c r="EU36" s="0" t="n">
        <v>12000</v>
      </c>
      <c r="EV36" s="0" t="n">
        <v>12000</v>
      </c>
      <c r="GD36" s="0" t="s">
        <v>2990</v>
      </c>
      <c r="GE36" s="0" t="s">
        <v>2733</v>
      </c>
      <c r="GF36" s="0" t="s">
        <v>121</v>
      </c>
      <c r="GG36" s="0" t="s">
        <v>86</v>
      </c>
      <c r="GH36" s="0" t="n">
        <v>0</v>
      </c>
      <c r="GI36" s="0" t="n">
        <v>0</v>
      </c>
      <c r="GJ36" s="0" t="n">
        <v>0</v>
      </c>
      <c r="GK36" s="0" t="n">
        <v>0</v>
      </c>
      <c r="GL36" s="0" t="n">
        <v>0</v>
      </c>
      <c r="GM36" s="0" t="n">
        <v>0</v>
      </c>
      <c r="GN36" s="0" t="n">
        <v>1</v>
      </c>
      <c r="GO36" s="0" t="s">
        <v>2556</v>
      </c>
      <c r="GP36" s="0" t="s">
        <v>87</v>
      </c>
      <c r="GQ36" s="0" t="n">
        <v>26</v>
      </c>
      <c r="GR36" s="0" t="s">
        <v>2537</v>
      </c>
      <c r="GS36" s="0" t="s">
        <v>2991</v>
      </c>
      <c r="HA36" s="0" t="s">
        <v>3029</v>
      </c>
      <c r="HB36" s="0" t="s">
        <v>121</v>
      </c>
      <c r="HC36" s="0" t="s">
        <v>2702</v>
      </c>
      <c r="HD36" s="0" t="s">
        <v>99</v>
      </c>
      <c r="HE36" s="0" t="n">
        <v>0</v>
      </c>
      <c r="HF36" s="0" t="n">
        <v>0</v>
      </c>
      <c r="HG36" s="0" t="n">
        <v>0</v>
      </c>
      <c r="HH36" s="0" t="n">
        <v>0</v>
      </c>
      <c r="HI36" s="0" t="n">
        <v>0</v>
      </c>
      <c r="HJ36" s="0" t="n">
        <v>0</v>
      </c>
    </row>
    <row r="37" customFormat="false" ht="15" hidden="false" customHeight="false" outlineLevel="0" collapsed="false">
      <c r="A37" s="0" t="s">
        <v>222</v>
      </c>
      <c r="B37" s="0" t="s">
        <v>220</v>
      </c>
      <c r="C37" s="0" t="s">
        <v>81</v>
      </c>
      <c r="D37" s="0" t="s">
        <v>221</v>
      </c>
      <c r="E37" s="0" t="s">
        <v>968</v>
      </c>
      <c r="F37" s="0" t="s">
        <v>1664</v>
      </c>
      <c r="G37" s="0" t="s">
        <v>684</v>
      </c>
      <c r="H37" s="0" t="s">
        <v>684</v>
      </c>
      <c r="I37" s="0" t="s">
        <v>2239</v>
      </c>
      <c r="CQ37" s="0" t="s">
        <v>3030</v>
      </c>
      <c r="CR37" s="0" t="s">
        <v>82</v>
      </c>
      <c r="CS37" s="0" t="s">
        <v>229</v>
      </c>
      <c r="CT37" s="0" t="s">
        <v>227</v>
      </c>
      <c r="CU37" s="0" t="s">
        <v>90</v>
      </c>
      <c r="CV37" s="0" t="s">
        <v>228</v>
      </c>
      <c r="CW37" s="0" t="n">
        <v>57.69</v>
      </c>
      <c r="CX37" s="0" t="n">
        <v>5</v>
      </c>
      <c r="CY37" s="0" t="n">
        <v>5</v>
      </c>
      <c r="CZ37" s="0" t="n">
        <v>7</v>
      </c>
      <c r="DA37" s="0" t="n">
        <v>1690</v>
      </c>
      <c r="DB37" s="0" t="n">
        <v>270</v>
      </c>
      <c r="DC37" s="0" t="n">
        <v>300</v>
      </c>
      <c r="DD37" s="0" t="n">
        <v>330</v>
      </c>
      <c r="DE37" s="0" t="n">
        <v>350</v>
      </c>
      <c r="DG37" s="0" t="s">
        <v>3031</v>
      </c>
      <c r="DH37" s="0" t="s">
        <v>82</v>
      </c>
      <c r="DI37" s="0" t="s">
        <v>858</v>
      </c>
      <c r="DJ37" s="0" t="s">
        <v>859</v>
      </c>
      <c r="DK37" s="0" t="s">
        <v>674</v>
      </c>
      <c r="DL37" s="0" t="n">
        <v>80.77</v>
      </c>
      <c r="DM37" s="0" t="s">
        <v>676</v>
      </c>
      <c r="DN37" s="0" t="s">
        <v>676</v>
      </c>
      <c r="DO37" s="0" t="n">
        <v>1</v>
      </c>
      <c r="DP37" s="0" t="n">
        <v>814.28</v>
      </c>
      <c r="DQ37" s="0" t="n">
        <v>814.28</v>
      </c>
      <c r="DR37" s="0" t="s">
        <v>3032</v>
      </c>
      <c r="DT37" s="0" t="s">
        <v>125</v>
      </c>
      <c r="DU37" s="0" t="s">
        <v>3033</v>
      </c>
      <c r="DV37" s="0" t="s">
        <v>3034</v>
      </c>
      <c r="DW37" s="0" t="s">
        <v>3035</v>
      </c>
      <c r="DX37" s="0" t="s">
        <v>2710</v>
      </c>
      <c r="DY37" s="0" t="s">
        <v>2711</v>
      </c>
      <c r="DZ37" s="0" t="n">
        <v>6</v>
      </c>
      <c r="EB37" s="0" t="s">
        <v>3036</v>
      </c>
      <c r="EC37" s="0" t="s">
        <v>2216</v>
      </c>
      <c r="ED37" s="0" t="s">
        <v>2525</v>
      </c>
      <c r="EE37" s="0" t="s">
        <v>286</v>
      </c>
      <c r="EF37" s="0" t="s">
        <v>284</v>
      </c>
      <c r="EG37" s="0" t="n">
        <v>680</v>
      </c>
      <c r="EH37" s="0" t="n">
        <v>750</v>
      </c>
      <c r="EI37" s="0" t="n">
        <v>810</v>
      </c>
      <c r="EJ37" s="0" t="n">
        <v>810</v>
      </c>
      <c r="EL37" s="0" t="s">
        <v>3037</v>
      </c>
      <c r="EM37" s="0" t="s">
        <v>2970</v>
      </c>
      <c r="EN37" s="0" t="s">
        <v>2971</v>
      </c>
      <c r="EO37" s="0" t="n">
        <v>2</v>
      </c>
      <c r="EP37" s="0" t="s">
        <v>2528</v>
      </c>
      <c r="EQ37" s="0" t="s">
        <v>2630</v>
      </c>
      <c r="ER37" s="0" t="s">
        <v>2631</v>
      </c>
      <c r="ES37" s="0" t="n">
        <v>16000</v>
      </c>
      <c r="ET37" s="0" t="n">
        <v>16000</v>
      </c>
      <c r="EU37" s="0" t="n">
        <v>16000</v>
      </c>
      <c r="EV37" s="0" t="n">
        <v>16000</v>
      </c>
      <c r="GD37" s="0" t="s">
        <v>2990</v>
      </c>
      <c r="GE37" s="0" t="s">
        <v>2733</v>
      </c>
      <c r="GF37" s="0" t="s">
        <v>121</v>
      </c>
      <c r="GG37" s="0" t="s">
        <v>87</v>
      </c>
      <c r="GH37" s="0" t="n">
        <v>26</v>
      </c>
      <c r="GI37" s="0" t="n">
        <v>96442</v>
      </c>
      <c r="GJ37" s="0" t="n">
        <v>98192</v>
      </c>
      <c r="GK37" s="0" t="n">
        <v>99817</v>
      </c>
      <c r="GL37" s="0" t="n">
        <v>0.0344</v>
      </c>
      <c r="GM37" s="0" t="n">
        <v>98192</v>
      </c>
      <c r="GN37" s="0" t="n">
        <v>0</v>
      </c>
      <c r="GO37" s="0" t="s">
        <v>2893</v>
      </c>
      <c r="GP37" s="0" t="s">
        <v>87</v>
      </c>
      <c r="GQ37" s="0" t="n">
        <v>26</v>
      </c>
      <c r="GR37" s="0" t="s">
        <v>2537</v>
      </c>
      <c r="GS37" s="0" t="s">
        <v>2991</v>
      </c>
      <c r="HA37" s="0" t="s">
        <v>3038</v>
      </c>
      <c r="HB37" s="0" t="s">
        <v>121</v>
      </c>
      <c r="HC37" s="0" t="s">
        <v>2687</v>
      </c>
      <c r="HD37" s="0" t="s">
        <v>145</v>
      </c>
      <c r="HE37" s="0" t="n">
        <v>0</v>
      </c>
      <c r="HF37" s="0" t="n">
        <v>0</v>
      </c>
      <c r="HG37" s="0" t="n">
        <v>0</v>
      </c>
      <c r="HH37" s="0" t="n">
        <v>0</v>
      </c>
      <c r="HI37" s="0" t="n">
        <v>0</v>
      </c>
      <c r="HJ37" s="0" t="n">
        <v>0</v>
      </c>
    </row>
    <row r="38" customFormat="false" ht="15" hidden="false" customHeight="false" outlineLevel="0" collapsed="false">
      <c r="A38" s="0" t="s">
        <v>233</v>
      </c>
      <c r="B38" s="0" t="s">
        <v>231</v>
      </c>
      <c r="C38" s="0" t="s">
        <v>81</v>
      </c>
      <c r="D38" s="0" t="s">
        <v>232</v>
      </c>
      <c r="E38" s="0" t="s">
        <v>1015</v>
      </c>
      <c r="F38" s="0" t="s">
        <v>680</v>
      </c>
      <c r="G38" s="0" t="s">
        <v>680</v>
      </c>
      <c r="H38" s="0" t="s">
        <v>680</v>
      </c>
      <c r="I38" s="0" t="s">
        <v>2241</v>
      </c>
      <c r="CQ38" s="0" t="s">
        <v>3039</v>
      </c>
      <c r="CR38" s="0" t="s">
        <v>82</v>
      </c>
      <c r="CS38" s="0" t="s">
        <v>246</v>
      </c>
      <c r="CT38" s="0" t="s">
        <v>244</v>
      </c>
      <c r="CU38" s="0" t="s">
        <v>90</v>
      </c>
      <c r="CV38" s="0" t="s">
        <v>245</v>
      </c>
      <c r="CW38" s="0" t="n">
        <v>15.38</v>
      </c>
      <c r="CX38" s="0" t="n">
        <v>1</v>
      </c>
      <c r="CY38" s="0" t="n">
        <v>1.5</v>
      </c>
      <c r="CZ38" s="0" t="n">
        <v>2.25</v>
      </c>
      <c r="DA38" s="0" t="n">
        <v>1305</v>
      </c>
      <c r="DB38" s="0" t="n">
        <v>730</v>
      </c>
      <c r="DC38" s="0" t="n">
        <v>800</v>
      </c>
      <c r="DD38" s="0" t="n">
        <v>870</v>
      </c>
      <c r="DE38" s="0" t="n">
        <v>870</v>
      </c>
      <c r="DG38" s="0" t="s">
        <v>3040</v>
      </c>
      <c r="DH38" s="0" t="s">
        <v>82</v>
      </c>
      <c r="DI38" s="0" t="s">
        <v>863</v>
      </c>
      <c r="DJ38" s="0" t="s">
        <v>864</v>
      </c>
      <c r="DK38" s="0" t="s">
        <v>705</v>
      </c>
      <c r="DL38" s="0" t="n">
        <v>80.77</v>
      </c>
      <c r="DM38" s="0" t="s">
        <v>676</v>
      </c>
      <c r="DN38" s="0" t="s">
        <v>676</v>
      </c>
      <c r="DO38" s="0" t="n">
        <v>0</v>
      </c>
      <c r="DP38" s="0" t="n">
        <v>0</v>
      </c>
      <c r="DQ38" s="0" t="n">
        <v>91</v>
      </c>
      <c r="DR38" s="0" t="s">
        <v>3041</v>
      </c>
      <c r="DT38" s="0" t="s">
        <v>125</v>
      </c>
      <c r="DU38" s="0" t="s">
        <v>3042</v>
      </c>
      <c r="DV38" s="0" t="s">
        <v>3043</v>
      </c>
      <c r="DW38" s="0" t="s">
        <v>3044</v>
      </c>
      <c r="DX38" s="0" t="s">
        <v>3045</v>
      </c>
      <c r="DY38" s="0" t="s">
        <v>3046</v>
      </c>
      <c r="DZ38" s="0" t="n">
        <v>4</v>
      </c>
      <c r="EB38" s="0" t="s">
        <v>3047</v>
      </c>
      <c r="EC38" s="0" t="s">
        <v>2216</v>
      </c>
      <c r="ED38" s="0" t="s">
        <v>2525</v>
      </c>
      <c r="EE38" s="0" t="s">
        <v>272</v>
      </c>
      <c r="EF38" s="0" t="s">
        <v>270</v>
      </c>
      <c r="EG38" s="0" t="n">
        <v>1430</v>
      </c>
      <c r="EH38" s="0" t="n">
        <v>1580</v>
      </c>
      <c r="EI38" s="0" t="n">
        <v>1710</v>
      </c>
      <c r="EJ38" s="0" t="n">
        <v>1710</v>
      </c>
      <c r="EL38" s="0" t="s">
        <v>3048</v>
      </c>
      <c r="EM38" s="0" t="s">
        <v>2970</v>
      </c>
      <c r="EN38" s="0" t="s">
        <v>2971</v>
      </c>
      <c r="EO38" s="0" t="n">
        <v>2.5</v>
      </c>
      <c r="EP38" s="0" t="s">
        <v>2528</v>
      </c>
      <c r="EQ38" s="0" t="s">
        <v>2665</v>
      </c>
      <c r="ER38" s="0" t="s">
        <v>2666</v>
      </c>
      <c r="ES38" s="0" t="n">
        <v>20000</v>
      </c>
      <c r="ET38" s="0" t="n">
        <v>20000</v>
      </c>
      <c r="EU38" s="0" t="n">
        <v>20000</v>
      </c>
      <c r="EV38" s="0" t="n">
        <v>20000</v>
      </c>
      <c r="GD38" s="0" t="s">
        <v>3049</v>
      </c>
      <c r="GE38" s="0" t="s">
        <v>2535</v>
      </c>
      <c r="GF38" s="0" t="s">
        <v>125</v>
      </c>
      <c r="GG38" s="0" t="s">
        <v>82</v>
      </c>
      <c r="GH38" s="0" t="n">
        <v>26</v>
      </c>
      <c r="GI38" s="0" t="n">
        <v>36.25</v>
      </c>
      <c r="GJ38" s="0" t="n">
        <v>39</v>
      </c>
      <c r="GK38" s="0" t="n">
        <v>41</v>
      </c>
      <c r="GL38" s="0" t="n">
        <v>0.1218</v>
      </c>
      <c r="GM38" s="0" t="n">
        <v>39</v>
      </c>
      <c r="GN38" s="0" t="n">
        <v>0</v>
      </c>
      <c r="GO38" s="0" t="s">
        <v>2616</v>
      </c>
      <c r="GP38" s="0" t="s">
        <v>87</v>
      </c>
      <c r="GQ38" s="0" t="n">
        <v>26</v>
      </c>
      <c r="GR38" s="0" t="s">
        <v>2537</v>
      </c>
      <c r="GS38" s="0" t="s">
        <v>3050</v>
      </c>
      <c r="HA38" s="0" t="s">
        <v>3051</v>
      </c>
      <c r="HB38" s="0" t="s">
        <v>121</v>
      </c>
      <c r="HC38" s="0" t="s">
        <v>2736</v>
      </c>
      <c r="HD38" s="0" t="s">
        <v>89</v>
      </c>
      <c r="HE38" s="0" t="n">
        <v>0</v>
      </c>
      <c r="HF38" s="0" t="n">
        <v>0</v>
      </c>
      <c r="HG38" s="0" t="n">
        <v>0</v>
      </c>
      <c r="HH38" s="0" t="n">
        <v>0</v>
      </c>
      <c r="HI38" s="0" t="n">
        <v>0</v>
      </c>
      <c r="HJ38" s="0" t="n">
        <v>0</v>
      </c>
    </row>
    <row r="39" customFormat="false" ht="15" hidden="false" customHeight="false" outlineLevel="0" collapsed="false">
      <c r="A39" s="0" t="s">
        <v>225</v>
      </c>
      <c r="B39" s="0" t="s">
        <v>223</v>
      </c>
      <c r="C39" s="0" t="s">
        <v>81</v>
      </c>
      <c r="D39" s="0" t="s">
        <v>224</v>
      </c>
      <c r="E39" s="0" t="s">
        <v>1107</v>
      </c>
      <c r="F39" s="0" t="s">
        <v>680</v>
      </c>
      <c r="G39" s="0" t="s">
        <v>680</v>
      </c>
      <c r="H39" s="0" t="s">
        <v>1953</v>
      </c>
      <c r="I39" s="0" t="s">
        <v>2244</v>
      </c>
      <c r="CQ39" s="0" t="s">
        <v>3052</v>
      </c>
      <c r="CR39" s="0" t="s">
        <v>82</v>
      </c>
      <c r="CS39" s="0" t="s">
        <v>255</v>
      </c>
      <c r="CT39" s="0" t="s">
        <v>253</v>
      </c>
      <c r="CU39" s="0" t="s">
        <v>90</v>
      </c>
      <c r="CV39" s="0" t="s">
        <v>254</v>
      </c>
      <c r="CW39" s="0" t="n">
        <v>11.54</v>
      </c>
      <c r="CX39" s="0" t="n">
        <v>1</v>
      </c>
      <c r="CY39" s="0" t="n">
        <v>1</v>
      </c>
      <c r="CZ39" s="0" t="n">
        <v>1</v>
      </c>
      <c r="DA39" s="0" t="n">
        <v>980</v>
      </c>
      <c r="DB39" s="0" t="n">
        <v>980</v>
      </c>
      <c r="DC39" s="0" t="n">
        <v>1080</v>
      </c>
      <c r="DD39" s="0" t="n">
        <v>1170</v>
      </c>
      <c r="DE39" s="0" t="n">
        <v>1170</v>
      </c>
      <c r="DG39" s="0" t="s">
        <v>3053</v>
      </c>
      <c r="DH39" s="0" t="s">
        <v>82</v>
      </c>
      <c r="DI39" s="0" t="s">
        <v>868</v>
      </c>
      <c r="DJ39" s="0" t="s">
        <v>869</v>
      </c>
      <c r="DK39" s="0" t="s">
        <v>705</v>
      </c>
      <c r="DL39" s="0" t="n">
        <v>80.77</v>
      </c>
      <c r="DM39" s="0" t="s">
        <v>676</v>
      </c>
      <c r="DN39" s="0" t="s">
        <v>676</v>
      </c>
      <c r="DO39" s="0" t="n">
        <v>1</v>
      </c>
      <c r="DP39" s="0" t="n">
        <v>71.25</v>
      </c>
      <c r="DQ39" s="0" t="n">
        <v>71.25</v>
      </c>
      <c r="DR39" s="0" t="s">
        <v>3054</v>
      </c>
      <c r="DT39" s="0" t="s">
        <v>125</v>
      </c>
      <c r="DU39" s="0" t="s">
        <v>3055</v>
      </c>
      <c r="DV39" s="0" t="s">
        <v>3056</v>
      </c>
      <c r="DW39" s="0" t="s">
        <v>3057</v>
      </c>
      <c r="DX39" s="0" t="s">
        <v>2644</v>
      </c>
      <c r="DY39" s="0" t="s">
        <v>2645</v>
      </c>
      <c r="DZ39" s="0" t="n">
        <v>4</v>
      </c>
      <c r="EB39" s="0" t="s">
        <v>3058</v>
      </c>
      <c r="EC39" s="0" t="s">
        <v>2216</v>
      </c>
      <c r="ED39" s="0" t="s">
        <v>2525</v>
      </c>
      <c r="EE39" s="0" t="s">
        <v>283</v>
      </c>
      <c r="EF39" s="0" t="s">
        <v>281</v>
      </c>
      <c r="EG39" s="0" t="n">
        <v>360</v>
      </c>
      <c r="EH39" s="0" t="n">
        <v>400</v>
      </c>
      <c r="EI39" s="0" t="n">
        <v>430</v>
      </c>
      <c r="EJ39" s="0" t="n">
        <v>430</v>
      </c>
      <c r="EL39" s="0" t="s">
        <v>3059</v>
      </c>
      <c r="EM39" s="0" t="s">
        <v>2970</v>
      </c>
      <c r="EN39" s="0" t="s">
        <v>2971</v>
      </c>
      <c r="EO39" s="0" t="n">
        <v>3</v>
      </c>
      <c r="EP39" s="0" t="s">
        <v>2528</v>
      </c>
      <c r="EQ39" s="0" t="s">
        <v>2699</v>
      </c>
      <c r="ER39" s="0" t="s">
        <v>2700</v>
      </c>
      <c r="ES39" s="0" t="n">
        <v>24000</v>
      </c>
      <c r="ET39" s="0" t="n">
        <v>24000</v>
      </c>
      <c r="EU39" s="0" t="n">
        <v>24000</v>
      </c>
      <c r="EV39" s="0" t="n">
        <v>24000</v>
      </c>
      <c r="GD39" s="0" t="s">
        <v>3049</v>
      </c>
      <c r="GE39" s="0" t="s">
        <v>2535</v>
      </c>
      <c r="GF39" s="0" t="s">
        <v>125</v>
      </c>
      <c r="GG39" s="0" t="s">
        <v>121</v>
      </c>
      <c r="GH39" s="0" t="n">
        <v>0</v>
      </c>
      <c r="GI39" s="0" t="n">
        <v>0</v>
      </c>
      <c r="GJ39" s="0" t="n">
        <v>0</v>
      </c>
      <c r="GK39" s="0" t="n">
        <v>0</v>
      </c>
      <c r="GL39" s="0" t="n">
        <v>0</v>
      </c>
      <c r="GM39" s="0" t="n">
        <v>0</v>
      </c>
      <c r="GN39" s="0" t="n">
        <v>1</v>
      </c>
      <c r="GO39" s="0" t="s">
        <v>2556</v>
      </c>
      <c r="GP39" s="0" t="s">
        <v>87</v>
      </c>
      <c r="GQ39" s="0" t="n">
        <v>26</v>
      </c>
      <c r="GR39" s="0" t="s">
        <v>2537</v>
      </c>
      <c r="GS39" s="0" t="s">
        <v>3050</v>
      </c>
      <c r="HA39" s="0" t="s">
        <v>3060</v>
      </c>
      <c r="HB39" s="0" t="s">
        <v>121</v>
      </c>
      <c r="HC39" s="0" t="s">
        <v>2703</v>
      </c>
      <c r="HD39" s="0" t="s">
        <v>146</v>
      </c>
      <c r="HE39" s="0" t="n">
        <v>0</v>
      </c>
      <c r="HF39" s="0" t="n">
        <v>0</v>
      </c>
      <c r="HG39" s="0" t="n">
        <v>0</v>
      </c>
      <c r="HH39" s="0" t="n">
        <v>0</v>
      </c>
      <c r="HI39" s="0" t="n">
        <v>0</v>
      </c>
      <c r="HJ39" s="0" t="n">
        <v>0</v>
      </c>
    </row>
    <row r="40" customFormat="false" ht="15" hidden="false" customHeight="false" outlineLevel="0" collapsed="false">
      <c r="A40" s="0" t="s">
        <v>288</v>
      </c>
      <c r="B40" s="0" t="s">
        <v>287</v>
      </c>
      <c r="C40" s="0" t="s">
        <v>81</v>
      </c>
      <c r="D40" s="0" t="s">
        <v>236</v>
      </c>
      <c r="E40" s="0" t="s">
        <v>1750</v>
      </c>
      <c r="F40" s="0" t="s">
        <v>680</v>
      </c>
      <c r="G40" s="0" t="s">
        <v>680</v>
      </c>
      <c r="H40" s="0" t="s">
        <v>680</v>
      </c>
      <c r="I40" s="0" t="s">
        <v>2245</v>
      </c>
      <c r="CQ40" s="0" t="s">
        <v>3061</v>
      </c>
      <c r="CR40" s="0" t="s">
        <v>82</v>
      </c>
      <c r="CS40" s="0" t="s">
        <v>605</v>
      </c>
      <c r="CT40" s="0" t="s">
        <v>2697</v>
      </c>
      <c r="CU40" s="0" t="s">
        <v>90</v>
      </c>
      <c r="CV40" s="0" t="s">
        <v>3062</v>
      </c>
      <c r="CW40" s="0" t="n">
        <v>100</v>
      </c>
      <c r="CX40" s="0" t="n">
        <v>1</v>
      </c>
      <c r="CY40" s="0" t="n">
        <v>1</v>
      </c>
      <c r="CZ40" s="0" t="n">
        <v>1</v>
      </c>
      <c r="DA40" s="0" t="n">
        <v>930</v>
      </c>
      <c r="DB40" s="0" t="n">
        <v>930</v>
      </c>
      <c r="DC40" s="0" t="n">
        <v>930</v>
      </c>
      <c r="DD40" s="0" t="n">
        <v>930</v>
      </c>
      <c r="DE40" s="0" t="n">
        <v>930</v>
      </c>
      <c r="DG40" s="0" t="s">
        <v>3063</v>
      </c>
      <c r="DH40" s="0" t="s">
        <v>82</v>
      </c>
      <c r="DI40" s="0" t="s">
        <v>873</v>
      </c>
      <c r="DJ40" s="0" t="s">
        <v>874</v>
      </c>
      <c r="DK40" s="0" t="s">
        <v>674</v>
      </c>
      <c r="DL40" s="0" t="n">
        <v>76.92</v>
      </c>
      <c r="DM40" s="0" t="s">
        <v>676</v>
      </c>
      <c r="DN40" s="0" t="s">
        <v>676</v>
      </c>
      <c r="DO40" s="0" t="n">
        <v>0</v>
      </c>
      <c r="DP40" s="0" t="n">
        <v>0</v>
      </c>
      <c r="DQ40" s="0" t="n">
        <v>180</v>
      </c>
      <c r="DR40" s="0" t="s">
        <v>3064</v>
      </c>
      <c r="DT40" s="0" t="s">
        <v>125</v>
      </c>
      <c r="DU40" s="0" t="s">
        <v>3065</v>
      </c>
      <c r="DV40" s="0" t="s">
        <v>3066</v>
      </c>
      <c r="DW40" s="0" t="s">
        <v>3067</v>
      </c>
      <c r="DX40" s="0" t="s">
        <v>2831</v>
      </c>
      <c r="DY40" s="0" t="s">
        <v>2832</v>
      </c>
      <c r="DZ40" s="0" t="n">
        <v>3</v>
      </c>
      <c r="EB40" s="0" t="s">
        <v>3068</v>
      </c>
      <c r="EC40" s="0" t="s">
        <v>2216</v>
      </c>
      <c r="ED40" s="0" t="s">
        <v>2525</v>
      </c>
      <c r="EE40" s="0" t="s">
        <v>267</v>
      </c>
      <c r="EF40" s="0" t="s">
        <v>265</v>
      </c>
      <c r="EG40" s="0" t="n">
        <v>1920</v>
      </c>
      <c r="EH40" s="0" t="n">
        <v>2120</v>
      </c>
      <c r="EI40" s="0" t="n">
        <v>2290</v>
      </c>
      <c r="EJ40" s="0" t="n">
        <v>2290</v>
      </c>
      <c r="EL40" s="0" t="s">
        <v>3069</v>
      </c>
      <c r="EM40" s="0" t="s">
        <v>2970</v>
      </c>
      <c r="EN40" s="0" t="s">
        <v>2971</v>
      </c>
      <c r="EO40" s="0" t="n">
        <v>3.5</v>
      </c>
      <c r="EP40" s="0" t="s">
        <v>2528</v>
      </c>
      <c r="EQ40" s="0" t="s">
        <v>2730</v>
      </c>
      <c r="ER40" s="0" t="s">
        <v>2731</v>
      </c>
      <c r="ES40" s="0" t="n">
        <v>28000</v>
      </c>
      <c r="ET40" s="0" t="n">
        <v>28000</v>
      </c>
      <c r="EU40" s="0" t="n">
        <v>28000</v>
      </c>
      <c r="EV40" s="0" t="n">
        <v>28000</v>
      </c>
      <c r="GD40" s="0" t="s">
        <v>3049</v>
      </c>
      <c r="GE40" s="0" t="s">
        <v>2535</v>
      </c>
      <c r="GF40" s="0" t="s">
        <v>125</v>
      </c>
      <c r="GG40" s="0" t="s">
        <v>125</v>
      </c>
      <c r="GH40" s="0" t="n">
        <v>0</v>
      </c>
      <c r="GI40" s="0" t="n">
        <v>0</v>
      </c>
      <c r="GJ40" s="0" t="n">
        <v>0</v>
      </c>
      <c r="GK40" s="0" t="n">
        <v>0</v>
      </c>
      <c r="GL40" s="0" t="n">
        <v>0</v>
      </c>
      <c r="GM40" s="0" t="n">
        <v>0</v>
      </c>
      <c r="GN40" s="0" t="n">
        <v>1</v>
      </c>
      <c r="GO40" s="0" t="s">
        <v>2556</v>
      </c>
      <c r="GP40" s="0" t="s">
        <v>87</v>
      </c>
      <c r="GQ40" s="0" t="n">
        <v>26</v>
      </c>
      <c r="GR40" s="0" t="s">
        <v>2537</v>
      </c>
      <c r="GS40" s="0" t="s">
        <v>3050</v>
      </c>
      <c r="HA40" s="0" t="s">
        <v>3070</v>
      </c>
      <c r="HB40" s="0" t="s">
        <v>121</v>
      </c>
      <c r="HC40" s="0" t="s">
        <v>2764</v>
      </c>
      <c r="HD40" s="0" t="s">
        <v>92</v>
      </c>
      <c r="HE40" s="0" t="n">
        <v>0</v>
      </c>
      <c r="HF40" s="0" t="n">
        <v>0</v>
      </c>
      <c r="HG40" s="0" t="n">
        <v>0</v>
      </c>
      <c r="HH40" s="0" t="n">
        <v>0</v>
      </c>
      <c r="HI40" s="0" t="n">
        <v>0</v>
      </c>
      <c r="HJ40" s="0" t="n">
        <v>0</v>
      </c>
    </row>
    <row r="41" customFormat="false" ht="15" hidden="false" customHeight="false" outlineLevel="0" collapsed="false">
      <c r="A41" s="0" t="s">
        <v>269</v>
      </c>
      <c r="B41" s="0" t="s">
        <v>268</v>
      </c>
      <c r="C41" s="0" t="s">
        <v>81</v>
      </c>
      <c r="D41" s="0" t="s">
        <v>236</v>
      </c>
      <c r="E41" s="0" t="s">
        <v>1259</v>
      </c>
      <c r="F41" s="0" t="s">
        <v>680</v>
      </c>
      <c r="G41" s="0" t="s">
        <v>680</v>
      </c>
      <c r="H41" s="0" t="s">
        <v>680</v>
      </c>
      <c r="I41" s="0" t="s">
        <v>1652</v>
      </c>
      <c r="CQ41" s="0" t="s">
        <v>3071</v>
      </c>
      <c r="CR41" s="0" t="s">
        <v>82</v>
      </c>
      <c r="CS41" s="0" t="s">
        <v>243</v>
      </c>
      <c r="CT41" s="0" t="s">
        <v>241</v>
      </c>
      <c r="CU41" s="0" t="s">
        <v>90</v>
      </c>
      <c r="CV41" s="0" t="s">
        <v>242</v>
      </c>
      <c r="CW41" s="0" t="n">
        <v>19.23</v>
      </c>
      <c r="CX41" s="0" t="n">
        <v>1</v>
      </c>
      <c r="CY41" s="0" t="n">
        <v>1</v>
      </c>
      <c r="CZ41" s="0" t="n">
        <v>1</v>
      </c>
      <c r="DA41" s="0" t="n">
        <v>1250</v>
      </c>
      <c r="DB41" s="0" t="n">
        <v>1250</v>
      </c>
      <c r="DC41" s="0" t="n">
        <v>1250</v>
      </c>
      <c r="DD41" s="0" t="n">
        <v>1250</v>
      </c>
      <c r="DE41" s="0" t="n">
        <v>1250</v>
      </c>
      <c r="DG41" s="0" t="s">
        <v>3072</v>
      </c>
      <c r="DH41" s="0" t="s">
        <v>82</v>
      </c>
      <c r="DI41" s="0" t="s">
        <v>880</v>
      </c>
      <c r="DJ41" s="0" t="s">
        <v>881</v>
      </c>
      <c r="DK41" s="0" t="s">
        <v>674</v>
      </c>
      <c r="DL41" s="0" t="n">
        <v>76.92</v>
      </c>
      <c r="DM41" s="0" t="s">
        <v>676</v>
      </c>
      <c r="DN41" s="0" t="s">
        <v>676</v>
      </c>
      <c r="DO41" s="0" t="n">
        <v>0</v>
      </c>
      <c r="DP41" s="0" t="n">
        <v>0</v>
      </c>
      <c r="DQ41" s="0" t="n">
        <v>375.8</v>
      </c>
      <c r="DR41" s="0" t="s">
        <v>3073</v>
      </c>
      <c r="DT41" s="0" t="s">
        <v>125</v>
      </c>
      <c r="DU41" s="0" t="s">
        <v>3074</v>
      </c>
      <c r="DV41" s="0" t="s">
        <v>3075</v>
      </c>
      <c r="DW41" s="0" t="s">
        <v>3076</v>
      </c>
      <c r="DX41" s="0" t="s">
        <v>2216</v>
      </c>
      <c r="DY41" s="0" t="s">
        <v>2525</v>
      </c>
      <c r="DZ41" s="0" t="n">
        <v>2</v>
      </c>
      <c r="EB41" s="0" t="s">
        <v>3077</v>
      </c>
      <c r="EC41" s="0" t="s">
        <v>2216</v>
      </c>
      <c r="ED41" s="0" t="s">
        <v>2525</v>
      </c>
      <c r="EE41" s="0" t="s">
        <v>258</v>
      </c>
      <c r="EF41" s="0" t="s">
        <v>256</v>
      </c>
      <c r="EG41" s="0" t="n">
        <v>2910</v>
      </c>
      <c r="EH41" s="0" t="n">
        <v>3220</v>
      </c>
      <c r="EI41" s="0" t="n">
        <v>3470</v>
      </c>
      <c r="EJ41" s="0" t="n">
        <v>3470</v>
      </c>
      <c r="EL41" s="0" t="s">
        <v>3078</v>
      </c>
      <c r="EM41" s="0" t="s">
        <v>2970</v>
      </c>
      <c r="EN41" s="0" t="s">
        <v>2971</v>
      </c>
      <c r="EO41" s="0" t="n">
        <v>4</v>
      </c>
      <c r="EP41" s="0" t="s">
        <v>2528</v>
      </c>
      <c r="EQ41" s="0" t="s">
        <v>2761</v>
      </c>
      <c r="ER41" s="0" t="s">
        <v>2762</v>
      </c>
      <c r="ES41" s="0" t="n">
        <v>32000</v>
      </c>
      <c r="ET41" s="0" t="n">
        <v>32000</v>
      </c>
      <c r="EU41" s="0" t="n">
        <v>32000</v>
      </c>
      <c r="EV41" s="0" t="n">
        <v>32000</v>
      </c>
      <c r="GD41" s="0" t="s">
        <v>3049</v>
      </c>
      <c r="GE41" s="0" t="s">
        <v>2535</v>
      </c>
      <c r="GF41" s="0" t="s">
        <v>125</v>
      </c>
      <c r="GG41" s="0" t="s">
        <v>85</v>
      </c>
      <c r="GH41" s="0" t="n">
        <v>0</v>
      </c>
      <c r="GI41" s="0" t="n">
        <v>0</v>
      </c>
      <c r="GJ41" s="0" t="n">
        <v>0</v>
      </c>
      <c r="GK41" s="0" t="n">
        <v>0</v>
      </c>
      <c r="GL41" s="0" t="n">
        <v>0</v>
      </c>
      <c r="GM41" s="0" t="n">
        <v>0</v>
      </c>
      <c r="GN41" s="0" t="n">
        <v>1</v>
      </c>
      <c r="GO41" s="0" t="s">
        <v>2556</v>
      </c>
      <c r="GP41" s="0" t="s">
        <v>87</v>
      </c>
      <c r="GQ41" s="0" t="n">
        <v>26</v>
      </c>
      <c r="GR41" s="0" t="s">
        <v>2537</v>
      </c>
      <c r="GS41" s="0" t="s">
        <v>3050</v>
      </c>
      <c r="HA41" s="0" t="s">
        <v>3079</v>
      </c>
      <c r="HB41" s="0" t="s">
        <v>121</v>
      </c>
      <c r="HC41" s="0" t="s">
        <v>2718</v>
      </c>
      <c r="HD41" s="0" t="s">
        <v>95</v>
      </c>
      <c r="HE41" s="0" t="n">
        <v>0</v>
      </c>
      <c r="HF41" s="0" t="n">
        <v>0</v>
      </c>
      <c r="HG41" s="0" t="n">
        <v>0</v>
      </c>
      <c r="HH41" s="0" t="n">
        <v>0</v>
      </c>
      <c r="HI41" s="0" t="n">
        <v>0</v>
      </c>
      <c r="HJ41" s="0" t="n">
        <v>0</v>
      </c>
    </row>
    <row r="42" customFormat="false" ht="15" hidden="false" customHeight="false" outlineLevel="0" collapsed="false">
      <c r="A42" s="0" t="s">
        <v>237</v>
      </c>
      <c r="B42" s="0" t="s">
        <v>235</v>
      </c>
      <c r="C42" s="0" t="s">
        <v>81</v>
      </c>
      <c r="D42" s="0" t="s">
        <v>236</v>
      </c>
      <c r="E42" s="0" t="s">
        <v>1393</v>
      </c>
      <c r="F42" s="0" t="s">
        <v>680</v>
      </c>
      <c r="G42" s="0" t="s">
        <v>680</v>
      </c>
      <c r="H42" s="0" t="s">
        <v>680</v>
      </c>
      <c r="I42" s="0" t="s">
        <v>2246</v>
      </c>
      <c r="CQ42" s="0" t="s">
        <v>3080</v>
      </c>
      <c r="CR42" s="0" t="s">
        <v>82</v>
      </c>
      <c r="CS42" s="0" t="s">
        <v>599</v>
      </c>
      <c r="CT42" s="0" t="s">
        <v>2745</v>
      </c>
      <c r="CU42" s="0" t="s">
        <v>79</v>
      </c>
      <c r="CV42" s="0" t="s">
        <v>3081</v>
      </c>
      <c r="CW42" s="0" t="n">
        <v>100</v>
      </c>
      <c r="CX42" s="0" t="n">
        <v>2</v>
      </c>
      <c r="CY42" s="0" t="n">
        <v>2</v>
      </c>
      <c r="CZ42" s="0" t="n">
        <v>2</v>
      </c>
      <c r="DA42" s="0" t="n">
        <v>3000</v>
      </c>
      <c r="DB42" s="0" t="n">
        <v>1500</v>
      </c>
      <c r="DC42" s="0" t="n">
        <v>1500</v>
      </c>
      <c r="DD42" s="0" t="n">
        <v>1500</v>
      </c>
      <c r="DE42" s="0" t="n">
        <v>1500</v>
      </c>
      <c r="DG42" s="0" t="s">
        <v>3082</v>
      </c>
      <c r="DH42" s="0" t="s">
        <v>82</v>
      </c>
      <c r="DI42" s="0" t="s">
        <v>886</v>
      </c>
      <c r="DJ42" s="0" t="s">
        <v>887</v>
      </c>
      <c r="DK42" s="0" t="s">
        <v>705</v>
      </c>
      <c r="DL42" s="0" t="n">
        <v>76.92</v>
      </c>
      <c r="DM42" s="0" t="s">
        <v>675</v>
      </c>
      <c r="DN42" s="0" t="s">
        <v>676</v>
      </c>
      <c r="DO42" s="0" t="n">
        <v>2</v>
      </c>
      <c r="DP42" s="0" t="n">
        <v>256</v>
      </c>
      <c r="DQ42" s="0" t="n">
        <v>256</v>
      </c>
      <c r="DR42" s="0" t="s">
        <v>3083</v>
      </c>
      <c r="DT42" s="0" t="s">
        <v>125</v>
      </c>
      <c r="DU42" s="0" t="s">
        <v>3084</v>
      </c>
      <c r="DV42" s="0" t="s">
        <v>3085</v>
      </c>
      <c r="DW42" s="0" t="s">
        <v>3086</v>
      </c>
      <c r="DX42" s="0" t="s">
        <v>2694</v>
      </c>
      <c r="DY42" s="0" t="s">
        <v>2695</v>
      </c>
      <c r="DZ42" s="0" t="n">
        <v>2</v>
      </c>
      <c r="EB42" s="0" t="s">
        <v>3087</v>
      </c>
      <c r="EC42" s="0" t="s">
        <v>2216</v>
      </c>
      <c r="ED42" s="0" t="s">
        <v>2525</v>
      </c>
      <c r="EE42" s="0" t="s">
        <v>222</v>
      </c>
      <c r="EF42" s="0" t="s">
        <v>220</v>
      </c>
      <c r="EG42" s="0" t="n">
        <v>2430</v>
      </c>
      <c r="EH42" s="0" t="n">
        <v>2690</v>
      </c>
      <c r="EI42" s="0" t="n">
        <v>2900</v>
      </c>
      <c r="EJ42" s="0" t="n">
        <v>2900</v>
      </c>
      <c r="EL42" s="0" t="s">
        <v>3088</v>
      </c>
      <c r="EM42" s="0" t="s">
        <v>2970</v>
      </c>
      <c r="EN42" s="0" t="s">
        <v>2971</v>
      </c>
      <c r="EO42" s="0" t="n">
        <v>4.5</v>
      </c>
      <c r="EP42" s="0" t="s">
        <v>2528</v>
      </c>
      <c r="EQ42" s="0" t="s">
        <v>2788</v>
      </c>
      <c r="ER42" s="0" t="s">
        <v>2789</v>
      </c>
      <c r="ES42" s="0" t="n">
        <v>36000</v>
      </c>
      <c r="ET42" s="0" t="n">
        <v>36000</v>
      </c>
      <c r="EU42" s="0" t="n">
        <v>36000</v>
      </c>
      <c r="EV42" s="0" t="n">
        <v>36000</v>
      </c>
      <c r="GD42" s="0" t="s">
        <v>3049</v>
      </c>
      <c r="GE42" s="0" t="s">
        <v>2535</v>
      </c>
      <c r="GF42" s="0" t="s">
        <v>125</v>
      </c>
      <c r="GG42" s="0" t="s">
        <v>86</v>
      </c>
      <c r="GH42" s="0" t="n">
        <v>0</v>
      </c>
      <c r="GI42" s="0" t="n">
        <v>0</v>
      </c>
      <c r="GJ42" s="0" t="n">
        <v>0</v>
      </c>
      <c r="GK42" s="0" t="n">
        <v>0</v>
      </c>
      <c r="GL42" s="0" t="n">
        <v>0</v>
      </c>
      <c r="GM42" s="0" t="n">
        <v>0</v>
      </c>
      <c r="GN42" s="0" t="n">
        <v>1</v>
      </c>
      <c r="GO42" s="0" t="s">
        <v>2556</v>
      </c>
      <c r="GP42" s="0" t="s">
        <v>87</v>
      </c>
      <c r="GQ42" s="0" t="n">
        <v>26</v>
      </c>
      <c r="GR42" s="0" t="s">
        <v>2537</v>
      </c>
      <c r="GS42" s="0" t="s">
        <v>3050</v>
      </c>
      <c r="HA42" s="0" t="s">
        <v>3089</v>
      </c>
      <c r="HB42" s="0" t="s">
        <v>121</v>
      </c>
      <c r="HC42" s="0" t="s">
        <v>2737</v>
      </c>
      <c r="HD42" s="0" t="s">
        <v>98</v>
      </c>
      <c r="HE42" s="0" t="n">
        <v>0</v>
      </c>
      <c r="HF42" s="0" t="n">
        <v>0</v>
      </c>
      <c r="HG42" s="0" t="n">
        <v>0</v>
      </c>
      <c r="HH42" s="0" t="n">
        <v>0</v>
      </c>
      <c r="HI42" s="0" t="n">
        <v>0</v>
      </c>
      <c r="HJ42" s="0" t="n">
        <v>0</v>
      </c>
    </row>
    <row r="43" customFormat="false" ht="15" hidden="false" customHeight="false" outlineLevel="0" collapsed="false">
      <c r="A43" s="0" t="s">
        <v>249</v>
      </c>
      <c r="B43" s="0" t="s">
        <v>247</v>
      </c>
      <c r="C43" s="0" t="s">
        <v>81</v>
      </c>
      <c r="D43" s="0" t="s">
        <v>248</v>
      </c>
      <c r="E43" s="0" t="s">
        <v>1015</v>
      </c>
      <c r="F43" s="0" t="s">
        <v>680</v>
      </c>
      <c r="G43" s="0" t="s">
        <v>680</v>
      </c>
      <c r="H43" s="0" t="s">
        <v>680</v>
      </c>
      <c r="I43" s="0" t="s">
        <v>322</v>
      </c>
      <c r="CQ43" s="0" t="s">
        <v>3090</v>
      </c>
      <c r="CR43" s="0" t="s">
        <v>82</v>
      </c>
      <c r="CS43" s="0" t="s">
        <v>597</v>
      </c>
      <c r="CT43" s="0" t="s">
        <v>2759</v>
      </c>
      <c r="CU43" s="0" t="s">
        <v>79</v>
      </c>
      <c r="CV43" s="0" t="s">
        <v>3081</v>
      </c>
      <c r="CW43" s="0" t="n">
        <v>100</v>
      </c>
      <c r="CX43" s="0" t="n">
        <v>2</v>
      </c>
      <c r="CY43" s="0" t="n">
        <v>2</v>
      </c>
      <c r="CZ43" s="0" t="n">
        <v>2</v>
      </c>
      <c r="DA43" s="0" t="n">
        <v>6000</v>
      </c>
      <c r="DB43" s="0" t="n">
        <v>3000</v>
      </c>
      <c r="DC43" s="0" t="n">
        <v>3000</v>
      </c>
      <c r="DD43" s="0" t="n">
        <v>3000</v>
      </c>
      <c r="DE43" s="0" t="n">
        <v>3000</v>
      </c>
      <c r="DG43" s="0" t="s">
        <v>3091</v>
      </c>
      <c r="DH43" s="0" t="s">
        <v>82</v>
      </c>
      <c r="DI43" s="0" t="s">
        <v>892</v>
      </c>
      <c r="DJ43" s="0" t="s">
        <v>893</v>
      </c>
      <c r="DK43" s="0" t="s">
        <v>705</v>
      </c>
      <c r="DL43" s="0" t="n">
        <v>76.92</v>
      </c>
      <c r="DM43" s="0" t="s">
        <v>675</v>
      </c>
      <c r="DN43" s="0" t="s">
        <v>676</v>
      </c>
      <c r="DO43" s="0" t="n">
        <v>25</v>
      </c>
      <c r="DP43" s="0" t="n">
        <v>1160</v>
      </c>
      <c r="DQ43" s="0" t="n">
        <v>1160</v>
      </c>
      <c r="DR43" s="0" t="s">
        <v>3092</v>
      </c>
      <c r="DT43" s="0" t="s">
        <v>125</v>
      </c>
      <c r="DU43" s="0" t="s">
        <v>3093</v>
      </c>
      <c r="DV43" s="0" t="s">
        <v>3094</v>
      </c>
      <c r="DW43" s="0" t="s">
        <v>3095</v>
      </c>
      <c r="DX43" s="0" t="s">
        <v>2694</v>
      </c>
      <c r="DY43" s="0" t="s">
        <v>2695</v>
      </c>
      <c r="DZ43" s="0" t="n">
        <v>1</v>
      </c>
      <c r="EB43" s="0" t="s">
        <v>3096</v>
      </c>
      <c r="EC43" s="0" t="s">
        <v>2216</v>
      </c>
      <c r="ED43" s="0" t="s">
        <v>2525</v>
      </c>
      <c r="EE43" s="0" t="s">
        <v>233</v>
      </c>
      <c r="EF43" s="0" t="s">
        <v>231</v>
      </c>
      <c r="EG43" s="0" t="n">
        <v>1110</v>
      </c>
      <c r="EH43" s="0" t="n">
        <v>1220</v>
      </c>
      <c r="EI43" s="0" t="n">
        <v>1320</v>
      </c>
      <c r="EJ43" s="0" t="n">
        <v>1320</v>
      </c>
      <c r="EL43" s="0" t="s">
        <v>3097</v>
      </c>
      <c r="EM43" s="0" t="s">
        <v>2970</v>
      </c>
      <c r="EN43" s="0" t="s">
        <v>2971</v>
      </c>
      <c r="EO43" s="0" t="n">
        <v>5</v>
      </c>
      <c r="EP43" s="0" t="s">
        <v>2528</v>
      </c>
      <c r="EQ43" s="0" t="s">
        <v>2817</v>
      </c>
      <c r="ER43" s="0" t="s">
        <v>2818</v>
      </c>
      <c r="ES43" s="0" t="n">
        <v>40000</v>
      </c>
      <c r="ET43" s="0" t="n">
        <v>40000</v>
      </c>
      <c r="EU43" s="0" t="n">
        <v>40000</v>
      </c>
      <c r="EV43" s="0" t="n">
        <v>40000</v>
      </c>
      <c r="GD43" s="0" t="s">
        <v>3049</v>
      </c>
      <c r="GE43" s="0" t="s">
        <v>2535</v>
      </c>
      <c r="GF43" s="0" t="s">
        <v>125</v>
      </c>
      <c r="GG43" s="0" t="s">
        <v>87</v>
      </c>
      <c r="GH43" s="0" t="n">
        <v>26</v>
      </c>
      <c r="GI43" s="0" t="n">
        <v>36.25</v>
      </c>
      <c r="GJ43" s="0" t="n">
        <v>39</v>
      </c>
      <c r="GK43" s="0" t="n">
        <v>41</v>
      </c>
      <c r="GL43" s="0" t="n">
        <v>0.1218</v>
      </c>
      <c r="GM43" s="0" t="n">
        <v>39</v>
      </c>
      <c r="GN43" s="0" t="n">
        <v>0</v>
      </c>
      <c r="GO43" s="0" t="s">
        <v>2893</v>
      </c>
      <c r="GP43" s="0" t="s">
        <v>87</v>
      </c>
      <c r="GQ43" s="0" t="n">
        <v>26</v>
      </c>
      <c r="GR43" s="0" t="s">
        <v>2537</v>
      </c>
      <c r="GS43" s="0" t="s">
        <v>3050</v>
      </c>
      <c r="HA43" s="0" t="s">
        <v>3098</v>
      </c>
      <c r="HB43" s="0" t="s">
        <v>121</v>
      </c>
      <c r="HC43" s="0" t="s">
        <v>2751</v>
      </c>
      <c r="HD43" s="0" t="s">
        <v>101</v>
      </c>
      <c r="HE43" s="0" t="n">
        <v>0</v>
      </c>
      <c r="HF43" s="0" t="n">
        <v>0</v>
      </c>
      <c r="HG43" s="0" t="n">
        <v>0</v>
      </c>
      <c r="HH43" s="0" t="n">
        <v>0</v>
      </c>
      <c r="HI43" s="0" t="n">
        <v>0</v>
      </c>
      <c r="HJ43" s="0" t="n">
        <v>0</v>
      </c>
    </row>
    <row r="44" customFormat="false" ht="15" hidden="false" customHeight="false" outlineLevel="0" collapsed="false">
      <c r="A44" s="0" t="s">
        <v>293</v>
      </c>
      <c r="B44" s="0" t="s">
        <v>291</v>
      </c>
      <c r="C44" s="0" t="s">
        <v>81</v>
      </c>
      <c r="D44" s="0" t="s">
        <v>292</v>
      </c>
      <c r="E44" s="0" t="s">
        <v>1750</v>
      </c>
      <c r="F44" s="0" t="s">
        <v>680</v>
      </c>
      <c r="G44" s="0" t="s">
        <v>680</v>
      </c>
      <c r="H44" s="0" t="s">
        <v>680</v>
      </c>
      <c r="I44" s="0" t="s">
        <v>336</v>
      </c>
      <c r="CQ44" s="0" t="s">
        <v>3099</v>
      </c>
      <c r="CR44" s="0" t="s">
        <v>82</v>
      </c>
      <c r="CS44" s="0" t="s">
        <v>261</v>
      </c>
      <c r="CT44" s="0" t="s">
        <v>259</v>
      </c>
      <c r="CU44" s="0" t="s">
        <v>2266</v>
      </c>
      <c r="CV44" s="0" t="s">
        <v>260</v>
      </c>
      <c r="CW44" s="0" t="n">
        <v>11.54</v>
      </c>
      <c r="CX44" s="0" t="n">
        <v>1</v>
      </c>
      <c r="CY44" s="0" t="n">
        <v>1</v>
      </c>
      <c r="CZ44" s="0" t="n">
        <v>1</v>
      </c>
      <c r="DA44" s="0" t="n">
        <v>1020</v>
      </c>
      <c r="DB44" s="0" t="n">
        <v>860</v>
      </c>
      <c r="DC44" s="0" t="n">
        <v>950</v>
      </c>
      <c r="DD44" s="0" t="n">
        <v>1020</v>
      </c>
      <c r="DE44" s="0" t="n">
        <v>1020</v>
      </c>
      <c r="DG44" s="0" t="s">
        <v>3100</v>
      </c>
      <c r="DH44" s="0" t="s">
        <v>82</v>
      </c>
      <c r="DI44" s="0" t="s">
        <v>896</v>
      </c>
      <c r="DJ44" s="0" t="s">
        <v>897</v>
      </c>
      <c r="DK44" s="0" t="s">
        <v>705</v>
      </c>
      <c r="DL44" s="0" t="n">
        <v>76.92</v>
      </c>
      <c r="DM44" s="0" t="s">
        <v>676</v>
      </c>
      <c r="DN44" s="0" t="s">
        <v>676</v>
      </c>
      <c r="DO44" s="0" t="n">
        <v>0</v>
      </c>
      <c r="DP44" s="0" t="n">
        <v>0</v>
      </c>
      <c r="DQ44" s="0" t="n">
        <v>321.04</v>
      </c>
      <c r="DR44" s="0" t="s">
        <v>3101</v>
      </c>
      <c r="DT44" s="0" t="s">
        <v>125</v>
      </c>
      <c r="DU44" s="0" t="s">
        <v>3102</v>
      </c>
      <c r="DV44" s="0" t="s">
        <v>3103</v>
      </c>
      <c r="DW44" s="0" t="s">
        <v>3104</v>
      </c>
      <c r="DX44" s="0" t="s">
        <v>2216</v>
      </c>
      <c r="DY44" s="0" t="s">
        <v>2525</v>
      </c>
      <c r="DZ44" s="0" t="n">
        <v>1</v>
      </c>
      <c r="EB44" s="0" t="s">
        <v>3105</v>
      </c>
      <c r="EC44" s="0" t="s">
        <v>2216</v>
      </c>
      <c r="ED44" s="0" t="s">
        <v>2525</v>
      </c>
      <c r="EE44" s="0" t="s">
        <v>225</v>
      </c>
      <c r="EF44" s="0" t="s">
        <v>223</v>
      </c>
      <c r="EG44" s="0" t="n">
        <v>2730</v>
      </c>
      <c r="EH44" s="0" t="n">
        <v>3020</v>
      </c>
      <c r="EI44" s="0" t="n">
        <v>3260</v>
      </c>
      <c r="EJ44" s="0" t="n">
        <v>3260</v>
      </c>
      <c r="EL44" s="0" t="s">
        <v>3106</v>
      </c>
      <c r="EM44" s="0" t="s">
        <v>2970</v>
      </c>
      <c r="EN44" s="0" t="s">
        <v>2971</v>
      </c>
      <c r="EO44" s="0" t="n">
        <v>5.5</v>
      </c>
      <c r="EP44" s="0" t="s">
        <v>2528</v>
      </c>
      <c r="EQ44" s="0" t="s">
        <v>2848</v>
      </c>
      <c r="ER44" s="0" t="s">
        <v>2849</v>
      </c>
      <c r="ES44" s="0" t="n">
        <v>44000</v>
      </c>
      <c r="ET44" s="0" t="n">
        <v>44000</v>
      </c>
      <c r="EU44" s="0" t="n">
        <v>44000</v>
      </c>
      <c r="EV44" s="0" t="n">
        <v>44000</v>
      </c>
      <c r="GD44" s="0" t="s">
        <v>3107</v>
      </c>
      <c r="GE44" s="0" t="s">
        <v>2634</v>
      </c>
      <c r="GF44" s="0" t="s">
        <v>125</v>
      </c>
      <c r="GG44" s="0" t="s">
        <v>82</v>
      </c>
      <c r="GH44" s="0" t="n">
        <v>26</v>
      </c>
      <c r="GI44" s="0" t="n">
        <v>7802.505</v>
      </c>
      <c r="GJ44" s="0" t="n">
        <v>9060.435</v>
      </c>
      <c r="GK44" s="0" t="n">
        <v>10629.097</v>
      </c>
      <c r="GL44" s="0" t="n">
        <v>0.312</v>
      </c>
      <c r="GM44" s="0" t="n">
        <v>9060.435</v>
      </c>
      <c r="GN44" s="0" t="n">
        <v>0</v>
      </c>
      <c r="GO44" s="0" t="s">
        <v>2616</v>
      </c>
      <c r="GP44" s="0" t="s">
        <v>87</v>
      </c>
      <c r="GQ44" s="0" t="n">
        <v>26</v>
      </c>
      <c r="GR44" s="0" t="s">
        <v>2537</v>
      </c>
      <c r="GS44" s="0" t="s">
        <v>3108</v>
      </c>
      <c r="HA44" s="0" t="s">
        <v>3109</v>
      </c>
      <c r="HB44" s="0" t="s">
        <v>121</v>
      </c>
      <c r="HC44" s="0" t="s">
        <v>2823</v>
      </c>
      <c r="HD44" s="0" t="s">
        <v>147</v>
      </c>
      <c r="HE44" s="0" t="n">
        <v>0</v>
      </c>
      <c r="HF44" s="0" t="n">
        <v>0</v>
      </c>
      <c r="HG44" s="0" t="n">
        <v>0</v>
      </c>
      <c r="HH44" s="0" t="n">
        <v>0</v>
      </c>
      <c r="HI44" s="0" t="n">
        <v>0</v>
      </c>
      <c r="HJ44" s="0" t="n">
        <v>0</v>
      </c>
    </row>
    <row r="45" customFormat="false" ht="15" hidden="false" customHeight="false" outlineLevel="0" collapsed="false">
      <c r="A45" s="0" t="s">
        <v>280</v>
      </c>
      <c r="B45" s="0" t="s">
        <v>279</v>
      </c>
      <c r="C45" s="0" t="s">
        <v>81</v>
      </c>
      <c r="D45" s="0" t="s">
        <v>248</v>
      </c>
      <c r="E45" s="0" t="s">
        <v>1750</v>
      </c>
      <c r="F45" s="0" t="s">
        <v>680</v>
      </c>
      <c r="G45" s="0" t="s">
        <v>680</v>
      </c>
      <c r="H45" s="0" t="s">
        <v>680</v>
      </c>
      <c r="I45" s="0" t="s">
        <v>338</v>
      </c>
      <c r="CQ45" s="0" t="s">
        <v>3110</v>
      </c>
      <c r="CR45" s="0" t="s">
        <v>82</v>
      </c>
      <c r="CS45" s="0" t="s">
        <v>584</v>
      </c>
      <c r="CT45" s="0" t="s">
        <v>583</v>
      </c>
      <c r="CU45" s="0" t="s">
        <v>3111</v>
      </c>
      <c r="CV45" s="0" t="s">
        <v>3112</v>
      </c>
      <c r="CW45" s="0" t="n">
        <v>100</v>
      </c>
      <c r="CX45" s="0" t="n">
        <v>1</v>
      </c>
      <c r="CY45" s="0" t="n">
        <v>1</v>
      </c>
      <c r="CZ45" s="0" t="n">
        <v>1</v>
      </c>
      <c r="DA45" s="0" t="n">
        <v>100000</v>
      </c>
      <c r="DB45" s="0" t="n">
        <v>100000</v>
      </c>
      <c r="DC45" s="0" t="n">
        <v>100000</v>
      </c>
      <c r="DD45" s="0" t="n">
        <v>100000</v>
      </c>
      <c r="DE45" s="0" t="n">
        <v>100000</v>
      </c>
      <c r="DG45" s="0" t="s">
        <v>3113</v>
      </c>
      <c r="DH45" s="0" t="s">
        <v>82</v>
      </c>
      <c r="DI45" s="0" t="s">
        <v>902</v>
      </c>
      <c r="DJ45" s="0" t="s">
        <v>903</v>
      </c>
      <c r="DK45" s="0" t="s">
        <v>674</v>
      </c>
      <c r="DL45" s="0" t="n">
        <v>73.08</v>
      </c>
      <c r="DM45" s="0" t="s">
        <v>676</v>
      </c>
      <c r="DN45" s="0" t="s">
        <v>676</v>
      </c>
      <c r="DO45" s="0" t="n">
        <v>0</v>
      </c>
      <c r="DP45" s="0" t="n">
        <v>0</v>
      </c>
      <c r="DQ45" s="0" t="n">
        <v>314.51</v>
      </c>
      <c r="DR45" s="0" t="s">
        <v>3114</v>
      </c>
      <c r="EB45" s="0" t="s">
        <v>3115</v>
      </c>
      <c r="EC45" s="0" t="s">
        <v>2216</v>
      </c>
      <c r="ED45" s="0" t="s">
        <v>2525</v>
      </c>
      <c r="EE45" s="0" t="s">
        <v>288</v>
      </c>
      <c r="EF45" s="0" t="s">
        <v>287</v>
      </c>
      <c r="EG45" s="0" t="n">
        <v>450</v>
      </c>
      <c r="EH45" s="0" t="n">
        <v>530</v>
      </c>
      <c r="EI45" s="0" t="n">
        <v>580</v>
      </c>
      <c r="EJ45" s="0" t="n">
        <v>580</v>
      </c>
      <c r="EL45" s="0" t="s">
        <v>3116</v>
      </c>
      <c r="EM45" s="0" t="s">
        <v>2970</v>
      </c>
      <c r="EN45" s="0" t="s">
        <v>2971</v>
      </c>
      <c r="EO45" s="0" t="n">
        <v>6</v>
      </c>
      <c r="EP45" s="0" t="s">
        <v>2528</v>
      </c>
      <c r="EQ45" s="0" t="s">
        <v>2877</v>
      </c>
      <c r="ER45" s="0" t="s">
        <v>2878</v>
      </c>
      <c r="ES45" s="0" t="n">
        <v>48000</v>
      </c>
      <c r="ET45" s="0" t="n">
        <v>48000</v>
      </c>
      <c r="EU45" s="0" t="n">
        <v>48000</v>
      </c>
      <c r="EV45" s="0" t="n">
        <v>48000</v>
      </c>
      <c r="GD45" s="0" t="s">
        <v>3107</v>
      </c>
      <c r="GE45" s="0" t="s">
        <v>2634</v>
      </c>
      <c r="GF45" s="0" t="s">
        <v>125</v>
      </c>
      <c r="GG45" s="0" t="s">
        <v>121</v>
      </c>
      <c r="GH45" s="0" t="n">
        <v>0</v>
      </c>
      <c r="GI45" s="0" t="n">
        <v>0</v>
      </c>
      <c r="GJ45" s="0" t="n">
        <v>0</v>
      </c>
      <c r="GK45" s="0" t="n">
        <v>0</v>
      </c>
      <c r="GL45" s="0" t="n">
        <v>0</v>
      </c>
      <c r="GM45" s="0" t="n">
        <v>0</v>
      </c>
      <c r="GN45" s="0" t="n">
        <v>1</v>
      </c>
      <c r="GO45" s="0" t="s">
        <v>2556</v>
      </c>
      <c r="GP45" s="0" t="s">
        <v>87</v>
      </c>
      <c r="GQ45" s="0" t="n">
        <v>26</v>
      </c>
      <c r="GR45" s="0" t="s">
        <v>2537</v>
      </c>
      <c r="GS45" s="0" t="s">
        <v>3108</v>
      </c>
      <c r="HA45" s="0" t="s">
        <v>3117</v>
      </c>
      <c r="HB45" s="0" t="s">
        <v>121</v>
      </c>
      <c r="HC45" s="0" t="s">
        <v>2839</v>
      </c>
      <c r="HD45" s="0" t="s">
        <v>96</v>
      </c>
      <c r="HE45" s="0" t="n">
        <v>0</v>
      </c>
      <c r="HF45" s="0" t="n">
        <v>0</v>
      </c>
      <c r="HG45" s="0" t="n">
        <v>0</v>
      </c>
      <c r="HH45" s="0" t="n">
        <v>0</v>
      </c>
      <c r="HI45" s="0" t="n">
        <v>0</v>
      </c>
      <c r="HJ45" s="0" t="n">
        <v>0</v>
      </c>
    </row>
    <row r="46" customFormat="false" ht="15" hidden="false" customHeight="false" outlineLevel="0" collapsed="false">
      <c r="A46" s="0" t="s">
        <v>264</v>
      </c>
      <c r="B46" s="0" t="s">
        <v>262</v>
      </c>
      <c r="C46" s="0" t="s">
        <v>2252</v>
      </c>
      <c r="D46" s="0" t="s">
        <v>263</v>
      </c>
      <c r="E46" s="0" t="s">
        <v>1463</v>
      </c>
      <c r="F46" s="0" t="s">
        <v>680</v>
      </c>
      <c r="G46" s="0" t="s">
        <v>680</v>
      </c>
      <c r="H46" s="0" t="s">
        <v>680</v>
      </c>
      <c r="I46" s="0" t="s">
        <v>2222</v>
      </c>
      <c r="CQ46" s="0" t="s">
        <v>3118</v>
      </c>
      <c r="CR46" s="0" t="s">
        <v>82</v>
      </c>
      <c r="CS46" s="0" t="s">
        <v>575</v>
      </c>
      <c r="CT46" s="0" t="s">
        <v>573</v>
      </c>
      <c r="CU46" s="0" t="s">
        <v>3111</v>
      </c>
      <c r="CV46" s="0" t="s">
        <v>3119</v>
      </c>
      <c r="CW46" s="0" t="n">
        <v>100</v>
      </c>
      <c r="CX46" s="0" t="n">
        <v>1</v>
      </c>
      <c r="CY46" s="0" t="n">
        <v>1</v>
      </c>
      <c r="CZ46" s="0" t="n">
        <v>1</v>
      </c>
      <c r="DA46" s="0" t="n">
        <v>2000</v>
      </c>
      <c r="DB46" s="0" t="n">
        <v>2000</v>
      </c>
      <c r="DC46" s="0" t="n">
        <v>2000</v>
      </c>
      <c r="DD46" s="0" t="n">
        <v>2000</v>
      </c>
      <c r="DE46" s="0" t="n">
        <v>2000</v>
      </c>
      <c r="DG46" s="0" t="s">
        <v>3120</v>
      </c>
      <c r="DH46" s="0" t="s">
        <v>82</v>
      </c>
      <c r="DI46" s="0" t="s">
        <v>910</v>
      </c>
      <c r="DJ46" s="0" t="s">
        <v>911</v>
      </c>
      <c r="DK46" s="0" t="s">
        <v>705</v>
      </c>
      <c r="DL46" s="0" t="n">
        <v>73.08</v>
      </c>
      <c r="DM46" s="0" t="s">
        <v>676</v>
      </c>
      <c r="DN46" s="0" t="s">
        <v>675</v>
      </c>
      <c r="DO46" s="0" t="n">
        <v>0</v>
      </c>
      <c r="DP46" s="0" t="n">
        <v>0</v>
      </c>
      <c r="DQ46" s="0" t="n">
        <v>1060</v>
      </c>
      <c r="DR46" s="0" t="s">
        <v>3121</v>
      </c>
      <c r="EB46" s="0" t="s">
        <v>3122</v>
      </c>
      <c r="EC46" s="0" t="s">
        <v>2216</v>
      </c>
      <c r="ED46" s="0" t="s">
        <v>2525</v>
      </c>
      <c r="EE46" s="0" t="s">
        <v>269</v>
      </c>
      <c r="EF46" s="0" t="s">
        <v>268</v>
      </c>
      <c r="EG46" s="0" t="n">
        <v>280</v>
      </c>
      <c r="EH46" s="0" t="n">
        <v>280</v>
      </c>
      <c r="EI46" s="0" t="n">
        <v>280</v>
      </c>
      <c r="EJ46" s="0" t="n">
        <v>280</v>
      </c>
      <c r="EL46" s="0" t="s">
        <v>3123</v>
      </c>
      <c r="EM46" s="0" t="s">
        <v>2970</v>
      </c>
      <c r="EN46" s="0" t="s">
        <v>2971</v>
      </c>
      <c r="EO46" s="0" t="n">
        <v>6.5</v>
      </c>
      <c r="EP46" s="0" t="s">
        <v>2528</v>
      </c>
      <c r="EQ46" s="0" t="s">
        <v>2904</v>
      </c>
      <c r="ER46" s="0" t="s">
        <v>2905</v>
      </c>
      <c r="ES46" s="0" t="n">
        <v>52000</v>
      </c>
      <c r="ET46" s="0" t="n">
        <v>52000</v>
      </c>
      <c r="EU46" s="0" t="n">
        <v>52000</v>
      </c>
      <c r="EV46" s="0" t="n">
        <v>52000</v>
      </c>
      <c r="GD46" s="0" t="s">
        <v>3107</v>
      </c>
      <c r="GE46" s="0" t="s">
        <v>2634</v>
      </c>
      <c r="GF46" s="0" t="s">
        <v>125</v>
      </c>
      <c r="GG46" s="0" t="s">
        <v>125</v>
      </c>
      <c r="GH46" s="0" t="n">
        <v>0</v>
      </c>
      <c r="GI46" s="0" t="n">
        <v>0</v>
      </c>
      <c r="GJ46" s="0" t="n">
        <v>0</v>
      </c>
      <c r="GK46" s="0" t="n">
        <v>0</v>
      </c>
      <c r="GL46" s="0" t="n">
        <v>0</v>
      </c>
      <c r="GM46" s="0" t="n">
        <v>0</v>
      </c>
      <c r="GN46" s="0" t="n">
        <v>1</v>
      </c>
      <c r="GO46" s="0" t="s">
        <v>2556</v>
      </c>
      <c r="GP46" s="0" t="s">
        <v>87</v>
      </c>
      <c r="GQ46" s="0" t="n">
        <v>26</v>
      </c>
      <c r="GR46" s="0" t="s">
        <v>2537</v>
      </c>
      <c r="GS46" s="0" t="s">
        <v>3108</v>
      </c>
      <c r="HA46" s="0" t="s">
        <v>3124</v>
      </c>
      <c r="HB46" s="0" t="s">
        <v>121</v>
      </c>
      <c r="HC46" s="0" t="s">
        <v>2852</v>
      </c>
      <c r="HD46" s="0" t="s">
        <v>2345</v>
      </c>
      <c r="HE46" s="0" t="n">
        <v>0</v>
      </c>
      <c r="HF46" s="0" t="n">
        <v>0</v>
      </c>
      <c r="HG46" s="0" t="n">
        <v>0</v>
      </c>
      <c r="HH46" s="0" t="n">
        <v>0</v>
      </c>
      <c r="HI46" s="0" t="n">
        <v>0</v>
      </c>
      <c r="HJ46" s="0" t="n">
        <v>0</v>
      </c>
    </row>
    <row r="47" customFormat="false" ht="15" hidden="false" customHeight="false" outlineLevel="0" collapsed="false">
      <c r="A47" s="0" t="s">
        <v>278</v>
      </c>
      <c r="B47" s="0" t="s">
        <v>276</v>
      </c>
      <c r="C47" s="0" t="s">
        <v>581</v>
      </c>
      <c r="D47" s="0" t="s">
        <v>277</v>
      </c>
      <c r="E47" s="0" t="s">
        <v>1750</v>
      </c>
      <c r="F47" s="0" t="s">
        <v>680</v>
      </c>
      <c r="G47" s="0" t="s">
        <v>680</v>
      </c>
      <c r="H47" s="0" t="s">
        <v>680</v>
      </c>
      <c r="I47" s="0" t="s">
        <v>2219</v>
      </c>
      <c r="CQ47" s="0" t="s">
        <v>3125</v>
      </c>
      <c r="CR47" s="0" t="s">
        <v>82</v>
      </c>
      <c r="CS47" s="0" t="s">
        <v>562</v>
      </c>
      <c r="CT47" s="0" t="s">
        <v>2986</v>
      </c>
      <c r="CU47" s="0" t="s">
        <v>79</v>
      </c>
      <c r="CV47" s="0" t="s">
        <v>3126</v>
      </c>
      <c r="CW47" s="0" t="n">
        <v>100</v>
      </c>
      <c r="CX47" s="0" t="n">
        <v>3</v>
      </c>
      <c r="CY47" s="0" t="n">
        <v>3</v>
      </c>
      <c r="CZ47" s="0" t="n">
        <v>4</v>
      </c>
      <c r="DA47" s="0" t="n">
        <v>3600</v>
      </c>
      <c r="DB47" s="0" t="n">
        <v>550</v>
      </c>
      <c r="DC47" s="0" t="n">
        <v>850</v>
      </c>
      <c r="DD47" s="0" t="n">
        <v>1200</v>
      </c>
      <c r="DE47" s="0" t="n">
        <v>1200</v>
      </c>
      <c r="DG47" s="0" t="s">
        <v>3127</v>
      </c>
      <c r="DH47" s="0" t="s">
        <v>82</v>
      </c>
      <c r="DI47" s="0" t="s">
        <v>916</v>
      </c>
      <c r="DJ47" s="0" t="s">
        <v>917</v>
      </c>
      <c r="DK47" s="0" t="s">
        <v>705</v>
      </c>
      <c r="DL47" s="0" t="n">
        <v>73.08</v>
      </c>
      <c r="DM47" s="0" t="s">
        <v>675</v>
      </c>
      <c r="DN47" s="0" t="s">
        <v>676</v>
      </c>
      <c r="DO47" s="0" t="n">
        <v>2</v>
      </c>
      <c r="DP47" s="0" t="n">
        <v>234</v>
      </c>
      <c r="DQ47" s="0" t="n">
        <v>234</v>
      </c>
      <c r="DR47" s="0" t="s">
        <v>3128</v>
      </c>
      <c r="EB47" s="0" t="s">
        <v>3129</v>
      </c>
      <c r="EC47" s="0" t="s">
        <v>2216</v>
      </c>
      <c r="ED47" s="0" t="s">
        <v>2525</v>
      </c>
      <c r="EE47" s="0" t="s">
        <v>237</v>
      </c>
      <c r="EF47" s="0" t="s">
        <v>235</v>
      </c>
      <c r="EG47" s="0" t="n">
        <v>2650</v>
      </c>
      <c r="EH47" s="0" t="n">
        <v>2650</v>
      </c>
      <c r="EI47" s="0" t="n">
        <v>2650</v>
      </c>
      <c r="EJ47" s="0" t="n">
        <v>2650</v>
      </c>
      <c r="EL47" s="0" t="s">
        <v>3130</v>
      </c>
      <c r="EM47" s="0" t="s">
        <v>2970</v>
      </c>
      <c r="EN47" s="0" t="s">
        <v>2971</v>
      </c>
      <c r="EO47" s="0" t="n">
        <v>7</v>
      </c>
      <c r="EP47" s="0" t="s">
        <v>2528</v>
      </c>
      <c r="EQ47" s="0" t="s">
        <v>2935</v>
      </c>
      <c r="ER47" s="0" t="s">
        <v>2936</v>
      </c>
      <c r="ES47" s="0" t="n">
        <v>56000</v>
      </c>
      <c r="ET47" s="0" t="n">
        <v>56000</v>
      </c>
      <c r="EU47" s="0" t="n">
        <v>56000</v>
      </c>
      <c r="EV47" s="0" t="n">
        <v>56000</v>
      </c>
      <c r="GD47" s="0" t="s">
        <v>3107</v>
      </c>
      <c r="GE47" s="0" t="s">
        <v>2634</v>
      </c>
      <c r="GF47" s="0" t="s">
        <v>125</v>
      </c>
      <c r="GG47" s="0" t="s">
        <v>85</v>
      </c>
      <c r="GH47" s="0" t="n">
        <v>0</v>
      </c>
      <c r="GI47" s="0" t="n">
        <v>0</v>
      </c>
      <c r="GJ47" s="0" t="n">
        <v>0</v>
      </c>
      <c r="GK47" s="0" t="n">
        <v>0</v>
      </c>
      <c r="GL47" s="0" t="n">
        <v>0</v>
      </c>
      <c r="GM47" s="0" t="n">
        <v>0</v>
      </c>
      <c r="GN47" s="0" t="n">
        <v>1</v>
      </c>
      <c r="GO47" s="0" t="s">
        <v>2556</v>
      </c>
      <c r="GP47" s="0" t="s">
        <v>87</v>
      </c>
      <c r="GQ47" s="0" t="n">
        <v>26</v>
      </c>
      <c r="GR47" s="0" t="s">
        <v>2537</v>
      </c>
      <c r="GS47" s="0" t="s">
        <v>3108</v>
      </c>
      <c r="HA47" s="0" t="s">
        <v>3131</v>
      </c>
      <c r="HB47" s="0" t="s">
        <v>121</v>
      </c>
      <c r="HC47" s="0" t="s">
        <v>2866</v>
      </c>
      <c r="HD47" s="0" t="s">
        <v>2346</v>
      </c>
      <c r="HE47" s="0" t="n">
        <v>0</v>
      </c>
      <c r="HF47" s="0" t="n">
        <v>0</v>
      </c>
      <c r="HG47" s="0" t="n">
        <v>0</v>
      </c>
      <c r="HH47" s="0" t="n">
        <v>0</v>
      </c>
      <c r="HI47" s="0" t="n">
        <v>0</v>
      </c>
      <c r="HJ47" s="0" t="n">
        <v>0</v>
      </c>
    </row>
    <row r="48" customFormat="false" ht="15" hidden="false" customHeight="false" outlineLevel="0" collapsed="false">
      <c r="A48" s="0" t="s">
        <v>240</v>
      </c>
      <c r="B48" s="0" t="s">
        <v>238</v>
      </c>
      <c r="C48" s="0" t="s">
        <v>90</v>
      </c>
      <c r="D48" s="0" t="s">
        <v>239</v>
      </c>
      <c r="E48" s="0" t="s">
        <v>1750</v>
      </c>
      <c r="F48" s="0" t="s">
        <v>684</v>
      </c>
      <c r="G48" s="0" t="s">
        <v>684</v>
      </c>
      <c r="H48" s="0" t="s">
        <v>684</v>
      </c>
      <c r="I48" s="0" t="s">
        <v>2256</v>
      </c>
      <c r="CQ48" s="0" t="s">
        <v>3132</v>
      </c>
      <c r="CR48" s="0" t="s">
        <v>82</v>
      </c>
      <c r="CS48" s="0" t="s">
        <v>602</v>
      </c>
      <c r="CT48" s="0" t="s">
        <v>2728</v>
      </c>
      <c r="CU48" s="0" t="s">
        <v>79</v>
      </c>
      <c r="CV48" s="0" t="s">
        <v>600</v>
      </c>
      <c r="CW48" s="0" t="n">
        <v>100</v>
      </c>
      <c r="CX48" s="0" t="n">
        <v>3</v>
      </c>
      <c r="CY48" s="0" t="n">
        <v>3</v>
      </c>
      <c r="CZ48" s="0" t="n">
        <v>4</v>
      </c>
      <c r="DA48" s="0" t="n">
        <v>1050</v>
      </c>
      <c r="DB48" s="0" t="n">
        <v>350</v>
      </c>
      <c r="DC48" s="0" t="n">
        <v>350</v>
      </c>
      <c r="DD48" s="0" t="n">
        <v>350</v>
      </c>
      <c r="DE48" s="0" t="n">
        <v>350</v>
      </c>
      <c r="DG48" s="0" t="s">
        <v>3133</v>
      </c>
      <c r="DH48" s="0" t="s">
        <v>82</v>
      </c>
      <c r="DI48" s="0" t="s">
        <v>919</v>
      </c>
      <c r="DJ48" s="0" t="s">
        <v>920</v>
      </c>
      <c r="DK48" s="0" t="s">
        <v>705</v>
      </c>
      <c r="DL48" s="0" t="n">
        <v>73.08</v>
      </c>
      <c r="DM48" s="0" t="s">
        <v>675</v>
      </c>
      <c r="DN48" s="0" t="s">
        <v>676</v>
      </c>
      <c r="DO48" s="0" t="n">
        <v>10</v>
      </c>
      <c r="DP48" s="0" t="n">
        <v>1020</v>
      </c>
      <c r="DQ48" s="0" t="n">
        <v>1020</v>
      </c>
      <c r="DR48" s="0" t="s">
        <v>3134</v>
      </c>
      <c r="EB48" s="0" t="s">
        <v>3135</v>
      </c>
      <c r="EC48" s="0" t="s">
        <v>2216</v>
      </c>
      <c r="ED48" s="0" t="s">
        <v>2525</v>
      </c>
      <c r="EE48" s="0" t="s">
        <v>249</v>
      </c>
      <c r="EF48" s="0" t="s">
        <v>247</v>
      </c>
      <c r="EG48" s="0" t="n">
        <v>310</v>
      </c>
      <c r="EH48" s="0" t="n">
        <v>340</v>
      </c>
      <c r="EI48" s="0" t="n">
        <v>370</v>
      </c>
      <c r="EJ48" s="0" t="n">
        <v>370</v>
      </c>
      <c r="EL48" s="0" t="s">
        <v>3136</v>
      </c>
      <c r="EM48" s="0" t="s">
        <v>2970</v>
      </c>
      <c r="EN48" s="0" t="s">
        <v>2971</v>
      </c>
      <c r="EO48" s="0" t="n">
        <v>7.5</v>
      </c>
      <c r="EP48" s="0" t="s">
        <v>2528</v>
      </c>
      <c r="EQ48" s="0" t="s">
        <v>2961</v>
      </c>
      <c r="ER48" s="0" t="s">
        <v>2962</v>
      </c>
      <c r="ES48" s="0" t="n">
        <v>60000</v>
      </c>
      <c r="ET48" s="0" t="n">
        <v>60000</v>
      </c>
      <c r="EU48" s="0" t="n">
        <v>60000</v>
      </c>
      <c r="EV48" s="0" t="n">
        <v>60000</v>
      </c>
      <c r="GD48" s="0" t="s">
        <v>3107</v>
      </c>
      <c r="GE48" s="0" t="s">
        <v>2634</v>
      </c>
      <c r="GF48" s="0" t="s">
        <v>125</v>
      </c>
      <c r="GG48" s="0" t="s">
        <v>86</v>
      </c>
      <c r="GH48" s="0" t="n">
        <v>0</v>
      </c>
      <c r="GI48" s="0" t="n">
        <v>0</v>
      </c>
      <c r="GJ48" s="0" t="n">
        <v>0</v>
      </c>
      <c r="GK48" s="0" t="n">
        <v>0</v>
      </c>
      <c r="GL48" s="0" t="n">
        <v>0</v>
      </c>
      <c r="GM48" s="0" t="n">
        <v>0</v>
      </c>
      <c r="GN48" s="0" t="n">
        <v>1</v>
      </c>
      <c r="GO48" s="0" t="s">
        <v>2556</v>
      </c>
      <c r="GP48" s="0" t="s">
        <v>87</v>
      </c>
      <c r="GQ48" s="0" t="n">
        <v>26</v>
      </c>
      <c r="GR48" s="0" t="s">
        <v>2537</v>
      </c>
      <c r="GS48" s="0" t="s">
        <v>3108</v>
      </c>
      <c r="HA48" s="0" t="s">
        <v>3137</v>
      </c>
      <c r="HB48" s="0" t="s">
        <v>121</v>
      </c>
      <c r="HC48" s="0" t="s">
        <v>2880</v>
      </c>
      <c r="HD48" s="0" t="s">
        <v>2347</v>
      </c>
      <c r="HE48" s="0" t="n">
        <v>0</v>
      </c>
      <c r="HF48" s="0" t="n">
        <v>0</v>
      </c>
      <c r="HG48" s="0" t="n">
        <v>0</v>
      </c>
      <c r="HH48" s="0" t="n">
        <v>0</v>
      </c>
      <c r="HI48" s="0" t="n">
        <v>0</v>
      </c>
      <c r="HJ48" s="0" t="n">
        <v>0</v>
      </c>
    </row>
    <row r="49" customFormat="false" ht="15" hidden="false" customHeight="false" outlineLevel="0" collapsed="false">
      <c r="A49" s="0" t="s">
        <v>252</v>
      </c>
      <c r="B49" s="0" t="s">
        <v>250</v>
      </c>
      <c r="C49" s="0" t="s">
        <v>90</v>
      </c>
      <c r="D49" s="0" t="s">
        <v>251</v>
      </c>
      <c r="E49" s="0" t="s">
        <v>1415</v>
      </c>
      <c r="F49" s="0" t="s">
        <v>680</v>
      </c>
      <c r="G49" s="0" t="s">
        <v>680</v>
      </c>
      <c r="H49" s="0" t="s">
        <v>680</v>
      </c>
      <c r="I49" s="0" t="s">
        <v>2135</v>
      </c>
      <c r="CQ49" s="0" t="s">
        <v>3138</v>
      </c>
      <c r="CR49" s="0" t="s">
        <v>82</v>
      </c>
      <c r="CS49" s="0" t="s">
        <v>567</v>
      </c>
      <c r="CT49" s="0" t="s">
        <v>2959</v>
      </c>
      <c r="CU49" s="0" t="s">
        <v>79</v>
      </c>
      <c r="CV49" s="0" t="s">
        <v>3139</v>
      </c>
      <c r="CW49" s="0" t="n">
        <v>100</v>
      </c>
      <c r="CX49" s="0" t="n">
        <v>1</v>
      </c>
      <c r="CY49" s="0" t="n">
        <v>2</v>
      </c>
      <c r="CZ49" s="0" t="n">
        <v>2</v>
      </c>
      <c r="DA49" s="0" t="n">
        <v>2500</v>
      </c>
      <c r="DB49" s="0" t="n">
        <v>1250</v>
      </c>
      <c r="DC49" s="0" t="n">
        <v>1250</v>
      </c>
      <c r="DD49" s="0" t="n">
        <v>1250</v>
      </c>
      <c r="DE49" s="0" t="n">
        <v>1250</v>
      </c>
      <c r="DG49" s="0" t="s">
        <v>3140</v>
      </c>
      <c r="DH49" s="0" t="s">
        <v>82</v>
      </c>
      <c r="DI49" s="0" t="s">
        <v>922</v>
      </c>
      <c r="DJ49" s="0" t="s">
        <v>923</v>
      </c>
      <c r="DK49" s="0" t="s">
        <v>674</v>
      </c>
      <c r="DL49" s="0" t="n">
        <v>69.23</v>
      </c>
      <c r="DM49" s="0" t="s">
        <v>675</v>
      </c>
      <c r="DN49" s="0" t="s">
        <v>676</v>
      </c>
      <c r="DO49" s="0" t="n">
        <v>1</v>
      </c>
      <c r="DP49" s="0" t="n">
        <v>162.19</v>
      </c>
      <c r="DQ49" s="0" t="n">
        <v>162.19</v>
      </c>
      <c r="DR49" s="0" t="s">
        <v>3141</v>
      </c>
      <c r="EB49" s="0" t="s">
        <v>3142</v>
      </c>
      <c r="EC49" s="0" t="s">
        <v>2216</v>
      </c>
      <c r="ED49" s="0" t="s">
        <v>2525</v>
      </c>
      <c r="EE49" s="0" t="s">
        <v>293</v>
      </c>
      <c r="EF49" s="0" t="s">
        <v>291</v>
      </c>
      <c r="EG49" s="0" t="n">
        <v>330</v>
      </c>
      <c r="EH49" s="0" t="n">
        <v>370</v>
      </c>
      <c r="EI49" s="0" t="n">
        <v>400</v>
      </c>
      <c r="EJ49" s="0" t="n">
        <v>400</v>
      </c>
      <c r="EL49" s="0" t="s">
        <v>3143</v>
      </c>
      <c r="EM49" s="0" t="s">
        <v>2970</v>
      </c>
      <c r="EN49" s="0" t="s">
        <v>2971</v>
      </c>
      <c r="EO49" s="0" t="n">
        <v>8</v>
      </c>
      <c r="EP49" s="0" t="s">
        <v>2528</v>
      </c>
      <c r="EQ49" s="0" t="s">
        <v>2988</v>
      </c>
      <c r="ER49" s="0" t="s">
        <v>2989</v>
      </c>
      <c r="ES49" s="0" t="n">
        <v>64000</v>
      </c>
      <c r="ET49" s="0" t="n">
        <v>64000</v>
      </c>
      <c r="EU49" s="0" t="n">
        <v>64000</v>
      </c>
      <c r="EV49" s="0" t="n">
        <v>64000</v>
      </c>
      <c r="GD49" s="0" t="s">
        <v>3107</v>
      </c>
      <c r="GE49" s="0" t="s">
        <v>2634</v>
      </c>
      <c r="GF49" s="0" t="s">
        <v>125</v>
      </c>
      <c r="GG49" s="0" t="s">
        <v>87</v>
      </c>
      <c r="GH49" s="0" t="n">
        <v>26</v>
      </c>
      <c r="GI49" s="0" t="n">
        <v>7802.505</v>
      </c>
      <c r="GJ49" s="0" t="n">
        <v>9060.435</v>
      </c>
      <c r="GK49" s="0" t="n">
        <v>10629.097</v>
      </c>
      <c r="GL49" s="0" t="n">
        <v>0.312</v>
      </c>
      <c r="GM49" s="0" t="n">
        <v>9060.435</v>
      </c>
      <c r="GN49" s="0" t="n">
        <v>0</v>
      </c>
      <c r="GO49" s="0" t="s">
        <v>2893</v>
      </c>
      <c r="GP49" s="0" t="s">
        <v>87</v>
      </c>
      <c r="GQ49" s="0" t="n">
        <v>26</v>
      </c>
      <c r="GR49" s="0" t="s">
        <v>2537</v>
      </c>
      <c r="GS49" s="0" t="s">
        <v>3108</v>
      </c>
      <c r="HA49" s="0" t="s">
        <v>3144</v>
      </c>
      <c r="HB49" s="0" t="s">
        <v>121</v>
      </c>
      <c r="HC49" s="0" t="s">
        <v>2895</v>
      </c>
      <c r="HD49" s="0" t="s">
        <v>150</v>
      </c>
      <c r="HE49" s="0" t="n">
        <v>0</v>
      </c>
      <c r="HF49" s="0" t="n">
        <v>0</v>
      </c>
      <c r="HG49" s="0" t="n">
        <v>0</v>
      </c>
      <c r="HH49" s="0" t="n">
        <v>0</v>
      </c>
      <c r="HI49" s="0" t="n">
        <v>0</v>
      </c>
      <c r="HJ49" s="0" t="n">
        <v>0</v>
      </c>
    </row>
    <row r="50" customFormat="false" ht="15" hidden="false" customHeight="false" outlineLevel="0" collapsed="false">
      <c r="A50" s="0" t="s">
        <v>229</v>
      </c>
      <c r="B50" s="0" t="s">
        <v>227</v>
      </c>
      <c r="C50" s="0" t="s">
        <v>90</v>
      </c>
      <c r="D50" s="0" t="s">
        <v>228</v>
      </c>
      <c r="E50" s="0" t="s">
        <v>1000</v>
      </c>
      <c r="F50" s="0" t="s">
        <v>727</v>
      </c>
      <c r="G50" s="0" t="s">
        <v>727</v>
      </c>
      <c r="H50" s="0" t="s">
        <v>784</v>
      </c>
      <c r="I50" s="0" t="s">
        <v>2258</v>
      </c>
      <c r="CQ50" s="0" t="s">
        <v>3145</v>
      </c>
      <c r="CR50" s="0" t="s">
        <v>82</v>
      </c>
      <c r="CS50" s="0" t="s">
        <v>590</v>
      </c>
      <c r="CT50" s="0" t="s">
        <v>2786</v>
      </c>
      <c r="CU50" s="0" t="s">
        <v>3111</v>
      </c>
      <c r="CV50" s="0" t="s">
        <v>3146</v>
      </c>
      <c r="CW50" s="0" t="n">
        <v>100</v>
      </c>
      <c r="CX50" s="0" t="n">
        <v>1</v>
      </c>
      <c r="CY50" s="0" t="n">
        <v>1</v>
      </c>
      <c r="CZ50" s="0" t="n">
        <v>1</v>
      </c>
      <c r="DA50" s="0" t="n">
        <v>3020</v>
      </c>
      <c r="DB50" s="0" t="n">
        <v>3020</v>
      </c>
      <c r="DC50" s="0" t="n">
        <v>3020</v>
      </c>
      <c r="DD50" s="0" t="n">
        <v>3020</v>
      </c>
      <c r="DE50" s="0" t="n">
        <v>3020</v>
      </c>
      <c r="DG50" s="0" t="s">
        <v>3147</v>
      </c>
      <c r="DH50" s="0" t="s">
        <v>82</v>
      </c>
      <c r="DI50" s="0" t="s">
        <v>929</v>
      </c>
      <c r="DJ50" s="0" t="s">
        <v>930</v>
      </c>
      <c r="DK50" s="0" t="s">
        <v>674</v>
      </c>
      <c r="DL50" s="0" t="n">
        <v>69.23</v>
      </c>
      <c r="DM50" s="0" t="s">
        <v>676</v>
      </c>
      <c r="DN50" s="0" t="s">
        <v>676</v>
      </c>
      <c r="DO50" s="0" t="n">
        <v>0</v>
      </c>
      <c r="DP50" s="0" t="n">
        <v>0</v>
      </c>
      <c r="DQ50" s="0" t="n">
        <v>11.4</v>
      </c>
      <c r="DR50" s="0" t="s">
        <v>3148</v>
      </c>
      <c r="EB50" s="0" t="s">
        <v>3149</v>
      </c>
      <c r="EC50" s="0" t="s">
        <v>2216</v>
      </c>
      <c r="ED50" s="0" t="s">
        <v>2525</v>
      </c>
      <c r="EE50" s="0" t="s">
        <v>280</v>
      </c>
      <c r="EF50" s="0" t="s">
        <v>279</v>
      </c>
      <c r="EG50" s="0" t="n">
        <v>860</v>
      </c>
      <c r="EH50" s="0" t="n">
        <v>950</v>
      </c>
      <c r="EI50" s="0" t="n">
        <v>1020</v>
      </c>
      <c r="EJ50" s="0" t="n">
        <v>1020</v>
      </c>
      <c r="EL50" s="0" t="s">
        <v>3150</v>
      </c>
      <c r="EM50" s="0" t="s">
        <v>2929</v>
      </c>
      <c r="EN50" s="0" t="s">
        <v>2930</v>
      </c>
      <c r="EO50" s="0" t="n">
        <v>0.5</v>
      </c>
      <c r="EP50" s="0" t="s">
        <v>2528</v>
      </c>
      <c r="EQ50" s="0" t="s">
        <v>2529</v>
      </c>
      <c r="ER50" s="0" t="s">
        <v>2530</v>
      </c>
      <c r="ES50" s="0" t="n">
        <v>8910</v>
      </c>
      <c r="ET50" s="0" t="n">
        <v>9810</v>
      </c>
      <c r="EU50" s="0" t="n">
        <v>10640</v>
      </c>
      <c r="EV50" s="0" t="n">
        <v>10640</v>
      </c>
      <c r="GD50" s="0" t="s">
        <v>3151</v>
      </c>
      <c r="GE50" s="0" t="s">
        <v>2733</v>
      </c>
      <c r="GF50" s="0" t="s">
        <v>125</v>
      </c>
      <c r="GG50" s="0" t="s">
        <v>82</v>
      </c>
      <c r="GH50" s="0" t="n">
        <v>26</v>
      </c>
      <c r="GI50" s="0" t="n">
        <v>96442</v>
      </c>
      <c r="GJ50" s="0" t="n">
        <v>98192</v>
      </c>
      <c r="GK50" s="0" t="n">
        <v>99817</v>
      </c>
      <c r="GL50" s="0" t="n">
        <v>0.0344</v>
      </c>
      <c r="GM50" s="0" t="n">
        <v>98192</v>
      </c>
      <c r="GN50" s="0" t="n">
        <v>0</v>
      </c>
      <c r="GO50" s="0" t="s">
        <v>2616</v>
      </c>
      <c r="GP50" s="0" t="s">
        <v>87</v>
      </c>
      <c r="GQ50" s="0" t="n">
        <v>26</v>
      </c>
      <c r="GR50" s="0" t="s">
        <v>2537</v>
      </c>
      <c r="GS50" s="0" t="s">
        <v>3152</v>
      </c>
      <c r="HA50" s="0" t="s">
        <v>3153</v>
      </c>
      <c r="HB50" s="0" t="s">
        <v>125</v>
      </c>
      <c r="HC50" s="0" t="s">
        <v>2540</v>
      </c>
      <c r="HD50" s="0" t="s">
        <v>142</v>
      </c>
      <c r="HE50" s="0" t="n">
        <v>0</v>
      </c>
      <c r="HF50" s="0" t="n">
        <v>0</v>
      </c>
      <c r="HG50" s="0" t="n">
        <v>0</v>
      </c>
      <c r="HH50" s="0" t="n">
        <v>0</v>
      </c>
      <c r="HI50" s="0" t="n">
        <v>0</v>
      </c>
      <c r="HJ50" s="0" t="n">
        <v>0</v>
      </c>
    </row>
    <row r="51" customFormat="false" ht="15" hidden="false" customHeight="false" outlineLevel="0" collapsed="false">
      <c r="A51" s="0" t="s">
        <v>246</v>
      </c>
      <c r="B51" s="0" t="s">
        <v>244</v>
      </c>
      <c r="C51" s="0" t="s">
        <v>90</v>
      </c>
      <c r="D51" s="0" t="s">
        <v>245</v>
      </c>
      <c r="E51" s="0" t="s">
        <v>1415</v>
      </c>
      <c r="F51" s="0" t="s">
        <v>680</v>
      </c>
      <c r="G51" s="0" t="s">
        <v>1227</v>
      </c>
      <c r="H51" s="0" t="s">
        <v>2259</v>
      </c>
      <c r="I51" s="0" t="s">
        <v>2262</v>
      </c>
      <c r="CQ51" s="0" t="s">
        <v>3154</v>
      </c>
      <c r="CR51" s="0" t="s">
        <v>82</v>
      </c>
      <c r="CS51" s="0" t="s">
        <v>588</v>
      </c>
      <c r="CT51" s="0" t="s">
        <v>2801</v>
      </c>
      <c r="CU51" s="0" t="s">
        <v>3111</v>
      </c>
      <c r="CV51" s="0" t="s">
        <v>587</v>
      </c>
      <c r="CW51" s="0" t="n">
        <v>100</v>
      </c>
      <c r="CX51" s="0" t="n">
        <v>1</v>
      </c>
      <c r="CY51" s="0" t="n">
        <v>1</v>
      </c>
      <c r="CZ51" s="0" t="n">
        <v>1</v>
      </c>
      <c r="DA51" s="0" t="n">
        <v>2470</v>
      </c>
      <c r="DB51" s="0" t="n">
        <v>2470</v>
      </c>
      <c r="DC51" s="0" t="n">
        <v>2470</v>
      </c>
      <c r="DD51" s="0" t="n">
        <v>2470</v>
      </c>
      <c r="DE51" s="0" t="n">
        <v>2470</v>
      </c>
      <c r="DG51" s="0" t="s">
        <v>3155</v>
      </c>
      <c r="DH51" s="0" t="s">
        <v>82</v>
      </c>
      <c r="DI51" s="0" t="s">
        <v>935</v>
      </c>
      <c r="DJ51" s="0" t="s">
        <v>936</v>
      </c>
      <c r="DK51" s="0" t="s">
        <v>705</v>
      </c>
      <c r="DL51" s="0" t="n">
        <v>69.23</v>
      </c>
      <c r="DM51" s="0" t="s">
        <v>676</v>
      </c>
      <c r="DN51" s="0" t="s">
        <v>675</v>
      </c>
      <c r="DO51" s="0" t="n">
        <v>0</v>
      </c>
      <c r="DP51" s="0" t="n">
        <v>0</v>
      </c>
      <c r="DQ51" s="0" t="n">
        <v>993</v>
      </c>
      <c r="DR51" s="0" t="s">
        <v>3156</v>
      </c>
      <c r="EB51" s="0" t="s">
        <v>3157</v>
      </c>
      <c r="EC51" s="0" t="s">
        <v>2216</v>
      </c>
      <c r="ED51" s="0" t="s">
        <v>2525</v>
      </c>
      <c r="EE51" s="0" t="s">
        <v>264</v>
      </c>
      <c r="EF51" s="0" t="s">
        <v>262</v>
      </c>
      <c r="EG51" s="0" t="n">
        <v>680</v>
      </c>
      <c r="EH51" s="0" t="n">
        <v>750</v>
      </c>
      <c r="EI51" s="0" t="n">
        <v>810</v>
      </c>
      <c r="EJ51" s="0" t="n">
        <v>810</v>
      </c>
      <c r="EL51" s="0" t="s">
        <v>3158</v>
      </c>
      <c r="EM51" s="0" t="s">
        <v>2929</v>
      </c>
      <c r="EN51" s="0" t="s">
        <v>2930</v>
      </c>
      <c r="EO51" s="0" t="n">
        <v>0.5</v>
      </c>
      <c r="EP51" s="0" t="s">
        <v>2552</v>
      </c>
      <c r="EQ51" s="0" t="s">
        <v>2553</v>
      </c>
      <c r="ER51" s="0" t="s">
        <v>2554</v>
      </c>
      <c r="ES51" s="0" t="n">
        <v>9350</v>
      </c>
      <c r="ET51" s="0" t="n">
        <v>12330</v>
      </c>
      <c r="EU51" s="0" t="n">
        <v>13460</v>
      </c>
      <c r="EV51" s="0" t="n">
        <v>13460</v>
      </c>
      <c r="GD51" s="0" t="s">
        <v>3151</v>
      </c>
      <c r="GE51" s="0" t="s">
        <v>2733</v>
      </c>
      <c r="GF51" s="0" t="s">
        <v>125</v>
      </c>
      <c r="GG51" s="0" t="s">
        <v>121</v>
      </c>
      <c r="GH51" s="0" t="n">
        <v>0</v>
      </c>
      <c r="GI51" s="0" t="n">
        <v>0</v>
      </c>
      <c r="GJ51" s="0" t="n">
        <v>0</v>
      </c>
      <c r="GK51" s="0" t="n">
        <v>0</v>
      </c>
      <c r="GL51" s="0" t="n">
        <v>0</v>
      </c>
      <c r="GM51" s="0" t="n">
        <v>0</v>
      </c>
      <c r="GN51" s="0" t="n">
        <v>1</v>
      </c>
      <c r="GO51" s="0" t="s">
        <v>2556</v>
      </c>
      <c r="GP51" s="0" t="s">
        <v>87</v>
      </c>
      <c r="GQ51" s="0" t="n">
        <v>26</v>
      </c>
      <c r="GR51" s="0" t="s">
        <v>2537</v>
      </c>
      <c r="GS51" s="0" t="s">
        <v>3152</v>
      </c>
      <c r="HA51" s="0" t="s">
        <v>3159</v>
      </c>
      <c r="HB51" s="0" t="s">
        <v>125</v>
      </c>
      <c r="HC51" s="0" t="s">
        <v>2558</v>
      </c>
      <c r="HD51" s="0" t="s">
        <v>37</v>
      </c>
      <c r="HE51" s="0" t="n">
        <v>0</v>
      </c>
      <c r="HF51" s="0" t="n">
        <v>0</v>
      </c>
      <c r="HG51" s="0" t="n">
        <v>0</v>
      </c>
      <c r="HH51" s="0" t="n">
        <v>0</v>
      </c>
      <c r="HI51" s="0" t="n">
        <v>0</v>
      </c>
      <c r="HJ51" s="0" t="n">
        <v>0</v>
      </c>
    </row>
    <row r="52" customFormat="false" ht="15" hidden="false" customHeight="false" outlineLevel="0" collapsed="false">
      <c r="A52" s="0" t="s">
        <v>255</v>
      </c>
      <c r="B52" s="0" t="s">
        <v>253</v>
      </c>
      <c r="C52" s="0" t="s">
        <v>90</v>
      </c>
      <c r="D52" s="0" t="s">
        <v>254</v>
      </c>
      <c r="E52" s="0" t="s">
        <v>1463</v>
      </c>
      <c r="F52" s="0" t="s">
        <v>680</v>
      </c>
      <c r="G52" s="0" t="s">
        <v>680</v>
      </c>
      <c r="H52" s="0" t="s">
        <v>680</v>
      </c>
      <c r="I52" s="0" t="s">
        <v>2263</v>
      </c>
      <c r="CQ52" s="0" t="s">
        <v>3160</v>
      </c>
      <c r="CR52" s="0" t="s">
        <v>82</v>
      </c>
      <c r="CS52" s="0" t="s">
        <v>586</v>
      </c>
      <c r="CT52" s="0" t="s">
        <v>2815</v>
      </c>
      <c r="CU52" s="0" t="s">
        <v>3111</v>
      </c>
      <c r="CV52" s="0" t="s">
        <v>3161</v>
      </c>
      <c r="CW52" s="0" t="n">
        <v>100</v>
      </c>
      <c r="CX52" s="0" t="n">
        <v>1</v>
      </c>
      <c r="CY52" s="0" t="n">
        <v>1</v>
      </c>
      <c r="CZ52" s="0" t="n">
        <v>1</v>
      </c>
      <c r="DA52" s="0" t="n">
        <v>10480</v>
      </c>
      <c r="DB52" s="0" t="n">
        <v>10480</v>
      </c>
      <c r="DC52" s="0" t="n">
        <v>10480</v>
      </c>
      <c r="DD52" s="0" t="n">
        <v>10480</v>
      </c>
      <c r="DE52" s="0" t="n">
        <v>10480</v>
      </c>
      <c r="DG52" s="0" t="s">
        <v>3162</v>
      </c>
      <c r="DH52" s="0" t="s">
        <v>82</v>
      </c>
      <c r="DI52" s="0" t="s">
        <v>940</v>
      </c>
      <c r="DJ52" s="0" t="s">
        <v>941</v>
      </c>
      <c r="DK52" s="0" t="s">
        <v>705</v>
      </c>
      <c r="DL52" s="0" t="n">
        <v>69.23</v>
      </c>
      <c r="DM52" s="0" t="s">
        <v>676</v>
      </c>
      <c r="DN52" s="0" t="s">
        <v>675</v>
      </c>
      <c r="DO52" s="0" t="n">
        <v>0</v>
      </c>
      <c r="DP52" s="0" t="n">
        <v>0</v>
      </c>
      <c r="DQ52" s="0" t="n">
        <v>69.71</v>
      </c>
      <c r="DR52" s="0" t="s">
        <v>3163</v>
      </c>
      <c r="EB52" s="0" t="s">
        <v>3164</v>
      </c>
      <c r="EC52" s="0" t="s">
        <v>2216</v>
      </c>
      <c r="ED52" s="0" t="s">
        <v>2525</v>
      </c>
      <c r="EE52" s="0" t="s">
        <v>278</v>
      </c>
      <c r="EF52" s="0" t="s">
        <v>276</v>
      </c>
      <c r="EG52" s="0" t="n">
        <v>930</v>
      </c>
      <c r="EH52" s="0" t="n">
        <v>1030</v>
      </c>
      <c r="EI52" s="0" t="n">
        <v>1110</v>
      </c>
      <c r="EJ52" s="0" t="n">
        <v>1110</v>
      </c>
      <c r="EL52" s="0" t="s">
        <v>3165</v>
      </c>
      <c r="EM52" s="0" t="s">
        <v>2929</v>
      </c>
      <c r="EN52" s="0" t="s">
        <v>2930</v>
      </c>
      <c r="EO52" s="0" t="n">
        <v>1</v>
      </c>
      <c r="EP52" s="0" t="s">
        <v>2528</v>
      </c>
      <c r="EQ52" s="0" t="s">
        <v>2569</v>
      </c>
      <c r="ER52" s="0" t="s">
        <v>2570</v>
      </c>
      <c r="ES52" s="0" t="n">
        <v>17820</v>
      </c>
      <c r="ET52" s="0" t="n">
        <v>19700</v>
      </c>
      <c r="EU52" s="0" t="n">
        <v>21270</v>
      </c>
      <c r="EV52" s="0" t="n">
        <v>21270</v>
      </c>
      <c r="GD52" s="0" t="s">
        <v>3151</v>
      </c>
      <c r="GE52" s="0" t="s">
        <v>2733</v>
      </c>
      <c r="GF52" s="0" t="s">
        <v>125</v>
      </c>
      <c r="GG52" s="0" t="s">
        <v>125</v>
      </c>
      <c r="GH52" s="0" t="n">
        <v>0</v>
      </c>
      <c r="GI52" s="0" t="n">
        <v>0</v>
      </c>
      <c r="GJ52" s="0" t="n">
        <v>0</v>
      </c>
      <c r="GK52" s="0" t="n">
        <v>0</v>
      </c>
      <c r="GL52" s="0" t="n">
        <v>0</v>
      </c>
      <c r="GM52" s="0" t="n">
        <v>0</v>
      </c>
      <c r="GN52" s="0" t="n">
        <v>1</v>
      </c>
      <c r="GO52" s="0" t="s">
        <v>2556</v>
      </c>
      <c r="GP52" s="0" t="s">
        <v>87</v>
      </c>
      <c r="GQ52" s="0" t="n">
        <v>26</v>
      </c>
      <c r="GR52" s="0" t="s">
        <v>2537</v>
      </c>
      <c r="GS52" s="0" t="s">
        <v>3152</v>
      </c>
      <c r="HA52" s="0" t="s">
        <v>3166</v>
      </c>
      <c r="HB52" s="0" t="s">
        <v>125</v>
      </c>
      <c r="HC52" s="0" t="s">
        <v>2572</v>
      </c>
      <c r="HD52" s="0" t="s">
        <v>38</v>
      </c>
      <c r="HE52" s="0" t="n">
        <v>0</v>
      </c>
      <c r="HF52" s="0" t="n">
        <v>0</v>
      </c>
      <c r="HG52" s="0" t="n">
        <v>0</v>
      </c>
      <c r="HH52" s="0" t="n">
        <v>0</v>
      </c>
      <c r="HI52" s="0" t="n">
        <v>0</v>
      </c>
      <c r="HJ52" s="0" t="n">
        <v>0</v>
      </c>
    </row>
    <row r="53" customFormat="false" ht="15" hidden="false" customHeight="false" outlineLevel="0" collapsed="false">
      <c r="A53" s="0" t="s">
        <v>243</v>
      </c>
      <c r="B53" s="0" t="s">
        <v>241</v>
      </c>
      <c r="C53" s="0" t="s">
        <v>90</v>
      </c>
      <c r="D53" s="0" t="s">
        <v>242</v>
      </c>
      <c r="E53" s="0" t="s">
        <v>1393</v>
      </c>
      <c r="F53" s="0" t="s">
        <v>680</v>
      </c>
      <c r="G53" s="0" t="s">
        <v>680</v>
      </c>
      <c r="H53" s="0" t="s">
        <v>680</v>
      </c>
      <c r="I53" s="0" t="s">
        <v>332</v>
      </c>
      <c r="CQ53" s="0" t="s">
        <v>3167</v>
      </c>
      <c r="CR53" s="0" t="s">
        <v>82</v>
      </c>
      <c r="CS53" s="0" t="s">
        <v>296</v>
      </c>
      <c r="CT53" s="0" t="s">
        <v>294</v>
      </c>
      <c r="CU53" s="0" t="s">
        <v>2267</v>
      </c>
      <c r="CV53" s="0" t="s">
        <v>295</v>
      </c>
      <c r="CW53" s="0" t="n">
        <v>7.69</v>
      </c>
      <c r="CX53" s="0" t="n">
        <v>1</v>
      </c>
      <c r="CY53" s="0" t="n">
        <v>1</v>
      </c>
      <c r="CZ53" s="0" t="n">
        <v>1</v>
      </c>
      <c r="DA53" s="0" t="n">
        <v>150</v>
      </c>
      <c r="DB53" s="0" t="n">
        <v>150</v>
      </c>
      <c r="DC53" s="0" t="n">
        <v>150</v>
      </c>
      <c r="DD53" s="0" t="n">
        <v>150</v>
      </c>
      <c r="DE53" s="0" t="n">
        <v>150</v>
      </c>
      <c r="DG53" s="0" t="s">
        <v>3168</v>
      </c>
      <c r="DH53" s="0" t="s">
        <v>82</v>
      </c>
      <c r="DI53" s="0" t="s">
        <v>946</v>
      </c>
      <c r="DJ53" s="0" t="s">
        <v>947</v>
      </c>
      <c r="DK53" s="0" t="s">
        <v>705</v>
      </c>
      <c r="DL53" s="0" t="n">
        <v>69.23</v>
      </c>
      <c r="DM53" s="0" t="s">
        <v>676</v>
      </c>
      <c r="DN53" s="0" t="s">
        <v>676</v>
      </c>
      <c r="DO53" s="0" t="n">
        <v>0</v>
      </c>
      <c r="DP53" s="0" t="n">
        <v>0</v>
      </c>
      <c r="DQ53" s="0" t="n">
        <v>210</v>
      </c>
      <c r="DR53" s="0" t="s">
        <v>3169</v>
      </c>
      <c r="EB53" s="0" t="s">
        <v>3170</v>
      </c>
      <c r="EC53" s="0" t="s">
        <v>2216</v>
      </c>
      <c r="ED53" s="0" t="s">
        <v>2525</v>
      </c>
      <c r="EE53" s="0" t="s">
        <v>240</v>
      </c>
      <c r="EF53" s="0" t="s">
        <v>238</v>
      </c>
      <c r="EG53" s="0" t="n">
        <v>3620</v>
      </c>
      <c r="EH53" s="0" t="n">
        <v>3620</v>
      </c>
      <c r="EI53" s="0" t="n">
        <v>3620</v>
      </c>
      <c r="EJ53" s="0" t="n">
        <v>3620</v>
      </c>
      <c r="EL53" s="0" t="s">
        <v>3171</v>
      </c>
      <c r="EM53" s="0" t="s">
        <v>2929</v>
      </c>
      <c r="EN53" s="0" t="s">
        <v>2930</v>
      </c>
      <c r="EO53" s="0" t="n">
        <v>1</v>
      </c>
      <c r="EP53" s="0" t="s">
        <v>2552</v>
      </c>
      <c r="EQ53" s="0" t="s">
        <v>2582</v>
      </c>
      <c r="ER53" s="0" t="s">
        <v>2583</v>
      </c>
      <c r="ES53" s="0" t="n">
        <v>18690</v>
      </c>
      <c r="ET53" s="0" t="n">
        <v>24680</v>
      </c>
      <c r="EU53" s="0" t="n">
        <v>26910</v>
      </c>
      <c r="EV53" s="0" t="n">
        <v>26910</v>
      </c>
      <c r="GD53" s="0" t="s">
        <v>3151</v>
      </c>
      <c r="GE53" s="0" t="s">
        <v>2733</v>
      </c>
      <c r="GF53" s="0" t="s">
        <v>125</v>
      </c>
      <c r="GG53" s="0" t="s">
        <v>85</v>
      </c>
      <c r="GH53" s="0" t="n">
        <v>0</v>
      </c>
      <c r="GI53" s="0" t="n">
        <v>0</v>
      </c>
      <c r="GJ53" s="0" t="n">
        <v>0</v>
      </c>
      <c r="GK53" s="0" t="n">
        <v>0</v>
      </c>
      <c r="GL53" s="0" t="n">
        <v>0</v>
      </c>
      <c r="GM53" s="0" t="n">
        <v>0</v>
      </c>
      <c r="GN53" s="0" t="n">
        <v>1</v>
      </c>
      <c r="GO53" s="0" t="s">
        <v>2556</v>
      </c>
      <c r="GP53" s="0" t="s">
        <v>87</v>
      </c>
      <c r="GQ53" s="0" t="n">
        <v>26</v>
      </c>
      <c r="GR53" s="0" t="s">
        <v>2537</v>
      </c>
      <c r="GS53" s="0" t="s">
        <v>3152</v>
      </c>
      <c r="HA53" s="0" t="s">
        <v>3172</v>
      </c>
      <c r="HB53" s="0" t="s">
        <v>125</v>
      </c>
      <c r="HC53" s="0" t="s">
        <v>2586</v>
      </c>
      <c r="HD53" s="0" t="s">
        <v>39</v>
      </c>
      <c r="HE53" s="0" t="n">
        <v>0</v>
      </c>
      <c r="HF53" s="0" t="n">
        <v>0</v>
      </c>
      <c r="HG53" s="0" t="n">
        <v>0</v>
      </c>
      <c r="HH53" s="0" t="n">
        <v>0</v>
      </c>
      <c r="HI53" s="0" t="n">
        <v>0</v>
      </c>
      <c r="HJ53" s="0" t="n">
        <v>0</v>
      </c>
    </row>
    <row r="54" customFormat="false" ht="15" hidden="false" customHeight="false" outlineLevel="0" collapsed="false">
      <c r="A54" s="0" t="s">
        <v>261</v>
      </c>
      <c r="B54" s="0" t="s">
        <v>259</v>
      </c>
      <c r="C54" s="0" t="s">
        <v>2266</v>
      </c>
      <c r="D54" s="0" t="s">
        <v>260</v>
      </c>
      <c r="E54" s="0" t="s">
        <v>1463</v>
      </c>
      <c r="F54" s="0" t="s">
        <v>680</v>
      </c>
      <c r="G54" s="0" t="s">
        <v>680</v>
      </c>
      <c r="H54" s="0" t="s">
        <v>680</v>
      </c>
      <c r="I54" s="0" t="s">
        <v>921</v>
      </c>
      <c r="CQ54" s="0" t="s">
        <v>3125</v>
      </c>
      <c r="CR54" s="0" t="s">
        <v>82</v>
      </c>
      <c r="CS54" s="0" t="s">
        <v>562</v>
      </c>
      <c r="CT54" s="0" t="s">
        <v>2986</v>
      </c>
      <c r="CU54" s="0" t="s">
        <v>79</v>
      </c>
      <c r="CV54" s="0" t="s">
        <v>3126</v>
      </c>
      <c r="CW54" s="0" t="n">
        <v>100</v>
      </c>
      <c r="CX54" s="0" t="n">
        <v>3</v>
      </c>
      <c r="CY54" s="0" t="n">
        <v>3</v>
      </c>
      <c r="CZ54" s="0" t="n">
        <v>4</v>
      </c>
      <c r="DA54" s="0" t="n">
        <v>3600</v>
      </c>
      <c r="DB54" s="0" t="n">
        <v>550</v>
      </c>
      <c r="DC54" s="0" t="n">
        <v>850</v>
      </c>
      <c r="DD54" s="0" t="n">
        <v>1200</v>
      </c>
      <c r="DE54" s="0" t="n">
        <v>1200</v>
      </c>
      <c r="DG54" s="0" t="s">
        <v>3173</v>
      </c>
      <c r="DH54" s="0" t="s">
        <v>82</v>
      </c>
      <c r="DI54" s="0" t="s">
        <v>948</v>
      </c>
      <c r="DJ54" s="0" t="s">
        <v>949</v>
      </c>
      <c r="DK54" s="0" t="s">
        <v>705</v>
      </c>
      <c r="DL54" s="0" t="n">
        <v>69.23</v>
      </c>
      <c r="DM54" s="0" t="s">
        <v>676</v>
      </c>
      <c r="DN54" s="0" t="s">
        <v>676</v>
      </c>
      <c r="DO54" s="0" t="n">
        <v>0</v>
      </c>
      <c r="DP54" s="0" t="n">
        <v>0</v>
      </c>
      <c r="DQ54" s="0" t="n">
        <v>150.4</v>
      </c>
      <c r="DR54" s="0" t="s">
        <v>3174</v>
      </c>
      <c r="EB54" s="0" t="s">
        <v>3175</v>
      </c>
      <c r="EC54" s="0" t="s">
        <v>2216</v>
      </c>
      <c r="ED54" s="0" t="s">
        <v>2525</v>
      </c>
      <c r="EE54" s="0" t="s">
        <v>252</v>
      </c>
      <c r="EF54" s="0" t="s">
        <v>250</v>
      </c>
      <c r="EG54" s="0" t="n">
        <v>890</v>
      </c>
      <c r="EH54" s="0" t="n">
        <v>890</v>
      </c>
      <c r="EI54" s="0" t="n">
        <v>890</v>
      </c>
      <c r="EJ54" s="0" t="n">
        <v>890</v>
      </c>
      <c r="EL54" s="0" t="s">
        <v>3176</v>
      </c>
      <c r="EM54" s="0" t="s">
        <v>2929</v>
      </c>
      <c r="EN54" s="0" t="s">
        <v>2930</v>
      </c>
      <c r="EO54" s="0" t="n">
        <v>1.5</v>
      </c>
      <c r="EP54" s="0" t="s">
        <v>2528</v>
      </c>
      <c r="EQ54" s="0" t="s">
        <v>2598</v>
      </c>
      <c r="ER54" s="0" t="s">
        <v>2599</v>
      </c>
      <c r="ES54" s="0" t="n">
        <v>26580</v>
      </c>
      <c r="ET54" s="0" t="n">
        <v>29360</v>
      </c>
      <c r="EU54" s="0" t="n">
        <v>31730</v>
      </c>
      <c r="EV54" s="0" t="n">
        <v>31730</v>
      </c>
      <c r="GD54" s="0" t="s">
        <v>3151</v>
      </c>
      <c r="GE54" s="0" t="s">
        <v>2733</v>
      </c>
      <c r="GF54" s="0" t="s">
        <v>125</v>
      </c>
      <c r="GG54" s="0" t="s">
        <v>86</v>
      </c>
      <c r="GH54" s="0" t="n">
        <v>0</v>
      </c>
      <c r="GI54" s="0" t="n">
        <v>0</v>
      </c>
      <c r="GJ54" s="0" t="n">
        <v>0</v>
      </c>
      <c r="GK54" s="0" t="n">
        <v>0</v>
      </c>
      <c r="GL54" s="0" t="n">
        <v>0</v>
      </c>
      <c r="GM54" s="0" t="n">
        <v>0</v>
      </c>
      <c r="GN54" s="0" t="n">
        <v>1</v>
      </c>
      <c r="GO54" s="0" t="s">
        <v>2556</v>
      </c>
      <c r="GP54" s="0" t="s">
        <v>87</v>
      </c>
      <c r="GQ54" s="0" t="n">
        <v>26</v>
      </c>
      <c r="GR54" s="0" t="s">
        <v>2537</v>
      </c>
      <c r="GS54" s="0" t="s">
        <v>3152</v>
      </c>
      <c r="HA54" s="0" t="s">
        <v>3177</v>
      </c>
      <c r="HB54" s="0" t="s">
        <v>125</v>
      </c>
      <c r="HC54" s="0" t="s">
        <v>2602</v>
      </c>
      <c r="HD54" s="0" t="s">
        <v>143</v>
      </c>
      <c r="HE54" s="0" t="n">
        <v>0</v>
      </c>
      <c r="HF54" s="0" t="n">
        <v>0</v>
      </c>
      <c r="HG54" s="0" t="n">
        <v>0</v>
      </c>
      <c r="HH54" s="0" t="n">
        <v>0</v>
      </c>
      <c r="HI54" s="0" t="n">
        <v>0</v>
      </c>
      <c r="HJ54" s="0" t="n">
        <v>0</v>
      </c>
    </row>
    <row r="55" customFormat="false" ht="15" hidden="false" customHeight="false" outlineLevel="0" collapsed="false">
      <c r="A55" s="0" t="s">
        <v>296</v>
      </c>
      <c r="B55" s="0" t="s">
        <v>294</v>
      </c>
      <c r="C55" s="0" t="s">
        <v>2267</v>
      </c>
      <c r="D55" s="0" t="s">
        <v>295</v>
      </c>
      <c r="E55" s="0" t="s">
        <v>1557</v>
      </c>
      <c r="F55" s="0" t="s">
        <v>680</v>
      </c>
      <c r="G55" s="0" t="s">
        <v>680</v>
      </c>
      <c r="H55" s="0" t="s">
        <v>680</v>
      </c>
      <c r="I55" s="0" t="s">
        <v>1189</v>
      </c>
      <c r="CQ55" s="0" t="s">
        <v>3178</v>
      </c>
      <c r="CR55" s="0" t="s">
        <v>121</v>
      </c>
      <c r="CS55" s="0" t="s">
        <v>290</v>
      </c>
      <c r="CT55" s="0" t="s">
        <v>289</v>
      </c>
      <c r="CU55" s="0" t="s">
        <v>81</v>
      </c>
      <c r="CV55" s="0" t="s">
        <v>289</v>
      </c>
      <c r="CW55" s="0" t="n">
        <v>0</v>
      </c>
      <c r="DB55" s="0" t="n">
        <v>420</v>
      </c>
      <c r="DC55" s="0" t="n">
        <v>460</v>
      </c>
      <c r="DD55" s="0" t="n">
        <v>500</v>
      </c>
      <c r="DE55" s="0" t="n">
        <v>500</v>
      </c>
      <c r="DG55" s="0" t="s">
        <v>3179</v>
      </c>
      <c r="DH55" s="0" t="s">
        <v>82</v>
      </c>
      <c r="DI55" s="0" t="s">
        <v>953</v>
      </c>
      <c r="DJ55" s="0" t="s">
        <v>954</v>
      </c>
      <c r="DK55" s="0" t="s">
        <v>674</v>
      </c>
      <c r="DL55" s="0" t="n">
        <v>65.38</v>
      </c>
      <c r="DM55" s="0" t="s">
        <v>676</v>
      </c>
      <c r="DN55" s="0" t="s">
        <v>676</v>
      </c>
      <c r="DO55" s="0" t="n">
        <v>0</v>
      </c>
      <c r="DP55" s="0" t="n">
        <v>0</v>
      </c>
      <c r="DQ55" s="0" t="n">
        <v>1085.34</v>
      </c>
      <c r="DR55" s="0" t="s">
        <v>3180</v>
      </c>
      <c r="EB55" s="0" t="s">
        <v>3181</v>
      </c>
      <c r="EC55" s="0" t="s">
        <v>2216</v>
      </c>
      <c r="ED55" s="0" t="s">
        <v>2525</v>
      </c>
      <c r="EE55" s="0" t="s">
        <v>229</v>
      </c>
      <c r="EF55" s="0" t="s">
        <v>227</v>
      </c>
      <c r="EG55" s="0" t="n">
        <v>270</v>
      </c>
      <c r="EH55" s="0" t="n">
        <v>300</v>
      </c>
      <c r="EI55" s="0" t="n">
        <v>330</v>
      </c>
      <c r="EJ55" s="0" t="n">
        <v>350</v>
      </c>
      <c r="EL55" s="0" t="s">
        <v>3182</v>
      </c>
      <c r="EM55" s="0" t="s">
        <v>2929</v>
      </c>
      <c r="EN55" s="0" t="s">
        <v>2930</v>
      </c>
      <c r="EO55" s="0" t="n">
        <v>1.5</v>
      </c>
      <c r="EP55" s="0" t="s">
        <v>2552</v>
      </c>
      <c r="EQ55" s="0" t="s">
        <v>2614</v>
      </c>
      <c r="ER55" s="0" t="s">
        <v>2615</v>
      </c>
      <c r="ES55" s="0" t="n">
        <v>27860</v>
      </c>
      <c r="ET55" s="0" t="n">
        <v>36770</v>
      </c>
      <c r="EU55" s="0" t="n">
        <v>40110</v>
      </c>
      <c r="EV55" s="0" t="n">
        <v>40110</v>
      </c>
      <c r="GD55" s="0" t="s">
        <v>3151</v>
      </c>
      <c r="GE55" s="0" t="s">
        <v>2733</v>
      </c>
      <c r="GF55" s="0" t="s">
        <v>125</v>
      </c>
      <c r="GG55" s="0" t="s">
        <v>87</v>
      </c>
      <c r="GH55" s="0" t="n">
        <v>26</v>
      </c>
      <c r="GI55" s="0" t="n">
        <v>96442</v>
      </c>
      <c r="GJ55" s="0" t="n">
        <v>98192</v>
      </c>
      <c r="GK55" s="0" t="n">
        <v>99817</v>
      </c>
      <c r="GL55" s="0" t="n">
        <v>0.0344</v>
      </c>
      <c r="GM55" s="0" t="n">
        <v>98192</v>
      </c>
      <c r="GN55" s="0" t="n">
        <v>0</v>
      </c>
      <c r="GO55" s="0" t="s">
        <v>2893</v>
      </c>
      <c r="GP55" s="0" t="s">
        <v>87</v>
      </c>
      <c r="GQ55" s="0" t="n">
        <v>26</v>
      </c>
      <c r="GR55" s="0" t="s">
        <v>2537</v>
      </c>
      <c r="GS55" s="0" t="s">
        <v>3152</v>
      </c>
      <c r="HA55" s="0" t="s">
        <v>3183</v>
      </c>
      <c r="HB55" s="0" t="s">
        <v>125</v>
      </c>
      <c r="HC55" s="0" t="s">
        <v>2618</v>
      </c>
      <c r="HD55" s="0" t="s">
        <v>79</v>
      </c>
      <c r="HE55" s="0" t="n">
        <v>0</v>
      </c>
      <c r="HF55" s="0" t="n">
        <v>0</v>
      </c>
      <c r="HG55" s="0" t="n">
        <v>0</v>
      </c>
      <c r="HH55" s="0" t="n">
        <v>0</v>
      </c>
      <c r="HI55" s="0" t="n">
        <v>0</v>
      </c>
      <c r="HJ55" s="0" t="n">
        <v>0</v>
      </c>
    </row>
    <row r="56" customFormat="false" ht="15" hidden="false" customHeight="false" outlineLevel="0" collapsed="false">
      <c r="CQ56" s="0" t="s">
        <v>3184</v>
      </c>
      <c r="CR56" s="0" t="s">
        <v>121</v>
      </c>
      <c r="CS56" s="0" t="s">
        <v>275</v>
      </c>
      <c r="CT56" s="0" t="s">
        <v>273</v>
      </c>
      <c r="CU56" s="0" t="s">
        <v>81</v>
      </c>
      <c r="CV56" s="0" t="s">
        <v>274</v>
      </c>
      <c r="CW56" s="0" t="n">
        <v>0</v>
      </c>
      <c r="DB56" s="0" t="n">
        <v>1000</v>
      </c>
      <c r="DC56" s="0" t="n">
        <v>1110</v>
      </c>
      <c r="DD56" s="0" t="n">
        <v>1200</v>
      </c>
      <c r="DE56" s="0" t="n">
        <v>1200</v>
      </c>
      <c r="DG56" s="0" t="s">
        <v>3185</v>
      </c>
      <c r="DH56" s="0" t="s">
        <v>82</v>
      </c>
      <c r="DI56" s="0" t="s">
        <v>959</v>
      </c>
      <c r="DJ56" s="0" t="s">
        <v>960</v>
      </c>
      <c r="DK56" s="0" t="s">
        <v>674</v>
      </c>
      <c r="DL56" s="0" t="n">
        <v>65.38</v>
      </c>
      <c r="DM56" s="0" t="s">
        <v>676</v>
      </c>
      <c r="DN56" s="0" t="s">
        <v>675</v>
      </c>
      <c r="DO56" s="0" t="n">
        <v>0</v>
      </c>
      <c r="DP56" s="0" t="n">
        <v>0</v>
      </c>
      <c r="DQ56" s="0" t="n">
        <v>196.88</v>
      </c>
      <c r="DR56" s="0" t="s">
        <v>3186</v>
      </c>
      <c r="EB56" s="0" t="s">
        <v>3187</v>
      </c>
      <c r="EC56" s="0" t="s">
        <v>2216</v>
      </c>
      <c r="ED56" s="0" t="s">
        <v>2525</v>
      </c>
      <c r="EE56" s="0" t="s">
        <v>246</v>
      </c>
      <c r="EF56" s="0" t="s">
        <v>244</v>
      </c>
      <c r="EG56" s="0" t="n">
        <v>730</v>
      </c>
      <c r="EH56" s="0" t="n">
        <v>800</v>
      </c>
      <c r="EI56" s="0" t="n">
        <v>870</v>
      </c>
      <c r="EJ56" s="0" t="n">
        <v>870</v>
      </c>
      <c r="EL56" s="0" t="s">
        <v>3188</v>
      </c>
      <c r="EM56" s="0" t="s">
        <v>2929</v>
      </c>
      <c r="EN56" s="0" t="s">
        <v>2930</v>
      </c>
      <c r="EO56" s="0" t="n">
        <v>2</v>
      </c>
      <c r="EP56" s="0" t="s">
        <v>2528</v>
      </c>
      <c r="EQ56" s="0" t="s">
        <v>2630</v>
      </c>
      <c r="ER56" s="0" t="s">
        <v>2631</v>
      </c>
      <c r="ES56" s="0" t="n">
        <v>34340</v>
      </c>
      <c r="ET56" s="0" t="n">
        <v>37940</v>
      </c>
      <c r="EU56" s="0" t="n">
        <v>40980</v>
      </c>
      <c r="EV56" s="0" t="n">
        <v>40980</v>
      </c>
      <c r="GD56" s="0" t="s">
        <v>3189</v>
      </c>
      <c r="GE56" s="0" t="s">
        <v>2535</v>
      </c>
      <c r="GF56" s="0" t="s">
        <v>85</v>
      </c>
      <c r="GG56" s="0" t="s">
        <v>82</v>
      </c>
      <c r="GH56" s="0" t="n">
        <v>26</v>
      </c>
      <c r="GI56" s="0" t="n">
        <v>36.25</v>
      </c>
      <c r="GJ56" s="0" t="n">
        <v>39</v>
      </c>
      <c r="GK56" s="0" t="n">
        <v>41</v>
      </c>
      <c r="GL56" s="0" t="n">
        <v>0.1218</v>
      </c>
      <c r="GM56" s="0" t="n">
        <v>39</v>
      </c>
      <c r="GN56" s="0" t="n">
        <v>0</v>
      </c>
      <c r="GO56" s="0" t="s">
        <v>2616</v>
      </c>
      <c r="GP56" s="0" t="s">
        <v>87</v>
      </c>
      <c r="GQ56" s="0" t="n">
        <v>26</v>
      </c>
      <c r="GR56" s="0" t="s">
        <v>2537</v>
      </c>
      <c r="GS56" s="0" t="s">
        <v>3190</v>
      </c>
      <c r="HA56" s="0" t="s">
        <v>3191</v>
      </c>
      <c r="HB56" s="0" t="s">
        <v>125</v>
      </c>
      <c r="HC56" s="0" t="s">
        <v>2637</v>
      </c>
      <c r="HD56" s="0" t="s">
        <v>144</v>
      </c>
      <c r="HE56" s="0" t="n">
        <v>0</v>
      </c>
      <c r="HF56" s="0" t="n">
        <v>0</v>
      </c>
      <c r="HG56" s="0" t="n">
        <v>0</v>
      </c>
      <c r="HH56" s="0" t="n">
        <v>0</v>
      </c>
      <c r="HI56" s="0" t="n">
        <v>0</v>
      </c>
      <c r="HJ56" s="0" t="n">
        <v>0</v>
      </c>
    </row>
    <row r="57" customFormat="false" ht="15" hidden="false" customHeight="false" outlineLevel="0" collapsed="false">
      <c r="A57" s="5" t="s">
        <v>3192</v>
      </c>
      <c r="CQ57" s="0" t="s">
        <v>3193</v>
      </c>
      <c r="CR57" s="0" t="s">
        <v>121</v>
      </c>
      <c r="CS57" s="0" t="s">
        <v>557</v>
      </c>
      <c r="CT57" s="0" t="s">
        <v>554</v>
      </c>
      <c r="CU57" s="0" t="s">
        <v>81</v>
      </c>
      <c r="CV57" s="0" t="s">
        <v>274</v>
      </c>
      <c r="CW57" s="0" t="n">
        <v>0</v>
      </c>
      <c r="DB57" s="0" t="n">
        <v>1670</v>
      </c>
      <c r="DC57" s="0" t="n">
        <v>1850</v>
      </c>
      <c r="DD57" s="0" t="n">
        <v>1990</v>
      </c>
      <c r="DE57" s="0" t="n">
        <v>1990</v>
      </c>
      <c r="DG57" s="0" t="s">
        <v>3194</v>
      </c>
      <c r="DH57" s="0" t="s">
        <v>82</v>
      </c>
      <c r="DI57" s="0" t="s">
        <v>962</v>
      </c>
      <c r="DJ57" s="0" t="s">
        <v>963</v>
      </c>
      <c r="DK57" s="0" t="s">
        <v>705</v>
      </c>
      <c r="DL57" s="0" t="n">
        <v>65.38</v>
      </c>
      <c r="DM57" s="0" t="s">
        <v>675</v>
      </c>
      <c r="DN57" s="0" t="s">
        <v>676</v>
      </c>
      <c r="DO57" s="0" t="n">
        <v>1</v>
      </c>
      <c r="DP57" s="0" t="n">
        <v>739</v>
      </c>
      <c r="DQ57" s="0" t="n">
        <v>739</v>
      </c>
      <c r="DR57" s="0" t="s">
        <v>3195</v>
      </c>
      <c r="EB57" s="0" t="s">
        <v>3196</v>
      </c>
      <c r="EC57" s="0" t="s">
        <v>2216</v>
      </c>
      <c r="ED57" s="0" t="s">
        <v>2525</v>
      </c>
      <c r="EE57" s="0" t="s">
        <v>255</v>
      </c>
      <c r="EF57" s="0" t="s">
        <v>253</v>
      </c>
      <c r="EG57" s="0" t="n">
        <v>980</v>
      </c>
      <c r="EH57" s="0" t="n">
        <v>1080</v>
      </c>
      <c r="EI57" s="0" t="n">
        <v>1170</v>
      </c>
      <c r="EJ57" s="0" t="n">
        <v>1170</v>
      </c>
      <c r="EL57" s="0" t="s">
        <v>3197</v>
      </c>
      <c r="EM57" s="0" t="s">
        <v>2929</v>
      </c>
      <c r="EN57" s="0" t="s">
        <v>2930</v>
      </c>
      <c r="EO57" s="0" t="n">
        <v>2</v>
      </c>
      <c r="EP57" s="0" t="s">
        <v>2552</v>
      </c>
      <c r="EQ57" s="0" t="s">
        <v>2649</v>
      </c>
      <c r="ER57" s="0" t="s">
        <v>2650</v>
      </c>
      <c r="ES57" s="0" t="n">
        <v>35970</v>
      </c>
      <c r="ET57" s="0" t="n">
        <v>47480</v>
      </c>
      <c r="EU57" s="0" t="n">
        <v>51800</v>
      </c>
      <c r="EV57" s="0" t="n">
        <v>51800</v>
      </c>
      <c r="GD57" s="0" t="s">
        <v>3189</v>
      </c>
      <c r="GE57" s="0" t="s">
        <v>2535</v>
      </c>
      <c r="GF57" s="0" t="s">
        <v>85</v>
      </c>
      <c r="GG57" s="0" t="s">
        <v>121</v>
      </c>
      <c r="GH57" s="0" t="n">
        <v>0</v>
      </c>
      <c r="GI57" s="0" t="n">
        <v>0</v>
      </c>
      <c r="GJ57" s="0" t="n">
        <v>0</v>
      </c>
      <c r="GK57" s="0" t="n">
        <v>0</v>
      </c>
      <c r="GL57" s="0" t="n">
        <v>0</v>
      </c>
      <c r="GM57" s="0" t="n">
        <v>0</v>
      </c>
      <c r="GN57" s="0" t="n">
        <v>1</v>
      </c>
      <c r="GO57" s="0" t="s">
        <v>2556</v>
      </c>
      <c r="GP57" s="0" t="s">
        <v>87</v>
      </c>
      <c r="GQ57" s="0" t="n">
        <v>26</v>
      </c>
      <c r="GR57" s="0" t="s">
        <v>2537</v>
      </c>
      <c r="GS57" s="0" t="s">
        <v>3190</v>
      </c>
      <c r="HA57" s="0" t="s">
        <v>3198</v>
      </c>
      <c r="HB57" s="0" t="s">
        <v>125</v>
      </c>
      <c r="HC57" s="0" t="s">
        <v>2652</v>
      </c>
      <c r="HD57" s="0" t="s">
        <v>81</v>
      </c>
      <c r="HE57" s="0" t="n">
        <v>0</v>
      </c>
      <c r="HF57" s="0" t="n">
        <v>0</v>
      </c>
      <c r="HG57" s="0" t="n">
        <v>0</v>
      </c>
      <c r="HH57" s="0" t="n">
        <v>0</v>
      </c>
      <c r="HI57" s="0" t="n">
        <v>0</v>
      </c>
      <c r="HJ57" s="0" t="n">
        <v>0</v>
      </c>
    </row>
    <row r="58" customFormat="false" ht="15" hidden="false" customHeight="false" outlineLevel="0" collapsed="false">
      <c r="A58" s="15" t="s">
        <v>2437</v>
      </c>
      <c r="B58" s="15" t="s">
        <v>2438</v>
      </c>
      <c r="C58" s="15" t="s">
        <v>2439</v>
      </c>
      <c r="D58" s="15" t="s">
        <v>2440</v>
      </c>
      <c r="E58" s="15" t="s">
        <v>2441</v>
      </c>
      <c r="F58" s="15" t="s">
        <v>2442</v>
      </c>
      <c r="G58" s="15" t="s">
        <v>2443</v>
      </c>
      <c r="H58" s="15" t="s">
        <v>2444</v>
      </c>
      <c r="I58" s="15" t="s">
        <v>2445</v>
      </c>
      <c r="CQ58" s="0" t="s">
        <v>3199</v>
      </c>
      <c r="CR58" s="0" t="s">
        <v>121</v>
      </c>
      <c r="CS58" s="0" t="s">
        <v>298</v>
      </c>
      <c r="CT58" s="0" t="s">
        <v>297</v>
      </c>
      <c r="CU58" s="0" t="s">
        <v>81</v>
      </c>
      <c r="CV58" s="0" t="s">
        <v>274</v>
      </c>
      <c r="CW58" s="0" t="n">
        <v>0</v>
      </c>
      <c r="DB58" s="0" t="n">
        <v>1</v>
      </c>
      <c r="DC58" s="0" t="n">
        <v>1</v>
      </c>
      <c r="DD58" s="0" t="n">
        <v>1</v>
      </c>
      <c r="DE58" s="0" t="n">
        <v>1</v>
      </c>
      <c r="DG58" s="0" t="s">
        <v>3200</v>
      </c>
      <c r="DH58" s="0" t="s">
        <v>82</v>
      </c>
      <c r="DJ58" s="0" t="s">
        <v>903</v>
      </c>
      <c r="DK58" s="0" t="s">
        <v>674</v>
      </c>
      <c r="DL58" s="0" t="n">
        <v>61.54</v>
      </c>
      <c r="DM58" s="0" t="s">
        <v>675</v>
      </c>
      <c r="DN58" s="0" t="s">
        <v>675</v>
      </c>
      <c r="DO58" s="0" t="n">
        <v>0</v>
      </c>
      <c r="DP58" s="0" t="n">
        <v>0</v>
      </c>
      <c r="DQ58" s="0" t="n">
        <v>0</v>
      </c>
      <c r="DR58" s="0" t="s">
        <v>3114</v>
      </c>
      <c r="EB58" s="0" t="s">
        <v>3201</v>
      </c>
      <c r="EC58" s="0" t="s">
        <v>2216</v>
      </c>
      <c r="ED58" s="0" t="s">
        <v>2525</v>
      </c>
      <c r="EE58" s="0" t="s">
        <v>243</v>
      </c>
      <c r="EF58" s="0" t="s">
        <v>241</v>
      </c>
      <c r="EG58" s="0" t="n">
        <v>1250</v>
      </c>
      <c r="EH58" s="0" t="n">
        <v>1250</v>
      </c>
      <c r="EI58" s="0" t="n">
        <v>1250</v>
      </c>
      <c r="EJ58" s="0" t="n">
        <v>1250</v>
      </c>
      <c r="EL58" s="0" t="s">
        <v>3202</v>
      </c>
      <c r="EM58" s="0" t="s">
        <v>2929</v>
      </c>
      <c r="EN58" s="0" t="s">
        <v>2930</v>
      </c>
      <c r="EO58" s="0" t="n">
        <v>2.5</v>
      </c>
      <c r="EP58" s="0" t="s">
        <v>2528</v>
      </c>
      <c r="EQ58" s="0" t="s">
        <v>2665</v>
      </c>
      <c r="ER58" s="0" t="s">
        <v>2666</v>
      </c>
      <c r="ES58" s="0" t="n">
        <v>41540</v>
      </c>
      <c r="ET58" s="0" t="n">
        <v>45890</v>
      </c>
      <c r="EU58" s="0" t="n">
        <v>49580</v>
      </c>
      <c r="EV58" s="0" t="n">
        <v>49580</v>
      </c>
      <c r="GD58" s="0" t="s">
        <v>3189</v>
      </c>
      <c r="GE58" s="0" t="s">
        <v>2535</v>
      </c>
      <c r="GF58" s="0" t="s">
        <v>85</v>
      </c>
      <c r="GG58" s="0" t="s">
        <v>125</v>
      </c>
      <c r="GH58" s="0" t="n">
        <v>0</v>
      </c>
      <c r="GI58" s="0" t="n">
        <v>0</v>
      </c>
      <c r="GJ58" s="0" t="n">
        <v>0</v>
      </c>
      <c r="GK58" s="0" t="n">
        <v>0</v>
      </c>
      <c r="GL58" s="0" t="n">
        <v>0</v>
      </c>
      <c r="GM58" s="0" t="n">
        <v>0</v>
      </c>
      <c r="GN58" s="0" t="n">
        <v>1</v>
      </c>
      <c r="GO58" s="0" t="s">
        <v>2556</v>
      </c>
      <c r="GP58" s="0" t="s">
        <v>87</v>
      </c>
      <c r="GQ58" s="0" t="n">
        <v>26</v>
      </c>
      <c r="GR58" s="0" t="s">
        <v>2537</v>
      </c>
      <c r="GS58" s="0" t="s">
        <v>3190</v>
      </c>
      <c r="HA58" s="0" t="s">
        <v>3203</v>
      </c>
      <c r="HB58" s="0" t="s">
        <v>125</v>
      </c>
      <c r="HC58" s="0" t="s">
        <v>2669</v>
      </c>
      <c r="HD58" s="0" t="s">
        <v>88</v>
      </c>
      <c r="HE58" s="0" t="n">
        <v>0</v>
      </c>
      <c r="HF58" s="0" t="n">
        <v>0</v>
      </c>
      <c r="HG58" s="0" t="n">
        <v>0</v>
      </c>
      <c r="HH58" s="0" t="n">
        <v>0</v>
      </c>
      <c r="HI58" s="0" t="n">
        <v>0</v>
      </c>
      <c r="HJ58" s="0" t="n">
        <v>0</v>
      </c>
    </row>
    <row r="59" customFormat="false" ht="15" hidden="false" customHeight="false" outlineLevel="0" collapsed="false">
      <c r="A59" s="0" t="s">
        <v>222</v>
      </c>
      <c r="B59" s="0" t="s">
        <v>220</v>
      </c>
      <c r="C59" s="0" t="s">
        <v>81</v>
      </c>
      <c r="D59" s="0" t="s">
        <v>221</v>
      </c>
      <c r="E59" s="0" t="s">
        <v>968</v>
      </c>
      <c r="F59" s="0" t="s">
        <v>1664</v>
      </c>
      <c r="G59" s="0" t="s">
        <v>684</v>
      </c>
      <c r="H59" s="0" t="s">
        <v>684</v>
      </c>
      <c r="I59" s="0" t="s">
        <v>2239</v>
      </c>
      <c r="CQ59" s="0" t="s">
        <v>3204</v>
      </c>
      <c r="CR59" s="0" t="s">
        <v>121</v>
      </c>
      <c r="CS59" s="0" t="s">
        <v>626</v>
      </c>
      <c r="CT59" s="0" t="s">
        <v>2526</v>
      </c>
      <c r="CU59" s="0" t="s">
        <v>81</v>
      </c>
      <c r="CV59" s="0" t="s">
        <v>285</v>
      </c>
      <c r="CW59" s="0" t="n">
        <v>0</v>
      </c>
      <c r="DB59" s="0" t="n">
        <v>360</v>
      </c>
      <c r="DC59" s="0" t="n">
        <v>400</v>
      </c>
      <c r="DD59" s="0" t="n">
        <v>430</v>
      </c>
      <c r="DE59" s="0" t="n">
        <v>430</v>
      </c>
      <c r="DG59" s="0" t="s">
        <v>3205</v>
      </c>
      <c r="DH59" s="0" t="s">
        <v>82</v>
      </c>
      <c r="DI59" s="0" t="s">
        <v>969</v>
      </c>
      <c r="DJ59" s="0" t="s">
        <v>970</v>
      </c>
      <c r="DK59" s="0" t="s">
        <v>674</v>
      </c>
      <c r="DL59" s="0" t="n">
        <v>61.54</v>
      </c>
      <c r="DM59" s="0" t="s">
        <v>676</v>
      </c>
      <c r="DN59" s="0" t="s">
        <v>676</v>
      </c>
      <c r="DO59" s="0" t="n">
        <v>0</v>
      </c>
      <c r="DP59" s="0" t="n">
        <v>0</v>
      </c>
      <c r="DQ59" s="0" t="n">
        <v>50.84</v>
      </c>
      <c r="DR59" s="0" t="s">
        <v>3206</v>
      </c>
      <c r="EB59" s="0" t="s">
        <v>3207</v>
      </c>
      <c r="EC59" s="0" t="s">
        <v>2216</v>
      </c>
      <c r="ED59" s="0" t="s">
        <v>2525</v>
      </c>
      <c r="EE59" s="0" t="s">
        <v>261</v>
      </c>
      <c r="EF59" s="0" t="s">
        <v>259</v>
      </c>
      <c r="EG59" s="0" t="n">
        <v>860</v>
      </c>
      <c r="EH59" s="0" t="n">
        <v>950</v>
      </c>
      <c r="EI59" s="0" t="n">
        <v>1020</v>
      </c>
      <c r="EJ59" s="0" t="n">
        <v>1020</v>
      </c>
      <c r="EL59" s="0" t="s">
        <v>3208</v>
      </c>
      <c r="EM59" s="0" t="s">
        <v>2929</v>
      </c>
      <c r="EN59" s="0" t="s">
        <v>2930</v>
      </c>
      <c r="EO59" s="0" t="n">
        <v>2.5</v>
      </c>
      <c r="EP59" s="0" t="s">
        <v>2552</v>
      </c>
      <c r="EQ59" s="0" t="s">
        <v>2682</v>
      </c>
      <c r="ER59" s="0" t="s">
        <v>2683</v>
      </c>
      <c r="ES59" s="0" t="n">
        <v>43500</v>
      </c>
      <c r="ET59" s="0" t="n">
        <v>57420</v>
      </c>
      <c r="EU59" s="0" t="n">
        <v>62640</v>
      </c>
      <c r="EV59" s="0" t="n">
        <v>62640</v>
      </c>
      <c r="GD59" s="0" t="s">
        <v>3189</v>
      </c>
      <c r="GE59" s="0" t="s">
        <v>2535</v>
      </c>
      <c r="GF59" s="0" t="s">
        <v>85</v>
      </c>
      <c r="GG59" s="0" t="s">
        <v>85</v>
      </c>
      <c r="GH59" s="0" t="n">
        <v>0</v>
      </c>
      <c r="GI59" s="0" t="n">
        <v>0</v>
      </c>
      <c r="GJ59" s="0" t="n">
        <v>0</v>
      </c>
      <c r="GK59" s="0" t="n">
        <v>0</v>
      </c>
      <c r="GL59" s="0" t="n">
        <v>0</v>
      </c>
      <c r="GM59" s="0" t="n">
        <v>0</v>
      </c>
      <c r="GN59" s="0" t="n">
        <v>1</v>
      </c>
      <c r="GO59" s="0" t="s">
        <v>2556</v>
      </c>
      <c r="GP59" s="0" t="s">
        <v>87</v>
      </c>
      <c r="GQ59" s="0" t="n">
        <v>26</v>
      </c>
      <c r="GR59" s="0" t="s">
        <v>2537</v>
      </c>
      <c r="GS59" s="0" t="s">
        <v>3190</v>
      </c>
      <c r="HA59" s="0" t="s">
        <v>3209</v>
      </c>
      <c r="HB59" s="0" t="s">
        <v>125</v>
      </c>
      <c r="HC59" s="0" t="s">
        <v>2686</v>
      </c>
      <c r="HD59" s="0" t="s">
        <v>90</v>
      </c>
      <c r="HE59" s="0" t="n">
        <v>0</v>
      </c>
      <c r="HF59" s="0" t="n">
        <v>0</v>
      </c>
      <c r="HG59" s="0" t="n">
        <v>0</v>
      </c>
      <c r="HH59" s="0" t="n">
        <v>0</v>
      </c>
      <c r="HI59" s="0" t="n">
        <v>0</v>
      </c>
      <c r="HJ59" s="0" t="n">
        <v>0</v>
      </c>
    </row>
    <row r="60" customFormat="false" ht="15" hidden="false" customHeight="false" outlineLevel="0" collapsed="false">
      <c r="A60" s="0" t="s">
        <v>225</v>
      </c>
      <c r="B60" s="0" t="s">
        <v>223</v>
      </c>
      <c r="C60" s="0" t="s">
        <v>81</v>
      </c>
      <c r="D60" s="0" t="s">
        <v>224</v>
      </c>
      <c r="E60" s="0" t="s">
        <v>1107</v>
      </c>
      <c r="F60" s="0" t="s">
        <v>680</v>
      </c>
      <c r="G60" s="0" t="s">
        <v>680</v>
      </c>
      <c r="H60" s="0" t="s">
        <v>1953</v>
      </c>
      <c r="I60" s="0" t="s">
        <v>2244</v>
      </c>
      <c r="CQ60" s="0" t="s">
        <v>3210</v>
      </c>
      <c r="CR60" s="0" t="s">
        <v>121</v>
      </c>
      <c r="CS60" s="0" t="s">
        <v>624</v>
      </c>
      <c r="CT60" s="0" t="s">
        <v>2550</v>
      </c>
      <c r="CU60" s="0" t="s">
        <v>81</v>
      </c>
      <c r="CV60" s="0" t="s">
        <v>285</v>
      </c>
      <c r="CW60" s="0" t="n">
        <v>0</v>
      </c>
      <c r="DB60" s="0" t="n">
        <v>580</v>
      </c>
      <c r="DC60" s="0" t="n">
        <v>660</v>
      </c>
      <c r="DD60" s="0" t="n">
        <v>760</v>
      </c>
      <c r="DE60" s="0" t="n">
        <v>800</v>
      </c>
      <c r="DG60" s="0" t="s">
        <v>3211</v>
      </c>
      <c r="DH60" s="0" t="s">
        <v>82</v>
      </c>
      <c r="DI60" s="0" t="s">
        <v>973</v>
      </c>
      <c r="DJ60" s="0" t="s">
        <v>974</v>
      </c>
      <c r="DK60" s="0" t="s">
        <v>705</v>
      </c>
      <c r="DL60" s="0" t="n">
        <v>61.54</v>
      </c>
      <c r="DM60" s="0" t="s">
        <v>675</v>
      </c>
      <c r="DN60" s="0" t="s">
        <v>676</v>
      </c>
      <c r="DO60" s="0" t="n">
        <v>10</v>
      </c>
      <c r="DP60" s="0" t="n">
        <v>160</v>
      </c>
      <c r="DQ60" s="0" t="n">
        <v>160</v>
      </c>
      <c r="DR60" s="0" t="s">
        <v>3212</v>
      </c>
      <c r="EB60" s="0" t="s">
        <v>3213</v>
      </c>
      <c r="EC60" s="0" t="s">
        <v>2216</v>
      </c>
      <c r="ED60" s="0" t="s">
        <v>2525</v>
      </c>
      <c r="EE60" s="0" t="s">
        <v>296</v>
      </c>
      <c r="EF60" s="0" t="s">
        <v>294</v>
      </c>
      <c r="EG60" s="0" t="n">
        <v>150</v>
      </c>
      <c r="EH60" s="0" t="n">
        <v>150</v>
      </c>
      <c r="EI60" s="0" t="n">
        <v>150</v>
      </c>
      <c r="EJ60" s="0" t="n">
        <v>150</v>
      </c>
      <c r="EL60" s="0" t="s">
        <v>3214</v>
      </c>
      <c r="EM60" s="0" t="s">
        <v>2929</v>
      </c>
      <c r="EN60" s="0" t="s">
        <v>2930</v>
      </c>
      <c r="EO60" s="0" t="n">
        <v>3</v>
      </c>
      <c r="EP60" s="0" t="s">
        <v>2528</v>
      </c>
      <c r="EQ60" s="0" t="s">
        <v>2699</v>
      </c>
      <c r="ER60" s="0" t="s">
        <v>2700</v>
      </c>
      <c r="ES60" s="0" t="n">
        <v>48140</v>
      </c>
      <c r="ET60" s="0" t="n">
        <v>53160</v>
      </c>
      <c r="EU60" s="0" t="n">
        <v>57470</v>
      </c>
      <c r="EV60" s="0" t="n">
        <v>57470</v>
      </c>
      <c r="GD60" s="0" t="s">
        <v>3189</v>
      </c>
      <c r="GE60" s="0" t="s">
        <v>2535</v>
      </c>
      <c r="GF60" s="0" t="s">
        <v>85</v>
      </c>
      <c r="GG60" s="0" t="s">
        <v>86</v>
      </c>
      <c r="GH60" s="0" t="n">
        <v>0</v>
      </c>
      <c r="GI60" s="0" t="n">
        <v>0</v>
      </c>
      <c r="GJ60" s="0" t="n">
        <v>0</v>
      </c>
      <c r="GK60" s="0" t="n">
        <v>0</v>
      </c>
      <c r="GL60" s="0" t="n">
        <v>0</v>
      </c>
      <c r="GM60" s="0" t="n">
        <v>0</v>
      </c>
      <c r="GN60" s="0" t="n">
        <v>1</v>
      </c>
      <c r="GO60" s="0" t="s">
        <v>2556</v>
      </c>
      <c r="GP60" s="0" t="s">
        <v>87</v>
      </c>
      <c r="GQ60" s="0" t="n">
        <v>26</v>
      </c>
      <c r="GR60" s="0" t="s">
        <v>2537</v>
      </c>
      <c r="GS60" s="0" t="s">
        <v>3190</v>
      </c>
      <c r="HA60" s="0" t="s">
        <v>3215</v>
      </c>
      <c r="HB60" s="0" t="s">
        <v>125</v>
      </c>
      <c r="HC60" s="0" t="s">
        <v>2702</v>
      </c>
      <c r="HD60" s="0" t="s">
        <v>99</v>
      </c>
      <c r="HE60" s="0" t="n">
        <v>0</v>
      </c>
      <c r="HF60" s="0" t="n">
        <v>0</v>
      </c>
      <c r="HG60" s="0" t="n">
        <v>0</v>
      </c>
      <c r="HH60" s="0" t="n">
        <v>0</v>
      </c>
      <c r="HI60" s="0" t="n">
        <v>0</v>
      </c>
      <c r="HJ60" s="0" t="n">
        <v>0</v>
      </c>
    </row>
    <row r="61" customFormat="false" ht="15" hidden="false" customHeight="false" outlineLevel="0" collapsed="false">
      <c r="A61" s="0" t="s">
        <v>229</v>
      </c>
      <c r="B61" s="0" t="s">
        <v>227</v>
      </c>
      <c r="C61" s="0" t="s">
        <v>90</v>
      </c>
      <c r="D61" s="0" t="s">
        <v>228</v>
      </c>
      <c r="E61" s="0" t="s">
        <v>1000</v>
      </c>
      <c r="F61" s="0" t="s">
        <v>727</v>
      </c>
      <c r="G61" s="0" t="s">
        <v>727</v>
      </c>
      <c r="H61" s="0" t="s">
        <v>784</v>
      </c>
      <c r="I61" s="0" t="s">
        <v>2258</v>
      </c>
      <c r="CQ61" s="0" t="s">
        <v>3216</v>
      </c>
      <c r="CR61" s="0" t="s">
        <v>121</v>
      </c>
      <c r="CS61" s="0" t="s">
        <v>622</v>
      </c>
      <c r="CT61" s="0" t="s">
        <v>2567</v>
      </c>
      <c r="CU61" s="0" t="s">
        <v>81</v>
      </c>
      <c r="CV61" s="0" t="s">
        <v>285</v>
      </c>
      <c r="CW61" s="0" t="n">
        <v>0</v>
      </c>
      <c r="DB61" s="0" t="n">
        <v>1230</v>
      </c>
      <c r="DC61" s="0" t="n">
        <v>1360</v>
      </c>
      <c r="DD61" s="0" t="n">
        <v>1470</v>
      </c>
      <c r="DE61" s="0" t="n">
        <v>1470</v>
      </c>
      <c r="DG61" s="0" t="s">
        <v>3217</v>
      </c>
      <c r="DH61" s="0" t="s">
        <v>82</v>
      </c>
      <c r="DI61" s="0" t="s">
        <v>976</v>
      </c>
      <c r="DJ61" s="0" t="s">
        <v>977</v>
      </c>
      <c r="DK61" s="0" t="s">
        <v>705</v>
      </c>
      <c r="DL61" s="0" t="n">
        <v>61.54</v>
      </c>
      <c r="DM61" s="0" t="s">
        <v>675</v>
      </c>
      <c r="DN61" s="0" t="s">
        <v>676</v>
      </c>
      <c r="DO61" s="0" t="n">
        <v>1</v>
      </c>
      <c r="DP61" s="0" t="n">
        <v>1166</v>
      </c>
      <c r="DQ61" s="0" t="n">
        <v>1166</v>
      </c>
      <c r="DR61" s="0" t="s">
        <v>3218</v>
      </c>
      <c r="EB61" s="0" t="s">
        <v>3219</v>
      </c>
      <c r="EC61" s="0" t="s">
        <v>2970</v>
      </c>
      <c r="EE61" s="0" t="s">
        <v>626</v>
      </c>
      <c r="EL61" s="0" t="s">
        <v>3220</v>
      </c>
      <c r="EM61" s="0" t="s">
        <v>2929</v>
      </c>
      <c r="EN61" s="0" t="s">
        <v>2930</v>
      </c>
      <c r="EO61" s="0" t="n">
        <v>3</v>
      </c>
      <c r="EP61" s="0" t="s">
        <v>2552</v>
      </c>
      <c r="EQ61" s="0" t="s">
        <v>2715</v>
      </c>
      <c r="ER61" s="0" t="s">
        <v>2716</v>
      </c>
      <c r="ES61" s="0" t="n">
        <v>50450</v>
      </c>
      <c r="ET61" s="0" t="n">
        <v>66590</v>
      </c>
      <c r="EU61" s="0" t="n">
        <v>72650</v>
      </c>
      <c r="EV61" s="0" t="n">
        <v>72650</v>
      </c>
      <c r="GD61" s="0" t="s">
        <v>3189</v>
      </c>
      <c r="GE61" s="0" t="s">
        <v>2535</v>
      </c>
      <c r="GF61" s="0" t="s">
        <v>85</v>
      </c>
      <c r="GG61" s="0" t="s">
        <v>87</v>
      </c>
      <c r="GH61" s="0" t="n">
        <v>26</v>
      </c>
      <c r="GI61" s="0" t="n">
        <v>36.25</v>
      </c>
      <c r="GJ61" s="0" t="n">
        <v>39</v>
      </c>
      <c r="GK61" s="0" t="n">
        <v>41</v>
      </c>
      <c r="GL61" s="0" t="n">
        <v>0.1218</v>
      </c>
      <c r="GM61" s="0" t="n">
        <v>39</v>
      </c>
      <c r="GN61" s="0" t="n">
        <v>0</v>
      </c>
      <c r="GO61" s="0" t="s">
        <v>2893</v>
      </c>
      <c r="GP61" s="0" t="s">
        <v>87</v>
      </c>
      <c r="GQ61" s="0" t="n">
        <v>26</v>
      </c>
      <c r="GR61" s="0" t="s">
        <v>2537</v>
      </c>
      <c r="GS61" s="0" t="s">
        <v>3190</v>
      </c>
      <c r="HA61" s="0" t="s">
        <v>3221</v>
      </c>
      <c r="HB61" s="0" t="s">
        <v>125</v>
      </c>
      <c r="HC61" s="0" t="s">
        <v>2687</v>
      </c>
      <c r="HD61" s="0" t="s">
        <v>145</v>
      </c>
      <c r="HE61" s="0" t="n">
        <v>0</v>
      </c>
      <c r="HF61" s="0" t="n">
        <v>0</v>
      </c>
      <c r="HG61" s="0" t="n">
        <v>0</v>
      </c>
      <c r="HH61" s="0" t="n">
        <v>0</v>
      </c>
      <c r="HI61" s="0" t="n">
        <v>0</v>
      </c>
      <c r="HJ61" s="0" t="n">
        <v>0</v>
      </c>
    </row>
    <row r="62" customFormat="false" ht="15" hidden="false" customHeight="false" outlineLevel="0" collapsed="false">
      <c r="A62" s="0" t="s">
        <v>233</v>
      </c>
      <c r="B62" s="0" t="s">
        <v>231</v>
      </c>
      <c r="C62" s="0" t="s">
        <v>81</v>
      </c>
      <c r="D62" s="0" t="s">
        <v>232</v>
      </c>
      <c r="E62" s="0" t="s">
        <v>1015</v>
      </c>
      <c r="F62" s="0" t="s">
        <v>680</v>
      </c>
      <c r="G62" s="0" t="s">
        <v>680</v>
      </c>
      <c r="H62" s="0" t="s">
        <v>680</v>
      </c>
      <c r="I62" s="0" t="s">
        <v>2241</v>
      </c>
      <c r="CQ62" s="0" t="s">
        <v>3222</v>
      </c>
      <c r="CR62" s="0" t="s">
        <v>121</v>
      </c>
      <c r="CS62" s="0" t="s">
        <v>620</v>
      </c>
      <c r="CT62" s="0" t="s">
        <v>2580</v>
      </c>
      <c r="CU62" s="0" t="s">
        <v>81</v>
      </c>
      <c r="CV62" s="0" t="s">
        <v>285</v>
      </c>
      <c r="CW62" s="0" t="n">
        <v>0</v>
      </c>
      <c r="DB62" s="0" t="n">
        <v>730</v>
      </c>
      <c r="DC62" s="0" t="n">
        <v>800</v>
      </c>
      <c r="DD62" s="0" t="n">
        <v>870</v>
      </c>
      <c r="DE62" s="0" t="n">
        <v>870</v>
      </c>
      <c r="DG62" s="0" t="s">
        <v>3223</v>
      </c>
      <c r="DH62" s="0" t="s">
        <v>82</v>
      </c>
      <c r="DI62" s="0" t="s">
        <v>982</v>
      </c>
      <c r="DJ62" s="0" t="s">
        <v>983</v>
      </c>
      <c r="DK62" s="0" t="s">
        <v>705</v>
      </c>
      <c r="DL62" s="0" t="n">
        <v>61.54</v>
      </c>
      <c r="DM62" s="0" t="s">
        <v>676</v>
      </c>
      <c r="DN62" s="0" t="s">
        <v>675</v>
      </c>
      <c r="DO62" s="0" t="n">
        <v>0</v>
      </c>
      <c r="DP62" s="0" t="n">
        <v>0</v>
      </c>
      <c r="DQ62" s="0" t="n">
        <v>87.5</v>
      </c>
      <c r="DR62" s="0" t="s">
        <v>3224</v>
      </c>
      <c r="EB62" s="0" t="s">
        <v>3225</v>
      </c>
      <c r="EC62" s="0" t="s">
        <v>2970</v>
      </c>
      <c r="EE62" s="0" t="s">
        <v>624</v>
      </c>
      <c r="EL62" s="0" t="s">
        <v>3226</v>
      </c>
      <c r="EM62" s="0" t="s">
        <v>2929</v>
      </c>
      <c r="EN62" s="0" t="s">
        <v>2930</v>
      </c>
      <c r="EO62" s="0" t="n">
        <v>3.5</v>
      </c>
      <c r="EP62" s="0" t="s">
        <v>2528</v>
      </c>
      <c r="EQ62" s="0" t="s">
        <v>2730</v>
      </c>
      <c r="ER62" s="0" t="s">
        <v>2731</v>
      </c>
      <c r="ES62" s="0" t="n">
        <v>54260</v>
      </c>
      <c r="ET62" s="0" t="n">
        <v>59960</v>
      </c>
      <c r="EU62" s="0" t="n">
        <v>64760</v>
      </c>
      <c r="EV62" s="0" t="n">
        <v>64760</v>
      </c>
      <c r="GD62" s="0" t="s">
        <v>3227</v>
      </c>
      <c r="GE62" s="0" t="s">
        <v>2634</v>
      </c>
      <c r="GF62" s="0" t="s">
        <v>85</v>
      </c>
      <c r="GG62" s="0" t="s">
        <v>82</v>
      </c>
      <c r="GH62" s="0" t="n">
        <v>26</v>
      </c>
      <c r="GI62" s="0" t="n">
        <v>7802.505</v>
      </c>
      <c r="GJ62" s="0" t="n">
        <v>9060.435</v>
      </c>
      <c r="GK62" s="0" t="n">
        <v>10629.097</v>
      </c>
      <c r="GL62" s="0" t="n">
        <v>0.312</v>
      </c>
      <c r="GM62" s="0" t="n">
        <v>9060.435</v>
      </c>
      <c r="GN62" s="0" t="n">
        <v>0</v>
      </c>
      <c r="GO62" s="0" t="s">
        <v>2616</v>
      </c>
      <c r="GP62" s="0" t="s">
        <v>87</v>
      </c>
      <c r="GQ62" s="0" t="n">
        <v>26</v>
      </c>
      <c r="GR62" s="0" t="s">
        <v>2537</v>
      </c>
      <c r="GS62" s="0" t="s">
        <v>3228</v>
      </c>
      <c r="HA62" s="0" t="s">
        <v>3229</v>
      </c>
      <c r="HB62" s="0" t="s">
        <v>125</v>
      </c>
      <c r="HC62" s="0" t="s">
        <v>2736</v>
      </c>
      <c r="HD62" s="0" t="s">
        <v>89</v>
      </c>
      <c r="HE62" s="0" t="n">
        <v>0</v>
      </c>
      <c r="HF62" s="0" t="n">
        <v>0</v>
      </c>
      <c r="HG62" s="0" t="n">
        <v>0</v>
      </c>
      <c r="HH62" s="0" t="n">
        <v>0</v>
      </c>
      <c r="HI62" s="0" t="n">
        <v>0</v>
      </c>
      <c r="HJ62" s="0" t="n">
        <v>0</v>
      </c>
    </row>
    <row r="63" customFormat="false" ht="15" hidden="false" customHeight="false" outlineLevel="0" collapsed="false">
      <c r="A63" s="0" t="s">
        <v>237</v>
      </c>
      <c r="B63" s="0" t="s">
        <v>235</v>
      </c>
      <c r="C63" s="0" t="s">
        <v>81</v>
      </c>
      <c r="D63" s="0" t="s">
        <v>236</v>
      </c>
      <c r="E63" s="0" t="s">
        <v>1393</v>
      </c>
      <c r="F63" s="0" t="s">
        <v>680</v>
      </c>
      <c r="G63" s="0" t="s">
        <v>680</v>
      </c>
      <c r="H63" s="0" t="s">
        <v>680</v>
      </c>
      <c r="I63" s="0" t="s">
        <v>2246</v>
      </c>
      <c r="CQ63" s="0" t="s">
        <v>3230</v>
      </c>
      <c r="CR63" s="0" t="s">
        <v>121</v>
      </c>
      <c r="CS63" s="0" t="s">
        <v>286</v>
      </c>
      <c r="CT63" s="0" t="s">
        <v>284</v>
      </c>
      <c r="CU63" s="0" t="s">
        <v>81</v>
      </c>
      <c r="CV63" s="0" t="s">
        <v>285</v>
      </c>
      <c r="CW63" s="0" t="n">
        <v>0</v>
      </c>
      <c r="DB63" s="0" t="n">
        <v>680</v>
      </c>
      <c r="DC63" s="0" t="n">
        <v>750</v>
      </c>
      <c r="DD63" s="0" t="n">
        <v>810</v>
      </c>
      <c r="DE63" s="0" t="n">
        <v>810</v>
      </c>
      <c r="DG63" s="0" t="s">
        <v>3231</v>
      </c>
      <c r="DH63" s="0" t="s">
        <v>82</v>
      </c>
      <c r="DI63" s="0" t="s">
        <v>986</v>
      </c>
      <c r="DJ63" s="0" t="s">
        <v>197</v>
      </c>
      <c r="DK63" s="0" t="s">
        <v>705</v>
      </c>
      <c r="DL63" s="0" t="n">
        <v>61.54</v>
      </c>
      <c r="DM63" s="0" t="s">
        <v>675</v>
      </c>
      <c r="DN63" s="0" t="s">
        <v>676</v>
      </c>
      <c r="DO63" s="0" t="n">
        <v>1</v>
      </c>
      <c r="DP63" s="0" t="n">
        <v>21618.59</v>
      </c>
      <c r="DQ63" s="0" t="n">
        <v>21618.59</v>
      </c>
      <c r="DR63" s="0" t="s">
        <v>3232</v>
      </c>
      <c r="EB63" s="0" t="s">
        <v>3233</v>
      </c>
      <c r="EC63" s="0" t="s">
        <v>2970</v>
      </c>
      <c r="EE63" s="0" t="s">
        <v>622</v>
      </c>
      <c r="EL63" s="0" t="s">
        <v>3234</v>
      </c>
      <c r="EM63" s="0" t="s">
        <v>2929</v>
      </c>
      <c r="EN63" s="0" t="s">
        <v>2930</v>
      </c>
      <c r="EO63" s="0" t="n">
        <v>3.5</v>
      </c>
      <c r="EP63" s="0" t="s">
        <v>2552</v>
      </c>
      <c r="EQ63" s="0" t="s">
        <v>2747</v>
      </c>
      <c r="ER63" s="0" t="s">
        <v>2748</v>
      </c>
      <c r="ES63" s="0" t="n">
        <v>56790</v>
      </c>
      <c r="ET63" s="0" t="n">
        <v>74970</v>
      </c>
      <c r="EU63" s="0" t="n">
        <v>81780</v>
      </c>
      <c r="EV63" s="0" t="n">
        <v>81780</v>
      </c>
      <c r="GD63" s="0" t="s">
        <v>3227</v>
      </c>
      <c r="GE63" s="0" t="s">
        <v>2634</v>
      </c>
      <c r="GF63" s="0" t="s">
        <v>85</v>
      </c>
      <c r="GG63" s="0" t="s">
        <v>121</v>
      </c>
      <c r="GH63" s="0" t="n">
        <v>0</v>
      </c>
      <c r="GI63" s="0" t="n">
        <v>0</v>
      </c>
      <c r="GJ63" s="0" t="n">
        <v>0</v>
      </c>
      <c r="GK63" s="0" t="n">
        <v>0</v>
      </c>
      <c r="GL63" s="0" t="n">
        <v>0</v>
      </c>
      <c r="GM63" s="0" t="n">
        <v>0</v>
      </c>
      <c r="GN63" s="0" t="n">
        <v>1</v>
      </c>
      <c r="GO63" s="0" t="s">
        <v>2556</v>
      </c>
      <c r="GP63" s="0" t="s">
        <v>87</v>
      </c>
      <c r="GQ63" s="0" t="n">
        <v>26</v>
      </c>
      <c r="GR63" s="0" t="s">
        <v>2537</v>
      </c>
      <c r="GS63" s="0" t="s">
        <v>3228</v>
      </c>
      <c r="HA63" s="0" t="s">
        <v>3235</v>
      </c>
      <c r="HB63" s="0" t="s">
        <v>125</v>
      </c>
      <c r="HC63" s="0" t="s">
        <v>2703</v>
      </c>
      <c r="HD63" s="0" t="s">
        <v>146</v>
      </c>
      <c r="HE63" s="0" t="n">
        <v>0</v>
      </c>
      <c r="HF63" s="0" t="n">
        <v>0</v>
      </c>
      <c r="HG63" s="0" t="n">
        <v>0</v>
      </c>
      <c r="HH63" s="0" t="n">
        <v>0</v>
      </c>
      <c r="HI63" s="0" t="n">
        <v>0</v>
      </c>
      <c r="HJ63" s="0" t="n">
        <v>0</v>
      </c>
    </row>
    <row r="64" customFormat="false" ht="15" hidden="false" customHeight="false" outlineLevel="0" collapsed="false">
      <c r="A64" s="0" t="s">
        <v>240</v>
      </c>
      <c r="B64" s="0" t="s">
        <v>238</v>
      </c>
      <c r="C64" s="0" t="s">
        <v>90</v>
      </c>
      <c r="D64" s="0" t="s">
        <v>239</v>
      </c>
      <c r="E64" s="0" t="s">
        <v>1750</v>
      </c>
      <c r="F64" s="0" t="s">
        <v>684</v>
      </c>
      <c r="G64" s="0" t="s">
        <v>684</v>
      </c>
      <c r="H64" s="0" t="s">
        <v>684</v>
      </c>
      <c r="I64" s="0" t="s">
        <v>2256</v>
      </c>
      <c r="CQ64" s="0" t="s">
        <v>3236</v>
      </c>
      <c r="CR64" s="0" t="s">
        <v>121</v>
      </c>
      <c r="CS64" s="0" t="s">
        <v>272</v>
      </c>
      <c r="CT64" s="0" t="s">
        <v>270</v>
      </c>
      <c r="CU64" s="0" t="s">
        <v>81</v>
      </c>
      <c r="CV64" s="0" t="s">
        <v>271</v>
      </c>
      <c r="CW64" s="0" t="n">
        <v>0</v>
      </c>
      <c r="DB64" s="0" t="n">
        <v>1430</v>
      </c>
      <c r="DC64" s="0" t="n">
        <v>1580</v>
      </c>
      <c r="DD64" s="0" t="n">
        <v>1710</v>
      </c>
      <c r="DE64" s="0" t="n">
        <v>1710</v>
      </c>
      <c r="DG64" s="0" t="s">
        <v>3237</v>
      </c>
      <c r="DH64" s="0" t="s">
        <v>82</v>
      </c>
      <c r="DI64" s="0" t="s">
        <v>990</v>
      </c>
      <c r="DJ64" s="0" t="s">
        <v>991</v>
      </c>
      <c r="DK64" s="0" t="s">
        <v>705</v>
      </c>
      <c r="DL64" s="0" t="n">
        <v>61.54</v>
      </c>
      <c r="DM64" s="0" t="s">
        <v>675</v>
      </c>
      <c r="DN64" s="0" t="s">
        <v>676</v>
      </c>
      <c r="DO64" s="0" t="n">
        <v>1</v>
      </c>
      <c r="DP64" s="0" t="n">
        <v>221.5</v>
      </c>
      <c r="DQ64" s="0" t="n">
        <v>221.5</v>
      </c>
      <c r="DR64" s="0" t="s">
        <v>3238</v>
      </c>
      <c r="EB64" s="0" t="s">
        <v>3239</v>
      </c>
      <c r="EC64" s="0" t="s">
        <v>2970</v>
      </c>
      <c r="EE64" s="0" t="s">
        <v>620</v>
      </c>
      <c r="EL64" s="0" t="s">
        <v>3240</v>
      </c>
      <c r="EM64" s="0" t="s">
        <v>2929</v>
      </c>
      <c r="EN64" s="0" t="s">
        <v>2930</v>
      </c>
      <c r="EO64" s="0" t="n">
        <v>4</v>
      </c>
      <c r="EP64" s="0" t="s">
        <v>2528</v>
      </c>
      <c r="EQ64" s="0" t="s">
        <v>2761</v>
      </c>
      <c r="ER64" s="0" t="s">
        <v>2762</v>
      </c>
      <c r="ES64" s="0" t="n">
        <v>59670</v>
      </c>
      <c r="ET64" s="0" t="n">
        <v>65900</v>
      </c>
      <c r="EU64" s="0" t="n">
        <v>71220</v>
      </c>
      <c r="EV64" s="0" t="n">
        <v>71220</v>
      </c>
      <c r="GD64" s="0" t="s">
        <v>3227</v>
      </c>
      <c r="GE64" s="0" t="s">
        <v>2634</v>
      </c>
      <c r="GF64" s="0" t="s">
        <v>85</v>
      </c>
      <c r="GG64" s="0" t="s">
        <v>125</v>
      </c>
      <c r="GH64" s="0" t="n">
        <v>0</v>
      </c>
      <c r="GI64" s="0" t="n">
        <v>0</v>
      </c>
      <c r="GJ64" s="0" t="n">
        <v>0</v>
      </c>
      <c r="GK64" s="0" t="n">
        <v>0</v>
      </c>
      <c r="GL64" s="0" t="n">
        <v>0</v>
      </c>
      <c r="GM64" s="0" t="n">
        <v>0</v>
      </c>
      <c r="GN64" s="0" t="n">
        <v>1</v>
      </c>
      <c r="GO64" s="0" t="s">
        <v>2556</v>
      </c>
      <c r="GP64" s="0" t="s">
        <v>87</v>
      </c>
      <c r="GQ64" s="0" t="n">
        <v>26</v>
      </c>
      <c r="GR64" s="0" t="s">
        <v>2537</v>
      </c>
      <c r="GS64" s="0" t="s">
        <v>3228</v>
      </c>
      <c r="HA64" s="0" t="s">
        <v>3241</v>
      </c>
      <c r="HB64" s="0" t="s">
        <v>125</v>
      </c>
      <c r="HC64" s="0" t="s">
        <v>2764</v>
      </c>
      <c r="HD64" s="0" t="s">
        <v>92</v>
      </c>
      <c r="HE64" s="0" t="n">
        <v>0</v>
      </c>
      <c r="HF64" s="0" t="n">
        <v>0</v>
      </c>
      <c r="HG64" s="0" t="n">
        <v>0</v>
      </c>
      <c r="HH64" s="0" t="n">
        <v>0</v>
      </c>
      <c r="HI64" s="0" t="n">
        <v>0</v>
      </c>
      <c r="HJ64" s="0" t="n">
        <v>0</v>
      </c>
    </row>
    <row r="65" customFormat="false" ht="15" hidden="false" customHeight="false" outlineLevel="0" collapsed="false">
      <c r="A65" s="0" t="s">
        <v>243</v>
      </c>
      <c r="B65" s="0" t="s">
        <v>241</v>
      </c>
      <c r="C65" s="0" t="s">
        <v>90</v>
      </c>
      <c r="D65" s="0" t="s">
        <v>242</v>
      </c>
      <c r="E65" s="0" t="s">
        <v>1393</v>
      </c>
      <c r="F65" s="0" t="s">
        <v>680</v>
      </c>
      <c r="G65" s="0" t="s">
        <v>680</v>
      </c>
      <c r="H65" s="0" t="s">
        <v>680</v>
      </c>
      <c r="I65" s="0" t="s">
        <v>332</v>
      </c>
      <c r="CQ65" s="0" t="s">
        <v>3242</v>
      </c>
      <c r="CR65" s="0" t="s">
        <v>121</v>
      </c>
      <c r="CS65" s="0" t="s">
        <v>283</v>
      </c>
      <c r="CT65" s="0" t="s">
        <v>281</v>
      </c>
      <c r="CU65" s="0" t="s">
        <v>81</v>
      </c>
      <c r="CV65" s="0" t="s">
        <v>282</v>
      </c>
      <c r="CW65" s="0" t="n">
        <v>0</v>
      </c>
      <c r="DB65" s="0" t="n">
        <v>360</v>
      </c>
      <c r="DC65" s="0" t="n">
        <v>400</v>
      </c>
      <c r="DD65" s="0" t="n">
        <v>430</v>
      </c>
      <c r="DE65" s="0" t="n">
        <v>430</v>
      </c>
      <c r="DG65" s="0" t="s">
        <v>3243</v>
      </c>
      <c r="DH65" s="0" t="s">
        <v>82</v>
      </c>
      <c r="DI65" s="0" t="s">
        <v>995</v>
      </c>
      <c r="DJ65" s="0" t="s">
        <v>202</v>
      </c>
      <c r="DK65" s="0" t="s">
        <v>705</v>
      </c>
      <c r="DL65" s="0" t="n">
        <v>61.54</v>
      </c>
      <c r="DM65" s="0" t="s">
        <v>675</v>
      </c>
      <c r="DN65" s="0" t="s">
        <v>676</v>
      </c>
      <c r="DO65" s="0" t="n">
        <v>1</v>
      </c>
      <c r="DP65" s="0" t="n">
        <v>3760</v>
      </c>
      <c r="DQ65" s="0" t="n">
        <v>3760</v>
      </c>
      <c r="DR65" s="0" t="s">
        <v>3244</v>
      </c>
      <c r="EB65" s="0" t="s">
        <v>3245</v>
      </c>
      <c r="EC65" s="0" t="s">
        <v>2970</v>
      </c>
      <c r="EE65" s="0" t="s">
        <v>618</v>
      </c>
      <c r="EL65" s="0" t="s">
        <v>3246</v>
      </c>
      <c r="EM65" s="0" t="s">
        <v>2929</v>
      </c>
      <c r="EN65" s="0" t="s">
        <v>2930</v>
      </c>
      <c r="EO65" s="0" t="n">
        <v>4</v>
      </c>
      <c r="EP65" s="0" t="s">
        <v>2552</v>
      </c>
      <c r="EQ65" s="0" t="s">
        <v>2774</v>
      </c>
      <c r="ER65" s="0" t="s">
        <v>2775</v>
      </c>
      <c r="ES65" s="0" t="n">
        <v>62570</v>
      </c>
      <c r="ET65" s="0" t="n">
        <v>82590</v>
      </c>
      <c r="EU65" s="0" t="n">
        <v>90090</v>
      </c>
      <c r="EV65" s="0" t="n">
        <v>90090</v>
      </c>
      <c r="GD65" s="0" t="s">
        <v>3227</v>
      </c>
      <c r="GE65" s="0" t="s">
        <v>2634</v>
      </c>
      <c r="GF65" s="0" t="s">
        <v>85</v>
      </c>
      <c r="GG65" s="0" t="s">
        <v>85</v>
      </c>
      <c r="GH65" s="0" t="n">
        <v>0</v>
      </c>
      <c r="GI65" s="0" t="n">
        <v>0</v>
      </c>
      <c r="GJ65" s="0" t="n">
        <v>0</v>
      </c>
      <c r="GK65" s="0" t="n">
        <v>0</v>
      </c>
      <c r="GL65" s="0" t="n">
        <v>0</v>
      </c>
      <c r="GM65" s="0" t="n">
        <v>0</v>
      </c>
      <c r="GN65" s="0" t="n">
        <v>1</v>
      </c>
      <c r="GO65" s="0" t="s">
        <v>2556</v>
      </c>
      <c r="GP65" s="0" t="s">
        <v>87</v>
      </c>
      <c r="GQ65" s="0" t="n">
        <v>26</v>
      </c>
      <c r="GR65" s="0" t="s">
        <v>2537</v>
      </c>
      <c r="GS65" s="0" t="s">
        <v>3228</v>
      </c>
      <c r="HA65" s="0" t="s">
        <v>3247</v>
      </c>
      <c r="HB65" s="0" t="s">
        <v>125</v>
      </c>
      <c r="HC65" s="0" t="s">
        <v>2718</v>
      </c>
      <c r="HD65" s="0" t="s">
        <v>95</v>
      </c>
      <c r="HE65" s="0" t="n">
        <v>0</v>
      </c>
      <c r="HF65" s="0" t="n">
        <v>0</v>
      </c>
      <c r="HG65" s="0" t="n">
        <v>0</v>
      </c>
      <c r="HH65" s="0" t="n">
        <v>0</v>
      </c>
      <c r="HI65" s="0" t="n">
        <v>0</v>
      </c>
      <c r="HJ65" s="0" t="n">
        <v>0</v>
      </c>
    </row>
    <row r="66" customFormat="false" ht="15" hidden="false" customHeight="false" outlineLevel="0" collapsed="false">
      <c r="A66" s="0" t="s">
        <v>246</v>
      </c>
      <c r="B66" s="0" t="s">
        <v>244</v>
      </c>
      <c r="C66" s="0" t="s">
        <v>90</v>
      </c>
      <c r="D66" s="0" t="s">
        <v>245</v>
      </c>
      <c r="E66" s="0" t="s">
        <v>1415</v>
      </c>
      <c r="F66" s="0" t="s">
        <v>680</v>
      </c>
      <c r="G66" s="0" t="s">
        <v>1227</v>
      </c>
      <c r="H66" s="0" t="s">
        <v>2259</v>
      </c>
      <c r="I66" s="0" t="s">
        <v>2262</v>
      </c>
      <c r="CQ66" s="0" t="s">
        <v>3248</v>
      </c>
      <c r="CR66" s="0" t="s">
        <v>121</v>
      </c>
      <c r="CS66" s="0" t="s">
        <v>267</v>
      </c>
      <c r="CT66" s="0" t="s">
        <v>265</v>
      </c>
      <c r="CU66" s="0" t="s">
        <v>81</v>
      </c>
      <c r="CV66" s="0" t="s">
        <v>266</v>
      </c>
      <c r="CW66" s="0" t="n">
        <v>0</v>
      </c>
      <c r="DB66" s="0" t="n">
        <v>1920</v>
      </c>
      <c r="DC66" s="0" t="n">
        <v>2120</v>
      </c>
      <c r="DD66" s="0" t="n">
        <v>2290</v>
      </c>
      <c r="DE66" s="0" t="n">
        <v>2290</v>
      </c>
      <c r="DG66" s="0" t="s">
        <v>3249</v>
      </c>
      <c r="DH66" s="0" t="s">
        <v>82</v>
      </c>
      <c r="DI66" s="0" t="s">
        <v>997</v>
      </c>
      <c r="DJ66" s="0" t="s">
        <v>998</v>
      </c>
      <c r="DK66" s="0" t="s">
        <v>674</v>
      </c>
      <c r="DL66" s="0" t="n">
        <v>57.69</v>
      </c>
      <c r="DM66" s="0" t="s">
        <v>676</v>
      </c>
      <c r="DN66" s="0" t="s">
        <v>675</v>
      </c>
      <c r="DO66" s="0" t="n">
        <v>0</v>
      </c>
      <c r="DP66" s="0" t="n">
        <v>0</v>
      </c>
      <c r="DQ66" s="0" t="n">
        <v>100.6</v>
      </c>
      <c r="DR66" s="0" t="s">
        <v>3250</v>
      </c>
      <c r="EB66" s="0" t="s">
        <v>3251</v>
      </c>
      <c r="EC66" s="0" t="s">
        <v>2970</v>
      </c>
      <c r="EE66" s="0" t="s">
        <v>616</v>
      </c>
      <c r="EL66" s="0" t="s">
        <v>3252</v>
      </c>
      <c r="EM66" s="0" t="s">
        <v>2929</v>
      </c>
      <c r="EN66" s="0" t="s">
        <v>2930</v>
      </c>
      <c r="EO66" s="0" t="n">
        <v>4.5</v>
      </c>
      <c r="EP66" s="0" t="s">
        <v>2528</v>
      </c>
      <c r="EQ66" s="0" t="s">
        <v>2788</v>
      </c>
      <c r="ER66" s="0" t="s">
        <v>2789</v>
      </c>
      <c r="ES66" s="0" t="n">
        <v>64640</v>
      </c>
      <c r="ET66" s="0" t="n">
        <v>71390</v>
      </c>
      <c r="EU66" s="0" t="n">
        <v>77150</v>
      </c>
      <c r="EV66" s="0" t="n">
        <v>77150</v>
      </c>
      <c r="GD66" s="0" t="s">
        <v>3227</v>
      </c>
      <c r="GE66" s="0" t="s">
        <v>2634</v>
      </c>
      <c r="GF66" s="0" t="s">
        <v>85</v>
      </c>
      <c r="GG66" s="0" t="s">
        <v>86</v>
      </c>
      <c r="GH66" s="0" t="n">
        <v>0</v>
      </c>
      <c r="GI66" s="0" t="n">
        <v>0</v>
      </c>
      <c r="GJ66" s="0" t="n">
        <v>0</v>
      </c>
      <c r="GK66" s="0" t="n">
        <v>0</v>
      </c>
      <c r="GL66" s="0" t="n">
        <v>0</v>
      </c>
      <c r="GM66" s="0" t="n">
        <v>0</v>
      </c>
      <c r="GN66" s="0" t="n">
        <v>1</v>
      </c>
      <c r="GO66" s="0" t="s">
        <v>2556</v>
      </c>
      <c r="GP66" s="0" t="s">
        <v>87</v>
      </c>
      <c r="GQ66" s="0" t="n">
        <v>26</v>
      </c>
      <c r="GR66" s="0" t="s">
        <v>2537</v>
      </c>
      <c r="GS66" s="0" t="s">
        <v>3228</v>
      </c>
      <c r="HA66" s="0" t="s">
        <v>3253</v>
      </c>
      <c r="HB66" s="0" t="s">
        <v>125</v>
      </c>
      <c r="HC66" s="0" t="s">
        <v>2737</v>
      </c>
      <c r="HD66" s="0" t="s">
        <v>98</v>
      </c>
      <c r="HE66" s="0" t="n">
        <v>0</v>
      </c>
      <c r="HF66" s="0" t="n">
        <v>0</v>
      </c>
      <c r="HG66" s="0" t="n">
        <v>0</v>
      </c>
      <c r="HH66" s="0" t="n">
        <v>0</v>
      </c>
      <c r="HI66" s="0" t="n">
        <v>0</v>
      </c>
      <c r="HJ66" s="0" t="n">
        <v>0</v>
      </c>
    </row>
    <row r="67" customFormat="false" ht="15" hidden="false" customHeight="false" outlineLevel="0" collapsed="false">
      <c r="A67" s="0" t="s">
        <v>249</v>
      </c>
      <c r="B67" s="0" t="s">
        <v>247</v>
      </c>
      <c r="C67" s="0" t="s">
        <v>81</v>
      </c>
      <c r="D67" s="0" t="s">
        <v>248</v>
      </c>
      <c r="E67" s="0" t="s">
        <v>1015</v>
      </c>
      <c r="F67" s="0" t="s">
        <v>680</v>
      </c>
      <c r="G67" s="0" t="s">
        <v>680</v>
      </c>
      <c r="H67" s="0" t="s">
        <v>680</v>
      </c>
      <c r="I67" s="0" t="s">
        <v>322</v>
      </c>
      <c r="CQ67" s="0" t="s">
        <v>3254</v>
      </c>
      <c r="CR67" s="0" t="s">
        <v>121</v>
      </c>
      <c r="CS67" s="0" t="s">
        <v>258</v>
      </c>
      <c r="CT67" s="0" t="s">
        <v>256</v>
      </c>
      <c r="CU67" s="0" t="s">
        <v>81</v>
      </c>
      <c r="CV67" s="0" t="s">
        <v>257</v>
      </c>
      <c r="CW67" s="0" t="n">
        <v>0</v>
      </c>
      <c r="DB67" s="0" t="n">
        <v>2910</v>
      </c>
      <c r="DC67" s="0" t="n">
        <v>3220</v>
      </c>
      <c r="DD67" s="0" t="n">
        <v>3470</v>
      </c>
      <c r="DE67" s="0" t="n">
        <v>3470</v>
      </c>
      <c r="DG67" s="0" t="s">
        <v>3255</v>
      </c>
      <c r="DH67" s="0" t="s">
        <v>82</v>
      </c>
      <c r="DI67" s="0" t="s">
        <v>1002</v>
      </c>
      <c r="DJ67" s="0" t="s">
        <v>1003</v>
      </c>
      <c r="DK67" s="0" t="s">
        <v>674</v>
      </c>
      <c r="DL67" s="0" t="n">
        <v>57.69</v>
      </c>
      <c r="DM67" s="0" t="s">
        <v>676</v>
      </c>
      <c r="DN67" s="0" t="s">
        <v>676</v>
      </c>
      <c r="DO67" s="0" t="n">
        <v>1</v>
      </c>
      <c r="DP67" s="0" t="n">
        <v>7.3</v>
      </c>
      <c r="DQ67" s="0" t="n">
        <v>7.3</v>
      </c>
      <c r="DR67" s="0" t="s">
        <v>3256</v>
      </c>
      <c r="EB67" s="0" t="s">
        <v>3257</v>
      </c>
      <c r="EC67" s="0" t="s">
        <v>2970</v>
      </c>
      <c r="EE67" s="0" t="s">
        <v>614</v>
      </c>
      <c r="EL67" s="0" t="s">
        <v>3258</v>
      </c>
      <c r="EM67" s="0" t="s">
        <v>2929</v>
      </c>
      <c r="EN67" s="0" t="s">
        <v>2930</v>
      </c>
      <c r="EO67" s="0" t="n">
        <v>4.5</v>
      </c>
      <c r="EP67" s="0" t="s">
        <v>2552</v>
      </c>
      <c r="EQ67" s="0" t="s">
        <v>2803</v>
      </c>
      <c r="ER67" s="0" t="s">
        <v>2804</v>
      </c>
      <c r="ES67" s="0" t="n">
        <v>67740</v>
      </c>
      <c r="ET67" s="0" t="n">
        <v>89420</v>
      </c>
      <c r="EU67" s="0" t="n">
        <v>97550</v>
      </c>
      <c r="EV67" s="0" t="n">
        <v>97550</v>
      </c>
      <c r="GD67" s="0" t="s">
        <v>3227</v>
      </c>
      <c r="GE67" s="0" t="s">
        <v>2634</v>
      </c>
      <c r="GF67" s="0" t="s">
        <v>85</v>
      </c>
      <c r="GG67" s="0" t="s">
        <v>87</v>
      </c>
      <c r="GH67" s="0" t="n">
        <v>26</v>
      </c>
      <c r="GI67" s="0" t="n">
        <v>7802.505</v>
      </c>
      <c r="GJ67" s="0" t="n">
        <v>9060.435</v>
      </c>
      <c r="GK67" s="0" t="n">
        <v>10629.097</v>
      </c>
      <c r="GL67" s="0" t="n">
        <v>0.312</v>
      </c>
      <c r="GM67" s="0" t="n">
        <v>9060.435</v>
      </c>
      <c r="GN67" s="0" t="n">
        <v>0</v>
      </c>
      <c r="GO67" s="0" t="s">
        <v>2893</v>
      </c>
      <c r="GP67" s="0" t="s">
        <v>87</v>
      </c>
      <c r="GQ67" s="0" t="n">
        <v>26</v>
      </c>
      <c r="GR67" s="0" t="s">
        <v>2537</v>
      </c>
      <c r="GS67" s="0" t="s">
        <v>3228</v>
      </c>
      <c r="HA67" s="0" t="s">
        <v>3259</v>
      </c>
      <c r="HB67" s="0" t="s">
        <v>125</v>
      </c>
      <c r="HC67" s="0" t="s">
        <v>2751</v>
      </c>
      <c r="HD67" s="0" t="s">
        <v>101</v>
      </c>
      <c r="HE67" s="0" t="n">
        <v>0</v>
      </c>
      <c r="HF67" s="0" t="n">
        <v>0</v>
      </c>
      <c r="HG67" s="0" t="n">
        <v>0</v>
      </c>
      <c r="HH67" s="0" t="n">
        <v>0</v>
      </c>
      <c r="HI67" s="0" t="n">
        <v>0</v>
      </c>
      <c r="HJ67" s="0" t="n">
        <v>0</v>
      </c>
    </row>
    <row r="68" customFormat="false" ht="15" hidden="false" customHeight="false" outlineLevel="0" collapsed="false">
      <c r="A68" s="0" t="s">
        <v>252</v>
      </c>
      <c r="B68" s="0" t="s">
        <v>250</v>
      </c>
      <c r="C68" s="0" t="s">
        <v>90</v>
      </c>
      <c r="D68" s="0" t="s">
        <v>251</v>
      </c>
      <c r="E68" s="0" t="s">
        <v>1415</v>
      </c>
      <c r="F68" s="0" t="s">
        <v>680</v>
      </c>
      <c r="G68" s="0" t="s">
        <v>680</v>
      </c>
      <c r="H68" s="0" t="s">
        <v>680</v>
      </c>
      <c r="I68" s="0" t="s">
        <v>2135</v>
      </c>
      <c r="CQ68" s="0" t="s">
        <v>3260</v>
      </c>
      <c r="CR68" s="0" t="s">
        <v>121</v>
      </c>
      <c r="CS68" s="0" t="s">
        <v>222</v>
      </c>
      <c r="CT68" s="0" t="s">
        <v>220</v>
      </c>
      <c r="CU68" s="0" t="s">
        <v>81</v>
      </c>
      <c r="CV68" s="0" t="s">
        <v>221</v>
      </c>
      <c r="CW68" s="0" t="n">
        <v>0</v>
      </c>
      <c r="DB68" s="0" t="n">
        <v>2430</v>
      </c>
      <c r="DC68" s="0" t="n">
        <v>2690</v>
      </c>
      <c r="DD68" s="0" t="n">
        <v>2900</v>
      </c>
      <c r="DE68" s="0" t="n">
        <v>2900</v>
      </c>
      <c r="DG68" s="0" t="s">
        <v>3261</v>
      </c>
      <c r="DH68" s="0" t="s">
        <v>82</v>
      </c>
      <c r="DI68" s="0" t="s">
        <v>1007</v>
      </c>
      <c r="DJ68" s="0" t="s">
        <v>1008</v>
      </c>
      <c r="DK68" s="0" t="s">
        <v>705</v>
      </c>
      <c r="DL68" s="0" t="n">
        <v>57.69</v>
      </c>
      <c r="DM68" s="0" t="s">
        <v>676</v>
      </c>
      <c r="DN68" s="0" t="s">
        <v>675</v>
      </c>
      <c r="DO68" s="0" t="n">
        <v>0</v>
      </c>
      <c r="DP68" s="0" t="n">
        <v>0</v>
      </c>
      <c r="DQ68" s="0" t="n">
        <v>250</v>
      </c>
      <c r="DR68" s="0" t="s">
        <v>3262</v>
      </c>
      <c r="EB68" s="0" t="s">
        <v>3263</v>
      </c>
      <c r="EC68" s="0" t="s">
        <v>2970</v>
      </c>
      <c r="EE68" s="0" t="s">
        <v>612</v>
      </c>
      <c r="EL68" s="0" t="s">
        <v>3264</v>
      </c>
      <c r="EM68" s="0" t="s">
        <v>2929</v>
      </c>
      <c r="EN68" s="0" t="s">
        <v>2930</v>
      </c>
      <c r="EO68" s="0" t="n">
        <v>5</v>
      </c>
      <c r="EP68" s="0" t="s">
        <v>2528</v>
      </c>
      <c r="EQ68" s="0" t="s">
        <v>2817</v>
      </c>
      <c r="ER68" s="0" t="s">
        <v>2818</v>
      </c>
      <c r="ES68" s="0" t="n">
        <v>69060</v>
      </c>
      <c r="ET68" s="0" t="n">
        <v>76340</v>
      </c>
      <c r="EU68" s="0" t="n">
        <v>82440</v>
      </c>
      <c r="EV68" s="0" t="n">
        <v>82440</v>
      </c>
      <c r="GD68" s="0" t="s">
        <v>3265</v>
      </c>
      <c r="GE68" s="0" t="s">
        <v>2733</v>
      </c>
      <c r="GF68" s="0" t="s">
        <v>85</v>
      </c>
      <c r="GG68" s="0" t="s">
        <v>82</v>
      </c>
      <c r="GH68" s="0" t="n">
        <v>26</v>
      </c>
      <c r="GI68" s="0" t="n">
        <v>96442</v>
      </c>
      <c r="GJ68" s="0" t="n">
        <v>98192</v>
      </c>
      <c r="GK68" s="0" t="n">
        <v>99817</v>
      </c>
      <c r="GL68" s="0" t="n">
        <v>0.0344</v>
      </c>
      <c r="GM68" s="0" t="n">
        <v>98192</v>
      </c>
      <c r="GN68" s="0" t="n">
        <v>0</v>
      </c>
      <c r="GO68" s="0" t="s">
        <v>2616</v>
      </c>
      <c r="GP68" s="0" t="s">
        <v>87</v>
      </c>
      <c r="GQ68" s="0" t="n">
        <v>26</v>
      </c>
      <c r="GR68" s="0" t="s">
        <v>2537</v>
      </c>
      <c r="GS68" s="0" t="s">
        <v>3266</v>
      </c>
      <c r="HA68" s="0" t="s">
        <v>3267</v>
      </c>
      <c r="HB68" s="0" t="s">
        <v>125</v>
      </c>
      <c r="HC68" s="0" t="s">
        <v>2823</v>
      </c>
      <c r="HD68" s="0" t="s">
        <v>147</v>
      </c>
      <c r="HE68" s="0" t="n">
        <v>0</v>
      </c>
      <c r="HF68" s="0" t="n">
        <v>0</v>
      </c>
      <c r="HG68" s="0" t="n">
        <v>0</v>
      </c>
      <c r="HH68" s="0" t="n">
        <v>0</v>
      </c>
      <c r="HI68" s="0" t="n">
        <v>0</v>
      </c>
      <c r="HJ68" s="0" t="n">
        <v>0</v>
      </c>
    </row>
    <row r="69" customFormat="false" ht="15" hidden="false" customHeight="false" outlineLevel="0" collapsed="false">
      <c r="A69" s="0" t="s">
        <v>255</v>
      </c>
      <c r="B69" s="0" t="s">
        <v>253</v>
      </c>
      <c r="C69" s="0" t="s">
        <v>90</v>
      </c>
      <c r="D69" s="0" t="s">
        <v>254</v>
      </c>
      <c r="E69" s="0" t="s">
        <v>1463</v>
      </c>
      <c r="F69" s="0" t="s">
        <v>680</v>
      </c>
      <c r="G69" s="0" t="s">
        <v>680</v>
      </c>
      <c r="H69" s="0" t="s">
        <v>680</v>
      </c>
      <c r="I69" s="0" t="s">
        <v>2263</v>
      </c>
      <c r="CQ69" s="0" t="s">
        <v>3268</v>
      </c>
      <c r="CR69" s="0" t="s">
        <v>121</v>
      </c>
      <c r="CS69" s="0" t="s">
        <v>233</v>
      </c>
      <c r="CT69" s="0" t="s">
        <v>231</v>
      </c>
      <c r="CU69" s="0" t="s">
        <v>81</v>
      </c>
      <c r="CV69" s="0" t="s">
        <v>232</v>
      </c>
      <c r="CW69" s="0" t="n">
        <v>0</v>
      </c>
      <c r="DB69" s="0" t="n">
        <v>1110</v>
      </c>
      <c r="DC69" s="0" t="n">
        <v>1220</v>
      </c>
      <c r="DD69" s="0" t="n">
        <v>1320</v>
      </c>
      <c r="DE69" s="0" t="n">
        <v>1320</v>
      </c>
      <c r="DG69" s="0" t="s">
        <v>3269</v>
      </c>
      <c r="DH69" s="0" t="s">
        <v>82</v>
      </c>
      <c r="DI69" s="0" t="s">
        <v>1010</v>
      </c>
      <c r="DJ69" s="0" t="s">
        <v>1011</v>
      </c>
      <c r="DK69" s="0" t="s">
        <v>705</v>
      </c>
      <c r="DL69" s="0" t="n">
        <v>57.69</v>
      </c>
      <c r="DM69" s="0" t="s">
        <v>675</v>
      </c>
      <c r="DN69" s="0" t="s">
        <v>676</v>
      </c>
      <c r="DO69" s="0" t="n">
        <v>10</v>
      </c>
      <c r="DP69" s="0" t="n">
        <v>180</v>
      </c>
      <c r="DQ69" s="0" t="n">
        <v>180</v>
      </c>
      <c r="DR69" s="0" t="s">
        <v>3270</v>
      </c>
      <c r="EB69" s="0" t="s">
        <v>3271</v>
      </c>
      <c r="EC69" s="0" t="s">
        <v>2970</v>
      </c>
      <c r="ED69" s="0" t="s">
        <v>2971</v>
      </c>
      <c r="EE69" s="0" t="s">
        <v>609</v>
      </c>
      <c r="EF69" s="0" t="s">
        <v>2663</v>
      </c>
      <c r="EG69" s="0" t="n">
        <v>330</v>
      </c>
      <c r="EH69" s="0" t="n">
        <v>330</v>
      </c>
      <c r="EI69" s="0" t="n">
        <v>330</v>
      </c>
      <c r="EJ69" s="0" t="n">
        <v>330</v>
      </c>
      <c r="EL69" s="0" t="s">
        <v>3272</v>
      </c>
      <c r="EM69" s="0" t="s">
        <v>2929</v>
      </c>
      <c r="EN69" s="0" t="s">
        <v>2930</v>
      </c>
      <c r="EO69" s="0" t="n">
        <v>5</v>
      </c>
      <c r="EP69" s="0" t="s">
        <v>2552</v>
      </c>
      <c r="EQ69" s="0" t="s">
        <v>2835</v>
      </c>
      <c r="ER69" s="0" t="s">
        <v>2836</v>
      </c>
      <c r="ES69" s="0" t="n">
        <v>72350</v>
      </c>
      <c r="ET69" s="0" t="n">
        <v>95490</v>
      </c>
      <c r="EU69" s="0" t="n">
        <v>104180</v>
      </c>
      <c r="EV69" s="0" t="n">
        <v>104180</v>
      </c>
      <c r="GD69" s="0" t="s">
        <v>3265</v>
      </c>
      <c r="GE69" s="0" t="s">
        <v>2733</v>
      </c>
      <c r="GF69" s="0" t="s">
        <v>85</v>
      </c>
      <c r="GG69" s="0" t="s">
        <v>121</v>
      </c>
      <c r="GH69" s="0" t="n">
        <v>0</v>
      </c>
      <c r="GI69" s="0" t="n">
        <v>0</v>
      </c>
      <c r="GJ69" s="0" t="n">
        <v>0</v>
      </c>
      <c r="GK69" s="0" t="n">
        <v>0</v>
      </c>
      <c r="GL69" s="0" t="n">
        <v>0</v>
      </c>
      <c r="GM69" s="0" t="n">
        <v>0</v>
      </c>
      <c r="GN69" s="0" t="n">
        <v>1</v>
      </c>
      <c r="GO69" s="0" t="s">
        <v>2556</v>
      </c>
      <c r="GP69" s="0" t="s">
        <v>87</v>
      </c>
      <c r="GQ69" s="0" t="n">
        <v>26</v>
      </c>
      <c r="GR69" s="0" t="s">
        <v>2537</v>
      </c>
      <c r="GS69" s="0" t="s">
        <v>3266</v>
      </c>
      <c r="HA69" s="0" t="s">
        <v>3273</v>
      </c>
      <c r="HB69" s="0" t="s">
        <v>125</v>
      </c>
      <c r="HC69" s="0" t="s">
        <v>2839</v>
      </c>
      <c r="HD69" s="0" t="s">
        <v>96</v>
      </c>
      <c r="HE69" s="0" t="n">
        <v>0</v>
      </c>
      <c r="HF69" s="0" t="n">
        <v>0</v>
      </c>
      <c r="HG69" s="0" t="n">
        <v>0</v>
      </c>
      <c r="HH69" s="0" t="n">
        <v>0</v>
      </c>
      <c r="HI69" s="0" t="n">
        <v>0</v>
      </c>
      <c r="HJ69" s="0" t="n">
        <v>0</v>
      </c>
    </row>
    <row r="70" customFormat="false" ht="15" hidden="false" customHeight="false" outlineLevel="0" collapsed="false">
      <c r="A70" s="0" t="s">
        <v>258</v>
      </c>
      <c r="B70" s="0" t="s">
        <v>256</v>
      </c>
      <c r="C70" s="0" t="s">
        <v>81</v>
      </c>
      <c r="D70" s="0" t="s">
        <v>257</v>
      </c>
      <c r="E70" s="0" t="s">
        <v>1750</v>
      </c>
      <c r="F70" s="0" t="s">
        <v>680</v>
      </c>
      <c r="G70" s="0" t="s">
        <v>680</v>
      </c>
      <c r="H70" s="0" t="s">
        <v>680</v>
      </c>
      <c r="I70" s="0" t="s">
        <v>2235</v>
      </c>
      <c r="CQ70" s="0" t="s">
        <v>3274</v>
      </c>
      <c r="CR70" s="0" t="s">
        <v>121</v>
      </c>
      <c r="CS70" s="0" t="s">
        <v>618</v>
      </c>
      <c r="CT70" s="0" t="s">
        <v>2596</v>
      </c>
      <c r="CU70" s="0" t="s">
        <v>81</v>
      </c>
      <c r="CV70" s="0" t="s">
        <v>2766</v>
      </c>
      <c r="CW70" s="0" t="n">
        <v>0</v>
      </c>
      <c r="DB70" s="0" t="n">
        <v>360</v>
      </c>
      <c r="DC70" s="0" t="n">
        <v>400</v>
      </c>
      <c r="DD70" s="0" t="n">
        <v>430</v>
      </c>
      <c r="DE70" s="0" t="n">
        <v>430</v>
      </c>
      <c r="DG70" s="0" t="s">
        <v>3275</v>
      </c>
      <c r="DH70" s="0" t="s">
        <v>82</v>
      </c>
      <c r="DI70" s="0" t="s">
        <v>1012</v>
      </c>
      <c r="DJ70" s="0" t="s">
        <v>1013</v>
      </c>
      <c r="DK70" s="0" t="s">
        <v>705</v>
      </c>
      <c r="DL70" s="0" t="n">
        <v>53.85</v>
      </c>
      <c r="DM70" s="0" t="s">
        <v>676</v>
      </c>
      <c r="DN70" s="0" t="s">
        <v>676</v>
      </c>
      <c r="DO70" s="0" t="n">
        <v>1</v>
      </c>
      <c r="DP70" s="0" t="n">
        <v>510</v>
      </c>
      <c r="DQ70" s="0" t="n">
        <v>510</v>
      </c>
      <c r="DR70" s="0" t="s">
        <v>3276</v>
      </c>
      <c r="EB70" s="0" t="s">
        <v>3277</v>
      </c>
      <c r="EC70" s="0" t="s">
        <v>2970</v>
      </c>
      <c r="ED70" s="0" t="s">
        <v>2971</v>
      </c>
      <c r="EE70" s="0" t="s">
        <v>607</v>
      </c>
      <c r="EF70" s="0" t="s">
        <v>2680</v>
      </c>
      <c r="EG70" s="0" t="n">
        <v>1</v>
      </c>
      <c r="EH70" s="0" t="n">
        <v>1</v>
      </c>
      <c r="EI70" s="0" t="n">
        <v>1</v>
      </c>
      <c r="EJ70" s="0" t="n">
        <v>1</v>
      </c>
      <c r="EL70" s="0" t="s">
        <v>3278</v>
      </c>
      <c r="EM70" s="0" t="s">
        <v>2929</v>
      </c>
      <c r="EN70" s="0" t="s">
        <v>2930</v>
      </c>
      <c r="EO70" s="0" t="n">
        <v>5.5</v>
      </c>
      <c r="EP70" s="0" t="s">
        <v>2528</v>
      </c>
      <c r="EQ70" s="0" t="s">
        <v>2848</v>
      </c>
      <c r="ER70" s="0" t="s">
        <v>2849</v>
      </c>
      <c r="ES70" s="0" t="n">
        <v>72860</v>
      </c>
      <c r="ET70" s="0" t="n">
        <v>80510</v>
      </c>
      <c r="EU70" s="0" t="n">
        <v>86960</v>
      </c>
      <c r="EV70" s="0" t="n">
        <v>86960</v>
      </c>
      <c r="GD70" s="0" t="s">
        <v>3265</v>
      </c>
      <c r="GE70" s="0" t="s">
        <v>2733</v>
      </c>
      <c r="GF70" s="0" t="s">
        <v>85</v>
      </c>
      <c r="GG70" s="0" t="s">
        <v>125</v>
      </c>
      <c r="GH70" s="0" t="n">
        <v>0</v>
      </c>
      <c r="GI70" s="0" t="n">
        <v>0</v>
      </c>
      <c r="GJ70" s="0" t="n">
        <v>0</v>
      </c>
      <c r="GK70" s="0" t="n">
        <v>0</v>
      </c>
      <c r="GL70" s="0" t="n">
        <v>0</v>
      </c>
      <c r="GM70" s="0" t="n">
        <v>0</v>
      </c>
      <c r="GN70" s="0" t="n">
        <v>1</v>
      </c>
      <c r="GO70" s="0" t="s">
        <v>2556</v>
      </c>
      <c r="GP70" s="0" t="s">
        <v>87</v>
      </c>
      <c r="GQ70" s="0" t="n">
        <v>26</v>
      </c>
      <c r="GR70" s="0" t="s">
        <v>2537</v>
      </c>
      <c r="GS70" s="0" t="s">
        <v>3266</v>
      </c>
      <c r="HA70" s="0" t="s">
        <v>3279</v>
      </c>
      <c r="HB70" s="0" t="s">
        <v>125</v>
      </c>
      <c r="HC70" s="0" t="s">
        <v>2852</v>
      </c>
      <c r="HD70" s="0" t="s">
        <v>2345</v>
      </c>
      <c r="HE70" s="0" t="n">
        <v>0</v>
      </c>
      <c r="HF70" s="0" t="n">
        <v>0</v>
      </c>
      <c r="HG70" s="0" t="n">
        <v>0</v>
      </c>
      <c r="HH70" s="0" t="n">
        <v>0</v>
      </c>
      <c r="HI70" s="0" t="n">
        <v>0</v>
      </c>
      <c r="HJ70" s="0" t="n">
        <v>0</v>
      </c>
    </row>
    <row r="71" customFormat="false" ht="15" hidden="false" customHeight="false" outlineLevel="0" collapsed="false">
      <c r="A71" s="0" t="s">
        <v>261</v>
      </c>
      <c r="B71" s="0" t="s">
        <v>259</v>
      </c>
      <c r="C71" s="0" t="s">
        <v>2266</v>
      </c>
      <c r="D71" s="0" t="s">
        <v>260</v>
      </c>
      <c r="E71" s="0" t="s">
        <v>1463</v>
      </c>
      <c r="F71" s="0" t="s">
        <v>680</v>
      </c>
      <c r="G71" s="0" t="s">
        <v>680</v>
      </c>
      <c r="H71" s="0" t="s">
        <v>680</v>
      </c>
      <c r="I71" s="0" t="s">
        <v>921</v>
      </c>
      <c r="CQ71" s="0" t="s">
        <v>3280</v>
      </c>
      <c r="CR71" s="0" t="s">
        <v>121</v>
      </c>
      <c r="CS71" s="0" t="s">
        <v>225</v>
      </c>
      <c r="CT71" s="0" t="s">
        <v>223</v>
      </c>
      <c r="CU71" s="0" t="s">
        <v>81</v>
      </c>
      <c r="CV71" s="0" t="s">
        <v>224</v>
      </c>
      <c r="CW71" s="0" t="n">
        <v>0</v>
      </c>
      <c r="DB71" s="0" t="n">
        <v>2730</v>
      </c>
      <c r="DC71" s="0" t="n">
        <v>3020</v>
      </c>
      <c r="DD71" s="0" t="n">
        <v>3260</v>
      </c>
      <c r="DE71" s="0" t="n">
        <v>3260</v>
      </c>
      <c r="DG71" s="0" t="s">
        <v>3281</v>
      </c>
      <c r="DH71" s="0" t="s">
        <v>82</v>
      </c>
      <c r="DI71" s="0" t="s">
        <v>1016</v>
      </c>
      <c r="DJ71" s="0" t="s">
        <v>1017</v>
      </c>
      <c r="DK71" s="0" t="s">
        <v>705</v>
      </c>
      <c r="DL71" s="0" t="n">
        <v>53.85</v>
      </c>
      <c r="DM71" s="0" t="s">
        <v>676</v>
      </c>
      <c r="DN71" s="0" t="s">
        <v>675</v>
      </c>
      <c r="DO71" s="0" t="n">
        <v>0</v>
      </c>
      <c r="DP71" s="0" t="n">
        <v>0</v>
      </c>
      <c r="DQ71" s="0" t="n">
        <v>378.3</v>
      </c>
      <c r="DR71" s="0" t="s">
        <v>3282</v>
      </c>
      <c r="EB71" s="0" t="s">
        <v>3283</v>
      </c>
      <c r="EC71" s="0" t="s">
        <v>2970</v>
      </c>
      <c r="ED71" s="0" t="s">
        <v>2971</v>
      </c>
      <c r="EE71" s="0" t="s">
        <v>605</v>
      </c>
      <c r="EF71" s="0" t="s">
        <v>2697</v>
      </c>
      <c r="EG71" s="0" t="n">
        <v>600</v>
      </c>
      <c r="EH71" s="0" t="n">
        <v>600</v>
      </c>
      <c r="EI71" s="0" t="n">
        <v>600</v>
      </c>
      <c r="EJ71" s="0" t="n">
        <v>600</v>
      </c>
      <c r="EL71" s="0" t="s">
        <v>3284</v>
      </c>
      <c r="EM71" s="0" t="s">
        <v>2929</v>
      </c>
      <c r="EN71" s="0" t="s">
        <v>2930</v>
      </c>
      <c r="EO71" s="0" t="n">
        <v>5.5</v>
      </c>
      <c r="EP71" s="0" t="s">
        <v>2552</v>
      </c>
      <c r="EQ71" s="0" t="s">
        <v>2862</v>
      </c>
      <c r="ER71" s="0" t="s">
        <v>2863</v>
      </c>
      <c r="ES71" s="0" t="n">
        <v>76350</v>
      </c>
      <c r="ET71" s="0" t="n">
        <v>100790</v>
      </c>
      <c r="EU71" s="0" t="n">
        <v>109950</v>
      </c>
      <c r="EV71" s="0" t="n">
        <v>109950</v>
      </c>
      <c r="GD71" s="0" t="s">
        <v>3265</v>
      </c>
      <c r="GE71" s="0" t="s">
        <v>2733</v>
      </c>
      <c r="GF71" s="0" t="s">
        <v>85</v>
      </c>
      <c r="GG71" s="0" t="s">
        <v>85</v>
      </c>
      <c r="GH71" s="0" t="n">
        <v>0</v>
      </c>
      <c r="GI71" s="0" t="n">
        <v>0</v>
      </c>
      <c r="GJ71" s="0" t="n">
        <v>0</v>
      </c>
      <c r="GK71" s="0" t="n">
        <v>0</v>
      </c>
      <c r="GL71" s="0" t="n">
        <v>0</v>
      </c>
      <c r="GM71" s="0" t="n">
        <v>0</v>
      </c>
      <c r="GN71" s="0" t="n">
        <v>1</v>
      </c>
      <c r="GO71" s="0" t="s">
        <v>2556</v>
      </c>
      <c r="GP71" s="0" t="s">
        <v>87</v>
      </c>
      <c r="GQ71" s="0" t="n">
        <v>26</v>
      </c>
      <c r="GR71" s="0" t="s">
        <v>2537</v>
      </c>
      <c r="GS71" s="0" t="s">
        <v>3266</v>
      </c>
      <c r="HA71" s="0" t="s">
        <v>3285</v>
      </c>
      <c r="HB71" s="0" t="s">
        <v>125</v>
      </c>
      <c r="HC71" s="0" t="s">
        <v>2866</v>
      </c>
      <c r="HD71" s="0" t="s">
        <v>2346</v>
      </c>
      <c r="HE71" s="0" t="n">
        <v>0</v>
      </c>
      <c r="HF71" s="0" t="n">
        <v>0</v>
      </c>
      <c r="HG71" s="0" t="n">
        <v>0</v>
      </c>
      <c r="HH71" s="0" t="n">
        <v>0</v>
      </c>
      <c r="HI71" s="0" t="n">
        <v>0</v>
      </c>
      <c r="HJ71" s="0" t="n">
        <v>0</v>
      </c>
    </row>
    <row r="72" customFormat="false" ht="15" hidden="false" customHeight="false" outlineLevel="0" collapsed="false">
      <c r="A72" s="0" t="s">
        <v>264</v>
      </c>
      <c r="B72" s="0" t="s">
        <v>262</v>
      </c>
      <c r="C72" s="0" t="s">
        <v>2252</v>
      </c>
      <c r="D72" s="0" t="s">
        <v>263</v>
      </c>
      <c r="E72" s="0" t="s">
        <v>1463</v>
      </c>
      <c r="F72" s="0" t="s">
        <v>680</v>
      </c>
      <c r="G72" s="0" t="s">
        <v>680</v>
      </c>
      <c r="H72" s="0" t="s">
        <v>680</v>
      </c>
      <c r="I72" s="0" t="s">
        <v>2222</v>
      </c>
      <c r="CQ72" s="0" t="s">
        <v>3286</v>
      </c>
      <c r="CR72" s="0" t="s">
        <v>121</v>
      </c>
      <c r="CS72" s="0" t="s">
        <v>288</v>
      </c>
      <c r="CT72" s="0" t="s">
        <v>287</v>
      </c>
      <c r="CU72" s="0" t="s">
        <v>81</v>
      </c>
      <c r="CV72" s="0" t="s">
        <v>236</v>
      </c>
      <c r="CW72" s="0" t="n">
        <v>0</v>
      </c>
      <c r="DB72" s="0" t="n">
        <v>450</v>
      </c>
      <c r="DC72" s="0" t="n">
        <v>530</v>
      </c>
      <c r="DD72" s="0" t="n">
        <v>580</v>
      </c>
      <c r="DE72" s="0" t="n">
        <v>580</v>
      </c>
      <c r="DG72" s="0" t="s">
        <v>3287</v>
      </c>
      <c r="DH72" s="0" t="s">
        <v>82</v>
      </c>
      <c r="DI72" s="0" t="s">
        <v>1022</v>
      </c>
      <c r="DJ72" s="0" t="s">
        <v>1023</v>
      </c>
      <c r="DK72" s="0" t="s">
        <v>705</v>
      </c>
      <c r="DL72" s="0" t="n">
        <v>53.85</v>
      </c>
      <c r="DM72" s="0" t="s">
        <v>676</v>
      </c>
      <c r="DN72" s="0" t="s">
        <v>676</v>
      </c>
      <c r="DO72" s="0" t="n">
        <v>1</v>
      </c>
      <c r="DP72" s="0" t="n">
        <v>287</v>
      </c>
      <c r="DQ72" s="0" t="n">
        <v>287</v>
      </c>
      <c r="DR72" s="0" t="s">
        <v>3288</v>
      </c>
      <c r="EB72" s="0" t="s">
        <v>3289</v>
      </c>
      <c r="EC72" s="0" t="s">
        <v>2970</v>
      </c>
      <c r="EE72" s="0" t="s">
        <v>629</v>
      </c>
      <c r="EL72" s="0" t="s">
        <v>3290</v>
      </c>
      <c r="EM72" s="0" t="s">
        <v>2929</v>
      </c>
      <c r="EN72" s="0" t="s">
        <v>2930</v>
      </c>
      <c r="EO72" s="0" t="n">
        <v>6</v>
      </c>
      <c r="EP72" s="0" t="s">
        <v>2528</v>
      </c>
      <c r="EQ72" s="0" t="s">
        <v>2877</v>
      </c>
      <c r="ER72" s="0" t="s">
        <v>2878</v>
      </c>
      <c r="ES72" s="0" t="n">
        <v>76110</v>
      </c>
      <c r="ET72" s="0" t="n">
        <v>84060</v>
      </c>
      <c r="EU72" s="0" t="n">
        <v>90840</v>
      </c>
      <c r="EV72" s="0" t="n">
        <v>90840</v>
      </c>
      <c r="GD72" s="0" t="s">
        <v>3265</v>
      </c>
      <c r="GE72" s="0" t="s">
        <v>2733</v>
      </c>
      <c r="GF72" s="0" t="s">
        <v>85</v>
      </c>
      <c r="GG72" s="0" t="s">
        <v>86</v>
      </c>
      <c r="GH72" s="0" t="n">
        <v>0</v>
      </c>
      <c r="GI72" s="0" t="n">
        <v>0</v>
      </c>
      <c r="GJ72" s="0" t="n">
        <v>0</v>
      </c>
      <c r="GK72" s="0" t="n">
        <v>0</v>
      </c>
      <c r="GL72" s="0" t="n">
        <v>0</v>
      </c>
      <c r="GM72" s="0" t="n">
        <v>0</v>
      </c>
      <c r="GN72" s="0" t="n">
        <v>1</v>
      </c>
      <c r="GO72" s="0" t="s">
        <v>2556</v>
      </c>
      <c r="GP72" s="0" t="s">
        <v>87</v>
      </c>
      <c r="GQ72" s="0" t="n">
        <v>26</v>
      </c>
      <c r="GR72" s="0" t="s">
        <v>2537</v>
      </c>
      <c r="GS72" s="0" t="s">
        <v>3266</v>
      </c>
      <c r="HA72" s="0" t="s">
        <v>3291</v>
      </c>
      <c r="HB72" s="0" t="s">
        <v>125</v>
      </c>
      <c r="HC72" s="0" t="s">
        <v>2880</v>
      </c>
      <c r="HD72" s="0" t="s">
        <v>2347</v>
      </c>
      <c r="HE72" s="0" t="n">
        <v>0</v>
      </c>
      <c r="HF72" s="0" t="n">
        <v>0</v>
      </c>
      <c r="HG72" s="0" t="n">
        <v>0</v>
      </c>
      <c r="HH72" s="0" t="n">
        <v>0</v>
      </c>
      <c r="HI72" s="0" t="n">
        <v>0</v>
      </c>
      <c r="HJ72" s="0" t="n">
        <v>0</v>
      </c>
    </row>
    <row r="73" customFormat="false" ht="15" hidden="false" customHeight="false" outlineLevel="0" collapsed="false">
      <c r="A73" s="0" t="s">
        <v>267</v>
      </c>
      <c r="B73" s="0" t="s">
        <v>265</v>
      </c>
      <c r="C73" s="0" t="s">
        <v>81</v>
      </c>
      <c r="D73" s="0" t="s">
        <v>266</v>
      </c>
      <c r="E73" s="0" t="s">
        <v>1750</v>
      </c>
      <c r="F73" s="0" t="s">
        <v>680</v>
      </c>
      <c r="G73" s="0" t="s">
        <v>680</v>
      </c>
      <c r="H73" s="0" t="s">
        <v>680</v>
      </c>
      <c r="I73" s="0" t="s">
        <v>2232</v>
      </c>
      <c r="CQ73" s="0" t="s">
        <v>3292</v>
      </c>
      <c r="CR73" s="0" t="s">
        <v>121</v>
      </c>
      <c r="CS73" s="0" t="s">
        <v>269</v>
      </c>
      <c r="CT73" s="0" t="s">
        <v>268</v>
      </c>
      <c r="CU73" s="0" t="s">
        <v>81</v>
      </c>
      <c r="CV73" s="0" t="s">
        <v>236</v>
      </c>
      <c r="CW73" s="0" t="n">
        <v>0</v>
      </c>
      <c r="DB73" s="0" t="n">
        <v>280</v>
      </c>
      <c r="DC73" s="0" t="n">
        <v>280</v>
      </c>
      <c r="DD73" s="0" t="n">
        <v>280</v>
      </c>
      <c r="DE73" s="0" t="n">
        <v>280</v>
      </c>
      <c r="DG73" s="0" t="s">
        <v>3293</v>
      </c>
      <c r="DH73" s="0" t="s">
        <v>82</v>
      </c>
      <c r="DI73" s="0" t="s">
        <v>1027</v>
      </c>
      <c r="DJ73" s="0" t="s">
        <v>1028</v>
      </c>
      <c r="DK73" s="0" t="s">
        <v>674</v>
      </c>
      <c r="DL73" s="0" t="n">
        <v>50</v>
      </c>
      <c r="DM73" s="0" t="s">
        <v>675</v>
      </c>
      <c r="DN73" s="0" t="s">
        <v>676</v>
      </c>
      <c r="DO73" s="0" t="n">
        <v>3</v>
      </c>
      <c r="DP73" s="0" t="n">
        <v>1060.32</v>
      </c>
      <c r="DQ73" s="0" t="n">
        <v>1060.32</v>
      </c>
      <c r="DR73" s="0" t="s">
        <v>3294</v>
      </c>
      <c r="EB73" s="0" t="s">
        <v>3295</v>
      </c>
      <c r="EC73" s="0" t="s">
        <v>2970</v>
      </c>
      <c r="EE73" s="0" t="s">
        <v>602</v>
      </c>
      <c r="EL73" s="0" t="s">
        <v>3296</v>
      </c>
      <c r="EM73" s="0" t="s">
        <v>2929</v>
      </c>
      <c r="EN73" s="0" t="s">
        <v>2930</v>
      </c>
      <c r="EO73" s="0" t="n">
        <v>6</v>
      </c>
      <c r="EP73" s="0" t="s">
        <v>2552</v>
      </c>
      <c r="EQ73" s="0" t="s">
        <v>2891</v>
      </c>
      <c r="ER73" s="0" t="s">
        <v>2892</v>
      </c>
      <c r="ES73" s="0" t="n">
        <v>79770</v>
      </c>
      <c r="ET73" s="0" t="n">
        <v>105300</v>
      </c>
      <c r="EU73" s="0" t="n">
        <v>114870</v>
      </c>
      <c r="EV73" s="0" t="n">
        <v>114870</v>
      </c>
      <c r="GD73" s="0" t="s">
        <v>3265</v>
      </c>
      <c r="GE73" s="0" t="s">
        <v>2733</v>
      </c>
      <c r="GF73" s="0" t="s">
        <v>85</v>
      </c>
      <c r="GG73" s="0" t="s">
        <v>87</v>
      </c>
      <c r="GH73" s="0" t="n">
        <v>26</v>
      </c>
      <c r="GI73" s="0" t="n">
        <v>96442</v>
      </c>
      <c r="GJ73" s="0" t="n">
        <v>98192</v>
      </c>
      <c r="GK73" s="0" t="n">
        <v>99817</v>
      </c>
      <c r="GL73" s="0" t="n">
        <v>0.0344</v>
      </c>
      <c r="GM73" s="0" t="n">
        <v>98192</v>
      </c>
      <c r="GN73" s="0" t="n">
        <v>0</v>
      </c>
      <c r="GO73" s="0" t="s">
        <v>2893</v>
      </c>
      <c r="GP73" s="0" t="s">
        <v>87</v>
      </c>
      <c r="GQ73" s="0" t="n">
        <v>26</v>
      </c>
      <c r="GR73" s="0" t="s">
        <v>2537</v>
      </c>
      <c r="GS73" s="0" t="s">
        <v>3266</v>
      </c>
      <c r="HA73" s="0" t="s">
        <v>3297</v>
      </c>
      <c r="HB73" s="0" t="s">
        <v>125</v>
      </c>
      <c r="HC73" s="0" t="s">
        <v>2895</v>
      </c>
      <c r="HD73" s="0" t="s">
        <v>150</v>
      </c>
      <c r="HE73" s="0" t="n">
        <v>0</v>
      </c>
      <c r="HF73" s="0" t="n">
        <v>0</v>
      </c>
      <c r="HG73" s="0" t="n">
        <v>0</v>
      </c>
      <c r="HH73" s="0" t="n">
        <v>0</v>
      </c>
      <c r="HI73" s="0" t="n">
        <v>0</v>
      </c>
      <c r="HJ73" s="0" t="n">
        <v>0</v>
      </c>
    </row>
    <row r="74" customFormat="false" ht="15" hidden="false" customHeight="false" outlineLevel="0" collapsed="false">
      <c r="A74" s="0" t="s">
        <v>269</v>
      </c>
      <c r="B74" s="0" t="s">
        <v>268</v>
      </c>
      <c r="C74" s="0" t="s">
        <v>81</v>
      </c>
      <c r="D74" s="0" t="s">
        <v>236</v>
      </c>
      <c r="E74" s="0" t="s">
        <v>1259</v>
      </c>
      <c r="F74" s="0" t="s">
        <v>680</v>
      </c>
      <c r="G74" s="0" t="s">
        <v>680</v>
      </c>
      <c r="H74" s="0" t="s">
        <v>680</v>
      </c>
      <c r="I74" s="0" t="s">
        <v>1652</v>
      </c>
      <c r="CQ74" s="0" t="s">
        <v>3298</v>
      </c>
      <c r="CR74" s="0" t="s">
        <v>121</v>
      </c>
      <c r="CS74" s="0" t="s">
        <v>237</v>
      </c>
      <c r="CT74" s="0" t="s">
        <v>235</v>
      </c>
      <c r="CU74" s="0" t="s">
        <v>81</v>
      </c>
      <c r="CV74" s="0" t="s">
        <v>236</v>
      </c>
      <c r="CW74" s="0" t="n">
        <v>0</v>
      </c>
      <c r="DB74" s="0" t="n">
        <v>2650</v>
      </c>
      <c r="DC74" s="0" t="n">
        <v>2650</v>
      </c>
      <c r="DD74" s="0" t="n">
        <v>2650</v>
      </c>
      <c r="DE74" s="0" t="n">
        <v>2650</v>
      </c>
      <c r="DG74" s="0" t="s">
        <v>3299</v>
      </c>
      <c r="DH74" s="0" t="s">
        <v>82</v>
      </c>
      <c r="DI74" s="0" t="s">
        <v>1035</v>
      </c>
      <c r="DJ74" s="0" t="s">
        <v>1036</v>
      </c>
      <c r="DK74" s="0" t="s">
        <v>674</v>
      </c>
      <c r="DL74" s="0" t="n">
        <v>50</v>
      </c>
      <c r="DM74" s="0" t="s">
        <v>676</v>
      </c>
      <c r="DN74" s="0" t="s">
        <v>676</v>
      </c>
      <c r="DO74" s="0" t="n">
        <v>0</v>
      </c>
      <c r="DP74" s="0" t="n">
        <v>0</v>
      </c>
      <c r="DQ74" s="0" t="n">
        <v>34.5</v>
      </c>
      <c r="DR74" s="0" t="s">
        <v>3300</v>
      </c>
      <c r="EB74" s="0" t="s">
        <v>3301</v>
      </c>
      <c r="EC74" s="0" t="s">
        <v>2970</v>
      </c>
      <c r="ED74" s="0" t="s">
        <v>2971</v>
      </c>
      <c r="EE74" s="0" t="s">
        <v>599</v>
      </c>
      <c r="EF74" s="0" t="s">
        <v>2745</v>
      </c>
      <c r="EG74" s="0" t="n">
        <v>1</v>
      </c>
      <c r="EH74" s="0" t="n">
        <v>1</v>
      </c>
      <c r="EI74" s="0" t="n">
        <v>1</v>
      </c>
      <c r="EJ74" s="0" t="n">
        <v>1</v>
      </c>
      <c r="EL74" s="0" t="s">
        <v>3302</v>
      </c>
      <c r="EM74" s="0" t="s">
        <v>2929</v>
      </c>
      <c r="EN74" s="0" t="s">
        <v>2930</v>
      </c>
      <c r="EO74" s="0" t="n">
        <v>6.5</v>
      </c>
      <c r="EP74" s="0" t="s">
        <v>2528</v>
      </c>
      <c r="EQ74" s="0" t="s">
        <v>2904</v>
      </c>
      <c r="ER74" s="0" t="s">
        <v>2905</v>
      </c>
      <c r="ES74" s="0" t="n">
        <v>78830</v>
      </c>
      <c r="ET74" s="0" t="n">
        <v>87080</v>
      </c>
      <c r="EU74" s="0" t="n">
        <v>94100</v>
      </c>
      <c r="EV74" s="0" t="n">
        <v>94100</v>
      </c>
      <c r="HA74" s="0" t="s">
        <v>3303</v>
      </c>
      <c r="HB74" s="0" t="s">
        <v>85</v>
      </c>
      <c r="HC74" s="0" t="s">
        <v>2540</v>
      </c>
      <c r="HD74" s="0" t="s">
        <v>142</v>
      </c>
      <c r="HE74" s="0" t="n">
        <v>0</v>
      </c>
      <c r="HF74" s="0" t="n">
        <v>0</v>
      </c>
      <c r="HG74" s="0" t="n">
        <v>0</v>
      </c>
      <c r="HH74" s="0" t="n">
        <v>0</v>
      </c>
      <c r="HI74" s="0" t="n">
        <v>0</v>
      </c>
      <c r="HJ74" s="0" t="n">
        <v>0</v>
      </c>
    </row>
    <row r="75" customFormat="false" ht="15" hidden="false" customHeight="false" outlineLevel="0" collapsed="false">
      <c r="A75" s="0" t="s">
        <v>272</v>
      </c>
      <c r="B75" s="0" t="s">
        <v>270</v>
      </c>
      <c r="C75" s="0" t="s">
        <v>81</v>
      </c>
      <c r="D75" s="0" t="s">
        <v>271</v>
      </c>
      <c r="E75" s="0" t="s">
        <v>1750</v>
      </c>
      <c r="F75" s="0" t="s">
        <v>680</v>
      </c>
      <c r="G75" s="0" t="s">
        <v>680</v>
      </c>
      <c r="H75" s="0" t="s">
        <v>680</v>
      </c>
      <c r="I75" s="0" t="s">
        <v>321</v>
      </c>
      <c r="CQ75" s="0" t="s">
        <v>3304</v>
      </c>
      <c r="CR75" s="0" t="s">
        <v>121</v>
      </c>
      <c r="CS75" s="0" t="s">
        <v>249</v>
      </c>
      <c r="CT75" s="0" t="s">
        <v>247</v>
      </c>
      <c r="CU75" s="0" t="s">
        <v>81</v>
      </c>
      <c r="CV75" s="0" t="s">
        <v>248</v>
      </c>
      <c r="CW75" s="0" t="n">
        <v>0</v>
      </c>
      <c r="DB75" s="0" t="n">
        <v>310</v>
      </c>
      <c r="DC75" s="0" t="n">
        <v>340</v>
      </c>
      <c r="DD75" s="0" t="n">
        <v>370</v>
      </c>
      <c r="DE75" s="0" t="n">
        <v>370</v>
      </c>
      <c r="DG75" s="0" t="s">
        <v>3305</v>
      </c>
      <c r="DH75" s="0" t="s">
        <v>82</v>
      </c>
      <c r="DI75" s="0" t="s">
        <v>1038</v>
      </c>
      <c r="DJ75" s="0" t="s">
        <v>1039</v>
      </c>
      <c r="DK75" s="0" t="s">
        <v>674</v>
      </c>
      <c r="DL75" s="0" t="n">
        <v>50</v>
      </c>
      <c r="DM75" s="0" t="s">
        <v>676</v>
      </c>
      <c r="DN75" s="0" t="s">
        <v>676</v>
      </c>
      <c r="DO75" s="0" t="n">
        <v>40</v>
      </c>
      <c r="DP75" s="0" t="n">
        <v>1200</v>
      </c>
      <c r="DQ75" s="0" t="n">
        <v>1200</v>
      </c>
      <c r="DR75" s="0" t="s">
        <v>3306</v>
      </c>
      <c r="EB75" s="0" t="s">
        <v>3307</v>
      </c>
      <c r="EC75" s="0" t="s">
        <v>2970</v>
      </c>
      <c r="ED75" s="0" t="s">
        <v>2971</v>
      </c>
      <c r="EE75" s="0" t="s">
        <v>597</v>
      </c>
      <c r="EF75" s="0" t="s">
        <v>3308</v>
      </c>
      <c r="EG75" s="0" t="n">
        <v>1000</v>
      </c>
      <c r="EH75" s="0" t="n">
        <v>1000</v>
      </c>
      <c r="EI75" s="0" t="n">
        <v>1000</v>
      </c>
      <c r="EJ75" s="0" t="n">
        <v>1000</v>
      </c>
      <c r="EL75" s="0" t="s">
        <v>3309</v>
      </c>
      <c r="EM75" s="0" t="s">
        <v>2929</v>
      </c>
      <c r="EN75" s="0" t="s">
        <v>2930</v>
      </c>
      <c r="EO75" s="0" t="n">
        <v>6.5</v>
      </c>
      <c r="EP75" s="0" t="s">
        <v>2552</v>
      </c>
      <c r="EQ75" s="0" t="s">
        <v>2920</v>
      </c>
      <c r="ER75" s="0" t="s">
        <v>2921</v>
      </c>
      <c r="ES75" s="0" t="n">
        <v>82610</v>
      </c>
      <c r="ET75" s="0" t="n">
        <v>109040</v>
      </c>
      <c r="EU75" s="0" t="n">
        <v>118950</v>
      </c>
      <c r="EV75" s="0" t="n">
        <v>118950</v>
      </c>
      <c r="HA75" s="0" t="s">
        <v>3310</v>
      </c>
      <c r="HB75" s="0" t="s">
        <v>85</v>
      </c>
      <c r="HC75" s="0" t="s">
        <v>2558</v>
      </c>
      <c r="HD75" s="0" t="s">
        <v>37</v>
      </c>
      <c r="HE75" s="0" t="n">
        <v>0</v>
      </c>
      <c r="HF75" s="0" t="n">
        <v>0</v>
      </c>
      <c r="HG75" s="0" t="n">
        <v>0</v>
      </c>
      <c r="HH75" s="0" t="n">
        <v>0</v>
      </c>
      <c r="HI75" s="0" t="n">
        <v>0</v>
      </c>
      <c r="HJ75" s="0" t="n">
        <v>0</v>
      </c>
    </row>
    <row r="76" customFormat="false" ht="15" hidden="false" customHeight="false" outlineLevel="0" collapsed="false">
      <c r="A76" s="0" t="s">
        <v>275</v>
      </c>
      <c r="B76" s="0" t="s">
        <v>273</v>
      </c>
      <c r="C76" s="0" t="s">
        <v>81</v>
      </c>
      <c r="D76" s="0" t="s">
        <v>274</v>
      </c>
      <c r="E76" s="0" t="s">
        <v>1750</v>
      </c>
      <c r="F76" s="0" t="s">
        <v>680</v>
      </c>
      <c r="G76" s="0" t="s">
        <v>680</v>
      </c>
      <c r="H76" s="0" t="s">
        <v>680</v>
      </c>
      <c r="I76" s="0" t="s">
        <v>1041</v>
      </c>
      <c r="CQ76" s="0" t="s">
        <v>3311</v>
      </c>
      <c r="CR76" s="0" t="s">
        <v>121</v>
      </c>
      <c r="CS76" s="0" t="s">
        <v>293</v>
      </c>
      <c r="CT76" s="0" t="s">
        <v>291</v>
      </c>
      <c r="CU76" s="0" t="s">
        <v>81</v>
      </c>
      <c r="CV76" s="0" t="s">
        <v>292</v>
      </c>
      <c r="CW76" s="0" t="n">
        <v>0</v>
      </c>
      <c r="DB76" s="0" t="n">
        <v>330</v>
      </c>
      <c r="DC76" s="0" t="n">
        <v>370</v>
      </c>
      <c r="DD76" s="0" t="n">
        <v>400</v>
      </c>
      <c r="DE76" s="0" t="n">
        <v>400</v>
      </c>
      <c r="DG76" s="0" t="s">
        <v>3312</v>
      </c>
      <c r="DH76" s="0" t="s">
        <v>82</v>
      </c>
      <c r="DI76" s="0" t="s">
        <v>1043</v>
      </c>
      <c r="DJ76" s="0" t="s">
        <v>1044</v>
      </c>
      <c r="DK76" s="0" t="s">
        <v>674</v>
      </c>
      <c r="DL76" s="0" t="n">
        <v>50</v>
      </c>
      <c r="DM76" s="0" t="s">
        <v>676</v>
      </c>
      <c r="DN76" s="0" t="s">
        <v>676</v>
      </c>
      <c r="DO76" s="0" t="n">
        <v>0</v>
      </c>
      <c r="DP76" s="0" t="n">
        <v>0</v>
      </c>
      <c r="DQ76" s="0" t="n">
        <v>4456.48</v>
      </c>
      <c r="DR76" s="0" t="s">
        <v>3313</v>
      </c>
      <c r="EB76" s="0" t="s">
        <v>3314</v>
      </c>
      <c r="EC76" s="0" t="s">
        <v>2970</v>
      </c>
      <c r="ED76" s="0" t="s">
        <v>2971</v>
      </c>
      <c r="EE76" s="0" t="s">
        <v>2699</v>
      </c>
      <c r="EF76" s="0" t="s">
        <v>2700</v>
      </c>
      <c r="EG76" s="0" t="n">
        <v>24000</v>
      </c>
      <c r="EH76" s="0" t="n">
        <v>24000</v>
      </c>
      <c r="EI76" s="0" t="n">
        <v>24000</v>
      </c>
      <c r="EJ76" s="0" t="n">
        <v>24000</v>
      </c>
      <c r="EL76" s="0" t="s">
        <v>3315</v>
      </c>
      <c r="EM76" s="0" t="s">
        <v>2929</v>
      </c>
      <c r="EN76" s="0" t="s">
        <v>2930</v>
      </c>
      <c r="EO76" s="0" t="n">
        <v>7</v>
      </c>
      <c r="EP76" s="0" t="s">
        <v>2528</v>
      </c>
      <c r="EQ76" s="0" t="s">
        <v>2935</v>
      </c>
      <c r="ER76" s="0" t="s">
        <v>2936</v>
      </c>
      <c r="ES76" s="0" t="n">
        <v>80990</v>
      </c>
      <c r="ET76" s="0" t="n">
        <v>89460</v>
      </c>
      <c r="EU76" s="0" t="n">
        <v>96660</v>
      </c>
      <c r="EV76" s="0" t="n">
        <v>96660</v>
      </c>
      <c r="HA76" s="0" t="s">
        <v>3316</v>
      </c>
      <c r="HB76" s="0" t="s">
        <v>85</v>
      </c>
      <c r="HC76" s="0" t="s">
        <v>2572</v>
      </c>
      <c r="HD76" s="0" t="s">
        <v>38</v>
      </c>
      <c r="HE76" s="0" t="n">
        <v>0</v>
      </c>
      <c r="HF76" s="0" t="n">
        <v>0</v>
      </c>
      <c r="HG76" s="0" t="n">
        <v>0</v>
      </c>
      <c r="HH76" s="0" t="n">
        <v>0</v>
      </c>
      <c r="HI76" s="0" t="n">
        <v>0</v>
      </c>
      <c r="HJ76" s="0" t="n">
        <v>0</v>
      </c>
    </row>
    <row r="77" customFormat="false" ht="15" hidden="false" customHeight="false" outlineLevel="0" collapsed="false">
      <c r="A77" s="0" t="s">
        <v>278</v>
      </c>
      <c r="B77" s="0" t="s">
        <v>276</v>
      </c>
      <c r="C77" s="0" t="s">
        <v>581</v>
      </c>
      <c r="D77" s="0" t="s">
        <v>277</v>
      </c>
      <c r="E77" s="0" t="s">
        <v>1750</v>
      </c>
      <c r="F77" s="0" t="s">
        <v>680</v>
      </c>
      <c r="G77" s="0" t="s">
        <v>680</v>
      </c>
      <c r="H77" s="0" t="s">
        <v>680</v>
      </c>
      <c r="I77" s="0" t="s">
        <v>2219</v>
      </c>
      <c r="CQ77" s="0" t="s">
        <v>3317</v>
      </c>
      <c r="CR77" s="0" t="s">
        <v>121</v>
      </c>
      <c r="CS77" s="0" t="s">
        <v>330</v>
      </c>
      <c r="CT77" s="0" t="s">
        <v>331</v>
      </c>
      <c r="CU77" s="0" t="s">
        <v>81</v>
      </c>
      <c r="CV77" s="0" t="s">
        <v>248</v>
      </c>
      <c r="CW77" s="0" t="n">
        <v>0</v>
      </c>
      <c r="DB77" s="0" t="n">
        <v>1050</v>
      </c>
      <c r="DC77" s="0" t="n">
        <v>1160</v>
      </c>
      <c r="DD77" s="0" t="n">
        <v>1250</v>
      </c>
      <c r="DE77" s="0" t="n">
        <v>1250</v>
      </c>
      <c r="DG77" s="0" t="s">
        <v>3318</v>
      </c>
      <c r="DH77" s="0" t="s">
        <v>82</v>
      </c>
      <c r="DI77" s="0" t="s">
        <v>1051</v>
      </c>
      <c r="DJ77" s="0" t="s">
        <v>1052</v>
      </c>
      <c r="DK77" s="0" t="s">
        <v>674</v>
      </c>
      <c r="DL77" s="0" t="n">
        <v>50</v>
      </c>
      <c r="DM77" s="0" t="s">
        <v>675</v>
      </c>
      <c r="DN77" s="0" t="s">
        <v>676</v>
      </c>
      <c r="DO77" s="0" t="n">
        <v>4</v>
      </c>
      <c r="DP77" s="0" t="n">
        <v>1443.76</v>
      </c>
      <c r="DQ77" s="0" t="n">
        <v>1443.76</v>
      </c>
      <c r="DR77" s="0" t="s">
        <v>3319</v>
      </c>
      <c r="EB77" s="0" t="s">
        <v>3320</v>
      </c>
      <c r="EC77" s="0" t="s">
        <v>2970</v>
      </c>
      <c r="EE77" s="0" t="s">
        <v>590</v>
      </c>
      <c r="EL77" s="0" t="s">
        <v>3321</v>
      </c>
      <c r="EM77" s="0" t="s">
        <v>2929</v>
      </c>
      <c r="EN77" s="0" t="s">
        <v>2930</v>
      </c>
      <c r="EO77" s="0" t="n">
        <v>7</v>
      </c>
      <c r="EP77" s="0" t="s">
        <v>2552</v>
      </c>
      <c r="EQ77" s="0" t="s">
        <v>2949</v>
      </c>
      <c r="ER77" s="0" t="s">
        <v>2950</v>
      </c>
      <c r="ES77" s="0" t="n">
        <v>84860</v>
      </c>
      <c r="ET77" s="0" t="n">
        <v>112010</v>
      </c>
      <c r="EU77" s="0" t="n">
        <v>122190</v>
      </c>
      <c r="EV77" s="0" t="n">
        <v>122190</v>
      </c>
      <c r="HA77" s="0" t="s">
        <v>3322</v>
      </c>
      <c r="HB77" s="0" t="s">
        <v>85</v>
      </c>
      <c r="HC77" s="0" t="s">
        <v>2586</v>
      </c>
      <c r="HD77" s="0" t="s">
        <v>39</v>
      </c>
      <c r="HE77" s="0" t="n">
        <v>0</v>
      </c>
      <c r="HF77" s="0" t="n">
        <v>0</v>
      </c>
      <c r="HG77" s="0" t="n">
        <v>0</v>
      </c>
      <c r="HH77" s="0" t="n">
        <v>0</v>
      </c>
      <c r="HI77" s="0" t="n">
        <v>0</v>
      </c>
      <c r="HJ77" s="0" t="n">
        <v>0</v>
      </c>
    </row>
    <row r="78" customFormat="false" ht="15" hidden="false" customHeight="false" outlineLevel="0" collapsed="false">
      <c r="A78" s="0" t="s">
        <v>280</v>
      </c>
      <c r="B78" s="0" t="s">
        <v>279</v>
      </c>
      <c r="C78" s="0" t="s">
        <v>81</v>
      </c>
      <c r="D78" s="0" t="s">
        <v>248</v>
      </c>
      <c r="E78" s="0" t="s">
        <v>1750</v>
      </c>
      <c r="F78" s="0" t="s">
        <v>680</v>
      </c>
      <c r="G78" s="0" t="s">
        <v>680</v>
      </c>
      <c r="H78" s="0" t="s">
        <v>680</v>
      </c>
      <c r="I78" s="0" t="s">
        <v>338</v>
      </c>
      <c r="CQ78" s="0" t="s">
        <v>3323</v>
      </c>
      <c r="CR78" s="0" t="s">
        <v>121</v>
      </c>
      <c r="CS78" s="0" t="s">
        <v>334</v>
      </c>
      <c r="CT78" s="0" t="s">
        <v>335</v>
      </c>
      <c r="CU78" s="0" t="s">
        <v>81</v>
      </c>
      <c r="CV78" s="0" t="s">
        <v>248</v>
      </c>
      <c r="CW78" s="0" t="n">
        <v>0</v>
      </c>
      <c r="DB78" s="0" t="n">
        <v>380</v>
      </c>
      <c r="DC78" s="0" t="n">
        <v>420</v>
      </c>
      <c r="DD78" s="0" t="n">
        <v>460</v>
      </c>
      <c r="DE78" s="0" t="n">
        <v>460</v>
      </c>
      <c r="DG78" s="0" t="s">
        <v>3324</v>
      </c>
      <c r="DH78" s="0" t="s">
        <v>82</v>
      </c>
      <c r="DI78" s="0" t="s">
        <v>1055</v>
      </c>
      <c r="DJ78" s="0" t="s">
        <v>1056</v>
      </c>
      <c r="DK78" s="0" t="s">
        <v>705</v>
      </c>
      <c r="DL78" s="0" t="n">
        <v>50</v>
      </c>
      <c r="DM78" s="0" t="s">
        <v>676</v>
      </c>
      <c r="DN78" s="0" t="s">
        <v>675</v>
      </c>
      <c r="DO78" s="0" t="n">
        <v>0</v>
      </c>
      <c r="DP78" s="0" t="n">
        <v>0</v>
      </c>
      <c r="DQ78" s="0" t="n">
        <v>243</v>
      </c>
      <c r="DR78" s="0" t="s">
        <v>3325</v>
      </c>
      <c r="EB78" s="0" t="s">
        <v>3326</v>
      </c>
      <c r="EC78" s="0" t="s">
        <v>2970</v>
      </c>
      <c r="ED78" s="0" t="s">
        <v>2971</v>
      </c>
      <c r="EE78" s="0" t="s">
        <v>588</v>
      </c>
      <c r="EF78" s="0" t="s">
        <v>2801</v>
      </c>
      <c r="EG78" s="0" t="n">
        <v>1</v>
      </c>
      <c r="EH78" s="0" t="n">
        <v>1</v>
      </c>
      <c r="EI78" s="0" t="n">
        <v>1</v>
      </c>
      <c r="EJ78" s="0" t="n">
        <v>1</v>
      </c>
      <c r="EL78" s="0" t="s">
        <v>3327</v>
      </c>
      <c r="EM78" s="0" t="s">
        <v>2929</v>
      </c>
      <c r="EN78" s="0" t="s">
        <v>2930</v>
      </c>
      <c r="EO78" s="0" t="n">
        <v>7.5</v>
      </c>
      <c r="EP78" s="0" t="s">
        <v>2528</v>
      </c>
      <c r="EQ78" s="0" t="s">
        <v>2961</v>
      </c>
      <c r="ER78" s="0" t="s">
        <v>2962</v>
      </c>
      <c r="ES78" s="0" t="n">
        <v>82550</v>
      </c>
      <c r="ET78" s="0" t="n">
        <v>91250</v>
      </c>
      <c r="EU78" s="0" t="n">
        <v>98540</v>
      </c>
      <c r="EV78" s="0" t="n">
        <v>98540</v>
      </c>
      <c r="HA78" s="0" t="s">
        <v>3328</v>
      </c>
      <c r="HB78" s="0" t="s">
        <v>85</v>
      </c>
      <c r="HC78" s="0" t="s">
        <v>2602</v>
      </c>
      <c r="HD78" s="0" t="s">
        <v>143</v>
      </c>
      <c r="HE78" s="0" t="n">
        <v>0</v>
      </c>
      <c r="HF78" s="0" t="n">
        <v>0</v>
      </c>
      <c r="HG78" s="0" t="n">
        <v>0</v>
      </c>
      <c r="HH78" s="0" t="n">
        <v>0</v>
      </c>
      <c r="HI78" s="0" t="n">
        <v>0</v>
      </c>
      <c r="HJ78" s="0" t="n">
        <v>0</v>
      </c>
    </row>
    <row r="79" customFormat="false" ht="15" hidden="false" customHeight="false" outlineLevel="0" collapsed="false">
      <c r="A79" s="0" t="s">
        <v>283</v>
      </c>
      <c r="B79" s="0" t="s">
        <v>281</v>
      </c>
      <c r="C79" s="0" t="s">
        <v>81</v>
      </c>
      <c r="D79" s="0" t="s">
        <v>282</v>
      </c>
      <c r="E79" s="0" t="s">
        <v>1557</v>
      </c>
      <c r="F79" s="0" t="s">
        <v>680</v>
      </c>
      <c r="G79" s="0" t="s">
        <v>680</v>
      </c>
      <c r="H79" s="0" t="s">
        <v>680</v>
      </c>
      <c r="I79" s="0" t="s">
        <v>2229</v>
      </c>
      <c r="CQ79" s="0" t="s">
        <v>3329</v>
      </c>
      <c r="CR79" s="0" t="s">
        <v>121</v>
      </c>
      <c r="CS79" s="0" t="s">
        <v>280</v>
      </c>
      <c r="CT79" s="0" t="s">
        <v>279</v>
      </c>
      <c r="CU79" s="0" t="s">
        <v>81</v>
      </c>
      <c r="CV79" s="0" t="s">
        <v>248</v>
      </c>
      <c r="CW79" s="0" t="n">
        <v>0</v>
      </c>
      <c r="DB79" s="0" t="n">
        <v>860</v>
      </c>
      <c r="DC79" s="0" t="n">
        <v>950</v>
      </c>
      <c r="DD79" s="0" t="n">
        <v>1020</v>
      </c>
      <c r="DE79" s="0" t="n">
        <v>1020</v>
      </c>
      <c r="DG79" s="0" t="s">
        <v>3330</v>
      </c>
      <c r="DH79" s="0" t="s">
        <v>82</v>
      </c>
      <c r="DI79" s="0" t="s">
        <v>1061</v>
      </c>
      <c r="DJ79" s="0" t="s">
        <v>1062</v>
      </c>
      <c r="DK79" s="0" t="s">
        <v>705</v>
      </c>
      <c r="DL79" s="0" t="n">
        <v>50</v>
      </c>
      <c r="DM79" s="0" t="s">
        <v>675</v>
      </c>
      <c r="DN79" s="0" t="s">
        <v>676</v>
      </c>
      <c r="DO79" s="0" t="n">
        <v>1</v>
      </c>
      <c r="DP79" s="0" t="n">
        <v>117</v>
      </c>
      <c r="DQ79" s="0" t="n">
        <v>117</v>
      </c>
      <c r="DR79" s="0" t="s">
        <v>3331</v>
      </c>
      <c r="EB79" s="0" t="s">
        <v>3332</v>
      </c>
      <c r="EC79" s="0" t="s">
        <v>2970</v>
      </c>
      <c r="ED79" s="0" t="s">
        <v>2971</v>
      </c>
      <c r="EE79" s="0" t="s">
        <v>586</v>
      </c>
      <c r="EF79" s="0" t="s">
        <v>2815</v>
      </c>
      <c r="EG79" s="0" t="n">
        <v>1</v>
      </c>
      <c r="EH79" s="0" t="n">
        <v>1</v>
      </c>
      <c r="EI79" s="0" t="n">
        <v>1</v>
      </c>
      <c r="EJ79" s="0" t="n">
        <v>1</v>
      </c>
      <c r="EL79" s="0" t="s">
        <v>3333</v>
      </c>
      <c r="EM79" s="0" t="s">
        <v>2929</v>
      </c>
      <c r="EN79" s="0" t="s">
        <v>2930</v>
      </c>
      <c r="EO79" s="0" t="n">
        <v>7.5</v>
      </c>
      <c r="EP79" s="0" t="s">
        <v>2552</v>
      </c>
      <c r="EQ79" s="0" t="s">
        <v>2975</v>
      </c>
      <c r="ER79" s="0" t="s">
        <v>2976</v>
      </c>
      <c r="ES79" s="0" t="n">
        <v>83340</v>
      </c>
      <c r="ET79" s="0" t="n">
        <v>90920</v>
      </c>
      <c r="EU79" s="0" t="n">
        <v>98490</v>
      </c>
      <c r="EV79" s="0" t="n">
        <v>106080</v>
      </c>
      <c r="HA79" s="0" t="s">
        <v>3334</v>
      </c>
      <c r="HB79" s="0" t="s">
        <v>85</v>
      </c>
      <c r="HC79" s="0" t="s">
        <v>2618</v>
      </c>
      <c r="HD79" s="0" t="s">
        <v>79</v>
      </c>
      <c r="HE79" s="0" t="n">
        <v>0</v>
      </c>
      <c r="HF79" s="0" t="n">
        <v>0</v>
      </c>
      <c r="HG79" s="0" t="n">
        <v>0</v>
      </c>
      <c r="HH79" s="0" t="n">
        <v>0</v>
      </c>
      <c r="HI79" s="0" t="n">
        <v>0</v>
      </c>
      <c r="HJ79" s="0" t="n">
        <v>0</v>
      </c>
    </row>
    <row r="80" customFormat="false" ht="15" hidden="false" customHeight="false" outlineLevel="0" collapsed="false">
      <c r="A80" s="0" t="s">
        <v>286</v>
      </c>
      <c r="B80" s="0" t="s">
        <v>284</v>
      </c>
      <c r="C80" s="0" t="s">
        <v>81</v>
      </c>
      <c r="D80" s="0" t="s">
        <v>285</v>
      </c>
      <c r="E80" s="0" t="s">
        <v>1750</v>
      </c>
      <c r="F80" s="0" t="s">
        <v>680</v>
      </c>
      <c r="G80" s="0" t="s">
        <v>680</v>
      </c>
      <c r="H80" s="0" t="s">
        <v>680</v>
      </c>
      <c r="I80" s="0" t="s">
        <v>2223</v>
      </c>
      <c r="CQ80" s="0" t="s">
        <v>3335</v>
      </c>
      <c r="CR80" s="0" t="s">
        <v>121</v>
      </c>
      <c r="CS80" s="0" t="s">
        <v>582</v>
      </c>
      <c r="CT80" s="0" t="s">
        <v>580</v>
      </c>
      <c r="CU80" s="0" t="s">
        <v>581</v>
      </c>
      <c r="CV80" s="0" t="s">
        <v>581</v>
      </c>
      <c r="CW80" s="0" t="n">
        <v>0</v>
      </c>
      <c r="DB80" s="0" t="n">
        <v>2030</v>
      </c>
      <c r="DC80" s="0" t="n">
        <v>2210</v>
      </c>
      <c r="DD80" s="0" t="n">
        <v>2380</v>
      </c>
      <c r="DE80" s="0" t="n">
        <v>2560</v>
      </c>
      <c r="DG80" s="0" t="s">
        <v>3336</v>
      </c>
      <c r="DH80" s="0" t="s">
        <v>82</v>
      </c>
      <c r="DI80" s="0" t="s">
        <v>1063</v>
      </c>
      <c r="DJ80" s="0" t="s">
        <v>1064</v>
      </c>
      <c r="DK80" s="0" t="s">
        <v>705</v>
      </c>
      <c r="DL80" s="0" t="n">
        <v>50</v>
      </c>
      <c r="DM80" s="0" t="s">
        <v>675</v>
      </c>
      <c r="DN80" s="0" t="s">
        <v>676</v>
      </c>
      <c r="DO80" s="0" t="n">
        <v>1</v>
      </c>
      <c r="DP80" s="0" t="n">
        <v>421</v>
      </c>
      <c r="DQ80" s="0" t="n">
        <v>421</v>
      </c>
      <c r="DR80" s="0" t="s">
        <v>3337</v>
      </c>
      <c r="EB80" s="0" t="s">
        <v>3338</v>
      </c>
      <c r="EC80" s="0" t="s">
        <v>2970</v>
      </c>
      <c r="EE80" s="0" t="s">
        <v>584</v>
      </c>
      <c r="EL80" s="0" t="s">
        <v>3339</v>
      </c>
      <c r="EM80" s="0" t="s">
        <v>2929</v>
      </c>
      <c r="EN80" s="0" t="s">
        <v>2930</v>
      </c>
      <c r="EO80" s="0" t="n">
        <v>8</v>
      </c>
      <c r="EP80" s="0" t="s">
        <v>2528</v>
      </c>
      <c r="EQ80" s="0" t="s">
        <v>2988</v>
      </c>
      <c r="ER80" s="0" t="s">
        <v>2989</v>
      </c>
      <c r="ES80" s="0" t="n">
        <v>83550</v>
      </c>
      <c r="ET80" s="0" t="n">
        <v>92330</v>
      </c>
      <c r="EU80" s="0" t="n">
        <v>99720</v>
      </c>
      <c r="EV80" s="0" t="n">
        <v>99720</v>
      </c>
      <c r="HA80" s="0" t="s">
        <v>3340</v>
      </c>
      <c r="HB80" s="0" t="s">
        <v>85</v>
      </c>
      <c r="HC80" s="0" t="s">
        <v>2637</v>
      </c>
      <c r="HD80" s="0" t="s">
        <v>144</v>
      </c>
      <c r="HE80" s="0" t="n">
        <v>0</v>
      </c>
      <c r="HF80" s="0" t="n">
        <v>0</v>
      </c>
      <c r="HG80" s="0" t="n">
        <v>0</v>
      </c>
      <c r="HH80" s="0" t="n">
        <v>0</v>
      </c>
      <c r="HI80" s="0" t="n">
        <v>0</v>
      </c>
      <c r="HJ80" s="0" t="n">
        <v>0</v>
      </c>
    </row>
    <row r="81" customFormat="false" ht="15" hidden="false" customHeight="false" outlineLevel="0" collapsed="false">
      <c r="A81" s="0" t="s">
        <v>288</v>
      </c>
      <c r="B81" s="0" t="s">
        <v>287</v>
      </c>
      <c r="C81" s="0" t="s">
        <v>81</v>
      </c>
      <c r="D81" s="0" t="s">
        <v>236</v>
      </c>
      <c r="E81" s="0" t="s">
        <v>1750</v>
      </c>
      <c r="F81" s="0" t="s">
        <v>680</v>
      </c>
      <c r="G81" s="0" t="s">
        <v>680</v>
      </c>
      <c r="H81" s="0" t="s">
        <v>680</v>
      </c>
      <c r="I81" s="0" t="s">
        <v>2245</v>
      </c>
      <c r="CQ81" s="0" t="s">
        <v>3341</v>
      </c>
      <c r="CR81" s="0" t="s">
        <v>121</v>
      </c>
      <c r="CS81" s="0" t="s">
        <v>264</v>
      </c>
      <c r="CT81" s="0" t="s">
        <v>262</v>
      </c>
      <c r="CU81" s="0" t="s">
        <v>2252</v>
      </c>
      <c r="CV81" s="0" t="s">
        <v>263</v>
      </c>
      <c r="CW81" s="0" t="n">
        <v>0</v>
      </c>
      <c r="DB81" s="0" t="n">
        <v>680</v>
      </c>
      <c r="DC81" s="0" t="n">
        <v>750</v>
      </c>
      <c r="DD81" s="0" t="n">
        <v>810</v>
      </c>
      <c r="DE81" s="0" t="n">
        <v>810</v>
      </c>
      <c r="DG81" s="0" t="s">
        <v>3342</v>
      </c>
      <c r="DH81" s="0" t="s">
        <v>82</v>
      </c>
      <c r="DI81" s="0" t="s">
        <v>1066</v>
      </c>
      <c r="DJ81" s="0" t="s">
        <v>1067</v>
      </c>
      <c r="DK81" s="0" t="s">
        <v>705</v>
      </c>
      <c r="DL81" s="0" t="n">
        <v>50</v>
      </c>
      <c r="DM81" s="0" t="s">
        <v>675</v>
      </c>
      <c r="DN81" s="0" t="s">
        <v>676</v>
      </c>
      <c r="DO81" s="0" t="n">
        <v>1</v>
      </c>
      <c r="DP81" s="0" t="n">
        <v>220</v>
      </c>
      <c r="DQ81" s="0" t="n">
        <v>220</v>
      </c>
      <c r="DR81" s="0" t="s">
        <v>3343</v>
      </c>
      <c r="EB81" s="0" t="s">
        <v>3344</v>
      </c>
      <c r="EC81" s="0" t="s">
        <v>2970</v>
      </c>
      <c r="EE81" s="0" t="s">
        <v>330</v>
      </c>
      <c r="EL81" s="0" t="s">
        <v>3345</v>
      </c>
      <c r="EM81" s="0" t="s">
        <v>2929</v>
      </c>
      <c r="EN81" s="0" t="s">
        <v>2930</v>
      </c>
      <c r="EO81" s="0" t="n">
        <v>8</v>
      </c>
      <c r="EP81" s="0" t="s">
        <v>2552</v>
      </c>
      <c r="EQ81" s="0" t="s">
        <v>3000</v>
      </c>
      <c r="ER81" s="0" t="s">
        <v>3001</v>
      </c>
      <c r="ES81" s="0" t="n">
        <v>87590</v>
      </c>
      <c r="ET81" s="0" t="n">
        <v>115610</v>
      </c>
      <c r="EU81" s="0" t="n">
        <v>126120</v>
      </c>
      <c r="EV81" s="0" t="n">
        <v>126120</v>
      </c>
      <c r="HA81" s="0" t="s">
        <v>3346</v>
      </c>
      <c r="HB81" s="0" t="s">
        <v>85</v>
      </c>
      <c r="HC81" s="0" t="s">
        <v>2652</v>
      </c>
      <c r="HD81" s="0" t="s">
        <v>81</v>
      </c>
      <c r="HE81" s="0" t="n">
        <v>0</v>
      </c>
      <c r="HF81" s="0" t="n">
        <v>0</v>
      </c>
      <c r="HG81" s="0" t="n">
        <v>0</v>
      </c>
      <c r="HH81" s="0" t="n">
        <v>0</v>
      </c>
      <c r="HI81" s="0" t="n">
        <v>0</v>
      </c>
      <c r="HJ81" s="0" t="n">
        <v>0</v>
      </c>
    </row>
    <row r="82" customFormat="false" ht="15" hidden="false" customHeight="false" outlineLevel="0" collapsed="false">
      <c r="A82" s="0" t="s">
        <v>290</v>
      </c>
      <c r="B82" s="0" t="s">
        <v>289</v>
      </c>
      <c r="C82" s="0" t="s">
        <v>81</v>
      </c>
      <c r="D82" s="0" t="s">
        <v>289</v>
      </c>
      <c r="E82" s="0" t="s">
        <v>1750</v>
      </c>
      <c r="F82" s="0" t="s">
        <v>680</v>
      </c>
      <c r="G82" s="0" t="s">
        <v>680</v>
      </c>
      <c r="H82" s="0" t="s">
        <v>680</v>
      </c>
      <c r="I82" s="0" t="s">
        <v>2217</v>
      </c>
      <c r="CQ82" s="0" t="s">
        <v>3347</v>
      </c>
      <c r="CR82" s="0" t="s">
        <v>121</v>
      </c>
      <c r="CS82" s="0" t="s">
        <v>612</v>
      </c>
      <c r="CT82" s="0" t="s">
        <v>2647</v>
      </c>
      <c r="CU82" s="0" t="s">
        <v>2939</v>
      </c>
      <c r="CV82" s="0" t="s">
        <v>277</v>
      </c>
      <c r="CW82" s="0" t="n">
        <v>0</v>
      </c>
      <c r="DB82" s="0" t="n">
        <v>740</v>
      </c>
      <c r="DC82" s="0" t="n">
        <v>820</v>
      </c>
      <c r="DD82" s="0" t="n">
        <v>880</v>
      </c>
      <c r="DE82" s="0" t="n">
        <v>880</v>
      </c>
      <c r="DG82" s="0" t="s">
        <v>3348</v>
      </c>
      <c r="DH82" s="0" t="s">
        <v>82</v>
      </c>
      <c r="DI82" s="0" t="s">
        <v>1069</v>
      </c>
      <c r="DJ82" s="0" t="s">
        <v>1070</v>
      </c>
      <c r="DK82" s="0" t="s">
        <v>705</v>
      </c>
      <c r="DL82" s="0" t="n">
        <v>50</v>
      </c>
      <c r="DM82" s="0" t="s">
        <v>676</v>
      </c>
      <c r="DN82" s="0" t="s">
        <v>675</v>
      </c>
      <c r="DO82" s="0" t="n">
        <v>0</v>
      </c>
      <c r="DP82" s="0" t="n">
        <v>0</v>
      </c>
      <c r="DQ82" s="0" t="n">
        <v>660</v>
      </c>
      <c r="DR82" s="0" t="s">
        <v>3349</v>
      </c>
      <c r="EB82" s="0" t="s">
        <v>3350</v>
      </c>
      <c r="EC82" s="0" t="s">
        <v>2970</v>
      </c>
      <c r="EE82" s="0" t="s">
        <v>334</v>
      </c>
      <c r="EL82" s="0" t="s">
        <v>3351</v>
      </c>
      <c r="EM82" s="0" t="s">
        <v>2609</v>
      </c>
      <c r="EN82" s="0" t="s">
        <v>2610</v>
      </c>
      <c r="EO82" s="0" t="n">
        <v>0.5</v>
      </c>
      <c r="EP82" s="0" t="s">
        <v>2528</v>
      </c>
      <c r="EQ82" s="0" t="s">
        <v>2529</v>
      </c>
      <c r="ER82" s="0" t="s">
        <v>2530</v>
      </c>
      <c r="ES82" s="0" t="n">
        <v>4000</v>
      </c>
      <c r="ET82" s="0" t="n">
        <v>4000</v>
      </c>
      <c r="EU82" s="0" t="n">
        <v>4000</v>
      </c>
      <c r="EV82" s="0" t="n">
        <v>4000</v>
      </c>
      <c r="HA82" s="0" t="s">
        <v>3352</v>
      </c>
      <c r="HB82" s="0" t="s">
        <v>85</v>
      </c>
      <c r="HC82" s="0" t="s">
        <v>2669</v>
      </c>
      <c r="HD82" s="0" t="s">
        <v>88</v>
      </c>
      <c r="HE82" s="0" t="n">
        <v>0</v>
      </c>
      <c r="HF82" s="0" t="n">
        <v>0</v>
      </c>
      <c r="HG82" s="0" t="n">
        <v>0</v>
      </c>
      <c r="HH82" s="0" t="n">
        <v>0</v>
      </c>
      <c r="HI82" s="0" t="n">
        <v>0</v>
      </c>
      <c r="HJ82" s="0" t="n">
        <v>0</v>
      </c>
    </row>
    <row r="83" customFormat="false" ht="15" hidden="false" customHeight="false" outlineLevel="0" collapsed="false">
      <c r="A83" s="0" t="s">
        <v>293</v>
      </c>
      <c r="B83" s="0" t="s">
        <v>291</v>
      </c>
      <c r="C83" s="0" t="s">
        <v>81</v>
      </c>
      <c r="D83" s="0" t="s">
        <v>292</v>
      </c>
      <c r="E83" s="0" t="s">
        <v>1750</v>
      </c>
      <c r="F83" s="0" t="s">
        <v>680</v>
      </c>
      <c r="G83" s="0" t="s">
        <v>680</v>
      </c>
      <c r="H83" s="0" t="s">
        <v>680</v>
      </c>
      <c r="I83" s="0" t="s">
        <v>336</v>
      </c>
      <c r="CQ83" s="0" t="s">
        <v>3353</v>
      </c>
      <c r="CR83" s="0" t="s">
        <v>121</v>
      </c>
      <c r="CS83" s="0" t="s">
        <v>278</v>
      </c>
      <c r="CT83" s="0" t="s">
        <v>276</v>
      </c>
      <c r="CU83" s="0" t="s">
        <v>581</v>
      </c>
      <c r="CV83" s="0" t="s">
        <v>277</v>
      </c>
      <c r="CW83" s="0" t="n">
        <v>0</v>
      </c>
      <c r="DB83" s="0" t="n">
        <v>930</v>
      </c>
      <c r="DC83" s="0" t="n">
        <v>1030</v>
      </c>
      <c r="DD83" s="0" t="n">
        <v>1110</v>
      </c>
      <c r="DE83" s="0" t="n">
        <v>1110</v>
      </c>
      <c r="DG83" s="0" t="s">
        <v>3354</v>
      </c>
      <c r="DH83" s="0" t="s">
        <v>82</v>
      </c>
      <c r="DI83" s="0" t="s">
        <v>1072</v>
      </c>
      <c r="DJ83" s="0" t="s">
        <v>1073</v>
      </c>
      <c r="DK83" s="0" t="s">
        <v>674</v>
      </c>
      <c r="DL83" s="0" t="n">
        <v>46.15</v>
      </c>
      <c r="DM83" s="0" t="s">
        <v>675</v>
      </c>
      <c r="DN83" s="0" t="s">
        <v>676</v>
      </c>
      <c r="DO83" s="0" t="n">
        <v>1</v>
      </c>
      <c r="DP83" s="0" t="n">
        <v>847.05</v>
      </c>
      <c r="DQ83" s="0" t="n">
        <v>847.05</v>
      </c>
      <c r="DR83" s="0" t="s">
        <v>3355</v>
      </c>
      <c r="EB83" s="0" t="s">
        <v>3356</v>
      </c>
      <c r="EC83" s="0" t="s">
        <v>2970</v>
      </c>
      <c r="EE83" s="0" t="s">
        <v>582</v>
      </c>
      <c r="EL83" s="0" t="s">
        <v>3357</v>
      </c>
      <c r="EM83" s="0" t="s">
        <v>2609</v>
      </c>
      <c r="EN83" s="0" t="s">
        <v>2610</v>
      </c>
      <c r="EO83" s="0" t="n">
        <v>1</v>
      </c>
      <c r="EP83" s="0" t="s">
        <v>2528</v>
      </c>
      <c r="EQ83" s="0" t="s">
        <v>2569</v>
      </c>
      <c r="ER83" s="0" t="s">
        <v>2570</v>
      </c>
      <c r="ES83" s="0" t="n">
        <v>8000</v>
      </c>
      <c r="ET83" s="0" t="n">
        <v>8000</v>
      </c>
      <c r="EU83" s="0" t="n">
        <v>8000</v>
      </c>
      <c r="EV83" s="0" t="n">
        <v>8000</v>
      </c>
      <c r="HA83" s="0" t="s">
        <v>3358</v>
      </c>
      <c r="HB83" s="0" t="s">
        <v>85</v>
      </c>
      <c r="HC83" s="0" t="s">
        <v>2686</v>
      </c>
      <c r="HD83" s="0" t="s">
        <v>90</v>
      </c>
      <c r="HE83" s="0" t="n">
        <v>0</v>
      </c>
      <c r="HF83" s="0" t="n">
        <v>0</v>
      </c>
      <c r="HG83" s="0" t="n">
        <v>0</v>
      </c>
      <c r="HH83" s="0" t="n">
        <v>0</v>
      </c>
      <c r="HI83" s="0" t="n">
        <v>0</v>
      </c>
      <c r="HJ83" s="0" t="n">
        <v>0</v>
      </c>
    </row>
    <row r="84" customFormat="false" ht="15" hidden="false" customHeight="false" outlineLevel="0" collapsed="false">
      <c r="A84" s="0" t="s">
        <v>296</v>
      </c>
      <c r="B84" s="0" t="s">
        <v>294</v>
      </c>
      <c r="C84" s="0" t="s">
        <v>2267</v>
      </c>
      <c r="D84" s="0" t="s">
        <v>295</v>
      </c>
      <c r="E84" s="0" t="s">
        <v>1557</v>
      </c>
      <c r="F84" s="0" t="s">
        <v>680</v>
      </c>
      <c r="G84" s="0" t="s">
        <v>680</v>
      </c>
      <c r="H84" s="0" t="s">
        <v>680</v>
      </c>
      <c r="I84" s="0" t="s">
        <v>1189</v>
      </c>
      <c r="CQ84" s="0" t="s">
        <v>3359</v>
      </c>
      <c r="CR84" s="0" t="s">
        <v>121</v>
      </c>
      <c r="CS84" s="0" t="s">
        <v>616</v>
      </c>
      <c r="CT84" s="0" t="s">
        <v>2612</v>
      </c>
      <c r="CU84" s="0" t="s">
        <v>90</v>
      </c>
      <c r="CV84" s="0" t="s">
        <v>289</v>
      </c>
      <c r="CW84" s="0" t="n">
        <v>0</v>
      </c>
      <c r="DB84" s="0" t="n">
        <v>480</v>
      </c>
      <c r="DC84" s="0" t="n">
        <v>530</v>
      </c>
      <c r="DD84" s="0" t="n">
        <v>570</v>
      </c>
      <c r="DE84" s="0" t="n">
        <v>570</v>
      </c>
      <c r="DG84" s="0" t="s">
        <v>3360</v>
      </c>
      <c r="DH84" s="0" t="s">
        <v>82</v>
      </c>
      <c r="DI84" s="0" t="s">
        <v>1079</v>
      </c>
      <c r="DJ84" s="0" t="s">
        <v>1080</v>
      </c>
      <c r="DK84" s="0" t="s">
        <v>705</v>
      </c>
      <c r="DL84" s="0" t="n">
        <v>46.15</v>
      </c>
      <c r="DM84" s="0" t="s">
        <v>676</v>
      </c>
      <c r="DN84" s="0" t="s">
        <v>676</v>
      </c>
      <c r="DO84" s="0" t="n">
        <v>1</v>
      </c>
      <c r="DP84" s="0" t="n">
        <v>327</v>
      </c>
      <c r="DQ84" s="0" t="n">
        <v>327</v>
      </c>
      <c r="DR84" s="0" t="s">
        <v>3361</v>
      </c>
      <c r="EB84" s="0" t="s">
        <v>3362</v>
      </c>
      <c r="EC84" s="0" t="s">
        <v>2970</v>
      </c>
      <c r="ED84" s="0" t="s">
        <v>2971</v>
      </c>
      <c r="EE84" s="0" t="s">
        <v>579</v>
      </c>
      <c r="EF84" s="0" t="s">
        <v>2889</v>
      </c>
      <c r="EG84" s="0" t="n">
        <v>1510</v>
      </c>
      <c r="EH84" s="0" t="n">
        <v>1510</v>
      </c>
      <c r="EI84" s="0" t="n">
        <v>1510</v>
      </c>
      <c r="EJ84" s="0" t="n">
        <v>1510</v>
      </c>
      <c r="EL84" s="0" t="s">
        <v>3363</v>
      </c>
      <c r="EM84" s="0" t="s">
        <v>2609</v>
      </c>
      <c r="EN84" s="0" t="s">
        <v>2610</v>
      </c>
      <c r="EO84" s="0" t="n">
        <v>1.5</v>
      </c>
      <c r="EP84" s="0" t="s">
        <v>2528</v>
      </c>
      <c r="EQ84" s="0" t="s">
        <v>2598</v>
      </c>
      <c r="ER84" s="0" t="s">
        <v>2599</v>
      </c>
      <c r="ES84" s="0" t="n">
        <v>12000</v>
      </c>
      <c r="ET84" s="0" t="n">
        <v>12000</v>
      </c>
      <c r="EU84" s="0" t="n">
        <v>12000</v>
      </c>
      <c r="EV84" s="0" t="n">
        <v>12000</v>
      </c>
      <c r="HA84" s="0" t="s">
        <v>3364</v>
      </c>
      <c r="HB84" s="0" t="s">
        <v>85</v>
      </c>
      <c r="HC84" s="0" t="s">
        <v>2702</v>
      </c>
      <c r="HD84" s="0" t="s">
        <v>99</v>
      </c>
      <c r="HE84" s="0" t="n">
        <v>0</v>
      </c>
      <c r="HF84" s="0" t="n">
        <v>0</v>
      </c>
      <c r="HG84" s="0" t="n">
        <v>0</v>
      </c>
      <c r="HH84" s="0" t="n">
        <v>0</v>
      </c>
      <c r="HI84" s="0" t="n">
        <v>0</v>
      </c>
      <c r="HJ84" s="0" t="n">
        <v>0</v>
      </c>
    </row>
    <row r="85" customFormat="false" ht="15" hidden="false" customHeight="false" outlineLevel="0" collapsed="false">
      <c r="A85" s="0" t="s">
        <v>298</v>
      </c>
      <c r="B85" s="0" t="s">
        <v>297</v>
      </c>
      <c r="C85" s="0" t="s">
        <v>81</v>
      </c>
      <c r="D85" s="0" t="s">
        <v>274</v>
      </c>
      <c r="E85" s="0" t="s">
        <v>1557</v>
      </c>
      <c r="F85" s="0" t="s">
        <v>680</v>
      </c>
      <c r="G85" s="0" t="s">
        <v>680</v>
      </c>
      <c r="H85" s="0" t="s">
        <v>680</v>
      </c>
      <c r="I85" s="0" t="s">
        <v>2220</v>
      </c>
      <c r="CQ85" s="0" t="s">
        <v>3365</v>
      </c>
      <c r="CR85" s="0" t="s">
        <v>121</v>
      </c>
      <c r="CS85" s="0" t="s">
        <v>614</v>
      </c>
      <c r="CT85" s="0" t="s">
        <v>2628</v>
      </c>
      <c r="CU85" s="0" t="s">
        <v>90</v>
      </c>
      <c r="CV85" s="0" t="s">
        <v>2979</v>
      </c>
      <c r="CW85" s="0" t="n">
        <v>0</v>
      </c>
      <c r="DB85" s="0" t="n">
        <v>980</v>
      </c>
      <c r="DC85" s="0" t="n">
        <v>1080</v>
      </c>
      <c r="DD85" s="0" t="n">
        <v>1170</v>
      </c>
      <c r="DE85" s="0" t="n">
        <v>1170</v>
      </c>
      <c r="DG85" s="0" t="s">
        <v>3366</v>
      </c>
      <c r="DH85" s="0" t="s">
        <v>82</v>
      </c>
      <c r="DI85" s="0" t="s">
        <v>1082</v>
      </c>
      <c r="DJ85" s="0" t="s">
        <v>1083</v>
      </c>
      <c r="DK85" s="0" t="s">
        <v>705</v>
      </c>
      <c r="DL85" s="0" t="n">
        <v>46.15</v>
      </c>
      <c r="DM85" s="0" t="s">
        <v>675</v>
      </c>
      <c r="DN85" s="0" t="s">
        <v>676</v>
      </c>
      <c r="DO85" s="0" t="n">
        <v>3.5</v>
      </c>
      <c r="DP85" s="0" t="n">
        <v>357</v>
      </c>
      <c r="DQ85" s="0" t="n">
        <v>357</v>
      </c>
      <c r="DR85" s="0" t="s">
        <v>3367</v>
      </c>
      <c r="EB85" s="0" t="s">
        <v>3368</v>
      </c>
      <c r="EC85" s="0" t="s">
        <v>2970</v>
      </c>
      <c r="ED85" s="0" t="s">
        <v>2971</v>
      </c>
      <c r="EE85" s="0" t="s">
        <v>575</v>
      </c>
      <c r="EF85" s="0" t="s">
        <v>573</v>
      </c>
      <c r="EG85" s="0" t="n">
        <v>1</v>
      </c>
      <c r="EH85" s="0" t="n">
        <v>1</v>
      </c>
      <c r="EI85" s="0" t="n">
        <v>1</v>
      </c>
      <c r="EJ85" s="0" t="n">
        <v>1</v>
      </c>
      <c r="EL85" s="0" t="s">
        <v>3369</v>
      </c>
      <c r="EM85" s="0" t="s">
        <v>2609</v>
      </c>
      <c r="EN85" s="0" t="s">
        <v>2610</v>
      </c>
      <c r="EO85" s="0" t="n">
        <v>2</v>
      </c>
      <c r="EP85" s="0" t="s">
        <v>2528</v>
      </c>
      <c r="EQ85" s="0" t="s">
        <v>2630</v>
      </c>
      <c r="ER85" s="0" t="s">
        <v>2631</v>
      </c>
      <c r="ES85" s="0" t="n">
        <v>16000</v>
      </c>
      <c r="ET85" s="0" t="n">
        <v>16000</v>
      </c>
      <c r="EU85" s="0" t="n">
        <v>16000</v>
      </c>
      <c r="EV85" s="0" t="n">
        <v>16000</v>
      </c>
      <c r="HA85" s="0" t="s">
        <v>3370</v>
      </c>
      <c r="HB85" s="0" t="s">
        <v>85</v>
      </c>
      <c r="HC85" s="0" t="s">
        <v>2687</v>
      </c>
      <c r="HD85" s="0" t="s">
        <v>145</v>
      </c>
      <c r="HE85" s="0" t="n">
        <v>0</v>
      </c>
      <c r="HF85" s="0" t="n">
        <v>0</v>
      </c>
      <c r="HG85" s="0" t="n">
        <v>0</v>
      </c>
      <c r="HH85" s="0" t="n">
        <v>0</v>
      </c>
      <c r="HI85" s="0" t="n">
        <v>0</v>
      </c>
      <c r="HJ85" s="0" t="n">
        <v>0</v>
      </c>
    </row>
    <row r="86" customFormat="false" ht="15" hidden="false" customHeight="false" outlineLevel="0" collapsed="false">
      <c r="CQ86" s="0" t="s">
        <v>3371</v>
      </c>
      <c r="CR86" s="0" t="s">
        <v>121</v>
      </c>
      <c r="CS86" s="0" t="s">
        <v>240</v>
      </c>
      <c r="CT86" s="0" t="s">
        <v>238</v>
      </c>
      <c r="CU86" s="0" t="s">
        <v>90</v>
      </c>
      <c r="CV86" s="0" t="s">
        <v>239</v>
      </c>
      <c r="CW86" s="0" t="n">
        <v>0</v>
      </c>
      <c r="DB86" s="0" t="n">
        <v>3620</v>
      </c>
      <c r="DC86" s="0" t="n">
        <v>3620</v>
      </c>
      <c r="DD86" s="0" t="n">
        <v>3620</v>
      </c>
      <c r="DE86" s="0" t="n">
        <v>3620</v>
      </c>
      <c r="DG86" s="0" t="s">
        <v>3372</v>
      </c>
      <c r="DH86" s="0" t="s">
        <v>82</v>
      </c>
      <c r="DI86" s="0" t="s">
        <v>1085</v>
      </c>
      <c r="DJ86" s="0" t="s">
        <v>1086</v>
      </c>
      <c r="DK86" s="0" t="s">
        <v>674</v>
      </c>
      <c r="DL86" s="0" t="n">
        <v>42.31</v>
      </c>
      <c r="DM86" s="0" t="s">
        <v>676</v>
      </c>
      <c r="DN86" s="0" t="s">
        <v>675</v>
      </c>
      <c r="DO86" s="0" t="n">
        <v>0</v>
      </c>
      <c r="DP86" s="0" t="n">
        <v>0</v>
      </c>
      <c r="DQ86" s="0" t="n">
        <v>3.14</v>
      </c>
      <c r="DR86" s="0" t="s">
        <v>3373</v>
      </c>
      <c r="EB86" s="0" t="s">
        <v>3374</v>
      </c>
      <c r="EC86" s="0" t="s">
        <v>2970</v>
      </c>
      <c r="ED86" s="0" t="s">
        <v>2971</v>
      </c>
      <c r="EE86" s="0" t="s">
        <v>2917</v>
      </c>
      <c r="EF86" s="0" t="s">
        <v>3375</v>
      </c>
      <c r="EG86" s="0" t="n">
        <v>1750</v>
      </c>
      <c r="EH86" s="0" t="n">
        <v>1750</v>
      </c>
      <c r="EI86" s="0" t="n">
        <v>1750</v>
      </c>
      <c r="EJ86" s="0" t="n">
        <v>1750</v>
      </c>
      <c r="EL86" s="0" t="s">
        <v>3376</v>
      </c>
      <c r="EM86" s="0" t="s">
        <v>2609</v>
      </c>
      <c r="EN86" s="0" t="s">
        <v>2610</v>
      </c>
      <c r="EO86" s="0" t="n">
        <v>2.5</v>
      </c>
      <c r="EP86" s="0" t="s">
        <v>2528</v>
      </c>
      <c r="EQ86" s="0" t="s">
        <v>2665</v>
      </c>
      <c r="ER86" s="0" t="s">
        <v>2666</v>
      </c>
      <c r="ES86" s="0" t="n">
        <v>20000</v>
      </c>
      <c r="ET86" s="0" t="n">
        <v>20000</v>
      </c>
      <c r="EU86" s="0" t="n">
        <v>20000</v>
      </c>
      <c r="EV86" s="0" t="n">
        <v>20000</v>
      </c>
      <c r="HA86" s="0" t="s">
        <v>3377</v>
      </c>
      <c r="HB86" s="0" t="s">
        <v>85</v>
      </c>
      <c r="HC86" s="0" t="s">
        <v>2736</v>
      </c>
      <c r="HD86" s="0" t="s">
        <v>89</v>
      </c>
      <c r="HE86" s="0" t="n">
        <v>0</v>
      </c>
      <c r="HF86" s="0" t="n">
        <v>0</v>
      </c>
      <c r="HG86" s="0" t="n">
        <v>0</v>
      </c>
      <c r="HH86" s="0" t="n">
        <v>0</v>
      </c>
      <c r="HI86" s="0" t="n">
        <v>0</v>
      </c>
      <c r="HJ86" s="0" t="n">
        <v>0</v>
      </c>
    </row>
    <row r="87" customFormat="false" ht="15" hidden="false" customHeight="false" outlineLevel="0" collapsed="false">
      <c r="A87" s="5" t="s">
        <v>3378</v>
      </c>
      <c r="CQ87" s="0" t="s">
        <v>3379</v>
      </c>
      <c r="CR87" s="0" t="s">
        <v>121</v>
      </c>
      <c r="CS87" s="0" t="s">
        <v>609</v>
      </c>
      <c r="CT87" s="0" t="s">
        <v>2663</v>
      </c>
      <c r="CU87" s="0" t="s">
        <v>90</v>
      </c>
      <c r="CV87" s="0" t="s">
        <v>239</v>
      </c>
      <c r="CW87" s="0" t="n">
        <v>0</v>
      </c>
      <c r="DB87" s="0" t="n">
        <v>350</v>
      </c>
      <c r="DC87" s="0" t="n">
        <v>350</v>
      </c>
      <c r="DD87" s="0" t="n">
        <v>350</v>
      </c>
      <c r="DE87" s="0" t="n">
        <v>350</v>
      </c>
      <c r="DG87" s="0" t="s">
        <v>3380</v>
      </c>
      <c r="DH87" s="0" t="s">
        <v>82</v>
      </c>
      <c r="DI87" s="0" t="s">
        <v>1090</v>
      </c>
      <c r="DJ87" s="0" t="s">
        <v>1091</v>
      </c>
      <c r="DK87" s="0" t="s">
        <v>674</v>
      </c>
      <c r="DL87" s="0" t="n">
        <v>42.31</v>
      </c>
      <c r="DM87" s="0" t="s">
        <v>676</v>
      </c>
      <c r="DN87" s="0" t="s">
        <v>675</v>
      </c>
      <c r="DO87" s="0" t="n">
        <v>0</v>
      </c>
      <c r="DP87" s="0" t="n">
        <v>0</v>
      </c>
      <c r="DQ87" s="0" t="n">
        <v>70</v>
      </c>
      <c r="DR87" s="0" t="s">
        <v>3381</v>
      </c>
      <c r="EB87" s="0" t="s">
        <v>3382</v>
      </c>
      <c r="EC87" s="0" t="s">
        <v>2970</v>
      </c>
      <c r="ED87" s="0" t="s">
        <v>2971</v>
      </c>
      <c r="EE87" s="0" t="s">
        <v>2932</v>
      </c>
      <c r="EF87" s="0" t="s">
        <v>3383</v>
      </c>
      <c r="EG87" s="0" t="n">
        <v>3750</v>
      </c>
      <c r="EH87" s="0" t="n">
        <v>3750</v>
      </c>
      <c r="EI87" s="0" t="n">
        <v>3750</v>
      </c>
      <c r="EJ87" s="0" t="n">
        <v>3750</v>
      </c>
      <c r="EL87" s="0" t="s">
        <v>3384</v>
      </c>
      <c r="EM87" s="0" t="s">
        <v>2609</v>
      </c>
      <c r="EN87" s="0" t="s">
        <v>2610</v>
      </c>
      <c r="EO87" s="0" t="n">
        <v>3</v>
      </c>
      <c r="EP87" s="0" t="s">
        <v>2528</v>
      </c>
      <c r="EQ87" s="0" t="s">
        <v>2699</v>
      </c>
      <c r="ER87" s="0" t="s">
        <v>2700</v>
      </c>
      <c r="ES87" s="0" t="n">
        <v>24000</v>
      </c>
      <c r="ET87" s="0" t="n">
        <v>24000</v>
      </c>
      <c r="EU87" s="0" t="n">
        <v>24000</v>
      </c>
      <c r="EV87" s="0" t="n">
        <v>24000</v>
      </c>
      <c r="HA87" s="0" t="s">
        <v>3385</v>
      </c>
      <c r="HB87" s="0" t="s">
        <v>85</v>
      </c>
      <c r="HC87" s="0" t="s">
        <v>2703</v>
      </c>
      <c r="HD87" s="0" t="s">
        <v>146</v>
      </c>
      <c r="HE87" s="0" t="n">
        <v>0</v>
      </c>
      <c r="HF87" s="0" t="n">
        <v>0</v>
      </c>
      <c r="HG87" s="0" t="n">
        <v>0</v>
      </c>
      <c r="HH87" s="0" t="n">
        <v>0</v>
      </c>
      <c r="HI87" s="0" t="n">
        <v>0</v>
      </c>
      <c r="HJ87" s="0" t="n">
        <v>0</v>
      </c>
    </row>
    <row r="88" customFormat="false" ht="15" hidden="false" customHeight="false" outlineLevel="0" collapsed="false">
      <c r="A88" s="15" t="s">
        <v>2437</v>
      </c>
      <c r="B88" s="15" t="s">
        <v>2438</v>
      </c>
      <c r="C88" s="15" t="s">
        <v>2464</v>
      </c>
      <c r="D88" s="15" t="s">
        <v>2465</v>
      </c>
      <c r="E88" s="15" t="s">
        <v>2466</v>
      </c>
      <c r="F88" s="15" t="s">
        <v>2467</v>
      </c>
      <c r="CQ88" s="0" t="s">
        <v>3386</v>
      </c>
      <c r="CR88" s="0" t="s">
        <v>121</v>
      </c>
      <c r="CS88" s="0" t="s">
        <v>252</v>
      </c>
      <c r="CT88" s="0" t="s">
        <v>250</v>
      </c>
      <c r="CU88" s="0" t="s">
        <v>90</v>
      </c>
      <c r="CV88" s="0" t="s">
        <v>251</v>
      </c>
      <c r="CW88" s="0" t="n">
        <v>0</v>
      </c>
      <c r="DB88" s="0" t="n">
        <v>890</v>
      </c>
      <c r="DC88" s="0" t="n">
        <v>890</v>
      </c>
      <c r="DD88" s="0" t="n">
        <v>890</v>
      </c>
      <c r="DE88" s="0" t="n">
        <v>890</v>
      </c>
      <c r="DG88" s="0" t="s">
        <v>3387</v>
      </c>
      <c r="DH88" s="0" t="s">
        <v>82</v>
      </c>
      <c r="DJ88" s="0" t="s">
        <v>745</v>
      </c>
      <c r="DK88" s="0" t="s">
        <v>705</v>
      </c>
      <c r="DL88" s="0" t="n">
        <v>42.31</v>
      </c>
      <c r="DM88" s="0" t="s">
        <v>675</v>
      </c>
      <c r="DN88" s="0" t="s">
        <v>675</v>
      </c>
      <c r="DO88" s="0" t="n">
        <v>0</v>
      </c>
      <c r="DP88" s="0" t="n">
        <v>0</v>
      </c>
      <c r="DQ88" s="0" t="n">
        <v>0</v>
      </c>
      <c r="DR88" s="0" t="s">
        <v>2754</v>
      </c>
      <c r="EB88" s="0" t="s">
        <v>3388</v>
      </c>
      <c r="EC88" s="0" t="s">
        <v>2970</v>
      </c>
      <c r="ED88" s="0" t="s">
        <v>2971</v>
      </c>
      <c r="EE88" s="0" t="s">
        <v>2946</v>
      </c>
      <c r="EF88" s="0" t="s">
        <v>3389</v>
      </c>
      <c r="EG88" s="0" t="n">
        <v>5000</v>
      </c>
      <c r="EH88" s="0" t="n">
        <v>5000</v>
      </c>
      <c r="EI88" s="0" t="n">
        <v>5000</v>
      </c>
      <c r="EJ88" s="0" t="n">
        <v>5000</v>
      </c>
      <c r="EL88" s="0" t="s">
        <v>3390</v>
      </c>
      <c r="EM88" s="0" t="s">
        <v>2609</v>
      </c>
      <c r="EN88" s="0" t="s">
        <v>2610</v>
      </c>
      <c r="EO88" s="0" t="n">
        <v>3.5</v>
      </c>
      <c r="EP88" s="0" t="s">
        <v>2528</v>
      </c>
      <c r="EQ88" s="0" t="s">
        <v>2730</v>
      </c>
      <c r="ER88" s="0" t="s">
        <v>2731</v>
      </c>
      <c r="ES88" s="0" t="n">
        <v>28000</v>
      </c>
      <c r="ET88" s="0" t="n">
        <v>28000</v>
      </c>
      <c r="EU88" s="0" t="n">
        <v>28000</v>
      </c>
      <c r="EV88" s="0" t="n">
        <v>28000</v>
      </c>
      <c r="HA88" s="0" t="s">
        <v>3391</v>
      </c>
      <c r="HB88" s="0" t="s">
        <v>85</v>
      </c>
      <c r="HC88" s="0" t="s">
        <v>2764</v>
      </c>
      <c r="HD88" s="0" t="s">
        <v>92</v>
      </c>
      <c r="HE88" s="0" t="n">
        <v>0</v>
      </c>
      <c r="HF88" s="0" t="n">
        <v>0</v>
      </c>
      <c r="HG88" s="0" t="n">
        <v>0</v>
      </c>
      <c r="HH88" s="0" t="n">
        <v>0</v>
      </c>
      <c r="HI88" s="0" t="n">
        <v>0</v>
      </c>
      <c r="HJ88" s="0" t="n">
        <v>0</v>
      </c>
    </row>
    <row r="89" customFormat="false" ht="15" hidden="false" customHeight="false" outlineLevel="0" collapsed="false">
      <c r="A89" s="0" t="s">
        <v>264</v>
      </c>
      <c r="B89" s="0" t="s">
        <v>262</v>
      </c>
      <c r="C89" s="0" t="n">
        <v>680</v>
      </c>
      <c r="D89" s="0" t="n">
        <v>750</v>
      </c>
      <c r="E89" s="0" t="n">
        <v>810</v>
      </c>
      <c r="F89" s="0" t="n">
        <v>810</v>
      </c>
      <c r="CQ89" s="0" t="s">
        <v>3392</v>
      </c>
      <c r="CR89" s="0" t="s">
        <v>121</v>
      </c>
      <c r="CS89" s="0" t="s">
        <v>607</v>
      </c>
      <c r="CT89" s="0" t="s">
        <v>2680</v>
      </c>
      <c r="CU89" s="0" t="s">
        <v>90</v>
      </c>
      <c r="CV89" s="0" t="s">
        <v>242</v>
      </c>
      <c r="CW89" s="0" t="n">
        <v>0</v>
      </c>
      <c r="DB89" s="0" t="n">
        <v>850</v>
      </c>
      <c r="DC89" s="0" t="n">
        <v>850</v>
      </c>
      <c r="DD89" s="0" t="n">
        <v>850</v>
      </c>
      <c r="DE89" s="0" t="n">
        <v>850</v>
      </c>
      <c r="DG89" s="0" t="s">
        <v>3393</v>
      </c>
      <c r="DH89" s="0" t="s">
        <v>82</v>
      </c>
      <c r="DJ89" s="0" t="s">
        <v>795</v>
      </c>
      <c r="DK89" s="0" t="s">
        <v>705</v>
      </c>
      <c r="DL89" s="0" t="n">
        <v>42.31</v>
      </c>
      <c r="DM89" s="0" t="s">
        <v>675</v>
      </c>
      <c r="DN89" s="0" t="s">
        <v>675</v>
      </c>
      <c r="DO89" s="0" t="n">
        <v>0</v>
      </c>
      <c r="DP89" s="0" t="n">
        <v>0</v>
      </c>
      <c r="DQ89" s="0" t="n">
        <v>0</v>
      </c>
      <c r="DR89" s="0" t="s">
        <v>2884</v>
      </c>
      <c r="EB89" s="0" t="s">
        <v>3394</v>
      </c>
      <c r="EC89" s="0" t="s">
        <v>2970</v>
      </c>
      <c r="ED89" s="0" t="s">
        <v>2971</v>
      </c>
      <c r="EE89" s="0" t="s">
        <v>567</v>
      </c>
      <c r="EF89" s="0" t="s">
        <v>2959</v>
      </c>
      <c r="EG89" s="0" t="n">
        <v>1</v>
      </c>
      <c r="EH89" s="0" t="n">
        <v>1</v>
      </c>
      <c r="EI89" s="0" t="n">
        <v>1</v>
      </c>
      <c r="EJ89" s="0" t="n">
        <v>1</v>
      </c>
      <c r="EL89" s="0" t="s">
        <v>3395</v>
      </c>
      <c r="EM89" s="0" t="s">
        <v>2609</v>
      </c>
      <c r="EN89" s="0" t="s">
        <v>2610</v>
      </c>
      <c r="EO89" s="0" t="n">
        <v>4</v>
      </c>
      <c r="EP89" s="0" t="s">
        <v>2528</v>
      </c>
      <c r="EQ89" s="0" t="s">
        <v>2761</v>
      </c>
      <c r="ER89" s="0" t="s">
        <v>2762</v>
      </c>
      <c r="ES89" s="0" t="n">
        <v>32000</v>
      </c>
      <c r="ET89" s="0" t="n">
        <v>32000</v>
      </c>
      <c r="EU89" s="0" t="n">
        <v>32000</v>
      </c>
      <c r="EV89" s="0" t="n">
        <v>32000</v>
      </c>
      <c r="HA89" s="0" t="s">
        <v>3396</v>
      </c>
      <c r="HB89" s="0" t="s">
        <v>85</v>
      </c>
      <c r="HC89" s="0" t="s">
        <v>2718</v>
      </c>
      <c r="HD89" s="0" t="s">
        <v>95</v>
      </c>
      <c r="HE89" s="0" t="n">
        <v>0</v>
      </c>
      <c r="HF89" s="0" t="n">
        <v>0</v>
      </c>
      <c r="HG89" s="0" t="n">
        <v>0</v>
      </c>
      <c r="HH89" s="0" t="n">
        <v>0</v>
      </c>
      <c r="HI89" s="0" t="n">
        <v>0</v>
      </c>
      <c r="HJ89" s="0" t="n">
        <v>0</v>
      </c>
    </row>
    <row r="90" customFormat="false" ht="15" hidden="false" customHeight="false" outlineLevel="0" collapsed="false">
      <c r="A90" s="0" t="s">
        <v>626</v>
      </c>
      <c r="B90" s="0" t="s">
        <v>2526</v>
      </c>
      <c r="C90" s="0" t="n">
        <v>360</v>
      </c>
      <c r="D90" s="0" t="n">
        <v>400</v>
      </c>
      <c r="E90" s="0" t="n">
        <v>430</v>
      </c>
      <c r="F90" s="0" t="n">
        <v>430</v>
      </c>
      <c r="CQ90" s="0" t="s">
        <v>3397</v>
      </c>
      <c r="CR90" s="0" t="s">
        <v>121</v>
      </c>
      <c r="CS90" s="0" t="s">
        <v>229</v>
      </c>
      <c r="CT90" s="0" t="s">
        <v>227</v>
      </c>
      <c r="CU90" s="0" t="s">
        <v>90</v>
      </c>
      <c r="CV90" s="0" t="s">
        <v>228</v>
      </c>
      <c r="CW90" s="0" t="n">
        <v>0</v>
      </c>
      <c r="DB90" s="0" t="n">
        <v>270</v>
      </c>
      <c r="DC90" s="0" t="n">
        <v>300</v>
      </c>
      <c r="DD90" s="0" t="n">
        <v>330</v>
      </c>
      <c r="DE90" s="0" t="n">
        <v>350</v>
      </c>
      <c r="DG90" s="0" t="s">
        <v>3398</v>
      </c>
      <c r="DH90" s="0" t="s">
        <v>82</v>
      </c>
      <c r="DI90" s="0" t="s">
        <v>1095</v>
      </c>
      <c r="DJ90" s="0" t="s">
        <v>1096</v>
      </c>
      <c r="DK90" s="0" t="s">
        <v>705</v>
      </c>
      <c r="DL90" s="0" t="n">
        <v>42.31</v>
      </c>
      <c r="DM90" s="0" t="s">
        <v>676</v>
      </c>
      <c r="DN90" s="0" t="s">
        <v>675</v>
      </c>
      <c r="DO90" s="0" t="n">
        <v>0</v>
      </c>
      <c r="DP90" s="0" t="n">
        <v>0</v>
      </c>
      <c r="DQ90" s="0" t="n">
        <v>276</v>
      </c>
      <c r="DR90" s="0" t="s">
        <v>3399</v>
      </c>
      <c r="EB90" s="0" t="s">
        <v>3400</v>
      </c>
      <c r="EC90" s="0" t="s">
        <v>2970</v>
      </c>
      <c r="ED90" s="0" t="s">
        <v>2971</v>
      </c>
      <c r="EE90" s="0" t="s">
        <v>569</v>
      </c>
      <c r="EF90" s="0" t="s">
        <v>2973</v>
      </c>
      <c r="EG90" s="0" t="n">
        <v>8000</v>
      </c>
      <c r="EH90" s="0" t="n">
        <v>8000</v>
      </c>
      <c r="EI90" s="0" t="n">
        <v>8000</v>
      </c>
      <c r="EJ90" s="0" t="n">
        <v>8000</v>
      </c>
      <c r="EL90" s="0" t="s">
        <v>3401</v>
      </c>
      <c r="EM90" s="0" t="s">
        <v>2609</v>
      </c>
      <c r="EN90" s="0" t="s">
        <v>2610</v>
      </c>
      <c r="EO90" s="0" t="n">
        <v>4.5</v>
      </c>
      <c r="EP90" s="0" t="s">
        <v>2528</v>
      </c>
      <c r="EQ90" s="0" t="s">
        <v>2788</v>
      </c>
      <c r="ER90" s="0" t="s">
        <v>2789</v>
      </c>
      <c r="ES90" s="0" t="n">
        <v>36000</v>
      </c>
      <c r="ET90" s="0" t="n">
        <v>36000</v>
      </c>
      <c r="EU90" s="0" t="n">
        <v>36000</v>
      </c>
      <c r="EV90" s="0" t="n">
        <v>36000</v>
      </c>
      <c r="HA90" s="0" t="s">
        <v>3402</v>
      </c>
      <c r="HB90" s="0" t="s">
        <v>85</v>
      </c>
      <c r="HC90" s="0" t="s">
        <v>2737</v>
      </c>
      <c r="HD90" s="0" t="s">
        <v>98</v>
      </c>
      <c r="HE90" s="0" t="n">
        <v>0</v>
      </c>
      <c r="HF90" s="0" t="n">
        <v>0</v>
      </c>
      <c r="HG90" s="0" t="n">
        <v>0</v>
      </c>
      <c r="HH90" s="0" t="n">
        <v>0</v>
      </c>
      <c r="HI90" s="0" t="n">
        <v>0</v>
      </c>
      <c r="HJ90" s="0" t="n">
        <v>0</v>
      </c>
    </row>
    <row r="91" customFormat="false" ht="15" hidden="false" customHeight="false" outlineLevel="0" collapsed="false">
      <c r="A91" s="0" t="s">
        <v>624</v>
      </c>
      <c r="B91" s="0" t="s">
        <v>2550</v>
      </c>
      <c r="C91" s="0" t="n">
        <v>580</v>
      </c>
      <c r="D91" s="0" t="n">
        <v>660</v>
      </c>
      <c r="E91" s="0" t="n">
        <v>760</v>
      </c>
      <c r="F91" s="0" t="n">
        <v>800</v>
      </c>
      <c r="CQ91" s="0" t="s">
        <v>3403</v>
      </c>
      <c r="CR91" s="0" t="s">
        <v>121</v>
      </c>
      <c r="CS91" s="0" t="s">
        <v>246</v>
      </c>
      <c r="CT91" s="0" t="s">
        <v>244</v>
      </c>
      <c r="CU91" s="0" t="s">
        <v>90</v>
      </c>
      <c r="CV91" s="0" t="s">
        <v>245</v>
      </c>
      <c r="CW91" s="0" t="n">
        <v>0</v>
      </c>
      <c r="DB91" s="0" t="n">
        <v>730</v>
      </c>
      <c r="DC91" s="0" t="n">
        <v>800</v>
      </c>
      <c r="DD91" s="0" t="n">
        <v>870</v>
      </c>
      <c r="DE91" s="0" t="n">
        <v>870</v>
      </c>
      <c r="DG91" s="0" t="s">
        <v>3404</v>
      </c>
      <c r="DH91" s="0" t="s">
        <v>82</v>
      </c>
      <c r="DI91" s="0" t="s">
        <v>1101</v>
      </c>
      <c r="DJ91" s="0" t="s">
        <v>1102</v>
      </c>
      <c r="DK91" s="0" t="s">
        <v>705</v>
      </c>
      <c r="DL91" s="0" t="n">
        <v>42.31</v>
      </c>
      <c r="DM91" s="0" t="s">
        <v>675</v>
      </c>
      <c r="DN91" s="0" t="s">
        <v>676</v>
      </c>
      <c r="DO91" s="0" t="n">
        <v>1</v>
      </c>
      <c r="DP91" s="0" t="n">
        <v>675</v>
      </c>
      <c r="DQ91" s="0" t="n">
        <v>675</v>
      </c>
      <c r="DR91" s="0" t="s">
        <v>3405</v>
      </c>
      <c r="EB91" s="0" t="s">
        <v>3406</v>
      </c>
      <c r="EC91" s="0" t="s">
        <v>2970</v>
      </c>
      <c r="ED91" s="0" t="s">
        <v>2971</v>
      </c>
      <c r="EE91" s="0" t="s">
        <v>562</v>
      </c>
      <c r="EF91" s="0" t="s">
        <v>2986</v>
      </c>
      <c r="EG91" s="0" t="n">
        <v>1</v>
      </c>
      <c r="EH91" s="0" t="n">
        <v>1</v>
      </c>
      <c r="EI91" s="0" t="n">
        <v>1</v>
      </c>
      <c r="EJ91" s="0" t="n">
        <v>1</v>
      </c>
      <c r="EL91" s="0" t="s">
        <v>3407</v>
      </c>
      <c r="EM91" s="0" t="s">
        <v>2609</v>
      </c>
      <c r="EN91" s="0" t="s">
        <v>2610</v>
      </c>
      <c r="EO91" s="0" t="n">
        <v>5</v>
      </c>
      <c r="EP91" s="0" t="s">
        <v>2528</v>
      </c>
      <c r="EQ91" s="0" t="s">
        <v>2817</v>
      </c>
      <c r="ER91" s="0" t="s">
        <v>2818</v>
      </c>
      <c r="ES91" s="0" t="n">
        <v>40000</v>
      </c>
      <c r="ET91" s="0" t="n">
        <v>40000</v>
      </c>
      <c r="EU91" s="0" t="n">
        <v>40000</v>
      </c>
      <c r="EV91" s="0" t="n">
        <v>40000</v>
      </c>
      <c r="HA91" s="0" t="s">
        <v>3408</v>
      </c>
      <c r="HB91" s="0" t="s">
        <v>85</v>
      </c>
      <c r="HC91" s="0" t="s">
        <v>2751</v>
      </c>
      <c r="HD91" s="0" t="s">
        <v>101</v>
      </c>
      <c r="HE91" s="0" t="n">
        <v>0</v>
      </c>
      <c r="HF91" s="0" t="n">
        <v>0</v>
      </c>
      <c r="HG91" s="0" t="n">
        <v>0</v>
      </c>
      <c r="HH91" s="0" t="n">
        <v>0</v>
      </c>
      <c r="HI91" s="0" t="n">
        <v>0</v>
      </c>
      <c r="HJ91" s="0" t="n">
        <v>0</v>
      </c>
    </row>
    <row r="92" customFormat="false" ht="15" hidden="false" customHeight="false" outlineLevel="0" collapsed="false">
      <c r="A92" s="0" t="s">
        <v>622</v>
      </c>
      <c r="B92" s="0" t="s">
        <v>2567</v>
      </c>
      <c r="C92" s="0" t="n">
        <v>1230</v>
      </c>
      <c r="D92" s="0" t="n">
        <v>1360</v>
      </c>
      <c r="E92" s="0" t="n">
        <v>1470</v>
      </c>
      <c r="F92" s="0" t="n">
        <v>1470</v>
      </c>
      <c r="CQ92" s="0" t="s">
        <v>3409</v>
      </c>
      <c r="CR92" s="0" t="s">
        <v>121</v>
      </c>
      <c r="CS92" s="0" t="s">
        <v>255</v>
      </c>
      <c r="CT92" s="0" t="s">
        <v>253</v>
      </c>
      <c r="CU92" s="0" t="s">
        <v>90</v>
      </c>
      <c r="CV92" s="0" t="s">
        <v>254</v>
      </c>
      <c r="CW92" s="0" t="n">
        <v>0</v>
      </c>
      <c r="DB92" s="0" t="n">
        <v>980</v>
      </c>
      <c r="DC92" s="0" t="n">
        <v>1080</v>
      </c>
      <c r="DD92" s="0" t="n">
        <v>1170</v>
      </c>
      <c r="DE92" s="0" t="n">
        <v>1170</v>
      </c>
      <c r="DG92" s="0" t="s">
        <v>3410</v>
      </c>
      <c r="DH92" s="0" t="s">
        <v>82</v>
      </c>
      <c r="DI92" s="0" t="s">
        <v>1104</v>
      </c>
      <c r="DJ92" s="0" t="s">
        <v>1105</v>
      </c>
      <c r="DK92" s="0" t="s">
        <v>705</v>
      </c>
      <c r="DL92" s="0" t="n">
        <v>42.31</v>
      </c>
      <c r="DM92" s="0" t="s">
        <v>676</v>
      </c>
      <c r="DN92" s="0" t="s">
        <v>675</v>
      </c>
      <c r="DO92" s="0" t="n">
        <v>0</v>
      </c>
      <c r="DP92" s="0" t="n">
        <v>0</v>
      </c>
      <c r="DQ92" s="0" t="n">
        <v>355</v>
      </c>
      <c r="DR92" s="0" t="s">
        <v>3411</v>
      </c>
      <c r="EB92" s="0" t="s">
        <v>3412</v>
      </c>
      <c r="EC92" s="0" t="s">
        <v>2970</v>
      </c>
      <c r="EE92" s="0" t="s">
        <v>557</v>
      </c>
      <c r="EL92" s="0" t="s">
        <v>3413</v>
      </c>
      <c r="EM92" s="0" t="s">
        <v>2609</v>
      </c>
      <c r="EN92" s="0" t="s">
        <v>2610</v>
      </c>
      <c r="EO92" s="0" t="n">
        <v>5.5</v>
      </c>
      <c r="EP92" s="0" t="s">
        <v>2528</v>
      </c>
      <c r="EQ92" s="0" t="s">
        <v>2848</v>
      </c>
      <c r="ER92" s="0" t="s">
        <v>2849</v>
      </c>
      <c r="ES92" s="0" t="n">
        <v>44000</v>
      </c>
      <c r="ET92" s="0" t="n">
        <v>44000</v>
      </c>
      <c r="EU92" s="0" t="n">
        <v>44000</v>
      </c>
      <c r="EV92" s="0" t="n">
        <v>44000</v>
      </c>
      <c r="HA92" s="0" t="s">
        <v>3414</v>
      </c>
      <c r="HB92" s="0" t="s">
        <v>85</v>
      </c>
      <c r="HC92" s="0" t="s">
        <v>2823</v>
      </c>
      <c r="HD92" s="0" t="s">
        <v>147</v>
      </c>
      <c r="HE92" s="0" t="n">
        <v>0</v>
      </c>
      <c r="HF92" s="0" t="n">
        <v>0</v>
      </c>
      <c r="HG92" s="0" t="n">
        <v>0</v>
      </c>
      <c r="HH92" s="0" t="n">
        <v>0</v>
      </c>
      <c r="HI92" s="0" t="n">
        <v>0</v>
      </c>
      <c r="HJ92" s="0" t="n">
        <v>0</v>
      </c>
    </row>
    <row r="93" customFormat="false" ht="15" hidden="false" customHeight="false" outlineLevel="0" collapsed="false">
      <c r="A93" s="0" t="s">
        <v>620</v>
      </c>
      <c r="B93" s="0" t="s">
        <v>2580</v>
      </c>
      <c r="C93" s="0" t="n">
        <v>730</v>
      </c>
      <c r="D93" s="0" t="n">
        <v>800</v>
      </c>
      <c r="E93" s="0" t="n">
        <v>870</v>
      </c>
      <c r="F93" s="0" t="n">
        <v>870</v>
      </c>
      <c r="CQ93" s="0" t="s">
        <v>3415</v>
      </c>
      <c r="CR93" s="0" t="s">
        <v>121</v>
      </c>
      <c r="CS93" s="0" t="s">
        <v>605</v>
      </c>
      <c r="CT93" s="0" t="s">
        <v>2697</v>
      </c>
      <c r="CU93" s="0" t="s">
        <v>90</v>
      </c>
      <c r="CV93" s="0" t="s">
        <v>3062</v>
      </c>
      <c r="CW93" s="0" t="n">
        <v>0</v>
      </c>
      <c r="DB93" s="0" t="n">
        <v>930</v>
      </c>
      <c r="DC93" s="0" t="n">
        <v>930</v>
      </c>
      <c r="DD93" s="0" t="n">
        <v>930</v>
      </c>
      <c r="DE93" s="0" t="n">
        <v>930</v>
      </c>
      <c r="DG93" s="0" t="s">
        <v>3416</v>
      </c>
      <c r="DH93" s="0" t="s">
        <v>82</v>
      </c>
      <c r="DJ93" s="0" t="s">
        <v>998</v>
      </c>
      <c r="DK93" s="0" t="s">
        <v>674</v>
      </c>
      <c r="DL93" s="0" t="n">
        <v>38.46</v>
      </c>
      <c r="DM93" s="0" t="s">
        <v>675</v>
      </c>
      <c r="DN93" s="0" t="s">
        <v>675</v>
      </c>
      <c r="DO93" s="0" t="n">
        <v>0</v>
      </c>
      <c r="DP93" s="0" t="n">
        <v>0</v>
      </c>
      <c r="DQ93" s="0" t="n">
        <v>0</v>
      </c>
      <c r="DR93" s="0" t="s">
        <v>3250</v>
      </c>
      <c r="EB93" s="0" t="s">
        <v>3417</v>
      </c>
      <c r="EC93" s="0" t="s">
        <v>2970</v>
      </c>
      <c r="EE93" s="0" t="s">
        <v>290</v>
      </c>
      <c r="EL93" s="0" t="s">
        <v>3418</v>
      </c>
      <c r="EM93" s="0" t="s">
        <v>2609</v>
      </c>
      <c r="EN93" s="0" t="s">
        <v>2610</v>
      </c>
      <c r="EO93" s="0" t="n">
        <v>6</v>
      </c>
      <c r="EP93" s="0" t="s">
        <v>2528</v>
      </c>
      <c r="EQ93" s="0" t="s">
        <v>2877</v>
      </c>
      <c r="ER93" s="0" t="s">
        <v>2878</v>
      </c>
      <c r="ES93" s="0" t="n">
        <v>48000</v>
      </c>
      <c r="ET93" s="0" t="n">
        <v>48000</v>
      </c>
      <c r="EU93" s="0" t="n">
        <v>48000</v>
      </c>
      <c r="EV93" s="0" t="n">
        <v>48000</v>
      </c>
      <c r="HA93" s="0" t="s">
        <v>3419</v>
      </c>
      <c r="HB93" s="0" t="s">
        <v>85</v>
      </c>
      <c r="HC93" s="0" t="s">
        <v>2839</v>
      </c>
      <c r="HD93" s="0" t="s">
        <v>96</v>
      </c>
      <c r="HE93" s="0" t="n">
        <v>0</v>
      </c>
      <c r="HF93" s="0" t="n">
        <v>0</v>
      </c>
      <c r="HG93" s="0" t="n">
        <v>0</v>
      </c>
      <c r="HH93" s="0" t="n">
        <v>0</v>
      </c>
      <c r="HI93" s="0" t="n">
        <v>0</v>
      </c>
      <c r="HJ93" s="0" t="n">
        <v>0</v>
      </c>
    </row>
    <row r="94" customFormat="false" ht="15" hidden="false" customHeight="false" outlineLevel="0" collapsed="false">
      <c r="A94" s="0" t="s">
        <v>286</v>
      </c>
      <c r="B94" s="0" t="s">
        <v>284</v>
      </c>
      <c r="C94" s="0" t="n">
        <v>680</v>
      </c>
      <c r="D94" s="0" t="n">
        <v>750</v>
      </c>
      <c r="E94" s="0" t="n">
        <v>810</v>
      </c>
      <c r="F94" s="0" t="n">
        <v>810</v>
      </c>
      <c r="CQ94" s="0" t="s">
        <v>3420</v>
      </c>
      <c r="CR94" s="0" t="s">
        <v>121</v>
      </c>
      <c r="CS94" s="0" t="s">
        <v>243</v>
      </c>
      <c r="CT94" s="0" t="s">
        <v>241</v>
      </c>
      <c r="CU94" s="0" t="s">
        <v>90</v>
      </c>
      <c r="CV94" s="0" t="s">
        <v>242</v>
      </c>
      <c r="CW94" s="0" t="n">
        <v>0</v>
      </c>
      <c r="DB94" s="0" t="n">
        <v>1250</v>
      </c>
      <c r="DC94" s="0" t="n">
        <v>1250</v>
      </c>
      <c r="DD94" s="0" t="n">
        <v>1250</v>
      </c>
      <c r="DE94" s="0" t="n">
        <v>1250</v>
      </c>
      <c r="DG94" s="0" t="s">
        <v>3421</v>
      </c>
      <c r="DH94" s="0" t="s">
        <v>82</v>
      </c>
      <c r="DI94" s="0" t="s">
        <v>1108</v>
      </c>
      <c r="DJ94" s="0" t="s">
        <v>1109</v>
      </c>
      <c r="DK94" s="0" t="s">
        <v>674</v>
      </c>
      <c r="DL94" s="0" t="n">
        <v>38.46</v>
      </c>
      <c r="DM94" s="0" t="s">
        <v>675</v>
      </c>
      <c r="DN94" s="0" t="s">
        <v>676</v>
      </c>
      <c r="DO94" s="0" t="n">
        <v>1</v>
      </c>
      <c r="DP94" s="0" t="n">
        <v>7.2</v>
      </c>
      <c r="DQ94" s="0" t="n">
        <v>7.2</v>
      </c>
      <c r="DR94" s="0" t="s">
        <v>3422</v>
      </c>
      <c r="EB94" s="0" t="s">
        <v>3423</v>
      </c>
      <c r="EC94" s="0" t="s">
        <v>2970</v>
      </c>
      <c r="EE94" s="0" t="s">
        <v>275</v>
      </c>
      <c r="EL94" s="0" t="s">
        <v>3424</v>
      </c>
      <c r="EM94" s="0" t="s">
        <v>2609</v>
      </c>
      <c r="EN94" s="0" t="s">
        <v>2610</v>
      </c>
      <c r="EO94" s="0" t="n">
        <v>6.5</v>
      </c>
      <c r="EP94" s="0" t="s">
        <v>2528</v>
      </c>
      <c r="EQ94" s="0" t="s">
        <v>2904</v>
      </c>
      <c r="ER94" s="0" t="s">
        <v>2905</v>
      </c>
      <c r="ES94" s="0" t="n">
        <v>52000</v>
      </c>
      <c r="ET94" s="0" t="n">
        <v>52000</v>
      </c>
      <c r="EU94" s="0" t="n">
        <v>52000</v>
      </c>
      <c r="EV94" s="0" t="n">
        <v>52000</v>
      </c>
      <c r="HA94" s="0" t="s">
        <v>3425</v>
      </c>
      <c r="HB94" s="0" t="s">
        <v>85</v>
      </c>
      <c r="HC94" s="0" t="s">
        <v>2852</v>
      </c>
      <c r="HD94" s="0" t="s">
        <v>2345</v>
      </c>
      <c r="HE94" s="0" t="n">
        <v>0</v>
      </c>
      <c r="HF94" s="0" t="n">
        <v>0</v>
      </c>
      <c r="HG94" s="0" t="n">
        <v>0</v>
      </c>
      <c r="HH94" s="0" t="n">
        <v>0</v>
      </c>
      <c r="HI94" s="0" t="n">
        <v>0</v>
      </c>
      <c r="HJ94" s="0" t="n">
        <v>0</v>
      </c>
    </row>
    <row r="95" customFormat="false" ht="15" hidden="false" customHeight="false" outlineLevel="0" collapsed="false">
      <c r="A95" s="0" t="s">
        <v>272</v>
      </c>
      <c r="B95" s="0" t="s">
        <v>270</v>
      </c>
      <c r="C95" s="0" t="n">
        <v>1430</v>
      </c>
      <c r="D95" s="0" t="n">
        <v>1580</v>
      </c>
      <c r="E95" s="0" t="n">
        <v>1710</v>
      </c>
      <c r="F95" s="0" t="n">
        <v>1710</v>
      </c>
      <c r="CQ95" s="0" t="s">
        <v>3426</v>
      </c>
      <c r="CR95" s="0" t="s">
        <v>121</v>
      </c>
      <c r="CS95" s="0" t="s">
        <v>599</v>
      </c>
      <c r="CT95" s="0" t="s">
        <v>2745</v>
      </c>
      <c r="CU95" s="0" t="s">
        <v>79</v>
      </c>
      <c r="CV95" s="0" t="s">
        <v>3081</v>
      </c>
      <c r="CW95" s="0" t="n">
        <v>0</v>
      </c>
      <c r="DB95" s="0" t="n">
        <v>1500</v>
      </c>
      <c r="DC95" s="0" t="n">
        <v>1500</v>
      </c>
      <c r="DD95" s="0" t="n">
        <v>1500</v>
      </c>
      <c r="DE95" s="0" t="n">
        <v>1500</v>
      </c>
      <c r="DG95" s="0" t="s">
        <v>3427</v>
      </c>
      <c r="DH95" s="0" t="s">
        <v>82</v>
      </c>
      <c r="DI95" s="0" t="s">
        <v>1112</v>
      </c>
      <c r="DJ95" s="0" t="s">
        <v>1113</v>
      </c>
      <c r="DK95" s="0" t="s">
        <v>674</v>
      </c>
      <c r="DL95" s="0" t="n">
        <v>38.46</v>
      </c>
      <c r="DM95" s="0" t="s">
        <v>676</v>
      </c>
      <c r="DN95" s="0" t="s">
        <v>675</v>
      </c>
      <c r="DO95" s="0" t="n">
        <v>0</v>
      </c>
      <c r="DP95" s="0" t="n">
        <v>0</v>
      </c>
      <c r="DQ95" s="0" t="n">
        <v>1067.07</v>
      </c>
      <c r="DR95" s="0" t="s">
        <v>3428</v>
      </c>
      <c r="EB95" s="0" t="s">
        <v>3429</v>
      </c>
      <c r="EC95" s="0" t="s">
        <v>2970</v>
      </c>
      <c r="EE95" s="0" t="s">
        <v>298</v>
      </c>
      <c r="EL95" s="0" t="s">
        <v>3430</v>
      </c>
      <c r="EM95" s="0" t="s">
        <v>2609</v>
      </c>
      <c r="EN95" s="0" t="s">
        <v>2610</v>
      </c>
      <c r="EO95" s="0" t="n">
        <v>7</v>
      </c>
      <c r="EP95" s="0" t="s">
        <v>2528</v>
      </c>
      <c r="EQ95" s="0" t="s">
        <v>2935</v>
      </c>
      <c r="ER95" s="0" t="s">
        <v>2936</v>
      </c>
      <c r="ES95" s="0" t="n">
        <v>56000</v>
      </c>
      <c r="ET95" s="0" t="n">
        <v>56000</v>
      </c>
      <c r="EU95" s="0" t="n">
        <v>56000</v>
      </c>
      <c r="EV95" s="0" t="n">
        <v>56000</v>
      </c>
      <c r="HA95" s="0" t="s">
        <v>3431</v>
      </c>
      <c r="HB95" s="0" t="s">
        <v>85</v>
      </c>
      <c r="HC95" s="0" t="s">
        <v>2866</v>
      </c>
      <c r="HD95" s="0" t="s">
        <v>2346</v>
      </c>
      <c r="HE95" s="0" t="n">
        <v>0</v>
      </c>
      <c r="HF95" s="0" t="n">
        <v>0</v>
      </c>
      <c r="HG95" s="0" t="n">
        <v>0</v>
      </c>
      <c r="HH95" s="0" t="n">
        <v>0</v>
      </c>
      <c r="HI95" s="0" t="n">
        <v>0</v>
      </c>
      <c r="HJ95" s="0" t="n">
        <v>0</v>
      </c>
    </row>
    <row r="96" customFormat="false" ht="15" hidden="false" customHeight="false" outlineLevel="0" collapsed="false">
      <c r="A96" s="0" t="s">
        <v>283</v>
      </c>
      <c r="B96" s="0" t="s">
        <v>281</v>
      </c>
      <c r="C96" s="0" t="n">
        <v>360</v>
      </c>
      <c r="D96" s="0" t="n">
        <v>400</v>
      </c>
      <c r="E96" s="0" t="n">
        <v>430</v>
      </c>
      <c r="F96" s="0" t="n">
        <v>430</v>
      </c>
      <c r="CQ96" s="0" t="s">
        <v>3432</v>
      </c>
      <c r="CR96" s="0" t="s">
        <v>121</v>
      </c>
      <c r="CS96" s="0" t="s">
        <v>597</v>
      </c>
      <c r="CT96" s="0" t="s">
        <v>2759</v>
      </c>
      <c r="CU96" s="0" t="s">
        <v>79</v>
      </c>
      <c r="CV96" s="0" t="s">
        <v>3081</v>
      </c>
      <c r="CW96" s="0" t="n">
        <v>0</v>
      </c>
      <c r="DB96" s="0" t="n">
        <v>3000</v>
      </c>
      <c r="DC96" s="0" t="n">
        <v>3000</v>
      </c>
      <c r="DD96" s="0" t="n">
        <v>3000</v>
      </c>
      <c r="DE96" s="0" t="n">
        <v>3000</v>
      </c>
      <c r="DG96" s="0" t="s">
        <v>3433</v>
      </c>
      <c r="DH96" s="0" t="s">
        <v>82</v>
      </c>
      <c r="DI96" s="0" t="s">
        <v>1118</v>
      </c>
      <c r="DJ96" s="0" t="s">
        <v>1119</v>
      </c>
      <c r="DK96" s="0" t="s">
        <v>674</v>
      </c>
      <c r="DL96" s="0" t="n">
        <v>38.46</v>
      </c>
      <c r="DM96" s="0" t="s">
        <v>676</v>
      </c>
      <c r="DN96" s="0" t="s">
        <v>675</v>
      </c>
      <c r="DO96" s="0" t="n">
        <v>0</v>
      </c>
      <c r="DP96" s="0" t="n">
        <v>0</v>
      </c>
      <c r="DQ96" s="0" t="n">
        <v>515.62</v>
      </c>
      <c r="DR96" s="0" t="s">
        <v>3434</v>
      </c>
      <c r="EB96" s="0" t="s">
        <v>3435</v>
      </c>
      <c r="EC96" s="0" t="s">
        <v>2970</v>
      </c>
      <c r="EE96" s="0" t="s">
        <v>286</v>
      </c>
      <c r="EL96" s="0" t="s">
        <v>3436</v>
      </c>
      <c r="EM96" s="0" t="s">
        <v>2609</v>
      </c>
      <c r="EN96" s="0" t="s">
        <v>2610</v>
      </c>
      <c r="EO96" s="0" t="n">
        <v>7.5</v>
      </c>
      <c r="EP96" s="0" t="s">
        <v>2528</v>
      </c>
      <c r="EQ96" s="0" t="s">
        <v>2961</v>
      </c>
      <c r="ER96" s="0" t="s">
        <v>2962</v>
      </c>
      <c r="ES96" s="0" t="n">
        <v>60000</v>
      </c>
      <c r="ET96" s="0" t="n">
        <v>60000</v>
      </c>
      <c r="EU96" s="0" t="n">
        <v>60000</v>
      </c>
      <c r="EV96" s="0" t="n">
        <v>60000</v>
      </c>
      <c r="HA96" s="0" t="s">
        <v>3437</v>
      </c>
      <c r="HB96" s="0" t="s">
        <v>85</v>
      </c>
      <c r="HC96" s="0" t="s">
        <v>2880</v>
      </c>
      <c r="HD96" s="0" t="s">
        <v>2347</v>
      </c>
      <c r="HE96" s="0" t="n">
        <v>0</v>
      </c>
      <c r="HF96" s="0" t="n">
        <v>0</v>
      </c>
      <c r="HG96" s="0" t="n">
        <v>0</v>
      </c>
      <c r="HH96" s="0" t="n">
        <v>0</v>
      </c>
      <c r="HI96" s="0" t="n">
        <v>0</v>
      </c>
      <c r="HJ96" s="0" t="n">
        <v>0</v>
      </c>
    </row>
    <row r="97" customFormat="false" ht="15" hidden="false" customHeight="false" outlineLevel="0" collapsed="false">
      <c r="A97" s="0" t="s">
        <v>267</v>
      </c>
      <c r="B97" s="0" t="s">
        <v>265</v>
      </c>
      <c r="C97" s="0" t="n">
        <v>1920</v>
      </c>
      <c r="D97" s="0" t="n">
        <v>2120</v>
      </c>
      <c r="E97" s="0" t="n">
        <v>2290</v>
      </c>
      <c r="F97" s="0" t="n">
        <v>2290</v>
      </c>
      <c r="CQ97" s="0" t="s">
        <v>3438</v>
      </c>
      <c r="CR97" s="0" t="s">
        <v>121</v>
      </c>
      <c r="CS97" s="0" t="s">
        <v>261</v>
      </c>
      <c r="CT97" s="0" t="s">
        <v>259</v>
      </c>
      <c r="CU97" s="0" t="s">
        <v>2266</v>
      </c>
      <c r="CV97" s="0" t="s">
        <v>260</v>
      </c>
      <c r="CW97" s="0" t="n">
        <v>0</v>
      </c>
      <c r="DB97" s="0" t="n">
        <v>860</v>
      </c>
      <c r="DC97" s="0" t="n">
        <v>950</v>
      </c>
      <c r="DD97" s="0" t="n">
        <v>1020</v>
      </c>
      <c r="DE97" s="0" t="n">
        <v>1020</v>
      </c>
      <c r="DG97" s="0" t="s">
        <v>3439</v>
      </c>
      <c r="DH97" s="0" t="s">
        <v>82</v>
      </c>
      <c r="DI97" s="0" t="s">
        <v>1121</v>
      </c>
      <c r="DJ97" s="0" t="s">
        <v>1122</v>
      </c>
      <c r="DK97" s="0" t="s">
        <v>674</v>
      </c>
      <c r="DL97" s="0" t="n">
        <v>38.46</v>
      </c>
      <c r="DM97" s="0" t="s">
        <v>676</v>
      </c>
      <c r="DN97" s="0" t="s">
        <v>676</v>
      </c>
      <c r="DO97" s="0" t="n">
        <v>0</v>
      </c>
      <c r="DP97" s="0" t="n">
        <v>0</v>
      </c>
      <c r="DQ97" s="0" t="n">
        <v>37.68</v>
      </c>
      <c r="DR97" s="0" t="s">
        <v>3440</v>
      </c>
      <c r="EB97" s="0" t="s">
        <v>3441</v>
      </c>
      <c r="EC97" s="0" t="s">
        <v>2970</v>
      </c>
      <c r="EE97" s="0" t="s">
        <v>272</v>
      </c>
      <c r="EL97" s="0" t="s">
        <v>3442</v>
      </c>
      <c r="EM97" s="0" t="s">
        <v>2609</v>
      </c>
      <c r="EN97" s="0" t="s">
        <v>2610</v>
      </c>
      <c r="EO97" s="0" t="n">
        <v>8</v>
      </c>
      <c r="EP97" s="0" t="s">
        <v>2528</v>
      </c>
      <c r="EQ97" s="0" t="s">
        <v>2988</v>
      </c>
      <c r="ER97" s="0" t="s">
        <v>2989</v>
      </c>
      <c r="ES97" s="0" t="n">
        <v>64000</v>
      </c>
      <c r="ET97" s="0" t="n">
        <v>64000</v>
      </c>
      <c r="EU97" s="0" t="n">
        <v>64000</v>
      </c>
      <c r="EV97" s="0" t="n">
        <v>64000</v>
      </c>
      <c r="HA97" s="0" t="s">
        <v>3443</v>
      </c>
      <c r="HB97" s="0" t="s">
        <v>85</v>
      </c>
      <c r="HC97" s="0" t="s">
        <v>2895</v>
      </c>
      <c r="HD97" s="0" t="s">
        <v>150</v>
      </c>
      <c r="HE97" s="0" t="n">
        <v>0</v>
      </c>
      <c r="HF97" s="0" t="n">
        <v>0</v>
      </c>
      <c r="HG97" s="0" t="n">
        <v>0</v>
      </c>
      <c r="HH97" s="0" t="n">
        <v>0</v>
      </c>
      <c r="HI97" s="0" t="n">
        <v>0</v>
      </c>
      <c r="HJ97" s="0" t="n">
        <v>0</v>
      </c>
    </row>
    <row r="98" customFormat="false" ht="15" hidden="false" customHeight="false" outlineLevel="0" collapsed="false">
      <c r="A98" s="0" t="s">
        <v>258</v>
      </c>
      <c r="B98" s="0" t="s">
        <v>256</v>
      </c>
      <c r="C98" s="0" t="n">
        <v>2910</v>
      </c>
      <c r="D98" s="0" t="n">
        <v>3220</v>
      </c>
      <c r="E98" s="0" t="n">
        <v>3470</v>
      </c>
      <c r="F98" s="0" t="n">
        <v>3470</v>
      </c>
      <c r="CQ98" s="0" t="s">
        <v>3444</v>
      </c>
      <c r="CR98" s="0" t="s">
        <v>121</v>
      </c>
      <c r="CS98" s="0" t="s">
        <v>584</v>
      </c>
      <c r="CT98" s="0" t="s">
        <v>583</v>
      </c>
      <c r="CU98" s="0" t="s">
        <v>3111</v>
      </c>
      <c r="CV98" s="0" t="s">
        <v>3112</v>
      </c>
      <c r="CW98" s="0" t="n">
        <v>0</v>
      </c>
      <c r="DB98" s="0" t="n">
        <v>100000</v>
      </c>
      <c r="DC98" s="0" t="n">
        <v>100000</v>
      </c>
      <c r="DD98" s="0" t="n">
        <v>100000</v>
      </c>
      <c r="DE98" s="0" t="n">
        <v>100000</v>
      </c>
      <c r="DG98" s="0" t="s">
        <v>3445</v>
      </c>
      <c r="DH98" s="0" t="s">
        <v>82</v>
      </c>
      <c r="DI98" s="0" t="s">
        <v>1127</v>
      </c>
      <c r="DJ98" s="0" t="s">
        <v>1128</v>
      </c>
      <c r="DK98" s="0" t="s">
        <v>674</v>
      </c>
      <c r="DL98" s="0" t="n">
        <v>38.46</v>
      </c>
      <c r="DM98" s="0" t="s">
        <v>675</v>
      </c>
      <c r="DN98" s="0" t="s">
        <v>676</v>
      </c>
      <c r="DO98" s="0" t="n">
        <v>1</v>
      </c>
      <c r="DP98" s="0" t="n">
        <v>560.65</v>
      </c>
      <c r="DQ98" s="0" t="n">
        <v>560.65</v>
      </c>
      <c r="DR98" s="0" t="s">
        <v>3446</v>
      </c>
      <c r="EB98" s="0" t="s">
        <v>3447</v>
      </c>
      <c r="EC98" s="0" t="s">
        <v>2970</v>
      </c>
      <c r="EE98" s="0" t="s">
        <v>283</v>
      </c>
      <c r="EL98" s="0" t="s">
        <v>3448</v>
      </c>
      <c r="EM98" s="0" t="s">
        <v>2625</v>
      </c>
      <c r="EN98" s="0" t="s">
        <v>2626</v>
      </c>
      <c r="EO98" s="0" t="n">
        <v>0.5</v>
      </c>
      <c r="EP98" s="0" t="s">
        <v>2528</v>
      </c>
      <c r="EQ98" s="0" t="s">
        <v>2529</v>
      </c>
      <c r="ER98" s="0" t="s">
        <v>2530</v>
      </c>
      <c r="ES98" s="0" t="n">
        <v>4000</v>
      </c>
      <c r="ET98" s="0" t="n">
        <v>4000</v>
      </c>
      <c r="EU98" s="0" t="n">
        <v>4000</v>
      </c>
      <c r="EV98" s="0" t="n">
        <v>4000</v>
      </c>
      <c r="HA98" s="0" t="s">
        <v>3449</v>
      </c>
      <c r="HB98" s="0" t="s">
        <v>86</v>
      </c>
      <c r="HC98" s="0" t="s">
        <v>2540</v>
      </c>
      <c r="HD98" s="0" t="s">
        <v>142</v>
      </c>
      <c r="HE98" s="0" t="n">
        <v>0</v>
      </c>
      <c r="HF98" s="0" t="n">
        <v>0</v>
      </c>
      <c r="HG98" s="0" t="n">
        <v>0</v>
      </c>
      <c r="HH98" s="0" t="n">
        <v>0</v>
      </c>
      <c r="HI98" s="0" t="n">
        <v>0</v>
      </c>
      <c r="HJ98" s="0" t="n">
        <v>0</v>
      </c>
    </row>
    <row r="99" customFormat="false" ht="15" hidden="false" customHeight="false" outlineLevel="0" collapsed="false">
      <c r="A99" s="0" t="s">
        <v>222</v>
      </c>
      <c r="B99" s="0" t="s">
        <v>220</v>
      </c>
      <c r="C99" s="0" t="n">
        <v>2430</v>
      </c>
      <c r="D99" s="0" t="n">
        <v>2690</v>
      </c>
      <c r="E99" s="0" t="n">
        <v>2900</v>
      </c>
      <c r="F99" s="0" t="n">
        <v>2900</v>
      </c>
      <c r="CQ99" s="0" t="s">
        <v>3450</v>
      </c>
      <c r="CR99" s="0" t="s">
        <v>121</v>
      </c>
      <c r="CS99" s="0" t="s">
        <v>575</v>
      </c>
      <c r="CT99" s="0" t="s">
        <v>573</v>
      </c>
      <c r="CU99" s="0" t="s">
        <v>3111</v>
      </c>
      <c r="CV99" s="0" t="s">
        <v>3119</v>
      </c>
      <c r="CW99" s="0" t="n">
        <v>0</v>
      </c>
      <c r="DB99" s="0" t="n">
        <v>2000</v>
      </c>
      <c r="DC99" s="0" t="n">
        <v>2000</v>
      </c>
      <c r="DD99" s="0" t="n">
        <v>2000</v>
      </c>
      <c r="DE99" s="0" t="n">
        <v>2000</v>
      </c>
      <c r="DG99" s="0" t="s">
        <v>3451</v>
      </c>
      <c r="DH99" s="0" t="s">
        <v>82</v>
      </c>
      <c r="DI99" s="0" t="s">
        <v>1130</v>
      </c>
      <c r="DJ99" s="0" t="s">
        <v>1131</v>
      </c>
      <c r="DK99" s="0" t="s">
        <v>674</v>
      </c>
      <c r="DL99" s="0" t="n">
        <v>38.46</v>
      </c>
      <c r="DM99" s="0" t="s">
        <v>676</v>
      </c>
      <c r="DN99" s="0" t="s">
        <v>675</v>
      </c>
      <c r="DO99" s="0" t="n">
        <v>0</v>
      </c>
      <c r="DP99" s="0" t="n">
        <v>0</v>
      </c>
      <c r="DQ99" s="0" t="n">
        <v>181.39</v>
      </c>
      <c r="DR99" s="0" t="s">
        <v>3452</v>
      </c>
      <c r="EB99" s="0" t="s">
        <v>3453</v>
      </c>
      <c r="EC99" s="0" t="s">
        <v>2970</v>
      </c>
      <c r="EE99" s="0" t="s">
        <v>267</v>
      </c>
      <c r="EL99" s="0" t="s">
        <v>3454</v>
      </c>
      <c r="EM99" s="0" t="s">
        <v>2625</v>
      </c>
      <c r="EN99" s="0" t="s">
        <v>2626</v>
      </c>
      <c r="EO99" s="0" t="n">
        <v>1</v>
      </c>
      <c r="EP99" s="0" t="s">
        <v>2528</v>
      </c>
      <c r="EQ99" s="0" t="s">
        <v>2569</v>
      </c>
      <c r="ER99" s="0" t="s">
        <v>2570</v>
      </c>
      <c r="ES99" s="0" t="n">
        <v>8000</v>
      </c>
      <c r="ET99" s="0" t="n">
        <v>8000</v>
      </c>
      <c r="EU99" s="0" t="n">
        <v>8000</v>
      </c>
      <c r="EV99" s="0" t="n">
        <v>8000</v>
      </c>
      <c r="HA99" s="0" t="s">
        <v>3455</v>
      </c>
      <c r="HB99" s="0" t="s">
        <v>86</v>
      </c>
      <c r="HC99" s="0" t="s">
        <v>2558</v>
      </c>
      <c r="HD99" s="0" t="s">
        <v>37</v>
      </c>
      <c r="HE99" s="0" t="n">
        <v>0</v>
      </c>
      <c r="HF99" s="0" t="n">
        <v>0</v>
      </c>
      <c r="HG99" s="0" t="n">
        <v>0</v>
      </c>
      <c r="HH99" s="0" t="n">
        <v>0</v>
      </c>
      <c r="HI99" s="0" t="n">
        <v>0</v>
      </c>
      <c r="HJ99" s="0" t="n">
        <v>0</v>
      </c>
    </row>
    <row r="100" customFormat="false" ht="15" hidden="false" customHeight="false" outlineLevel="0" collapsed="false">
      <c r="A100" s="0" t="s">
        <v>233</v>
      </c>
      <c r="B100" s="0" t="s">
        <v>231</v>
      </c>
      <c r="C100" s="0" t="n">
        <v>1110</v>
      </c>
      <c r="D100" s="0" t="n">
        <v>1220</v>
      </c>
      <c r="E100" s="0" t="n">
        <v>1320</v>
      </c>
      <c r="F100" s="0" t="n">
        <v>1320</v>
      </c>
      <c r="CQ100" s="0" t="s">
        <v>3456</v>
      </c>
      <c r="CR100" s="0" t="s">
        <v>121</v>
      </c>
      <c r="CS100" s="0" t="s">
        <v>562</v>
      </c>
      <c r="CT100" s="0" t="s">
        <v>2986</v>
      </c>
      <c r="CU100" s="0" t="s">
        <v>79</v>
      </c>
      <c r="CV100" s="0" t="s">
        <v>3126</v>
      </c>
      <c r="CW100" s="0" t="n">
        <v>0</v>
      </c>
      <c r="DB100" s="0" t="n">
        <v>550</v>
      </c>
      <c r="DC100" s="0" t="n">
        <v>850</v>
      </c>
      <c r="DD100" s="0" t="n">
        <v>1200</v>
      </c>
      <c r="DE100" s="0" t="n">
        <v>1200</v>
      </c>
      <c r="DG100" s="0" t="s">
        <v>3457</v>
      </c>
      <c r="DH100" s="0" t="s">
        <v>82</v>
      </c>
      <c r="DJ100" s="0" t="s">
        <v>758</v>
      </c>
      <c r="DK100" s="0" t="s">
        <v>705</v>
      </c>
      <c r="DL100" s="0" t="n">
        <v>38.46</v>
      </c>
      <c r="DM100" s="0" t="s">
        <v>675</v>
      </c>
      <c r="DN100" s="0" t="s">
        <v>675</v>
      </c>
      <c r="DO100" s="0" t="n">
        <v>0</v>
      </c>
      <c r="DP100" s="0" t="n">
        <v>0</v>
      </c>
      <c r="DQ100" s="0" t="n">
        <v>0</v>
      </c>
      <c r="DR100" s="0" t="s">
        <v>2781</v>
      </c>
      <c r="EB100" s="0" t="s">
        <v>3458</v>
      </c>
      <c r="EC100" s="0" t="s">
        <v>2970</v>
      </c>
      <c r="EE100" s="0" t="s">
        <v>258</v>
      </c>
      <c r="EL100" s="0" t="s">
        <v>3459</v>
      </c>
      <c r="EM100" s="0" t="s">
        <v>2625</v>
      </c>
      <c r="EN100" s="0" t="s">
        <v>2626</v>
      </c>
      <c r="EO100" s="0" t="n">
        <v>1.5</v>
      </c>
      <c r="EP100" s="0" t="s">
        <v>2528</v>
      </c>
      <c r="EQ100" s="0" t="s">
        <v>2598</v>
      </c>
      <c r="ER100" s="0" t="s">
        <v>2599</v>
      </c>
      <c r="ES100" s="0" t="n">
        <v>12000</v>
      </c>
      <c r="ET100" s="0" t="n">
        <v>12000</v>
      </c>
      <c r="EU100" s="0" t="n">
        <v>12000</v>
      </c>
      <c r="EV100" s="0" t="n">
        <v>12000</v>
      </c>
      <c r="HA100" s="0" t="s">
        <v>3460</v>
      </c>
      <c r="HB100" s="0" t="s">
        <v>86</v>
      </c>
      <c r="HC100" s="0" t="s">
        <v>2572</v>
      </c>
      <c r="HD100" s="0" t="s">
        <v>38</v>
      </c>
      <c r="HE100" s="0" t="n">
        <v>0</v>
      </c>
      <c r="HF100" s="0" t="n">
        <v>0</v>
      </c>
      <c r="HG100" s="0" t="n">
        <v>0</v>
      </c>
      <c r="HH100" s="0" t="n">
        <v>0</v>
      </c>
      <c r="HI100" s="0" t="n">
        <v>0</v>
      </c>
      <c r="HJ100" s="0" t="n">
        <v>0</v>
      </c>
    </row>
    <row r="101" customFormat="false" ht="15" hidden="false" customHeight="false" outlineLevel="0" collapsed="false">
      <c r="A101" s="0" t="s">
        <v>618</v>
      </c>
      <c r="B101" s="0" t="s">
        <v>2596</v>
      </c>
      <c r="C101" s="0" t="n">
        <v>360</v>
      </c>
      <c r="D101" s="0" t="n">
        <v>400</v>
      </c>
      <c r="E101" s="0" t="n">
        <v>430</v>
      </c>
      <c r="F101" s="0" t="n">
        <v>430</v>
      </c>
      <c r="CQ101" s="0" t="s">
        <v>3461</v>
      </c>
      <c r="CR101" s="0" t="s">
        <v>121</v>
      </c>
      <c r="CS101" s="0" t="s">
        <v>602</v>
      </c>
      <c r="CT101" s="0" t="s">
        <v>2728</v>
      </c>
      <c r="CU101" s="0" t="s">
        <v>79</v>
      </c>
      <c r="CV101" s="0" t="s">
        <v>600</v>
      </c>
      <c r="CW101" s="0" t="n">
        <v>0</v>
      </c>
      <c r="DB101" s="0" t="n">
        <v>350</v>
      </c>
      <c r="DC101" s="0" t="n">
        <v>350</v>
      </c>
      <c r="DD101" s="0" t="n">
        <v>350</v>
      </c>
      <c r="DE101" s="0" t="n">
        <v>350</v>
      </c>
      <c r="DG101" s="0" t="s">
        <v>3462</v>
      </c>
      <c r="DH101" s="0" t="s">
        <v>82</v>
      </c>
      <c r="DI101" s="0" t="s">
        <v>1133</v>
      </c>
      <c r="DJ101" s="0" t="s">
        <v>1134</v>
      </c>
      <c r="DK101" s="0" t="s">
        <v>705</v>
      </c>
      <c r="DL101" s="0" t="n">
        <v>38.46</v>
      </c>
      <c r="DM101" s="0" t="s">
        <v>675</v>
      </c>
      <c r="DN101" s="0" t="s">
        <v>676</v>
      </c>
      <c r="DO101" s="0" t="n">
        <v>10</v>
      </c>
      <c r="DP101" s="0" t="n">
        <v>160</v>
      </c>
      <c r="DQ101" s="0" t="n">
        <v>160</v>
      </c>
      <c r="DR101" s="0" t="s">
        <v>3463</v>
      </c>
      <c r="EB101" s="0" t="s">
        <v>3464</v>
      </c>
      <c r="EC101" s="0" t="s">
        <v>2970</v>
      </c>
      <c r="EE101" s="0" t="s">
        <v>222</v>
      </c>
      <c r="EL101" s="0" t="s">
        <v>3465</v>
      </c>
      <c r="EM101" s="0" t="s">
        <v>2625</v>
      </c>
      <c r="EN101" s="0" t="s">
        <v>2626</v>
      </c>
      <c r="EO101" s="0" t="n">
        <v>2</v>
      </c>
      <c r="EP101" s="0" t="s">
        <v>2528</v>
      </c>
      <c r="EQ101" s="0" t="s">
        <v>2630</v>
      </c>
      <c r="ER101" s="0" t="s">
        <v>2631</v>
      </c>
      <c r="ES101" s="0" t="n">
        <v>16000</v>
      </c>
      <c r="ET101" s="0" t="n">
        <v>16000</v>
      </c>
      <c r="EU101" s="0" t="n">
        <v>16000</v>
      </c>
      <c r="EV101" s="0" t="n">
        <v>16000</v>
      </c>
      <c r="HA101" s="0" t="s">
        <v>3466</v>
      </c>
      <c r="HB101" s="0" t="s">
        <v>86</v>
      </c>
      <c r="HC101" s="0" t="s">
        <v>2586</v>
      </c>
      <c r="HD101" s="0" t="s">
        <v>39</v>
      </c>
      <c r="HE101" s="0" t="n">
        <v>0</v>
      </c>
      <c r="HF101" s="0" t="n">
        <v>0</v>
      </c>
      <c r="HG101" s="0" t="n">
        <v>0</v>
      </c>
      <c r="HH101" s="0" t="n">
        <v>0</v>
      </c>
      <c r="HI101" s="0" t="n">
        <v>0</v>
      </c>
      <c r="HJ101" s="0" t="n">
        <v>0</v>
      </c>
    </row>
    <row r="102" customFormat="false" ht="15" hidden="false" customHeight="false" outlineLevel="0" collapsed="false">
      <c r="A102" s="0" t="s">
        <v>225</v>
      </c>
      <c r="B102" s="0" t="s">
        <v>223</v>
      </c>
      <c r="C102" s="0" t="n">
        <v>2730</v>
      </c>
      <c r="D102" s="0" t="n">
        <v>3020</v>
      </c>
      <c r="E102" s="0" t="n">
        <v>3260</v>
      </c>
      <c r="F102" s="0" t="n">
        <v>3260</v>
      </c>
      <c r="CQ102" s="0" t="s">
        <v>3467</v>
      </c>
      <c r="CR102" s="0" t="s">
        <v>121</v>
      </c>
      <c r="CS102" s="0" t="s">
        <v>567</v>
      </c>
      <c r="CT102" s="0" t="s">
        <v>2959</v>
      </c>
      <c r="CU102" s="0" t="s">
        <v>79</v>
      </c>
      <c r="CV102" s="0" t="s">
        <v>3139</v>
      </c>
      <c r="CW102" s="0" t="n">
        <v>0</v>
      </c>
      <c r="DB102" s="0" t="n">
        <v>1250</v>
      </c>
      <c r="DC102" s="0" t="n">
        <v>1250</v>
      </c>
      <c r="DD102" s="0" t="n">
        <v>1250</v>
      </c>
      <c r="DE102" s="0" t="n">
        <v>1250</v>
      </c>
      <c r="DG102" s="0" t="s">
        <v>3468</v>
      </c>
      <c r="DH102" s="0" t="s">
        <v>82</v>
      </c>
      <c r="DI102" s="0" t="s">
        <v>1135</v>
      </c>
      <c r="DJ102" s="0" t="s">
        <v>1136</v>
      </c>
      <c r="DK102" s="0" t="s">
        <v>705</v>
      </c>
      <c r="DL102" s="0" t="n">
        <v>38.46</v>
      </c>
      <c r="DM102" s="0" t="s">
        <v>676</v>
      </c>
      <c r="DN102" s="0" t="s">
        <v>675</v>
      </c>
      <c r="DO102" s="0" t="n">
        <v>0</v>
      </c>
      <c r="DP102" s="0" t="n">
        <v>0</v>
      </c>
      <c r="DQ102" s="0" t="n">
        <v>538.65</v>
      </c>
      <c r="DR102" s="0" t="s">
        <v>3469</v>
      </c>
      <c r="EB102" s="0" t="s">
        <v>3470</v>
      </c>
      <c r="EC102" s="0" t="s">
        <v>2970</v>
      </c>
      <c r="EE102" s="0" t="s">
        <v>233</v>
      </c>
      <c r="EL102" s="0" t="s">
        <v>3471</v>
      </c>
      <c r="EM102" s="0" t="s">
        <v>2625</v>
      </c>
      <c r="EN102" s="0" t="s">
        <v>2626</v>
      </c>
      <c r="EO102" s="0" t="n">
        <v>2.5</v>
      </c>
      <c r="EP102" s="0" t="s">
        <v>2528</v>
      </c>
      <c r="EQ102" s="0" t="s">
        <v>2665</v>
      </c>
      <c r="ER102" s="0" t="s">
        <v>2666</v>
      </c>
      <c r="ES102" s="0" t="n">
        <v>19000</v>
      </c>
      <c r="ET102" s="0" t="n">
        <v>19000</v>
      </c>
      <c r="EU102" s="0" t="n">
        <v>19000</v>
      </c>
      <c r="EV102" s="0" t="n">
        <v>19000</v>
      </c>
      <c r="HA102" s="0" t="s">
        <v>3472</v>
      </c>
      <c r="HB102" s="0" t="s">
        <v>86</v>
      </c>
      <c r="HC102" s="0" t="s">
        <v>2602</v>
      </c>
      <c r="HD102" s="0" t="s">
        <v>143</v>
      </c>
      <c r="HE102" s="0" t="n">
        <v>0</v>
      </c>
      <c r="HF102" s="0" t="n">
        <v>0</v>
      </c>
      <c r="HG102" s="0" t="n">
        <v>0</v>
      </c>
      <c r="HH102" s="0" t="n">
        <v>0</v>
      </c>
      <c r="HI102" s="0" t="n">
        <v>0</v>
      </c>
      <c r="HJ102" s="0" t="n">
        <v>0</v>
      </c>
    </row>
    <row r="103" customFormat="false" ht="15" hidden="false" customHeight="false" outlineLevel="0" collapsed="false">
      <c r="A103" s="0" t="s">
        <v>288</v>
      </c>
      <c r="B103" s="0" t="s">
        <v>287</v>
      </c>
      <c r="C103" s="0" t="n">
        <v>450</v>
      </c>
      <c r="D103" s="0" t="n">
        <v>530</v>
      </c>
      <c r="E103" s="0" t="n">
        <v>580</v>
      </c>
      <c r="F103" s="0" t="n">
        <v>580</v>
      </c>
      <c r="CQ103" s="0" t="s">
        <v>3473</v>
      </c>
      <c r="CR103" s="0" t="s">
        <v>121</v>
      </c>
      <c r="CS103" s="0" t="s">
        <v>590</v>
      </c>
      <c r="CT103" s="0" t="s">
        <v>2786</v>
      </c>
      <c r="CU103" s="0" t="s">
        <v>3111</v>
      </c>
      <c r="CV103" s="0" t="s">
        <v>3146</v>
      </c>
      <c r="CW103" s="0" t="n">
        <v>0</v>
      </c>
      <c r="DB103" s="0" t="n">
        <v>3020</v>
      </c>
      <c r="DC103" s="0" t="n">
        <v>3020</v>
      </c>
      <c r="DD103" s="0" t="n">
        <v>3020</v>
      </c>
      <c r="DE103" s="0" t="n">
        <v>3020</v>
      </c>
      <c r="DG103" s="0" t="s">
        <v>3474</v>
      </c>
      <c r="DH103" s="0" t="s">
        <v>82</v>
      </c>
      <c r="DI103" s="0" t="s">
        <v>1141</v>
      </c>
      <c r="DJ103" s="0" t="s">
        <v>1142</v>
      </c>
      <c r="DK103" s="0" t="s">
        <v>705</v>
      </c>
      <c r="DL103" s="0" t="n">
        <v>38.46</v>
      </c>
      <c r="DM103" s="0" t="s">
        <v>675</v>
      </c>
      <c r="DN103" s="0" t="s">
        <v>676</v>
      </c>
      <c r="DO103" s="0" t="n">
        <v>2.5</v>
      </c>
      <c r="DP103" s="0" t="n">
        <v>282.5</v>
      </c>
      <c r="DQ103" s="0" t="n">
        <v>282.5</v>
      </c>
      <c r="DR103" s="0" t="s">
        <v>3475</v>
      </c>
      <c r="EB103" s="0" t="s">
        <v>3476</v>
      </c>
      <c r="EC103" s="0" t="s">
        <v>2970</v>
      </c>
      <c r="EE103" s="0" t="s">
        <v>225</v>
      </c>
      <c r="EL103" s="0" t="s">
        <v>3477</v>
      </c>
      <c r="EM103" s="0" t="s">
        <v>2625</v>
      </c>
      <c r="EN103" s="0" t="s">
        <v>2626</v>
      </c>
      <c r="EO103" s="0" t="n">
        <v>3</v>
      </c>
      <c r="EP103" s="0" t="s">
        <v>2528</v>
      </c>
      <c r="EQ103" s="0" t="s">
        <v>2699</v>
      </c>
      <c r="ER103" s="0" t="s">
        <v>2700</v>
      </c>
      <c r="ES103" s="0" t="n">
        <v>22000</v>
      </c>
      <c r="ET103" s="0" t="n">
        <v>22000</v>
      </c>
      <c r="EU103" s="0" t="n">
        <v>22000</v>
      </c>
      <c r="EV103" s="0" t="n">
        <v>22000</v>
      </c>
      <c r="HA103" s="0" t="s">
        <v>3478</v>
      </c>
      <c r="HB103" s="0" t="s">
        <v>86</v>
      </c>
      <c r="HC103" s="0" t="s">
        <v>2618</v>
      </c>
      <c r="HD103" s="0" t="s">
        <v>79</v>
      </c>
      <c r="HE103" s="0" t="n">
        <v>0</v>
      </c>
      <c r="HF103" s="0" t="n">
        <v>0</v>
      </c>
      <c r="HG103" s="0" t="n">
        <v>0</v>
      </c>
      <c r="HH103" s="0" t="n">
        <v>0</v>
      </c>
      <c r="HI103" s="0" t="n">
        <v>0</v>
      </c>
      <c r="HJ103" s="0" t="n">
        <v>0</v>
      </c>
    </row>
    <row r="104" customFormat="false" ht="15" hidden="false" customHeight="false" outlineLevel="0" collapsed="false">
      <c r="A104" s="0" t="s">
        <v>269</v>
      </c>
      <c r="B104" s="0" t="s">
        <v>268</v>
      </c>
      <c r="C104" s="0" t="n">
        <v>280</v>
      </c>
      <c r="D104" s="0" t="n">
        <v>280</v>
      </c>
      <c r="E104" s="0" t="n">
        <v>280</v>
      </c>
      <c r="F104" s="0" t="n">
        <v>280</v>
      </c>
      <c r="CQ104" s="0" t="s">
        <v>3479</v>
      </c>
      <c r="CR104" s="0" t="s">
        <v>121</v>
      </c>
      <c r="CS104" s="0" t="s">
        <v>588</v>
      </c>
      <c r="CT104" s="0" t="s">
        <v>2801</v>
      </c>
      <c r="CU104" s="0" t="s">
        <v>3111</v>
      </c>
      <c r="CV104" s="0" t="s">
        <v>587</v>
      </c>
      <c r="CW104" s="0" t="n">
        <v>0</v>
      </c>
      <c r="DB104" s="0" t="n">
        <v>2470</v>
      </c>
      <c r="DC104" s="0" t="n">
        <v>2470</v>
      </c>
      <c r="DD104" s="0" t="n">
        <v>2470</v>
      </c>
      <c r="DE104" s="0" t="n">
        <v>2470</v>
      </c>
      <c r="DG104" s="0" t="s">
        <v>3480</v>
      </c>
      <c r="DH104" s="0" t="s">
        <v>82</v>
      </c>
      <c r="DI104" s="0" t="s">
        <v>1145</v>
      </c>
      <c r="DJ104" s="0" t="s">
        <v>1146</v>
      </c>
      <c r="DK104" s="0" t="s">
        <v>705</v>
      </c>
      <c r="DL104" s="0" t="n">
        <v>38.46</v>
      </c>
      <c r="DM104" s="0" t="s">
        <v>675</v>
      </c>
      <c r="DN104" s="0" t="s">
        <v>676</v>
      </c>
      <c r="DO104" s="0" t="n">
        <v>10</v>
      </c>
      <c r="DP104" s="0" t="n">
        <v>170</v>
      </c>
      <c r="DQ104" s="0" t="n">
        <v>170</v>
      </c>
      <c r="DR104" s="0" t="s">
        <v>3481</v>
      </c>
      <c r="EB104" s="0" t="s">
        <v>3482</v>
      </c>
      <c r="EC104" s="0" t="s">
        <v>2970</v>
      </c>
      <c r="EE104" s="0" t="s">
        <v>288</v>
      </c>
      <c r="EL104" s="0" t="s">
        <v>3483</v>
      </c>
      <c r="EM104" s="0" t="s">
        <v>2625</v>
      </c>
      <c r="EN104" s="0" t="s">
        <v>2626</v>
      </c>
      <c r="EO104" s="0" t="n">
        <v>3.5</v>
      </c>
      <c r="EP104" s="0" t="s">
        <v>2528</v>
      </c>
      <c r="EQ104" s="0" t="s">
        <v>2730</v>
      </c>
      <c r="ER104" s="0" t="s">
        <v>2731</v>
      </c>
      <c r="ES104" s="0" t="n">
        <v>25000</v>
      </c>
      <c r="ET104" s="0" t="n">
        <v>25000</v>
      </c>
      <c r="EU104" s="0" t="n">
        <v>25000</v>
      </c>
      <c r="EV104" s="0" t="n">
        <v>25000</v>
      </c>
      <c r="HA104" s="0" t="s">
        <v>3484</v>
      </c>
      <c r="HB104" s="0" t="s">
        <v>86</v>
      </c>
      <c r="HC104" s="0" t="s">
        <v>2637</v>
      </c>
      <c r="HD104" s="0" t="s">
        <v>144</v>
      </c>
      <c r="HE104" s="0" t="n">
        <v>0</v>
      </c>
      <c r="HF104" s="0" t="n">
        <v>0</v>
      </c>
      <c r="HG104" s="0" t="n">
        <v>0</v>
      </c>
      <c r="HH104" s="0" t="n">
        <v>0</v>
      </c>
      <c r="HI104" s="0" t="n">
        <v>0</v>
      </c>
      <c r="HJ104" s="0" t="n">
        <v>0</v>
      </c>
    </row>
    <row r="105" customFormat="false" ht="15" hidden="false" customHeight="false" outlineLevel="0" collapsed="false">
      <c r="A105" s="0" t="s">
        <v>237</v>
      </c>
      <c r="B105" s="0" t="s">
        <v>235</v>
      </c>
      <c r="C105" s="0" t="n">
        <v>2650</v>
      </c>
      <c r="D105" s="0" t="n">
        <v>2650</v>
      </c>
      <c r="E105" s="0" t="n">
        <v>2650</v>
      </c>
      <c r="F105" s="0" t="n">
        <v>2650</v>
      </c>
      <c r="CQ105" s="0" t="s">
        <v>3485</v>
      </c>
      <c r="CR105" s="0" t="s">
        <v>121</v>
      </c>
      <c r="CS105" s="0" t="s">
        <v>586</v>
      </c>
      <c r="CT105" s="0" t="s">
        <v>2815</v>
      </c>
      <c r="CU105" s="0" t="s">
        <v>3111</v>
      </c>
      <c r="CV105" s="0" t="s">
        <v>3161</v>
      </c>
      <c r="CW105" s="0" t="n">
        <v>0</v>
      </c>
      <c r="DB105" s="0" t="n">
        <v>10480</v>
      </c>
      <c r="DC105" s="0" t="n">
        <v>10480</v>
      </c>
      <c r="DD105" s="0" t="n">
        <v>10480</v>
      </c>
      <c r="DE105" s="0" t="n">
        <v>10480</v>
      </c>
      <c r="DG105" s="0" t="s">
        <v>3486</v>
      </c>
      <c r="DH105" s="0" t="s">
        <v>82</v>
      </c>
      <c r="DI105" s="0" t="s">
        <v>1148</v>
      </c>
      <c r="DJ105" s="0" t="s">
        <v>1149</v>
      </c>
      <c r="DK105" s="0" t="s">
        <v>705</v>
      </c>
      <c r="DL105" s="0" t="n">
        <v>38.46</v>
      </c>
      <c r="DM105" s="0" t="s">
        <v>675</v>
      </c>
      <c r="DN105" s="0" t="s">
        <v>676</v>
      </c>
      <c r="DO105" s="0" t="n">
        <v>1</v>
      </c>
      <c r="DP105" s="0" t="n">
        <v>4.31</v>
      </c>
      <c r="DQ105" s="0" t="n">
        <v>4.31</v>
      </c>
      <c r="DR105" s="0" t="s">
        <v>3487</v>
      </c>
      <c r="EB105" s="0" t="s">
        <v>3488</v>
      </c>
      <c r="EC105" s="0" t="s">
        <v>2970</v>
      </c>
      <c r="ED105" s="0" t="s">
        <v>2971</v>
      </c>
      <c r="EE105" s="0" t="s">
        <v>269</v>
      </c>
      <c r="EF105" s="0" t="s">
        <v>3489</v>
      </c>
      <c r="EG105" s="0" t="n">
        <v>695</v>
      </c>
      <c r="EH105" s="0" t="n">
        <v>765</v>
      </c>
      <c r="EI105" s="0" t="n">
        <v>765</v>
      </c>
      <c r="EJ105" s="0" t="n">
        <v>880</v>
      </c>
      <c r="EL105" s="0" t="s">
        <v>3490</v>
      </c>
      <c r="EM105" s="0" t="s">
        <v>2625</v>
      </c>
      <c r="EN105" s="0" t="s">
        <v>2626</v>
      </c>
      <c r="EO105" s="0" t="n">
        <v>4</v>
      </c>
      <c r="EP105" s="0" t="s">
        <v>2528</v>
      </c>
      <c r="EQ105" s="0" t="s">
        <v>2761</v>
      </c>
      <c r="ER105" s="0" t="s">
        <v>2762</v>
      </c>
      <c r="ES105" s="0" t="n">
        <v>28000</v>
      </c>
      <c r="ET105" s="0" t="n">
        <v>28000</v>
      </c>
      <c r="EU105" s="0" t="n">
        <v>28000</v>
      </c>
      <c r="EV105" s="0" t="n">
        <v>28000</v>
      </c>
      <c r="HA105" s="0" t="s">
        <v>3491</v>
      </c>
      <c r="HB105" s="0" t="s">
        <v>86</v>
      </c>
      <c r="HC105" s="0" t="s">
        <v>2652</v>
      </c>
      <c r="HD105" s="0" t="s">
        <v>81</v>
      </c>
      <c r="HE105" s="0" t="n">
        <v>0</v>
      </c>
      <c r="HF105" s="0" t="n">
        <v>0</v>
      </c>
      <c r="HG105" s="0" t="n">
        <v>0</v>
      </c>
      <c r="HH105" s="0" t="n">
        <v>0</v>
      </c>
      <c r="HI105" s="0" t="n">
        <v>0</v>
      </c>
      <c r="HJ105" s="0" t="n">
        <v>0</v>
      </c>
    </row>
    <row r="106" customFormat="false" ht="15" hidden="false" customHeight="false" outlineLevel="0" collapsed="false">
      <c r="A106" s="0" t="s">
        <v>290</v>
      </c>
      <c r="B106" s="0" t="s">
        <v>289</v>
      </c>
      <c r="C106" s="0" t="n">
        <v>420</v>
      </c>
      <c r="D106" s="0" t="n">
        <v>460</v>
      </c>
      <c r="E106" s="0" t="n">
        <v>500</v>
      </c>
      <c r="F106" s="0" t="n">
        <v>500</v>
      </c>
      <c r="CQ106" s="0" t="s">
        <v>3492</v>
      </c>
      <c r="CR106" s="0" t="s">
        <v>121</v>
      </c>
      <c r="CS106" s="0" t="s">
        <v>296</v>
      </c>
      <c r="CT106" s="0" t="s">
        <v>294</v>
      </c>
      <c r="CU106" s="0" t="s">
        <v>2267</v>
      </c>
      <c r="CV106" s="0" t="s">
        <v>295</v>
      </c>
      <c r="CW106" s="0" t="n">
        <v>0</v>
      </c>
      <c r="DB106" s="0" t="n">
        <v>150</v>
      </c>
      <c r="DC106" s="0" t="n">
        <v>150</v>
      </c>
      <c r="DD106" s="0" t="n">
        <v>150</v>
      </c>
      <c r="DE106" s="0" t="n">
        <v>150</v>
      </c>
      <c r="DG106" s="0" t="s">
        <v>3493</v>
      </c>
      <c r="DH106" s="0" t="s">
        <v>82</v>
      </c>
      <c r="DI106" s="0" t="s">
        <v>1151</v>
      </c>
      <c r="DJ106" s="0" t="s">
        <v>1152</v>
      </c>
      <c r="DK106" s="0" t="s">
        <v>705</v>
      </c>
      <c r="DL106" s="0" t="n">
        <v>38.46</v>
      </c>
      <c r="DM106" s="0" t="s">
        <v>676</v>
      </c>
      <c r="DN106" s="0" t="s">
        <v>675</v>
      </c>
      <c r="DO106" s="0" t="n">
        <v>0</v>
      </c>
      <c r="DP106" s="0" t="n">
        <v>0</v>
      </c>
      <c r="DQ106" s="0" t="n">
        <v>205.5</v>
      </c>
      <c r="DR106" s="0" t="s">
        <v>3494</v>
      </c>
      <c r="EB106" s="0" t="s">
        <v>3495</v>
      </c>
      <c r="EC106" s="0" t="s">
        <v>2970</v>
      </c>
      <c r="ED106" s="0" t="s">
        <v>2971</v>
      </c>
      <c r="EE106" s="0" t="s">
        <v>237</v>
      </c>
      <c r="EF106" s="0" t="s">
        <v>3496</v>
      </c>
      <c r="EG106" s="0" t="n">
        <v>1500</v>
      </c>
      <c r="EH106" s="0" t="n">
        <v>1650</v>
      </c>
      <c r="EI106" s="0" t="n">
        <v>1650</v>
      </c>
      <c r="EJ106" s="0" t="n">
        <v>1900</v>
      </c>
      <c r="EL106" s="0" t="s">
        <v>3497</v>
      </c>
      <c r="EM106" s="0" t="s">
        <v>2625</v>
      </c>
      <c r="EN106" s="0" t="s">
        <v>2626</v>
      </c>
      <c r="EO106" s="0" t="n">
        <v>4.5</v>
      </c>
      <c r="EP106" s="0" t="s">
        <v>2528</v>
      </c>
      <c r="EQ106" s="0" t="s">
        <v>2788</v>
      </c>
      <c r="ER106" s="0" t="s">
        <v>2789</v>
      </c>
      <c r="ES106" s="0" t="n">
        <v>31000</v>
      </c>
      <c r="ET106" s="0" t="n">
        <v>31000</v>
      </c>
      <c r="EU106" s="0" t="n">
        <v>31000</v>
      </c>
      <c r="EV106" s="0" t="n">
        <v>31000</v>
      </c>
      <c r="HA106" s="0" t="s">
        <v>3498</v>
      </c>
      <c r="HB106" s="0" t="s">
        <v>86</v>
      </c>
      <c r="HC106" s="0" t="s">
        <v>2669</v>
      </c>
      <c r="HD106" s="0" t="s">
        <v>88</v>
      </c>
      <c r="HE106" s="0" t="n">
        <v>0</v>
      </c>
      <c r="HF106" s="0" t="n">
        <v>0</v>
      </c>
      <c r="HG106" s="0" t="n">
        <v>0</v>
      </c>
      <c r="HH106" s="0" t="n">
        <v>0</v>
      </c>
      <c r="HI106" s="0" t="n">
        <v>0</v>
      </c>
      <c r="HJ106" s="0" t="n">
        <v>0</v>
      </c>
    </row>
    <row r="107" customFormat="false" ht="15" hidden="false" customHeight="false" outlineLevel="0" collapsed="false">
      <c r="A107" s="0" t="s">
        <v>616</v>
      </c>
      <c r="B107" s="0" t="s">
        <v>2612</v>
      </c>
      <c r="C107" s="0" t="n">
        <v>480</v>
      </c>
      <c r="D107" s="0" t="n">
        <v>530</v>
      </c>
      <c r="E107" s="0" t="n">
        <v>570</v>
      </c>
      <c r="F107" s="0" t="n">
        <v>570</v>
      </c>
      <c r="CQ107" s="0" t="s">
        <v>3456</v>
      </c>
      <c r="CR107" s="0" t="s">
        <v>121</v>
      </c>
      <c r="CS107" s="0" t="s">
        <v>562</v>
      </c>
      <c r="CT107" s="0" t="s">
        <v>2986</v>
      </c>
      <c r="CU107" s="0" t="s">
        <v>79</v>
      </c>
      <c r="CV107" s="0" t="s">
        <v>3126</v>
      </c>
      <c r="CW107" s="0" t="n">
        <v>0</v>
      </c>
      <c r="DB107" s="0" t="n">
        <v>550</v>
      </c>
      <c r="DC107" s="0" t="n">
        <v>850</v>
      </c>
      <c r="DD107" s="0" t="n">
        <v>1200</v>
      </c>
      <c r="DE107" s="0" t="n">
        <v>1200</v>
      </c>
      <c r="DG107" s="0" t="s">
        <v>3499</v>
      </c>
      <c r="DH107" s="0" t="s">
        <v>82</v>
      </c>
      <c r="DI107" s="0" t="s">
        <v>1155</v>
      </c>
      <c r="DJ107" s="0" t="s">
        <v>195</v>
      </c>
      <c r="DK107" s="0" t="s">
        <v>705</v>
      </c>
      <c r="DL107" s="0" t="n">
        <v>38.46</v>
      </c>
      <c r="DM107" s="0" t="s">
        <v>675</v>
      </c>
      <c r="DN107" s="0" t="s">
        <v>676</v>
      </c>
      <c r="DO107" s="0" t="n">
        <v>2</v>
      </c>
      <c r="DP107" s="0" t="n">
        <v>53250</v>
      </c>
      <c r="DQ107" s="0" t="n">
        <v>53250</v>
      </c>
      <c r="DR107" s="0" t="s">
        <v>3500</v>
      </c>
      <c r="EB107" s="0" t="s">
        <v>3501</v>
      </c>
      <c r="EC107" s="0" t="s">
        <v>2970</v>
      </c>
      <c r="EE107" s="0" t="s">
        <v>249</v>
      </c>
      <c r="EL107" s="0" t="s">
        <v>3502</v>
      </c>
      <c r="EM107" s="0" t="s">
        <v>2625</v>
      </c>
      <c r="EN107" s="0" t="s">
        <v>2626</v>
      </c>
      <c r="EO107" s="0" t="n">
        <v>5</v>
      </c>
      <c r="EP107" s="0" t="s">
        <v>2528</v>
      </c>
      <c r="EQ107" s="0" t="s">
        <v>2817</v>
      </c>
      <c r="ER107" s="0" t="s">
        <v>2818</v>
      </c>
      <c r="ES107" s="0" t="n">
        <v>34000</v>
      </c>
      <c r="ET107" s="0" t="n">
        <v>34000</v>
      </c>
      <c r="EU107" s="0" t="n">
        <v>34000</v>
      </c>
      <c r="EV107" s="0" t="n">
        <v>34000</v>
      </c>
      <c r="HA107" s="0" t="s">
        <v>3503</v>
      </c>
      <c r="HB107" s="0" t="s">
        <v>86</v>
      </c>
      <c r="HC107" s="0" t="s">
        <v>2686</v>
      </c>
      <c r="HD107" s="0" t="s">
        <v>90</v>
      </c>
      <c r="HE107" s="0" t="n">
        <v>0</v>
      </c>
      <c r="HF107" s="0" t="n">
        <v>0</v>
      </c>
      <c r="HG107" s="0" t="n">
        <v>0</v>
      </c>
      <c r="HH107" s="0" t="n">
        <v>0</v>
      </c>
      <c r="HI107" s="0" t="n">
        <v>0</v>
      </c>
      <c r="HJ107" s="0" t="n">
        <v>0</v>
      </c>
    </row>
    <row r="108" customFormat="false" ht="15" hidden="false" customHeight="false" outlineLevel="0" collapsed="false">
      <c r="A108" s="0" t="s">
        <v>614</v>
      </c>
      <c r="B108" s="0" t="s">
        <v>2628</v>
      </c>
      <c r="C108" s="0" t="n">
        <v>980</v>
      </c>
      <c r="D108" s="0" t="n">
        <v>1080</v>
      </c>
      <c r="E108" s="0" t="n">
        <v>1170</v>
      </c>
      <c r="F108" s="0" t="n">
        <v>1170</v>
      </c>
      <c r="CQ108" s="0" t="s">
        <v>3504</v>
      </c>
      <c r="CR108" s="0" t="s">
        <v>125</v>
      </c>
      <c r="CS108" s="0" t="s">
        <v>290</v>
      </c>
      <c r="CT108" s="0" t="s">
        <v>289</v>
      </c>
      <c r="CU108" s="0" t="s">
        <v>81</v>
      </c>
      <c r="CV108" s="0" t="s">
        <v>289</v>
      </c>
      <c r="CW108" s="0" t="n">
        <v>0</v>
      </c>
      <c r="DB108" s="0" t="n">
        <v>420</v>
      </c>
      <c r="DC108" s="0" t="n">
        <v>460</v>
      </c>
      <c r="DD108" s="0" t="n">
        <v>500</v>
      </c>
      <c r="DE108" s="0" t="n">
        <v>500</v>
      </c>
      <c r="DG108" s="0" t="s">
        <v>3505</v>
      </c>
      <c r="DH108" s="0" t="s">
        <v>82</v>
      </c>
      <c r="DI108" s="0" t="s">
        <v>1158</v>
      </c>
      <c r="DJ108" s="0" t="s">
        <v>1159</v>
      </c>
      <c r="DK108" s="0" t="s">
        <v>705</v>
      </c>
      <c r="DL108" s="0" t="n">
        <v>38.46</v>
      </c>
      <c r="DM108" s="0" t="s">
        <v>676</v>
      </c>
      <c r="DN108" s="0" t="s">
        <v>676</v>
      </c>
      <c r="DO108" s="0" t="n">
        <v>1</v>
      </c>
      <c r="DP108" s="0" t="n">
        <v>169.69</v>
      </c>
      <c r="DQ108" s="0" t="n">
        <v>172.84</v>
      </c>
      <c r="DR108" s="0" t="s">
        <v>3506</v>
      </c>
      <c r="EB108" s="0" t="s">
        <v>3507</v>
      </c>
      <c r="EC108" s="0" t="s">
        <v>2970</v>
      </c>
      <c r="EE108" s="0" t="s">
        <v>293</v>
      </c>
      <c r="EL108" s="0" t="s">
        <v>3508</v>
      </c>
      <c r="EM108" s="0" t="s">
        <v>2625</v>
      </c>
      <c r="EN108" s="0" t="s">
        <v>2626</v>
      </c>
      <c r="EO108" s="0" t="n">
        <v>5.5</v>
      </c>
      <c r="EP108" s="0" t="s">
        <v>2528</v>
      </c>
      <c r="EQ108" s="0" t="s">
        <v>2848</v>
      </c>
      <c r="ER108" s="0" t="s">
        <v>2849</v>
      </c>
      <c r="ES108" s="0" t="n">
        <v>37000</v>
      </c>
      <c r="ET108" s="0" t="n">
        <v>37000</v>
      </c>
      <c r="EU108" s="0" t="n">
        <v>37000</v>
      </c>
      <c r="EV108" s="0" t="n">
        <v>37000</v>
      </c>
      <c r="HA108" s="0" t="s">
        <v>3509</v>
      </c>
      <c r="HB108" s="0" t="s">
        <v>86</v>
      </c>
      <c r="HC108" s="0" t="s">
        <v>2702</v>
      </c>
      <c r="HD108" s="0" t="s">
        <v>99</v>
      </c>
      <c r="HE108" s="0" t="n">
        <v>0</v>
      </c>
      <c r="HF108" s="0" t="n">
        <v>0</v>
      </c>
      <c r="HG108" s="0" t="n">
        <v>0</v>
      </c>
      <c r="HH108" s="0" t="n">
        <v>0</v>
      </c>
      <c r="HI108" s="0" t="n">
        <v>0</v>
      </c>
      <c r="HJ108" s="0" t="n">
        <v>0</v>
      </c>
    </row>
    <row r="109" customFormat="false" ht="15" hidden="false" customHeight="false" outlineLevel="0" collapsed="false">
      <c r="A109" s="0" t="s">
        <v>612</v>
      </c>
      <c r="B109" s="0" t="s">
        <v>2647</v>
      </c>
      <c r="C109" s="0" t="n">
        <v>740</v>
      </c>
      <c r="D109" s="0" t="n">
        <v>820</v>
      </c>
      <c r="E109" s="0" t="n">
        <v>880</v>
      </c>
      <c r="F109" s="0" t="n">
        <v>880</v>
      </c>
      <c r="CQ109" s="0" t="s">
        <v>3510</v>
      </c>
      <c r="CR109" s="0" t="s">
        <v>125</v>
      </c>
      <c r="CS109" s="0" t="s">
        <v>275</v>
      </c>
      <c r="CT109" s="0" t="s">
        <v>273</v>
      </c>
      <c r="CU109" s="0" t="s">
        <v>81</v>
      </c>
      <c r="CV109" s="0" t="s">
        <v>274</v>
      </c>
      <c r="CW109" s="0" t="n">
        <v>0</v>
      </c>
      <c r="DB109" s="0" t="n">
        <v>1000</v>
      </c>
      <c r="DC109" s="0" t="n">
        <v>1110</v>
      </c>
      <c r="DD109" s="0" t="n">
        <v>1200</v>
      </c>
      <c r="DE109" s="0" t="n">
        <v>1200</v>
      </c>
      <c r="DG109" s="0" t="s">
        <v>3511</v>
      </c>
      <c r="DH109" s="0" t="s">
        <v>82</v>
      </c>
      <c r="DI109" s="0" t="s">
        <v>1164</v>
      </c>
      <c r="DJ109" s="0" t="s">
        <v>1165</v>
      </c>
      <c r="DK109" s="0" t="s">
        <v>705</v>
      </c>
      <c r="DL109" s="0" t="n">
        <v>38.46</v>
      </c>
      <c r="DM109" s="0" t="s">
        <v>676</v>
      </c>
      <c r="DN109" s="0" t="s">
        <v>675</v>
      </c>
      <c r="DO109" s="0" t="n">
        <v>0</v>
      </c>
      <c r="DP109" s="0" t="n">
        <v>0</v>
      </c>
      <c r="DQ109" s="0" t="n">
        <v>175.5</v>
      </c>
      <c r="DR109" s="0" t="s">
        <v>3512</v>
      </c>
      <c r="EB109" s="0" t="s">
        <v>3513</v>
      </c>
      <c r="EC109" s="0" t="s">
        <v>2970</v>
      </c>
      <c r="EE109" s="0" t="s">
        <v>280</v>
      </c>
      <c r="EL109" s="0" t="s">
        <v>3514</v>
      </c>
      <c r="EM109" s="0" t="s">
        <v>2625</v>
      </c>
      <c r="EN109" s="0" t="s">
        <v>2626</v>
      </c>
      <c r="EO109" s="0" t="n">
        <v>6</v>
      </c>
      <c r="EP109" s="0" t="s">
        <v>2528</v>
      </c>
      <c r="EQ109" s="0" t="s">
        <v>2877</v>
      </c>
      <c r="ER109" s="0" t="s">
        <v>2878</v>
      </c>
      <c r="ES109" s="0" t="n">
        <v>40000</v>
      </c>
      <c r="ET109" s="0" t="n">
        <v>40000</v>
      </c>
      <c r="EU109" s="0" t="n">
        <v>40000</v>
      </c>
      <c r="EV109" s="0" t="n">
        <v>40000</v>
      </c>
      <c r="HA109" s="0" t="s">
        <v>3515</v>
      </c>
      <c r="HB109" s="0" t="s">
        <v>86</v>
      </c>
      <c r="HC109" s="0" t="s">
        <v>2687</v>
      </c>
      <c r="HD109" s="0" t="s">
        <v>145</v>
      </c>
      <c r="HE109" s="0" t="n">
        <v>0</v>
      </c>
      <c r="HF109" s="0" t="n">
        <v>0</v>
      </c>
      <c r="HG109" s="0" t="n">
        <v>0</v>
      </c>
      <c r="HH109" s="0" t="n">
        <v>0</v>
      </c>
      <c r="HI109" s="0" t="n">
        <v>0</v>
      </c>
      <c r="HJ109" s="0" t="n">
        <v>0</v>
      </c>
    </row>
    <row r="110" customFormat="false" ht="15" hidden="false" customHeight="false" outlineLevel="0" collapsed="false">
      <c r="A110" s="0" t="s">
        <v>240</v>
      </c>
      <c r="B110" s="0" t="s">
        <v>238</v>
      </c>
      <c r="C110" s="0" t="n">
        <v>3620</v>
      </c>
      <c r="D110" s="0" t="n">
        <v>3620</v>
      </c>
      <c r="E110" s="0" t="n">
        <v>3620</v>
      </c>
      <c r="F110" s="0" t="n">
        <v>3620</v>
      </c>
      <c r="CQ110" s="0" t="s">
        <v>3516</v>
      </c>
      <c r="CR110" s="0" t="s">
        <v>125</v>
      </c>
      <c r="CS110" s="0" t="s">
        <v>557</v>
      </c>
      <c r="CT110" s="0" t="s">
        <v>554</v>
      </c>
      <c r="CU110" s="0" t="s">
        <v>81</v>
      </c>
      <c r="CV110" s="0" t="s">
        <v>274</v>
      </c>
      <c r="CW110" s="0" t="n">
        <v>0</v>
      </c>
      <c r="DB110" s="0" t="n">
        <v>1670</v>
      </c>
      <c r="DC110" s="0" t="n">
        <v>1850</v>
      </c>
      <c r="DD110" s="0" t="n">
        <v>1990</v>
      </c>
      <c r="DE110" s="0" t="n">
        <v>1990</v>
      </c>
      <c r="DG110" s="0" t="s">
        <v>3517</v>
      </c>
      <c r="DH110" s="0" t="s">
        <v>82</v>
      </c>
      <c r="DJ110" s="0" t="s">
        <v>881</v>
      </c>
      <c r="DK110" s="0" t="s">
        <v>674</v>
      </c>
      <c r="DL110" s="0" t="n">
        <v>34.62</v>
      </c>
      <c r="DM110" s="0" t="s">
        <v>675</v>
      </c>
      <c r="DN110" s="0" t="s">
        <v>675</v>
      </c>
      <c r="DO110" s="0" t="n">
        <v>0</v>
      </c>
      <c r="DP110" s="0" t="n">
        <v>0</v>
      </c>
      <c r="DQ110" s="0" t="n">
        <v>0</v>
      </c>
      <c r="DR110" s="0" t="s">
        <v>3073</v>
      </c>
      <c r="EB110" s="0" t="s">
        <v>3518</v>
      </c>
      <c r="EC110" s="0" t="s">
        <v>2970</v>
      </c>
      <c r="ED110" s="0" t="s">
        <v>2971</v>
      </c>
      <c r="EE110" s="0" t="s">
        <v>264</v>
      </c>
      <c r="EF110" s="0" t="s">
        <v>262</v>
      </c>
      <c r="EG110" s="0" t="n">
        <v>580</v>
      </c>
      <c r="EH110" s="0" t="n">
        <v>640</v>
      </c>
      <c r="EI110" s="0" t="n">
        <v>640</v>
      </c>
      <c r="EJ110" s="0" t="n">
        <v>735</v>
      </c>
      <c r="EL110" s="0" t="s">
        <v>3519</v>
      </c>
      <c r="EM110" s="0" t="s">
        <v>2625</v>
      </c>
      <c r="EN110" s="0" t="s">
        <v>2626</v>
      </c>
      <c r="EO110" s="0" t="n">
        <v>6.5</v>
      </c>
      <c r="EP110" s="0" t="s">
        <v>2528</v>
      </c>
      <c r="EQ110" s="0" t="s">
        <v>2904</v>
      </c>
      <c r="ER110" s="0" t="s">
        <v>2905</v>
      </c>
      <c r="ES110" s="0" t="n">
        <v>43000</v>
      </c>
      <c r="ET110" s="0" t="n">
        <v>43000</v>
      </c>
      <c r="EU110" s="0" t="n">
        <v>43000</v>
      </c>
      <c r="EV110" s="0" t="n">
        <v>43000</v>
      </c>
      <c r="HA110" s="0" t="s">
        <v>3520</v>
      </c>
      <c r="HB110" s="0" t="s">
        <v>86</v>
      </c>
      <c r="HC110" s="0" t="s">
        <v>2736</v>
      </c>
      <c r="HD110" s="0" t="s">
        <v>89</v>
      </c>
      <c r="HE110" s="0" t="n">
        <v>0</v>
      </c>
      <c r="HF110" s="0" t="n">
        <v>0</v>
      </c>
      <c r="HG110" s="0" t="n">
        <v>0</v>
      </c>
      <c r="HH110" s="0" t="n">
        <v>0</v>
      </c>
      <c r="HI110" s="0" t="n">
        <v>0</v>
      </c>
      <c r="HJ110" s="0" t="n">
        <v>0</v>
      </c>
    </row>
    <row r="111" customFormat="false" ht="15" hidden="false" customHeight="false" outlineLevel="0" collapsed="false">
      <c r="A111" s="0" t="s">
        <v>609</v>
      </c>
      <c r="B111" s="0" t="s">
        <v>2663</v>
      </c>
      <c r="C111" s="0" t="n">
        <v>350</v>
      </c>
      <c r="D111" s="0" t="n">
        <v>350</v>
      </c>
      <c r="E111" s="0" t="n">
        <v>350</v>
      </c>
      <c r="F111" s="0" t="n">
        <v>350</v>
      </c>
      <c r="CQ111" s="0" t="s">
        <v>3521</v>
      </c>
      <c r="CR111" s="0" t="s">
        <v>125</v>
      </c>
      <c r="CS111" s="0" t="s">
        <v>298</v>
      </c>
      <c r="CT111" s="0" t="s">
        <v>297</v>
      </c>
      <c r="CU111" s="0" t="s">
        <v>81</v>
      </c>
      <c r="CV111" s="0" t="s">
        <v>274</v>
      </c>
      <c r="CW111" s="0" t="n">
        <v>0</v>
      </c>
      <c r="DB111" s="0" t="n">
        <v>1</v>
      </c>
      <c r="DC111" s="0" t="n">
        <v>1</v>
      </c>
      <c r="DD111" s="0" t="n">
        <v>1</v>
      </c>
      <c r="DE111" s="0" t="n">
        <v>1</v>
      </c>
      <c r="DG111" s="0" t="s">
        <v>3522</v>
      </c>
      <c r="DH111" s="0" t="s">
        <v>82</v>
      </c>
      <c r="DI111" s="0" t="s">
        <v>1171</v>
      </c>
      <c r="DJ111" s="0" t="s">
        <v>1172</v>
      </c>
      <c r="DK111" s="0" t="s">
        <v>674</v>
      </c>
      <c r="DL111" s="0" t="n">
        <v>34.62</v>
      </c>
      <c r="DM111" s="0" t="s">
        <v>676</v>
      </c>
      <c r="DN111" s="0" t="s">
        <v>675</v>
      </c>
      <c r="DO111" s="0" t="n">
        <v>0</v>
      </c>
      <c r="DP111" s="0" t="n">
        <v>0</v>
      </c>
      <c r="DQ111" s="0" t="n">
        <v>2.64</v>
      </c>
      <c r="DR111" s="0" t="s">
        <v>3523</v>
      </c>
      <c r="EB111" s="0" t="s">
        <v>3524</v>
      </c>
      <c r="EC111" s="0" t="s">
        <v>2970</v>
      </c>
      <c r="EE111" s="0" t="s">
        <v>278</v>
      </c>
      <c r="EL111" s="0" t="s">
        <v>3525</v>
      </c>
      <c r="EM111" s="0" t="s">
        <v>2625</v>
      </c>
      <c r="EN111" s="0" t="s">
        <v>2626</v>
      </c>
      <c r="EO111" s="0" t="n">
        <v>7</v>
      </c>
      <c r="EP111" s="0" t="s">
        <v>2528</v>
      </c>
      <c r="EQ111" s="0" t="s">
        <v>2935</v>
      </c>
      <c r="ER111" s="0" t="s">
        <v>2936</v>
      </c>
      <c r="ES111" s="0" t="n">
        <v>46000</v>
      </c>
      <c r="ET111" s="0" t="n">
        <v>46000</v>
      </c>
      <c r="EU111" s="0" t="n">
        <v>46000</v>
      </c>
      <c r="EV111" s="0" t="n">
        <v>46000</v>
      </c>
      <c r="HA111" s="0" t="s">
        <v>3526</v>
      </c>
      <c r="HB111" s="0" t="s">
        <v>86</v>
      </c>
      <c r="HC111" s="0" t="s">
        <v>2703</v>
      </c>
      <c r="HD111" s="0" t="s">
        <v>146</v>
      </c>
      <c r="HE111" s="0" t="n">
        <v>0</v>
      </c>
      <c r="HF111" s="0" t="n">
        <v>0</v>
      </c>
      <c r="HG111" s="0" t="n">
        <v>0</v>
      </c>
      <c r="HH111" s="0" t="n">
        <v>0</v>
      </c>
      <c r="HI111" s="0" t="n">
        <v>0</v>
      </c>
      <c r="HJ111" s="0" t="n">
        <v>0</v>
      </c>
    </row>
    <row r="112" customFormat="false" ht="15" hidden="false" customHeight="false" outlineLevel="0" collapsed="false">
      <c r="A112" s="0" t="s">
        <v>252</v>
      </c>
      <c r="B112" s="0" t="s">
        <v>250</v>
      </c>
      <c r="C112" s="0" t="n">
        <v>890</v>
      </c>
      <c r="D112" s="0" t="n">
        <v>890</v>
      </c>
      <c r="E112" s="0" t="n">
        <v>890</v>
      </c>
      <c r="F112" s="0" t="n">
        <v>890</v>
      </c>
      <c r="CQ112" s="0" t="s">
        <v>3527</v>
      </c>
      <c r="CR112" s="0" t="s">
        <v>125</v>
      </c>
      <c r="CS112" s="0" t="s">
        <v>626</v>
      </c>
      <c r="CT112" s="0" t="s">
        <v>2526</v>
      </c>
      <c r="CU112" s="0" t="s">
        <v>81</v>
      </c>
      <c r="CV112" s="0" t="s">
        <v>285</v>
      </c>
      <c r="CW112" s="0" t="n">
        <v>0</v>
      </c>
      <c r="DB112" s="0" t="n">
        <v>360</v>
      </c>
      <c r="DC112" s="0" t="n">
        <v>400</v>
      </c>
      <c r="DD112" s="0" t="n">
        <v>430</v>
      </c>
      <c r="DE112" s="0" t="n">
        <v>430</v>
      </c>
      <c r="DG112" s="0" t="s">
        <v>3528</v>
      </c>
      <c r="DH112" s="0" t="s">
        <v>82</v>
      </c>
      <c r="DI112" s="0" t="s">
        <v>1176</v>
      </c>
      <c r="DJ112" s="0" t="s">
        <v>1177</v>
      </c>
      <c r="DK112" s="0" t="s">
        <v>674</v>
      </c>
      <c r="DL112" s="0" t="n">
        <v>34.62</v>
      </c>
      <c r="DM112" s="0" t="s">
        <v>676</v>
      </c>
      <c r="DN112" s="0" t="s">
        <v>676</v>
      </c>
      <c r="DO112" s="0" t="n">
        <v>0</v>
      </c>
      <c r="DP112" s="0" t="n">
        <v>0</v>
      </c>
      <c r="DQ112" s="0" t="n">
        <v>420</v>
      </c>
      <c r="DR112" s="0" t="s">
        <v>3529</v>
      </c>
      <c r="EB112" s="0" t="s">
        <v>3530</v>
      </c>
      <c r="EC112" s="0" t="s">
        <v>2970</v>
      </c>
      <c r="ED112" s="0" t="s">
        <v>2971</v>
      </c>
      <c r="EE112" s="0" t="s">
        <v>240</v>
      </c>
      <c r="EF112" s="0" t="s">
        <v>238</v>
      </c>
      <c r="EG112" s="0" t="n">
        <v>4500</v>
      </c>
      <c r="EH112" s="0" t="n">
        <v>4500</v>
      </c>
      <c r="EI112" s="0" t="n">
        <v>4500</v>
      </c>
      <c r="EJ112" s="0" t="n">
        <v>4500</v>
      </c>
      <c r="EL112" s="0" t="s">
        <v>3531</v>
      </c>
      <c r="EM112" s="0" t="s">
        <v>2625</v>
      </c>
      <c r="EN112" s="0" t="s">
        <v>2626</v>
      </c>
      <c r="EO112" s="0" t="n">
        <v>7.5</v>
      </c>
      <c r="EP112" s="0" t="s">
        <v>2528</v>
      </c>
      <c r="EQ112" s="0" t="s">
        <v>2961</v>
      </c>
      <c r="ER112" s="0" t="s">
        <v>2962</v>
      </c>
      <c r="ES112" s="0" t="n">
        <v>49000</v>
      </c>
      <c r="ET112" s="0" t="n">
        <v>49000</v>
      </c>
      <c r="EU112" s="0" t="n">
        <v>49000</v>
      </c>
      <c r="EV112" s="0" t="n">
        <v>49000</v>
      </c>
      <c r="HA112" s="0" t="s">
        <v>3532</v>
      </c>
      <c r="HB112" s="0" t="s">
        <v>86</v>
      </c>
      <c r="HC112" s="0" t="s">
        <v>2764</v>
      </c>
      <c r="HD112" s="0" t="s">
        <v>92</v>
      </c>
      <c r="HE112" s="0" t="n">
        <v>0</v>
      </c>
      <c r="HF112" s="0" t="n">
        <v>0</v>
      </c>
      <c r="HG112" s="0" t="n">
        <v>0</v>
      </c>
      <c r="HH112" s="0" t="n">
        <v>0</v>
      </c>
      <c r="HI112" s="0" t="n">
        <v>0</v>
      </c>
      <c r="HJ112" s="0" t="n">
        <v>0</v>
      </c>
    </row>
    <row r="113" customFormat="false" ht="15" hidden="false" customHeight="false" outlineLevel="0" collapsed="false">
      <c r="A113" s="0" t="s">
        <v>607</v>
      </c>
      <c r="B113" s="0" t="s">
        <v>2680</v>
      </c>
      <c r="C113" s="0" t="n">
        <v>850</v>
      </c>
      <c r="D113" s="0" t="n">
        <v>850</v>
      </c>
      <c r="E113" s="0" t="n">
        <v>850</v>
      </c>
      <c r="F113" s="0" t="n">
        <v>850</v>
      </c>
      <c r="CQ113" s="0" t="s">
        <v>3533</v>
      </c>
      <c r="CR113" s="0" t="s">
        <v>125</v>
      </c>
      <c r="CS113" s="0" t="s">
        <v>624</v>
      </c>
      <c r="CT113" s="0" t="s">
        <v>2550</v>
      </c>
      <c r="CU113" s="0" t="s">
        <v>81</v>
      </c>
      <c r="CV113" s="0" t="s">
        <v>285</v>
      </c>
      <c r="CW113" s="0" t="n">
        <v>0</v>
      </c>
      <c r="DB113" s="0" t="n">
        <v>580</v>
      </c>
      <c r="DC113" s="0" t="n">
        <v>660</v>
      </c>
      <c r="DD113" s="0" t="n">
        <v>760</v>
      </c>
      <c r="DE113" s="0" t="n">
        <v>800</v>
      </c>
      <c r="DG113" s="0" t="s">
        <v>3534</v>
      </c>
      <c r="DH113" s="0" t="s">
        <v>82</v>
      </c>
      <c r="DI113" s="0" t="s">
        <v>476</v>
      </c>
      <c r="DJ113" s="0" t="s">
        <v>1180</v>
      </c>
      <c r="DK113" s="0" t="s">
        <v>1181</v>
      </c>
      <c r="DL113" s="0" t="n">
        <v>34.62</v>
      </c>
      <c r="DM113" s="0" t="s">
        <v>675</v>
      </c>
      <c r="DN113" s="0" t="s">
        <v>676</v>
      </c>
      <c r="DO113" s="0" t="n">
        <v>1</v>
      </c>
      <c r="DP113" s="0" t="n">
        <v>5730</v>
      </c>
      <c r="DQ113" s="0" t="n">
        <v>5730</v>
      </c>
      <c r="DR113" s="0" t="s">
        <v>3535</v>
      </c>
      <c r="EB113" s="0" t="s">
        <v>3536</v>
      </c>
      <c r="EC113" s="0" t="s">
        <v>2970</v>
      </c>
      <c r="ED113" s="0" t="s">
        <v>2971</v>
      </c>
      <c r="EE113" s="0" t="s">
        <v>252</v>
      </c>
      <c r="EF113" s="0" t="s">
        <v>250</v>
      </c>
      <c r="EG113" s="0" t="n">
        <v>750</v>
      </c>
      <c r="EH113" s="0" t="n">
        <v>750</v>
      </c>
      <c r="EI113" s="0" t="n">
        <v>750</v>
      </c>
      <c r="EJ113" s="0" t="n">
        <v>750</v>
      </c>
      <c r="EL113" s="0" t="s">
        <v>3537</v>
      </c>
      <c r="EM113" s="0" t="s">
        <v>2625</v>
      </c>
      <c r="EN113" s="0" t="s">
        <v>2626</v>
      </c>
      <c r="EO113" s="0" t="n">
        <v>8</v>
      </c>
      <c r="EP113" s="0" t="s">
        <v>2528</v>
      </c>
      <c r="EQ113" s="0" t="s">
        <v>2988</v>
      </c>
      <c r="ER113" s="0" t="s">
        <v>2989</v>
      </c>
      <c r="ES113" s="0" t="n">
        <v>52000</v>
      </c>
      <c r="ET113" s="0" t="n">
        <v>52000</v>
      </c>
      <c r="EU113" s="0" t="n">
        <v>52000</v>
      </c>
      <c r="EV113" s="0" t="n">
        <v>52000</v>
      </c>
      <c r="HA113" s="0" t="s">
        <v>3538</v>
      </c>
      <c r="HB113" s="0" t="s">
        <v>86</v>
      </c>
      <c r="HC113" s="0" t="s">
        <v>2718</v>
      </c>
      <c r="HD113" s="0" t="s">
        <v>95</v>
      </c>
      <c r="HE113" s="0" t="n">
        <v>0</v>
      </c>
      <c r="HF113" s="0" t="n">
        <v>0</v>
      </c>
      <c r="HG113" s="0" t="n">
        <v>0</v>
      </c>
      <c r="HH113" s="0" t="n">
        <v>0</v>
      </c>
      <c r="HI113" s="0" t="n">
        <v>0</v>
      </c>
      <c r="HJ113" s="0" t="n">
        <v>0</v>
      </c>
    </row>
    <row r="114" customFormat="false" ht="15" hidden="false" customHeight="false" outlineLevel="0" collapsed="false">
      <c r="A114" s="0" t="s">
        <v>229</v>
      </c>
      <c r="B114" s="0" t="s">
        <v>227</v>
      </c>
      <c r="C114" s="0" t="n">
        <v>270</v>
      </c>
      <c r="D114" s="0" t="n">
        <v>300</v>
      </c>
      <c r="E114" s="0" t="n">
        <v>330</v>
      </c>
      <c r="F114" s="0" t="n">
        <v>350</v>
      </c>
      <c r="CQ114" s="0" t="s">
        <v>3539</v>
      </c>
      <c r="CR114" s="0" t="s">
        <v>125</v>
      </c>
      <c r="CS114" s="0" t="s">
        <v>622</v>
      </c>
      <c r="CT114" s="0" t="s">
        <v>2567</v>
      </c>
      <c r="CU114" s="0" t="s">
        <v>81</v>
      </c>
      <c r="CV114" s="0" t="s">
        <v>285</v>
      </c>
      <c r="CW114" s="0" t="n">
        <v>0</v>
      </c>
      <c r="DB114" s="0" t="n">
        <v>1230</v>
      </c>
      <c r="DC114" s="0" t="n">
        <v>1360</v>
      </c>
      <c r="DD114" s="0" t="n">
        <v>1470</v>
      </c>
      <c r="DE114" s="0" t="n">
        <v>1470</v>
      </c>
      <c r="DG114" s="0" t="s">
        <v>3540</v>
      </c>
      <c r="DH114" s="0" t="s">
        <v>82</v>
      </c>
      <c r="DI114" s="0" t="s">
        <v>982</v>
      </c>
      <c r="DJ114" s="0" t="s">
        <v>1183</v>
      </c>
      <c r="DK114" s="0" t="s">
        <v>705</v>
      </c>
      <c r="DL114" s="0" t="n">
        <v>34.62</v>
      </c>
      <c r="DM114" s="0" t="s">
        <v>676</v>
      </c>
      <c r="DN114" s="0" t="s">
        <v>675</v>
      </c>
      <c r="DO114" s="0" t="n">
        <v>0</v>
      </c>
      <c r="DP114" s="0" t="n">
        <v>0</v>
      </c>
      <c r="DQ114" s="0" t="n">
        <v>100</v>
      </c>
      <c r="DR114" s="0" t="s">
        <v>3541</v>
      </c>
      <c r="EB114" s="0" t="s">
        <v>3542</v>
      </c>
      <c r="EC114" s="0" t="s">
        <v>2970</v>
      </c>
      <c r="ED114" s="0" t="s">
        <v>2971</v>
      </c>
      <c r="EE114" s="0" t="s">
        <v>229</v>
      </c>
      <c r="EF114" s="0" t="s">
        <v>227</v>
      </c>
      <c r="EG114" s="0" t="n">
        <v>85</v>
      </c>
      <c r="EH114" s="0" t="n">
        <v>95</v>
      </c>
      <c r="EI114" s="0" t="n">
        <v>95</v>
      </c>
      <c r="EJ114" s="0" t="n">
        <v>110</v>
      </c>
      <c r="EL114" s="0" t="s">
        <v>3543</v>
      </c>
      <c r="EM114" s="0" t="s">
        <v>2873</v>
      </c>
      <c r="EN114" s="0" t="s">
        <v>2874</v>
      </c>
      <c r="EO114" s="0" t="n">
        <v>0.5</v>
      </c>
      <c r="EP114" s="0" t="s">
        <v>2528</v>
      </c>
      <c r="EQ114" s="0" t="s">
        <v>2529</v>
      </c>
      <c r="ER114" s="0" t="s">
        <v>2530</v>
      </c>
      <c r="ES114" s="0" t="n">
        <v>4000</v>
      </c>
      <c r="ET114" s="0" t="n">
        <v>4000</v>
      </c>
      <c r="EU114" s="0" t="n">
        <v>4000</v>
      </c>
      <c r="EV114" s="0" t="n">
        <v>4000</v>
      </c>
      <c r="HA114" s="0" t="s">
        <v>3544</v>
      </c>
      <c r="HB114" s="0" t="s">
        <v>86</v>
      </c>
      <c r="HC114" s="0" t="s">
        <v>2737</v>
      </c>
      <c r="HD114" s="0" t="s">
        <v>98</v>
      </c>
      <c r="HE114" s="0" t="n">
        <v>0</v>
      </c>
      <c r="HF114" s="0" t="n">
        <v>0</v>
      </c>
      <c r="HG114" s="0" t="n">
        <v>0</v>
      </c>
      <c r="HH114" s="0" t="n">
        <v>0</v>
      </c>
      <c r="HI114" s="0" t="n">
        <v>0</v>
      </c>
      <c r="HJ114" s="0" t="n">
        <v>0</v>
      </c>
    </row>
    <row r="115" customFormat="false" ht="15" hidden="false" customHeight="false" outlineLevel="0" collapsed="false">
      <c r="A115" s="0" t="s">
        <v>246</v>
      </c>
      <c r="B115" s="0" t="s">
        <v>244</v>
      </c>
      <c r="C115" s="0" t="n">
        <v>730</v>
      </c>
      <c r="D115" s="0" t="n">
        <v>800</v>
      </c>
      <c r="E115" s="0" t="n">
        <v>870</v>
      </c>
      <c r="F115" s="0" t="n">
        <v>870</v>
      </c>
      <c r="CQ115" s="0" t="s">
        <v>3545</v>
      </c>
      <c r="CR115" s="0" t="s">
        <v>125</v>
      </c>
      <c r="CS115" s="0" t="s">
        <v>620</v>
      </c>
      <c r="CT115" s="0" t="s">
        <v>2580</v>
      </c>
      <c r="CU115" s="0" t="s">
        <v>81</v>
      </c>
      <c r="CV115" s="0" t="s">
        <v>285</v>
      </c>
      <c r="CW115" s="0" t="n">
        <v>0</v>
      </c>
      <c r="DB115" s="0" t="n">
        <v>730</v>
      </c>
      <c r="DC115" s="0" t="n">
        <v>800</v>
      </c>
      <c r="DD115" s="0" t="n">
        <v>870</v>
      </c>
      <c r="DE115" s="0" t="n">
        <v>870</v>
      </c>
      <c r="DG115" s="0" t="s">
        <v>3546</v>
      </c>
      <c r="DH115" s="0" t="s">
        <v>82</v>
      </c>
      <c r="DI115" s="0" t="s">
        <v>1184</v>
      </c>
      <c r="DJ115" s="0" t="s">
        <v>1185</v>
      </c>
      <c r="DK115" s="0" t="s">
        <v>705</v>
      </c>
      <c r="DL115" s="0" t="n">
        <v>34.62</v>
      </c>
      <c r="DM115" s="0" t="s">
        <v>676</v>
      </c>
      <c r="DN115" s="0" t="s">
        <v>675</v>
      </c>
      <c r="DO115" s="0" t="n">
        <v>0</v>
      </c>
      <c r="DP115" s="0" t="n">
        <v>0</v>
      </c>
      <c r="DQ115" s="0" t="n">
        <v>187</v>
      </c>
      <c r="DR115" s="0" t="s">
        <v>3547</v>
      </c>
      <c r="EB115" s="0" t="s">
        <v>3548</v>
      </c>
      <c r="EC115" s="0" t="s">
        <v>2970</v>
      </c>
      <c r="ED115" s="0" t="s">
        <v>2971</v>
      </c>
      <c r="EE115" s="0" t="s">
        <v>246</v>
      </c>
      <c r="EF115" s="0" t="s">
        <v>244</v>
      </c>
      <c r="EG115" s="0" t="n">
        <v>180</v>
      </c>
      <c r="EH115" s="0" t="n">
        <v>180</v>
      </c>
      <c r="EI115" s="0" t="n">
        <v>180</v>
      </c>
      <c r="EJ115" s="0" t="n">
        <v>180</v>
      </c>
      <c r="EL115" s="0" t="s">
        <v>3549</v>
      </c>
      <c r="EM115" s="0" t="s">
        <v>2873</v>
      </c>
      <c r="EN115" s="0" t="s">
        <v>2874</v>
      </c>
      <c r="EO115" s="0" t="n">
        <v>1</v>
      </c>
      <c r="EP115" s="0" t="s">
        <v>2528</v>
      </c>
      <c r="EQ115" s="0" t="s">
        <v>2569</v>
      </c>
      <c r="ER115" s="0" t="s">
        <v>2570</v>
      </c>
      <c r="ES115" s="0" t="n">
        <v>8000</v>
      </c>
      <c r="ET115" s="0" t="n">
        <v>8000</v>
      </c>
      <c r="EU115" s="0" t="n">
        <v>8000</v>
      </c>
      <c r="EV115" s="0" t="n">
        <v>8000</v>
      </c>
      <c r="HA115" s="0" t="s">
        <v>3550</v>
      </c>
      <c r="HB115" s="0" t="s">
        <v>86</v>
      </c>
      <c r="HC115" s="0" t="s">
        <v>2751</v>
      </c>
      <c r="HD115" s="0" t="s">
        <v>101</v>
      </c>
      <c r="HE115" s="0" t="n">
        <v>0</v>
      </c>
      <c r="HF115" s="0" t="n">
        <v>0</v>
      </c>
      <c r="HG115" s="0" t="n">
        <v>0</v>
      </c>
      <c r="HH115" s="0" t="n">
        <v>0</v>
      </c>
      <c r="HI115" s="0" t="n">
        <v>0</v>
      </c>
      <c r="HJ115" s="0" t="n">
        <v>0</v>
      </c>
    </row>
    <row r="116" customFormat="false" ht="15" hidden="false" customHeight="false" outlineLevel="0" collapsed="false">
      <c r="A116" s="0" t="s">
        <v>255</v>
      </c>
      <c r="B116" s="0" t="s">
        <v>253</v>
      </c>
      <c r="C116" s="0" t="n">
        <v>980</v>
      </c>
      <c r="D116" s="0" t="n">
        <v>1080</v>
      </c>
      <c r="E116" s="0" t="n">
        <v>1170</v>
      </c>
      <c r="F116" s="0" t="n">
        <v>1170</v>
      </c>
      <c r="CQ116" s="0" t="s">
        <v>3551</v>
      </c>
      <c r="CR116" s="0" t="s">
        <v>125</v>
      </c>
      <c r="CS116" s="0" t="s">
        <v>286</v>
      </c>
      <c r="CT116" s="0" t="s">
        <v>284</v>
      </c>
      <c r="CU116" s="0" t="s">
        <v>81</v>
      </c>
      <c r="CV116" s="0" t="s">
        <v>285</v>
      </c>
      <c r="CW116" s="0" t="n">
        <v>0</v>
      </c>
      <c r="DB116" s="0" t="n">
        <v>680</v>
      </c>
      <c r="DC116" s="0" t="n">
        <v>750</v>
      </c>
      <c r="DD116" s="0" t="n">
        <v>810</v>
      </c>
      <c r="DE116" s="0" t="n">
        <v>810</v>
      </c>
      <c r="DG116" s="0" t="s">
        <v>3552</v>
      </c>
      <c r="DH116" s="0" t="s">
        <v>82</v>
      </c>
      <c r="DI116" s="0" t="s">
        <v>1187</v>
      </c>
      <c r="DJ116" s="0" t="s">
        <v>1188</v>
      </c>
      <c r="DK116" s="0" t="s">
        <v>705</v>
      </c>
      <c r="DL116" s="0" t="n">
        <v>34.62</v>
      </c>
      <c r="DM116" s="0" t="s">
        <v>675</v>
      </c>
      <c r="DN116" s="0" t="s">
        <v>676</v>
      </c>
      <c r="DO116" s="0" t="n">
        <v>1</v>
      </c>
      <c r="DP116" s="0" t="n">
        <v>150</v>
      </c>
      <c r="DQ116" s="0" t="n">
        <v>150</v>
      </c>
      <c r="DR116" s="0" t="s">
        <v>3553</v>
      </c>
      <c r="EB116" s="0" t="s">
        <v>3554</v>
      </c>
      <c r="EC116" s="0" t="s">
        <v>2970</v>
      </c>
      <c r="EE116" s="0" t="s">
        <v>255</v>
      </c>
      <c r="EL116" s="0" t="s">
        <v>3555</v>
      </c>
      <c r="EM116" s="0" t="s">
        <v>2873</v>
      </c>
      <c r="EN116" s="0" t="s">
        <v>2874</v>
      </c>
      <c r="EO116" s="0" t="n">
        <v>1.5</v>
      </c>
      <c r="EP116" s="0" t="s">
        <v>2528</v>
      </c>
      <c r="EQ116" s="0" t="s">
        <v>2598</v>
      </c>
      <c r="ER116" s="0" t="s">
        <v>2599</v>
      </c>
      <c r="ES116" s="0" t="n">
        <v>12000</v>
      </c>
      <c r="ET116" s="0" t="n">
        <v>12000</v>
      </c>
      <c r="EU116" s="0" t="n">
        <v>12000</v>
      </c>
      <c r="EV116" s="0" t="n">
        <v>12000</v>
      </c>
      <c r="HA116" s="0" t="s">
        <v>3556</v>
      </c>
      <c r="HB116" s="0" t="s">
        <v>86</v>
      </c>
      <c r="HC116" s="0" t="s">
        <v>2823</v>
      </c>
      <c r="HD116" s="0" t="s">
        <v>147</v>
      </c>
      <c r="HE116" s="0" t="n">
        <v>0</v>
      </c>
      <c r="HF116" s="0" t="n">
        <v>0</v>
      </c>
      <c r="HG116" s="0" t="n">
        <v>0</v>
      </c>
      <c r="HH116" s="0" t="n">
        <v>0</v>
      </c>
      <c r="HI116" s="0" t="n">
        <v>0</v>
      </c>
      <c r="HJ116" s="0" t="n">
        <v>0</v>
      </c>
    </row>
    <row r="117" customFormat="false" ht="15" hidden="false" customHeight="false" outlineLevel="0" collapsed="false">
      <c r="A117" s="0" t="s">
        <v>605</v>
      </c>
      <c r="B117" s="0" t="s">
        <v>2697</v>
      </c>
      <c r="C117" s="0" t="n">
        <v>930</v>
      </c>
      <c r="D117" s="0" t="n">
        <v>930</v>
      </c>
      <c r="E117" s="0" t="n">
        <v>930</v>
      </c>
      <c r="F117" s="0" t="n">
        <v>930</v>
      </c>
      <c r="CQ117" s="0" t="s">
        <v>3557</v>
      </c>
      <c r="CR117" s="0" t="s">
        <v>125</v>
      </c>
      <c r="CS117" s="0" t="s">
        <v>272</v>
      </c>
      <c r="CT117" s="0" t="s">
        <v>270</v>
      </c>
      <c r="CU117" s="0" t="s">
        <v>81</v>
      </c>
      <c r="CV117" s="0" t="s">
        <v>271</v>
      </c>
      <c r="CW117" s="0" t="n">
        <v>0</v>
      </c>
      <c r="DB117" s="0" t="n">
        <v>1430</v>
      </c>
      <c r="DC117" s="0" t="n">
        <v>1580</v>
      </c>
      <c r="DD117" s="0" t="n">
        <v>1710</v>
      </c>
      <c r="DE117" s="0" t="n">
        <v>1710</v>
      </c>
      <c r="DG117" s="0" t="s">
        <v>3558</v>
      </c>
      <c r="DH117" s="0" t="s">
        <v>82</v>
      </c>
      <c r="DI117" s="0" t="s">
        <v>1190</v>
      </c>
      <c r="DJ117" s="0" t="s">
        <v>1191</v>
      </c>
      <c r="DK117" s="0" t="s">
        <v>705</v>
      </c>
      <c r="DL117" s="0" t="n">
        <v>34.62</v>
      </c>
      <c r="DM117" s="0" t="s">
        <v>675</v>
      </c>
      <c r="DN117" s="0" t="s">
        <v>676</v>
      </c>
      <c r="DO117" s="0" t="n">
        <v>1</v>
      </c>
      <c r="DP117" s="0" t="n">
        <v>1063.13</v>
      </c>
      <c r="DQ117" s="0" t="n">
        <v>1063.13</v>
      </c>
      <c r="DR117" s="0" t="s">
        <v>3559</v>
      </c>
      <c r="EB117" s="0" t="s">
        <v>3560</v>
      </c>
      <c r="EC117" s="0" t="s">
        <v>2970</v>
      </c>
      <c r="EE117" s="0" t="s">
        <v>243</v>
      </c>
      <c r="EL117" s="0" t="s">
        <v>3561</v>
      </c>
      <c r="EM117" s="0" t="s">
        <v>2873</v>
      </c>
      <c r="EN117" s="0" t="s">
        <v>2874</v>
      </c>
      <c r="EO117" s="0" t="n">
        <v>2</v>
      </c>
      <c r="EP117" s="0" t="s">
        <v>2528</v>
      </c>
      <c r="EQ117" s="0" t="s">
        <v>2630</v>
      </c>
      <c r="ER117" s="0" t="s">
        <v>2631</v>
      </c>
      <c r="ES117" s="0" t="n">
        <v>16000</v>
      </c>
      <c r="ET117" s="0" t="n">
        <v>16000</v>
      </c>
      <c r="EU117" s="0" t="n">
        <v>16000</v>
      </c>
      <c r="EV117" s="0" t="n">
        <v>16000</v>
      </c>
      <c r="HA117" s="0" t="s">
        <v>3562</v>
      </c>
      <c r="HB117" s="0" t="s">
        <v>86</v>
      </c>
      <c r="HC117" s="0" t="s">
        <v>2839</v>
      </c>
      <c r="HD117" s="0" t="s">
        <v>96</v>
      </c>
      <c r="HE117" s="0" t="n">
        <v>0</v>
      </c>
      <c r="HF117" s="0" t="n">
        <v>0</v>
      </c>
      <c r="HG117" s="0" t="n">
        <v>0</v>
      </c>
      <c r="HH117" s="0" t="n">
        <v>0</v>
      </c>
      <c r="HI117" s="0" t="n">
        <v>0</v>
      </c>
      <c r="HJ117" s="0" t="n">
        <v>0</v>
      </c>
    </row>
    <row r="118" customFormat="false" ht="15" hidden="false" customHeight="false" outlineLevel="0" collapsed="false">
      <c r="A118" s="0" t="s">
        <v>261</v>
      </c>
      <c r="B118" s="0" t="s">
        <v>259</v>
      </c>
      <c r="C118" s="0" t="n">
        <v>860</v>
      </c>
      <c r="D118" s="0" t="n">
        <v>950</v>
      </c>
      <c r="E118" s="0" t="n">
        <v>1020</v>
      </c>
      <c r="F118" s="0" t="n">
        <v>1020</v>
      </c>
      <c r="CQ118" s="0" t="s">
        <v>3563</v>
      </c>
      <c r="CR118" s="0" t="s">
        <v>125</v>
      </c>
      <c r="CS118" s="0" t="s">
        <v>283</v>
      </c>
      <c r="CT118" s="0" t="s">
        <v>281</v>
      </c>
      <c r="CU118" s="0" t="s">
        <v>81</v>
      </c>
      <c r="CV118" s="0" t="s">
        <v>282</v>
      </c>
      <c r="CW118" s="0" t="n">
        <v>0</v>
      </c>
      <c r="DB118" s="0" t="n">
        <v>360</v>
      </c>
      <c r="DC118" s="0" t="n">
        <v>400</v>
      </c>
      <c r="DD118" s="0" t="n">
        <v>430</v>
      </c>
      <c r="DE118" s="0" t="n">
        <v>430</v>
      </c>
      <c r="DG118" s="0" t="s">
        <v>3564</v>
      </c>
      <c r="DH118" s="0" t="s">
        <v>82</v>
      </c>
      <c r="DI118" s="0" t="s">
        <v>1195</v>
      </c>
      <c r="DJ118" s="0" t="s">
        <v>1196</v>
      </c>
      <c r="DK118" s="0" t="s">
        <v>705</v>
      </c>
      <c r="DL118" s="0" t="n">
        <v>34.62</v>
      </c>
      <c r="DM118" s="0" t="s">
        <v>675</v>
      </c>
      <c r="DN118" s="0" t="s">
        <v>676</v>
      </c>
      <c r="DO118" s="0" t="n">
        <v>1</v>
      </c>
      <c r="DP118" s="0" t="n">
        <v>464</v>
      </c>
      <c r="DQ118" s="0" t="n">
        <v>464</v>
      </c>
      <c r="DR118" s="0" t="s">
        <v>3565</v>
      </c>
      <c r="EB118" s="0" t="s">
        <v>3566</v>
      </c>
      <c r="EC118" s="0" t="s">
        <v>2970</v>
      </c>
      <c r="ED118" s="0" t="s">
        <v>2971</v>
      </c>
      <c r="EE118" s="0" t="s">
        <v>261</v>
      </c>
      <c r="EF118" s="0" t="s">
        <v>259</v>
      </c>
      <c r="EG118" s="0" t="n">
        <v>1</v>
      </c>
      <c r="EH118" s="0" t="n">
        <v>1</v>
      </c>
      <c r="EI118" s="0" t="n">
        <v>1</v>
      </c>
      <c r="EJ118" s="0" t="n">
        <v>1</v>
      </c>
      <c r="EL118" s="0" t="s">
        <v>3567</v>
      </c>
      <c r="EM118" s="0" t="s">
        <v>2873</v>
      </c>
      <c r="EN118" s="0" t="s">
        <v>2874</v>
      </c>
      <c r="EO118" s="0" t="n">
        <v>2.5</v>
      </c>
      <c r="EP118" s="0" t="s">
        <v>2528</v>
      </c>
      <c r="EQ118" s="0" t="s">
        <v>2665</v>
      </c>
      <c r="ER118" s="0" t="s">
        <v>2666</v>
      </c>
      <c r="ES118" s="0" t="n">
        <v>20000</v>
      </c>
      <c r="ET118" s="0" t="n">
        <v>20000</v>
      </c>
      <c r="EU118" s="0" t="n">
        <v>20000</v>
      </c>
      <c r="EV118" s="0" t="n">
        <v>20000</v>
      </c>
      <c r="HA118" s="0" t="s">
        <v>3568</v>
      </c>
      <c r="HB118" s="0" t="s">
        <v>86</v>
      </c>
      <c r="HC118" s="0" t="s">
        <v>2852</v>
      </c>
      <c r="HD118" s="0" t="s">
        <v>2345</v>
      </c>
      <c r="HE118" s="0" t="n">
        <v>0</v>
      </c>
      <c r="HF118" s="0" t="n">
        <v>0</v>
      </c>
      <c r="HG118" s="0" t="n">
        <v>0</v>
      </c>
      <c r="HH118" s="0" t="n">
        <v>0</v>
      </c>
      <c r="HI118" s="0" t="n">
        <v>0</v>
      </c>
      <c r="HJ118" s="0" t="n">
        <v>0</v>
      </c>
    </row>
    <row r="119" customFormat="false" ht="15" hidden="false" customHeight="false" outlineLevel="0" collapsed="false">
      <c r="A119" s="0" t="s">
        <v>243</v>
      </c>
      <c r="B119" s="0" t="s">
        <v>241</v>
      </c>
      <c r="C119" s="0" t="n">
        <v>1250</v>
      </c>
      <c r="D119" s="0" t="n">
        <v>1250</v>
      </c>
      <c r="E119" s="0" t="n">
        <v>1250</v>
      </c>
      <c r="F119" s="0" t="n">
        <v>1250</v>
      </c>
      <c r="CQ119" s="0" t="s">
        <v>3569</v>
      </c>
      <c r="CR119" s="0" t="s">
        <v>125</v>
      </c>
      <c r="CS119" s="0" t="s">
        <v>267</v>
      </c>
      <c r="CT119" s="0" t="s">
        <v>265</v>
      </c>
      <c r="CU119" s="0" t="s">
        <v>81</v>
      </c>
      <c r="CV119" s="0" t="s">
        <v>266</v>
      </c>
      <c r="CW119" s="0" t="n">
        <v>0</v>
      </c>
      <c r="DB119" s="0" t="n">
        <v>1920</v>
      </c>
      <c r="DC119" s="0" t="n">
        <v>2120</v>
      </c>
      <c r="DD119" s="0" t="n">
        <v>2290</v>
      </c>
      <c r="DE119" s="0" t="n">
        <v>2290</v>
      </c>
      <c r="DG119" s="0" t="s">
        <v>3570</v>
      </c>
      <c r="DH119" s="0" t="s">
        <v>82</v>
      </c>
      <c r="DI119" s="0" t="s">
        <v>1198</v>
      </c>
      <c r="DJ119" s="0" t="s">
        <v>1199</v>
      </c>
      <c r="DK119" s="0" t="s">
        <v>705</v>
      </c>
      <c r="DL119" s="0" t="n">
        <v>34.62</v>
      </c>
      <c r="DM119" s="0" t="s">
        <v>675</v>
      </c>
      <c r="DN119" s="0" t="s">
        <v>676</v>
      </c>
      <c r="DO119" s="0" t="n">
        <v>1</v>
      </c>
      <c r="DP119" s="0" t="n">
        <v>221.72</v>
      </c>
      <c r="DQ119" s="0" t="n">
        <v>221.72</v>
      </c>
      <c r="DR119" s="0" t="s">
        <v>3571</v>
      </c>
      <c r="EB119" s="0" t="s">
        <v>3572</v>
      </c>
      <c r="EC119" s="0" t="s">
        <v>2970</v>
      </c>
      <c r="EE119" s="0" t="s">
        <v>296</v>
      </c>
      <c r="EL119" s="0" t="s">
        <v>3573</v>
      </c>
      <c r="EM119" s="0" t="s">
        <v>2873</v>
      </c>
      <c r="EN119" s="0" t="s">
        <v>2874</v>
      </c>
      <c r="EO119" s="0" t="n">
        <v>3</v>
      </c>
      <c r="EP119" s="0" t="s">
        <v>2528</v>
      </c>
      <c r="EQ119" s="0" t="s">
        <v>2699</v>
      </c>
      <c r="ER119" s="0" t="s">
        <v>2700</v>
      </c>
      <c r="ES119" s="0" t="n">
        <v>24000</v>
      </c>
      <c r="ET119" s="0" t="n">
        <v>24000</v>
      </c>
      <c r="EU119" s="0" t="n">
        <v>24000</v>
      </c>
      <c r="EV119" s="0" t="n">
        <v>24000</v>
      </c>
      <c r="HA119" s="0" t="s">
        <v>3574</v>
      </c>
      <c r="HB119" s="0" t="s">
        <v>86</v>
      </c>
      <c r="HC119" s="0" t="s">
        <v>2866</v>
      </c>
      <c r="HD119" s="0" t="s">
        <v>2346</v>
      </c>
      <c r="HE119" s="0" t="n">
        <v>0</v>
      </c>
      <c r="HF119" s="0" t="n">
        <v>0</v>
      </c>
      <c r="HG119" s="0" t="n">
        <v>0</v>
      </c>
      <c r="HH119" s="0" t="n">
        <v>0</v>
      </c>
      <c r="HI119" s="0" t="n">
        <v>0</v>
      </c>
      <c r="HJ119" s="0" t="n">
        <v>0</v>
      </c>
    </row>
    <row r="120" customFormat="false" ht="15" hidden="false" customHeight="false" outlineLevel="0" collapsed="false">
      <c r="A120" s="0" t="s">
        <v>629</v>
      </c>
      <c r="B120" s="0" t="s">
        <v>2713</v>
      </c>
      <c r="C120" s="0" t="n">
        <v>1200</v>
      </c>
      <c r="D120" s="0" t="n">
        <v>1200</v>
      </c>
      <c r="E120" s="0" t="n">
        <v>1200</v>
      </c>
      <c r="F120" s="0" t="n">
        <v>1200</v>
      </c>
      <c r="CQ120" s="0" t="s">
        <v>3575</v>
      </c>
      <c r="CR120" s="0" t="s">
        <v>125</v>
      </c>
      <c r="CS120" s="0" t="s">
        <v>258</v>
      </c>
      <c r="CT120" s="0" t="s">
        <v>256</v>
      </c>
      <c r="CU120" s="0" t="s">
        <v>81</v>
      </c>
      <c r="CV120" s="0" t="s">
        <v>257</v>
      </c>
      <c r="CW120" s="0" t="n">
        <v>0</v>
      </c>
      <c r="DB120" s="0" t="n">
        <v>2910</v>
      </c>
      <c r="DC120" s="0" t="n">
        <v>3220</v>
      </c>
      <c r="DD120" s="0" t="n">
        <v>3470</v>
      </c>
      <c r="DE120" s="0" t="n">
        <v>3470</v>
      </c>
      <c r="DG120" s="0" t="s">
        <v>3576</v>
      </c>
      <c r="DH120" s="0" t="s">
        <v>82</v>
      </c>
      <c r="DI120" s="0" t="s">
        <v>1200</v>
      </c>
      <c r="DJ120" s="0" t="s">
        <v>1201</v>
      </c>
      <c r="DK120" s="0" t="s">
        <v>705</v>
      </c>
      <c r="DL120" s="0" t="n">
        <v>34.62</v>
      </c>
      <c r="DM120" s="0" t="s">
        <v>675</v>
      </c>
      <c r="DN120" s="0" t="s">
        <v>676</v>
      </c>
      <c r="DO120" s="0" t="n">
        <v>3</v>
      </c>
      <c r="DP120" s="0" t="n">
        <v>273</v>
      </c>
      <c r="DQ120" s="0" t="n">
        <v>273</v>
      </c>
      <c r="DR120" s="0" t="s">
        <v>3577</v>
      </c>
      <c r="EB120" s="0" t="s">
        <v>3578</v>
      </c>
      <c r="EC120" s="0" t="s">
        <v>2929</v>
      </c>
      <c r="EE120" s="0" t="s">
        <v>626</v>
      </c>
      <c r="EL120" s="0" t="s">
        <v>3579</v>
      </c>
      <c r="EM120" s="0" t="s">
        <v>2873</v>
      </c>
      <c r="EN120" s="0" t="s">
        <v>2874</v>
      </c>
      <c r="EO120" s="0" t="n">
        <v>3.5</v>
      </c>
      <c r="EP120" s="0" t="s">
        <v>2528</v>
      </c>
      <c r="EQ120" s="0" t="s">
        <v>2730</v>
      </c>
      <c r="ER120" s="0" t="s">
        <v>2731</v>
      </c>
      <c r="ES120" s="0" t="n">
        <v>28000</v>
      </c>
      <c r="ET120" s="0" t="n">
        <v>28000</v>
      </c>
      <c r="EU120" s="0" t="n">
        <v>28000</v>
      </c>
      <c r="EV120" s="0" t="n">
        <v>28000</v>
      </c>
      <c r="HA120" s="0" t="s">
        <v>3580</v>
      </c>
      <c r="HB120" s="0" t="s">
        <v>86</v>
      </c>
      <c r="HC120" s="0" t="s">
        <v>2880</v>
      </c>
      <c r="HD120" s="0" t="s">
        <v>2347</v>
      </c>
      <c r="HE120" s="0" t="n">
        <v>0</v>
      </c>
      <c r="HF120" s="0" t="n">
        <v>0</v>
      </c>
      <c r="HG120" s="0" t="n">
        <v>0</v>
      </c>
      <c r="HH120" s="0" t="n">
        <v>0</v>
      </c>
      <c r="HI120" s="0" t="n">
        <v>0</v>
      </c>
      <c r="HJ120" s="0" t="n">
        <v>0</v>
      </c>
    </row>
    <row r="121" customFormat="false" ht="15" hidden="false" customHeight="false" outlineLevel="0" collapsed="false">
      <c r="A121" s="0" t="s">
        <v>602</v>
      </c>
      <c r="B121" s="0" t="s">
        <v>2728</v>
      </c>
      <c r="C121" s="0" t="n">
        <v>350</v>
      </c>
      <c r="D121" s="0" t="n">
        <v>350</v>
      </c>
      <c r="E121" s="0" t="n">
        <v>350</v>
      </c>
      <c r="F121" s="0" t="n">
        <v>350</v>
      </c>
      <c r="CQ121" s="0" t="s">
        <v>3581</v>
      </c>
      <c r="CR121" s="0" t="s">
        <v>125</v>
      </c>
      <c r="CS121" s="0" t="s">
        <v>222</v>
      </c>
      <c r="CT121" s="0" t="s">
        <v>220</v>
      </c>
      <c r="CU121" s="0" t="s">
        <v>81</v>
      </c>
      <c r="CV121" s="0" t="s">
        <v>221</v>
      </c>
      <c r="CW121" s="0" t="n">
        <v>0</v>
      </c>
      <c r="DB121" s="0" t="n">
        <v>2430</v>
      </c>
      <c r="DC121" s="0" t="n">
        <v>2690</v>
      </c>
      <c r="DD121" s="0" t="n">
        <v>2900</v>
      </c>
      <c r="DE121" s="0" t="n">
        <v>2900</v>
      </c>
      <c r="DG121" s="0" t="s">
        <v>3582</v>
      </c>
      <c r="DH121" s="0" t="s">
        <v>82</v>
      </c>
      <c r="DI121" s="0" t="s">
        <v>1203</v>
      </c>
      <c r="DJ121" s="0" t="s">
        <v>1204</v>
      </c>
      <c r="DK121" s="0" t="s">
        <v>705</v>
      </c>
      <c r="DL121" s="0" t="n">
        <v>34.62</v>
      </c>
      <c r="DM121" s="0" t="s">
        <v>676</v>
      </c>
      <c r="DN121" s="0" t="s">
        <v>676</v>
      </c>
      <c r="DO121" s="0" t="n">
        <v>8</v>
      </c>
      <c r="DP121" s="0" t="n">
        <v>728</v>
      </c>
      <c r="DQ121" s="0" t="n">
        <v>819</v>
      </c>
      <c r="DR121" s="0" t="s">
        <v>3583</v>
      </c>
      <c r="EB121" s="0" t="s">
        <v>3584</v>
      </c>
      <c r="EC121" s="0" t="s">
        <v>2929</v>
      </c>
      <c r="EE121" s="0" t="s">
        <v>624</v>
      </c>
      <c r="EL121" s="0" t="s">
        <v>3585</v>
      </c>
      <c r="EM121" s="0" t="s">
        <v>2873</v>
      </c>
      <c r="EN121" s="0" t="s">
        <v>2874</v>
      </c>
      <c r="EO121" s="0" t="n">
        <v>4</v>
      </c>
      <c r="EP121" s="0" t="s">
        <v>2528</v>
      </c>
      <c r="EQ121" s="0" t="s">
        <v>2761</v>
      </c>
      <c r="ER121" s="0" t="s">
        <v>2762</v>
      </c>
      <c r="ES121" s="0" t="n">
        <v>32000</v>
      </c>
      <c r="ET121" s="0" t="n">
        <v>32000</v>
      </c>
      <c r="EU121" s="0" t="n">
        <v>32000</v>
      </c>
      <c r="EV121" s="0" t="n">
        <v>32000</v>
      </c>
      <c r="HA121" s="0" t="s">
        <v>3586</v>
      </c>
      <c r="HB121" s="0" t="s">
        <v>86</v>
      </c>
      <c r="HC121" s="0" t="s">
        <v>2895</v>
      </c>
      <c r="HD121" s="0" t="s">
        <v>150</v>
      </c>
      <c r="HE121" s="0" t="n">
        <v>0</v>
      </c>
      <c r="HF121" s="0" t="n">
        <v>0</v>
      </c>
      <c r="HG121" s="0" t="n">
        <v>0</v>
      </c>
      <c r="HH121" s="0" t="n">
        <v>0</v>
      </c>
      <c r="HI121" s="0" t="n">
        <v>0</v>
      </c>
      <c r="HJ121" s="0" t="n">
        <v>0</v>
      </c>
    </row>
    <row r="122" customFormat="false" ht="15" hidden="false" customHeight="false" outlineLevel="0" collapsed="false">
      <c r="A122" s="0" t="s">
        <v>599</v>
      </c>
      <c r="B122" s="0" t="s">
        <v>2745</v>
      </c>
      <c r="C122" s="0" t="n">
        <v>1500</v>
      </c>
      <c r="D122" s="0" t="n">
        <v>1500</v>
      </c>
      <c r="E122" s="0" t="n">
        <v>1500</v>
      </c>
      <c r="F122" s="0" t="n">
        <v>1500</v>
      </c>
      <c r="CQ122" s="0" t="s">
        <v>3587</v>
      </c>
      <c r="CR122" s="0" t="s">
        <v>125</v>
      </c>
      <c r="CS122" s="0" t="s">
        <v>233</v>
      </c>
      <c r="CT122" s="0" t="s">
        <v>231</v>
      </c>
      <c r="CU122" s="0" t="s">
        <v>81</v>
      </c>
      <c r="CV122" s="0" t="s">
        <v>232</v>
      </c>
      <c r="CW122" s="0" t="n">
        <v>0</v>
      </c>
      <c r="DB122" s="0" t="n">
        <v>1110</v>
      </c>
      <c r="DC122" s="0" t="n">
        <v>1220</v>
      </c>
      <c r="DD122" s="0" t="n">
        <v>1320</v>
      </c>
      <c r="DE122" s="0" t="n">
        <v>1320</v>
      </c>
      <c r="DG122" s="0" t="s">
        <v>3588</v>
      </c>
      <c r="DH122" s="0" t="s">
        <v>82</v>
      </c>
      <c r="DI122" s="0" t="s">
        <v>1208</v>
      </c>
      <c r="DJ122" s="0" t="s">
        <v>1209</v>
      </c>
      <c r="DK122" s="0" t="s">
        <v>705</v>
      </c>
      <c r="DL122" s="0" t="n">
        <v>34.62</v>
      </c>
      <c r="DM122" s="0" t="s">
        <v>675</v>
      </c>
      <c r="DN122" s="0" t="s">
        <v>676</v>
      </c>
      <c r="DO122" s="0" t="n">
        <v>1</v>
      </c>
      <c r="DP122" s="0" t="n">
        <v>767</v>
      </c>
      <c r="DQ122" s="0" t="n">
        <v>767</v>
      </c>
      <c r="DR122" s="0" t="s">
        <v>3589</v>
      </c>
      <c r="EB122" s="0" t="s">
        <v>3590</v>
      </c>
      <c r="EC122" s="0" t="s">
        <v>2929</v>
      </c>
      <c r="EE122" s="0" t="s">
        <v>622</v>
      </c>
      <c r="EL122" s="0" t="s">
        <v>3591</v>
      </c>
      <c r="EM122" s="0" t="s">
        <v>2873</v>
      </c>
      <c r="EN122" s="0" t="s">
        <v>2874</v>
      </c>
      <c r="EO122" s="0" t="n">
        <v>4.5</v>
      </c>
      <c r="EP122" s="0" t="s">
        <v>2528</v>
      </c>
      <c r="EQ122" s="0" t="s">
        <v>2788</v>
      </c>
      <c r="ER122" s="0" t="s">
        <v>2789</v>
      </c>
      <c r="ES122" s="0" t="n">
        <v>36000</v>
      </c>
      <c r="ET122" s="0" t="n">
        <v>36000</v>
      </c>
      <c r="EU122" s="0" t="n">
        <v>36000</v>
      </c>
      <c r="EV122" s="0" t="n">
        <v>36000</v>
      </c>
      <c r="HA122" s="0" t="s">
        <v>3592</v>
      </c>
      <c r="HB122" s="0" t="s">
        <v>87</v>
      </c>
      <c r="HC122" s="0" t="s">
        <v>2540</v>
      </c>
      <c r="HD122" s="0" t="s">
        <v>142</v>
      </c>
      <c r="HE122" s="0" t="n">
        <v>3</v>
      </c>
      <c r="HF122" s="0" t="n">
        <v>5</v>
      </c>
      <c r="HG122" s="0" t="n">
        <v>3.30769230769231</v>
      </c>
      <c r="HH122" s="0" t="n">
        <v>3</v>
      </c>
      <c r="HI122" s="0" t="n">
        <v>3</v>
      </c>
      <c r="HJ122" s="0" t="n">
        <v>3.75</v>
      </c>
    </row>
    <row r="123" customFormat="false" ht="15" hidden="false" customHeight="false" outlineLevel="0" collapsed="false">
      <c r="A123" s="0" t="s">
        <v>597</v>
      </c>
      <c r="B123" s="0" t="s">
        <v>2759</v>
      </c>
      <c r="C123" s="0" t="n">
        <v>3000</v>
      </c>
      <c r="D123" s="0" t="n">
        <v>3000</v>
      </c>
      <c r="E123" s="0" t="n">
        <v>3000</v>
      </c>
      <c r="F123" s="0" t="n">
        <v>3000</v>
      </c>
      <c r="CQ123" s="0" t="s">
        <v>3593</v>
      </c>
      <c r="CR123" s="0" t="s">
        <v>125</v>
      </c>
      <c r="CS123" s="0" t="s">
        <v>618</v>
      </c>
      <c r="CT123" s="0" t="s">
        <v>2596</v>
      </c>
      <c r="CU123" s="0" t="s">
        <v>81</v>
      </c>
      <c r="CV123" s="0" t="s">
        <v>2766</v>
      </c>
      <c r="CW123" s="0" t="n">
        <v>0</v>
      </c>
      <c r="DB123" s="0" t="n">
        <v>360</v>
      </c>
      <c r="DC123" s="0" t="n">
        <v>400</v>
      </c>
      <c r="DD123" s="0" t="n">
        <v>430</v>
      </c>
      <c r="DE123" s="0" t="n">
        <v>430</v>
      </c>
      <c r="DG123" s="0" t="s">
        <v>3594</v>
      </c>
      <c r="DH123" s="0" t="s">
        <v>82</v>
      </c>
      <c r="DJ123" s="0" t="s">
        <v>688</v>
      </c>
      <c r="DK123" s="0" t="s">
        <v>674</v>
      </c>
      <c r="DL123" s="0" t="n">
        <v>30.77</v>
      </c>
      <c r="DM123" s="0" t="s">
        <v>675</v>
      </c>
      <c r="DN123" s="0" t="s">
        <v>675</v>
      </c>
      <c r="DO123" s="0" t="n">
        <v>0</v>
      </c>
      <c r="DP123" s="0" t="n">
        <v>0</v>
      </c>
      <c r="DQ123" s="0" t="n">
        <v>0</v>
      </c>
      <c r="DR123" s="0" t="s">
        <v>2562</v>
      </c>
      <c r="EB123" s="0" t="s">
        <v>3595</v>
      </c>
      <c r="EC123" s="0" t="s">
        <v>2929</v>
      </c>
      <c r="EE123" s="0" t="s">
        <v>620</v>
      </c>
      <c r="EL123" s="0" t="s">
        <v>3596</v>
      </c>
      <c r="EM123" s="0" t="s">
        <v>2873</v>
      </c>
      <c r="EN123" s="0" t="s">
        <v>2874</v>
      </c>
      <c r="EO123" s="0" t="n">
        <v>5</v>
      </c>
      <c r="EP123" s="0" t="s">
        <v>2528</v>
      </c>
      <c r="EQ123" s="0" t="s">
        <v>2817</v>
      </c>
      <c r="ER123" s="0" t="s">
        <v>2818</v>
      </c>
      <c r="ES123" s="0" t="n">
        <v>40000</v>
      </c>
      <c r="ET123" s="0" t="n">
        <v>40000</v>
      </c>
      <c r="EU123" s="0" t="n">
        <v>40000</v>
      </c>
      <c r="EV123" s="0" t="n">
        <v>40000</v>
      </c>
      <c r="HA123" s="0" t="s">
        <v>3597</v>
      </c>
      <c r="HB123" s="0" t="s">
        <v>87</v>
      </c>
      <c r="HC123" s="0" t="s">
        <v>2558</v>
      </c>
      <c r="HD123" s="0" t="s">
        <v>37</v>
      </c>
      <c r="HE123" s="0" t="n">
        <v>1</v>
      </c>
      <c r="HF123" s="0" t="n">
        <v>4</v>
      </c>
      <c r="HG123" s="0" t="n">
        <v>2.30769230769231</v>
      </c>
      <c r="HH123" s="0" t="n">
        <v>2</v>
      </c>
      <c r="HI123" s="0" t="n">
        <v>2</v>
      </c>
      <c r="HJ123" s="0" t="n">
        <v>3</v>
      </c>
    </row>
    <row r="124" customFormat="false" ht="15" hidden="false" customHeight="false" outlineLevel="0" collapsed="false">
      <c r="A124" s="0" t="s">
        <v>2699</v>
      </c>
      <c r="B124" s="0" t="s">
        <v>2700</v>
      </c>
      <c r="C124" s="0" t="n">
        <v>32090</v>
      </c>
      <c r="D124" s="0" t="n">
        <v>35440</v>
      </c>
      <c r="E124" s="0" t="n">
        <v>38310</v>
      </c>
      <c r="F124" s="0" t="n">
        <v>38310</v>
      </c>
      <c r="CQ124" s="0" t="s">
        <v>3598</v>
      </c>
      <c r="CR124" s="0" t="s">
        <v>125</v>
      </c>
      <c r="CS124" s="0" t="s">
        <v>225</v>
      </c>
      <c r="CT124" s="0" t="s">
        <v>223</v>
      </c>
      <c r="CU124" s="0" t="s">
        <v>81</v>
      </c>
      <c r="CV124" s="0" t="s">
        <v>224</v>
      </c>
      <c r="CW124" s="0" t="n">
        <v>0</v>
      </c>
      <c r="DB124" s="0" t="n">
        <v>2730</v>
      </c>
      <c r="DC124" s="0" t="n">
        <v>3020</v>
      </c>
      <c r="DD124" s="0" t="n">
        <v>3260</v>
      </c>
      <c r="DE124" s="0" t="n">
        <v>3260</v>
      </c>
      <c r="DG124" s="0" t="s">
        <v>3599</v>
      </c>
      <c r="DH124" s="0" t="s">
        <v>82</v>
      </c>
      <c r="DJ124" s="0" t="s">
        <v>1044</v>
      </c>
      <c r="DK124" s="0" t="s">
        <v>674</v>
      </c>
      <c r="DL124" s="0" t="n">
        <v>30.77</v>
      </c>
      <c r="DM124" s="0" t="s">
        <v>675</v>
      </c>
      <c r="DN124" s="0" t="s">
        <v>675</v>
      </c>
      <c r="DO124" s="0" t="n">
        <v>0</v>
      </c>
      <c r="DP124" s="0" t="n">
        <v>0</v>
      </c>
      <c r="DQ124" s="0" t="n">
        <v>0</v>
      </c>
      <c r="DR124" s="0" t="s">
        <v>3313</v>
      </c>
      <c r="EB124" s="0" t="s">
        <v>3600</v>
      </c>
      <c r="EC124" s="0" t="s">
        <v>2929</v>
      </c>
      <c r="EE124" s="0" t="s">
        <v>618</v>
      </c>
      <c r="EL124" s="0" t="s">
        <v>3601</v>
      </c>
      <c r="EM124" s="0" t="s">
        <v>2873</v>
      </c>
      <c r="EN124" s="0" t="s">
        <v>2874</v>
      </c>
      <c r="EO124" s="0" t="n">
        <v>5.5</v>
      </c>
      <c r="EP124" s="0" t="s">
        <v>2528</v>
      </c>
      <c r="EQ124" s="0" t="s">
        <v>2848</v>
      </c>
      <c r="ER124" s="0" t="s">
        <v>2849</v>
      </c>
      <c r="ES124" s="0" t="n">
        <v>44000</v>
      </c>
      <c r="ET124" s="0" t="n">
        <v>44000</v>
      </c>
      <c r="EU124" s="0" t="n">
        <v>44000</v>
      </c>
      <c r="EV124" s="0" t="n">
        <v>44000</v>
      </c>
      <c r="HA124" s="0" t="s">
        <v>3602</v>
      </c>
      <c r="HB124" s="0" t="s">
        <v>87</v>
      </c>
      <c r="HC124" s="0" t="s">
        <v>2572</v>
      </c>
      <c r="HD124" s="0" t="s">
        <v>38</v>
      </c>
      <c r="HE124" s="0" t="n">
        <v>0</v>
      </c>
      <c r="HF124" s="0" t="n">
        <v>2</v>
      </c>
      <c r="HG124" s="0" t="n">
        <v>1</v>
      </c>
      <c r="HH124" s="0" t="n">
        <v>0.25</v>
      </c>
      <c r="HI124" s="0" t="n">
        <v>1</v>
      </c>
      <c r="HJ124" s="0" t="n">
        <v>1.75</v>
      </c>
    </row>
    <row r="125" customFormat="false" ht="15" hidden="false" customHeight="false" outlineLevel="0" collapsed="false">
      <c r="A125" s="0" t="s">
        <v>590</v>
      </c>
      <c r="B125" s="0" t="s">
        <v>2786</v>
      </c>
      <c r="C125" s="0" t="n">
        <v>3020</v>
      </c>
      <c r="D125" s="0" t="n">
        <v>3020</v>
      </c>
      <c r="E125" s="0" t="n">
        <v>3020</v>
      </c>
      <c r="F125" s="0" t="n">
        <v>3020</v>
      </c>
      <c r="CQ125" s="0" t="s">
        <v>3603</v>
      </c>
      <c r="CR125" s="0" t="s">
        <v>125</v>
      </c>
      <c r="CS125" s="0" t="s">
        <v>288</v>
      </c>
      <c r="CT125" s="0" t="s">
        <v>287</v>
      </c>
      <c r="CU125" s="0" t="s">
        <v>81</v>
      </c>
      <c r="CV125" s="0" t="s">
        <v>236</v>
      </c>
      <c r="CW125" s="0" t="n">
        <v>0</v>
      </c>
      <c r="DB125" s="0" t="n">
        <v>450</v>
      </c>
      <c r="DC125" s="0" t="n">
        <v>530</v>
      </c>
      <c r="DD125" s="0" t="n">
        <v>580</v>
      </c>
      <c r="DE125" s="0" t="n">
        <v>580</v>
      </c>
      <c r="DG125" s="0" t="s">
        <v>3604</v>
      </c>
      <c r="DH125" s="0" t="s">
        <v>82</v>
      </c>
      <c r="DI125" s="0" t="s">
        <v>1212</v>
      </c>
      <c r="DJ125" s="0" t="s">
        <v>1213</v>
      </c>
      <c r="DK125" s="0" t="s">
        <v>674</v>
      </c>
      <c r="DL125" s="0" t="n">
        <v>30.77</v>
      </c>
      <c r="DM125" s="0" t="s">
        <v>676</v>
      </c>
      <c r="DN125" s="0" t="s">
        <v>676</v>
      </c>
      <c r="DO125" s="0" t="n">
        <v>0</v>
      </c>
      <c r="DP125" s="0" t="n">
        <v>0</v>
      </c>
      <c r="DQ125" s="0" t="n">
        <v>120</v>
      </c>
      <c r="DR125" s="0" t="s">
        <v>3605</v>
      </c>
      <c r="EB125" s="0" t="s">
        <v>3606</v>
      </c>
      <c r="EC125" s="0" t="s">
        <v>2929</v>
      </c>
      <c r="ED125" s="0" t="s">
        <v>2930</v>
      </c>
      <c r="EE125" s="0" t="s">
        <v>616</v>
      </c>
      <c r="EF125" s="0" t="s">
        <v>2612</v>
      </c>
      <c r="EG125" s="0" t="n">
        <v>720</v>
      </c>
      <c r="EH125" s="0" t="n">
        <v>800</v>
      </c>
      <c r="EI125" s="0" t="n">
        <v>860</v>
      </c>
      <c r="EJ125" s="0" t="n">
        <v>860</v>
      </c>
      <c r="EL125" s="0" t="s">
        <v>3607</v>
      </c>
      <c r="EM125" s="0" t="s">
        <v>2873</v>
      </c>
      <c r="EN125" s="0" t="s">
        <v>2874</v>
      </c>
      <c r="EO125" s="0" t="n">
        <v>6</v>
      </c>
      <c r="EP125" s="0" t="s">
        <v>2528</v>
      </c>
      <c r="EQ125" s="0" t="s">
        <v>2877</v>
      </c>
      <c r="ER125" s="0" t="s">
        <v>2878</v>
      </c>
      <c r="ES125" s="0" t="n">
        <v>48000</v>
      </c>
      <c r="ET125" s="0" t="n">
        <v>48000</v>
      </c>
      <c r="EU125" s="0" t="n">
        <v>48000</v>
      </c>
      <c r="EV125" s="0" t="n">
        <v>48000</v>
      </c>
      <c r="HA125" s="0" t="s">
        <v>3608</v>
      </c>
      <c r="HB125" s="0" t="s">
        <v>87</v>
      </c>
      <c r="HC125" s="0" t="s">
        <v>2586</v>
      </c>
      <c r="HD125" s="0" t="s">
        <v>39</v>
      </c>
      <c r="HE125" s="0" t="n">
        <v>2</v>
      </c>
      <c r="HF125" s="0" t="n">
        <v>5</v>
      </c>
      <c r="HG125" s="0" t="n">
        <v>2.88461538461539</v>
      </c>
      <c r="HH125" s="0" t="n">
        <v>2.5</v>
      </c>
      <c r="HI125" s="0" t="n">
        <v>3</v>
      </c>
      <c r="HJ125" s="0" t="n">
        <v>3</v>
      </c>
    </row>
    <row r="126" customFormat="false" ht="15" hidden="false" customHeight="false" outlineLevel="0" collapsed="false">
      <c r="A126" s="0" t="s">
        <v>588</v>
      </c>
      <c r="B126" s="0" t="s">
        <v>2801</v>
      </c>
      <c r="C126" s="0" t="n">
        <v>2470</v>
      </c>
      <c r="D126" s="0" t="n">
        <v>2470</v>
      </c>
      <c r="E126" s="0" t="n">
        <v>2470</v>
      </c>
      <c r="F126" s="0" t="n">
        <v>2470</v>
      </c>
      <c r="CQ126" s="0" t="s">
        <v>3609</v>
      </c>
      <c r="CR126" s="0" t="s">
        <v>125</v>
      </c>
      <c r="CS126" s="0" t="s">
        <v>269</v>
      </c>
      <c r="CT126" s="0" t="s">
        <v>268</v>
      </c>
      <c r="CU126" s="0" t="s">
        <v>81</v>
      </c>
      <c r="CV126" s="0" t="s">
        <v>236</v>
      </c>
      <c r="CW126" s="0" t="n">
        <v>0</v>
      </c>
      <c r="DB126" s="0" t="n">
        <v>280</v>
      </c>
      <c r="DC126" s="0" t="n">
        <v>280</v>
      </c>
      <c r="DD126" s="0" t="n">
        <v>280</v>
      </c>
      <c r="DE126" s="0" t="n">
        <v>280</v>
      </c>
      <c r="DG126" s="0" t="s">
        <v>3610</v>
      </c>
      <c r="DH126" s="0" t="s">
        <v>82</v>
      </c>
      <c r="DI126" s="0" t="s">
        <v>1218</v>
      </c>
      <c r="DJ126" s="0" t="s">
        <v>1219</v>
      </c>
      <c r="DK126" s="0" t="s">
        <v>674</v>
      </c>
      <c r="DL126" s="0" t="n">
        <v>30.77</v>
      </c>
      <c r="DM126" s="0" t="s">
        <v>676</v>
      </c>
      <c r="DN126" s="0" t="s">
        <v>675</v>
      </c>
      <c r="DO126" s="0" t="n">
        <v>0</v>
      </c>
      <c r="DP126" s="0" t="n">
        <v>0</v>
      </c>
      <c r="DQ126" s="0" t="n">
        <v>2669.03</v>
      </c>
      <c r="DR126" s="0" t="s">
        <v>3611</v>
      </c>
      <c r="EB126" s="0" t="s">
        <v>3612</v>
      </c>
      <c r="EC126" s="0" t="s">
        <v>2929</v>
      </c>
      <c r="ED126" s="0" t="s">
        <v>2930</v>
      </c>
      <c r="EE126" s="0" t="s">
        <v>614</v>
      </c>
      <c r="EF126" s="0" t="s">
        <v>2628</v>
      </c>
      <c r="EG126" s="0" t="n">
        <v>1470</v>
      </c>
      <c r="EH126" s="0" t="n">
        <v>1620</v>
      </c>
      <c r="EI126" s="0" t="n">
        <v>1760</v>
      </c>
      <c r="EJ126" s="0" t="n">
        <v>1760</v>
      </c>
      <c r="EL126" s="0" t="s">
        <v>3613</v>
      </c>
      <c r="EM126" s="0" t="s">
        <v>2873</v>
      </c>
      <c r="EN126" s="0" t="s">
        <v>2874</v>
      </c>
      <c r="EO126" s="0" t="n">
        <v>6.5</v>
      </c>
      <c r="EP126" s="0" t="s">
        <v>2528</v>
      </c>
      <c r="EQ126" s="0" t="s">
        <v>2904</v>
      </c>
      <c r="ER126" s="0" t="s">
        <v>2905</v>
      </c>
      <c r="ES126" s="0" t="n">
        <v>52000</v>
      </c>
      <c r="ET126" s="0" t="n">
        <v>52000</v>
      </c>
      <c r="EU126" s="0" t="n">
        <v>52000</v>
      </c>
      <c r="EV126" s="0" t="n">
        <v>52000</v>
      </c>
      <c r="HA126" s="0" t="s">
        <v>3614</v>
      </c>
      <c r="HB126" s="0" t="s">
        <v>87</v>
      </c>
      <c r="HC126" s="0" t="s">
        <v>2602</v>
      </c>
      <c r="HD126" s="0" t="s">
        <v>143</v>
      </c>
      <c r="HE126" s="0" t="n">
        <v>33</v>
      </c>
      <c r="HF126" s="0" t="n">
        <v>46</v>
      </c>
      <c r="HG126" s="0" t="n">
        <v>38.8461538461539</v>
      </c>
      <c r="HH126" s="0" t="n">
        <v>36.25</v>
      </c>
      <c r="HI126" s="0" t="n">
        <v>39</v>
      </c>
      <c r="HJ126" s="0" t="n">
        <v>41</v>
      </c>
    </row>
    <row r="127" customFormat="false" ht="15" hidden="false" customHeight="false" outlineLevel="0" collapsed="false">
      <c r="A127" s="0" t="s">
        <v>586</v>
      </c>
      <c r="B127" s="0" t="s">
        <v>2815</v>
      </c>
      <c r="C127" s="0" t="n">
        <v>10480</v>
      </c>
      <c r="D127" s="0" t="n">
        <v>10480</v>
      </c>
      <c r="E127" s="0" t="n">
        <v>10480</v>
      </c>
      <c r="F127" s="0" t="n">
        <v>10480</v>
      </c>
      <c r="CQ127" s="0" t="s">
        <v>3615</v>
      </c>
      <c r="CR127" s="0" t="s">
        <v>125</v>
      </c>
      <c r="CS127" s="0" t="s">
        <v>237</v>
      </c>
      <c r="CT127" s="0" t="s">
        <v>235</v>
      </c>
      <c r="CU127" s="0" t="s">
        <v>81</v>
      </c>
      <c r="CV127" s="0" t="s">
        <v>236</v>
      </c>
      <c r="CW127" s="0" t="n">
        <v>0</v>
      </c>
      <c r="DB127" s="0" t="n">
        <v>2650</v>
      </c>
      <c r="DC127" s="0" t="n">
        <v>2650</v>
      </c>
      <c r="DD127" s="0" t="n">
        <v>2650</v>
      </c>
      <c r="DE127" s="0" t="n">
        <v>2650</v>
      </c>
      <c r="DG127" s="0" t="s">
        <v>3616</v>
      </c>
      <c r="DH127" s="0" t="s">
        <v>82</v>
      </c>
      <c r="DI127" s="0" t="s">
        <v>1222</v>
      </c>
      <c r="DJ127" s="0" t="s">
        <v>1223</v>
      </c>
      <c r="DK127" s="0" t="s">
        <v>674</v>
      </c>
      <c r="DL127" s="0" t="n">
        <v>30.77</v>
      </c>
      <c r="DM127" s="0" t="s">
        <v>675</v>
      </c>
      <c r="DN127" s="0" t="s">
        <v>676</v>
      </c>
      <c r="DO127" s="0" t="n">
        <v>1</v>
      </c>
      <c r="DP127" s="0" t="n">
        <v>31.55</v>
      </c>
      <c r="DQ127" s="0" t="n">
        <v>31.55</v>
      </c>
      <c r="DR127" s="0" t="s">
        <v>3617</v>
      </c>
      <c r="EB127" s="0" t="s">
        <v>3618</v>
      </c>
      <c r="EC127" s="0" t="s">
        <v>2929</v>
      </c>
      <c r="ED127" s="0" t="s">
        <v>2930</v>
      </c>
      <c r="EE127" s="0" t="s">
        <v>612</v>
      </c>
      <c r="EF127" s="0" t="s">
        <v>2647</v>
      </c>
      <c r="EG127" s="0" t="n">
        <v>1110</v>
      </c>
      <c r="EH127" s="0" t="n">
        <v>1230</v>
      </c>
      <c r="EI127" s="0" t="n">
        <v>1320</v>
      </c>
      <c r="EJ127" s="0" t="n">
        <v>1320</v>
      </c>
      <c r="EL127" s="0" t="s">
        <v>3619</v>
      </c>
      <c r="EM127" s="0" t="s">
        <v>2873</v>
      </c>
      <c r="EN127" s="0" t="s">
        <v>2874</v>
      </c>
      <c r="EO127" s="0" t="n">
        <v>7</v>
      </c>
      <c r="EP127" s="0" t="s">
        <v>2528</v>
      </c>
      <c r="EQ127" s="0" t="s">
        <v>2935</v>
      </c>
      <c r="ER127" s="0" t="s">
        <v>2936</v>
      </c>
      <c r="ES127" s="0" t="n">
        <v>56000</v>
      </c>
      <c r="ET127" s="0" t="n">
        <v>56000</v>
      </c>
      <c r="EU127" s="0" t="n">
        <v>56000</v>
      </c>
      <c r="EV127" s="0" t="n">
        <v>56000</v>
      </c>
      <c r="HA127" s="0" t="s">
        <v>3620</v>
      </c>
      <c r="HB127" s="0" t="s">
        <v>87</v>
      </c>
      <c r="HC127" s="0" t="s">
        <v>2618</v>
      </c>
      <c r="HD127" s="0" t="s">
        <v>79</v>
      </c>
      <c r="HE127" s="0" t="n">
        <v>31220</v>
      </c>
      <c r="HF127" s="0" t="n">
        <v>77056</v>
      </c>
      <c r="HG127" s="0" t="n">
        <v>47079</v>
      </c>
      <c r="HH127" s="0" t="n">
        <v>41910</v>
      </c>
      <c r="HI127" s="0" t="n">
        <v>45064</v>
      </c>
      <c r="HJ127" s="0" t="n">
        <v>54051</v>
      </c>
    </row>
    <row r="128" customFormat="false" ht="15" hidden="false" customHeight="false" outlineLevel="0" collapsed="false">
      <c r="A128" s="0" t="s">
        <v>584</v>
      </c>
      <c r="B128" s="0" t="s">
        <v>583</v>
      </c>
      <c r="C128" s="0" t="n">
        <v>100000</v>
      </c>
      <c r="D128" s="0" t="n">
        <v>100000</v>
      </c>
      <c r="E128" s="0" t="n">
        <v>100000</v>
      </c>
      <c r="F128" s="0" t="n">
        <v>100000</v>
      </c>
      <c r="CQ128" s="0" t="s">
        <v>3621</v>
      </c>
      <c r="CR128" s="0" t="s">
        <v>125</v>
      </c>
      <c r="CS128" s="0" t="s">
        <v>249</v>
      </c>
      <c r="CT128" s="0" t="s">
        <v>247</v>
      </c>
      <c r="CU128" s="0" t="s">
        <v>81</v>
      </c>
      <c r="CV128" s="0" t="s">
        <v>248</v>
      </c>
      <c r="CW128" s="0" t="n">
        <v>0</v>
      </c>
      <c r="DB128" s="0" t="n">
        <v>310</v>
      </c>
      <c r="DC128" s="0" t="n">
        <v>340</v>
      </c>
      <c r="DD128" s="0" t="n">
        <v>370</v>
      </c>
      <c r="DE128" s="0" t="n">
        <v>370</v>
      </c>
      <c r="DG128" s="0" t="s">
        <v>3622</v>
      </c>
      <c r="DH128" s="0" t="s">
        <v>82</v>
      </c>
      <c r="DI128" s="0" t="s">
        <v>1225</v>
      </c>
      <c r="DJ128" s="0" t="s">
        <v>1226</v>
      </c>
      <c r="DK128" s="0" t="s">
        <v>674</v>
      </c>
      <c r="DL128" s="0" t="n">
        <v>30.77</v>
      </c>
      <c r="DM128" s="0" t="s">
        <v>676</v>
      </c>
      <c r="DN128" s="0" t="s">
        <v>676</v>
      </c>
      <c r="DO128" s="0" t="n">
        <v>1.5</v>
      </c>
      <c r="DP128" s="0" t="n">
        <v>67.39</v>
      </c>
      <c r="DQ128" s="0" t="n">
        <v>336.98</v>
      </c>
      <c r="DR128" s="0" t="s">
        <v>3623</v>
      </c>
      <c r="EB128" s="0" t="s">
        <v>3624</v>
      </c>
      <c r="EC128" s="0" t="s">
        <v>2929</v>
      </c>
      <c r="ED128" s="0" t="s">
        <v>2930</v>
      </c>
      <c r="EE128" s="0" t="s">
        <v>609</v>
      </c>
      <c r="EF128" s="0" t="s">
        <v>2663</v>
      </c>
      <c r="EG128" s="0" t="n">
        <v>530</v>
      </c>
      <c r="EH128" s="0" t="n">
        <v>530</v>
      </c>
      <c r="EI128" s="0" t="n">
        <v>530</v>
      </c>
      <c r="EJ128" s="0" t="n">
        <v>530</v>
      </c>
      <c r="EL128" s="0" t="s">
        <v>3625</v>
      </c>
      <c r="EM128" s="0" t="s">
        <v>2873</v>
      </c>
      <c r="EN128" s="0" t="s">
        <v>2874</v>
      </c>
      <c r="EO128" s="0" t="n">
        <v>7.5</v>
      </c>
      <c r="EP128" s="0" t="s">
        <v>2528</v>
      </c>
      <c r="EQ128" s="0" t="s">
        <v>2961</v>
      </c>
      <c r="ER128" s="0" t="s">
        <v>2962</v>
      </c>
      <c r="ES128" s="0" t="n">
        <v>60000</v>
      </c>
      <c r="ET128" s="0" t="n">
        <v>60000</v>
      </c>
      <c r="EU128" s="0" t="n">
        <v>60000</v>
      </c>
      <c r="EV128" s="0" t="n">
        <v>60000</v>
      </c>
      <c r="HA128" s="0" t="s">
        <v>3626</v>
      </c>
      <c r="HB128" s="0" t="s">
        <v>87</v>
      </c>
      <c r="HC128" s="0" t="s">
        <v>2637</v>
      </c>
      <c r="HD128" s="0" t="s">
        <v>144</v>
      </c>
      <c r="HE128" s="0" t="n">
        <v>10406.67</v>
      </c>
      <c r="HF128" s="0" t="n">
        <v>18842.67</v>
      </c>
      <c r="HG128" s="0" t="n">
        <v>14285.5207692308</v>
      </c>
      <c r="HH128" s="0" t="n">
        <v>13042.67</v>
      </c>
      <c r="HI128" s="0" t="n">
        <v>13970</v>
      </c>
      <c r="HJ128" s="0" t="n">
        <v>15021.33</v>
      </c>
    </row>
    <row r="129" customFormat="false" ht="15" hidden="false" customHeight="false" outlineLevel="0" collapsed="false">
      <c r="A129" s="0" t="s">
        <v>249</v>
      </c>
      <c r="B129" s="0" t="s">
        <v>247</v>
      </c>
      <c r="C129" s="0" t="n">
        <v>310</v>
      </c>
      <c r="D129" s="0" t="n">
        <v>340</v>
      </c>
      <c r="E129" s="0" t="n">
        <v>370</v>
      </c>
      <c r="F129" s="0" t="n">
        <v>370</v>
      </c>
      <c r="CQ129" s="0" t="s">
        <v>3627</v>
      </c>
      <c r="CR129" s="0" t="s">
        <v>125</v>
      </c>
      <c r="CS129" s="0" t="s">
        <v>293</v>
      </c>
      <c r="CT129" s="0" t="s">
        <v>291</v>
      </c>
      <c r="CU129" s="0" t="s">
        <v>81</v>
      </c>
      <c r="CV129" s="0" t="s">
        <v>292</v>
      </c>
      <c r="CW129" s="0" t="n">
        <v>0</v>
      </c>
      <c r="DB129" s="0" t="n">
        <v>330</v>
      </c>
      <c r="DC129" s="0" t="n">
        <v>370</v>
      </c>
      <c r="DD129" s="0" t="n">
        <v>400</v>
      </c>
      <c r="DE129" s="0" t="n">
        <v>400</v>
      </c>
      <c r="DG129" s="0" t="s">
        <v>3628</v>
      </c>
      <c r="DH129" s="0" t="s">
        <v>82</v>
      </c>
      <c r="DI129" s="0" t="s">
        <v>1232</v>
      </c>
      <c r="DJ129" s="0" t="s">
        <v>1233</v>
      </c>
      <c r="DK129" s="0" t="s">
        <v>674</v>
      </c>
      <c r="DL129" s="0" t="n">
        <v>30.77</v>
      </c>
      <c r="DM129" s="0" t="s">
        <v>675</v>
      </c>
      <c r="DN129" s="0" t="s">
        <v>676</v>
      </c>
      <c r="DO129" s="0" t="n">
        <v>1</v>
      </c>
      <c r="DP129" s="0" t="n">
        <v>62.24</v>
      </c>
      <c r="DQ129" s="0" t="n">
        <v>62.24</v>
      </c>
      <c r="DR129" s="0" t="s">
        <v>3629</v>
      </c>
      <c r="EB129" s="0" t="s">
        <v>3630</v>
      </c>
      <c r="EC129" s="0" t="s">
        <v>2929</v>
      </c>
      <c r="ED129" s="0" t="s">
        <v>2930</v>
      </c>
      <c r="EE129" s="0" t="s">
        <v>607</v>
      </c>
      <c r="EF129" s="0" t="s">
        <v>2680</v>
      </c>
      <c r="EG129" s="0" t="n">
        <v>1280</v>
      </c>
      <c r="EH129" s="0" t="n">
        <v>1280</v>
      </c>
      <c r="EI129" s="0" t="n">
        <v>1280</v>
      </c>
      <c r="EJ129" s="0" t="n">
        <v>1280</v>
      </c>
      <c r="EL129" s="0" t="s">
        <v>3631</v>
      </c>
      <c r="EM129" s="0" t="s">
        <v>2873</v>
      </c>
      <c r="EN129" s="0" t="s">
        <v>2874</v>
      </c>
      <c r="EO129" s="0" t="n">
        <v>8</v>
      </c>
      <c r="EP129" s="0" t="s">
        <v>2528</v>
      </c>
      <c r="EQ129" s="0" t="s">
        <v>2988</v>
      </c>
      <c r="ER129" s="0" t="s">
        <v>2989</v>
      </c>
      <c r="ES129" s="0" t="n">
        <v>64000</v>
      </c>
      <c r="ET129" s="0" t="n">
        <v>64000</v>
      </c>
      <c r="EU129" s="0" t="n">
        <v>64000</v>
      </c>
      <c r="EV129" s="0" t="n">
        <v>64000</v>
      </c>
      <c r="HA129" s="0" t="s">
        <v>3632</v>
      </c>
      <c r="HB129" s="0" t="s">
        <v>87</v>
      </c>
      <c r="HC129" s="0" t="s">
        <v>2652</v>
      </c>
      <c r="HD129" s="0" t="s">
        <v>81</v>
      </c>
      <c r="HE129" s="0" t="n">
        <v>6350</v>
      </c>
      <c r="HF129" s="0" t="n">
        <v>33830</v>
      </c>
      <c r="HG129" s="0" t="n">
        <v>15199.2692307692</v>
      </c>
      <c r="HH129" s="0" t="n">
        <v>9027.5</v>
      </c>
      <c r="HI129" s="0" t="n">
        <v>15370</v>
      </c>
      <c r="HJ129" s="0" t="n">
        <v>18402.5</v>
      </c>
    </row>
    <row r="130" customFormat="false" ht="15" hidden="false" customHeight="false" outlineLevel="0" collapsed="false">
      <c r="A130" s="0" t="s">
        <v>293</v>
      </c>
      <c r="B130" s="0" t="s">
        <v>291</v>
      </c>
      <c r="C130" s="0" t="n">
        <v>330</v>
      </c>
      <c r="D130" s="0" t="n">
        <v>370</v>
      </c>
      <c r="E130" s="0" t="n">
        <v>400</v>
      </c>
      <c r="F130" s="0" t="n">
        <v>400</v>
      </c>
      <c r="CQ130" s="0" t="s">
        <v>3633</v>
      </c>
      <c r="CR130" s="0" t="s">
        <v>125</v>
      </c>
      <c r="CS130" s="0" t="s">
        <v>330</v>
      </c>
      <c r="CT130" s="0" t="s">
        <v>331</v>
      </c>
      <c r="CU130" s="0" t="s">
        <v>81</v>
      </c>
      <c r="CV130" s="0" t="s">
        <v>248</v>
      </c>
      <c r="CW130" s="0" t="n">
        <v>0</v>
      </c>
      <c r="DB130" s="0" t="n">
        <v>1050</v>
      </c>
      <c r="DC130" s="0" t="n">
        <v>1160</v>
      </c>
      <c r="DD130" s="0" t="n">
        <v>1250</v>
      </c>
      <c r="DE130" s="0" t="n">
        <v>1250</v>
      </c>
      <c r="DG130" s="0" t="s">
        <v>3634</v>
      </c>
      <c r="DH130" s="0" t="s">
        <v>82</v>
      </c>
      <c r="DI130" s="0" t="s">
        <v>1235</v>
      </c>
      <c r="DJ130" s="0" t="s">
        <v>1236</v>
      </c>
      <c r="DK130" s="0" t="s">
        <v>674</v>
      </c>
      <c r="DL130" s="0" t="n">
        <v>30.77</v>
      </c>
      <c r="DM130" s="0" t="s">
        <v>675</v>
      </c>
      <c r="DN130" s="0" t="s">
        <v>676</v>
      </c>
      <c r="DO130" s="0" t="n">
        <v>1</v>
      </c>
      <c r="DP130" s="0" t="n">
        <v>21.02</v>
      </c>
      <c r="DQ130" s="0" t="n">
        <v>21.02</v>
      </c>
      <c r="DR130" s="0" t="s">
        <v>3635</v>
      </c>
      <c r="EB130" s="0" t="s">
        <v>3636</v>
      </c>
      <c r="EC130" s="0" t="s">
        <v>2929</v>
      </c>
      <c r="ED130" s="0" t="s">
        <v>2930</v>
      </c>
      <c r="EE130" s="0" t="s">
        <v>605</v>
      </c>
      <c r="EF130" s="0" t="s">
        <v>2697</v>
      </c>
      <c r="EG130" s="0" t="n">
        <v>1400</v>
      </c>
      <c r="EH130" s="0" t="n">
        <v>1400</v>
      </c>
      <c r="EI130" s="0" t="n">
        <v>1400</v>
      </c>
      <c r="EJ130" s="0" t="n">
        <v>1400</v>
      </c>
      <c r="EL130" s="0" t="s">
        <v>3637</v>
      </c>
      <c r="EM130" s="0" t="s">
        <v>2725</v>
      </c>
      <c r="EN130" s="0" t="s">
        <v>2726</v>
      </c>
      <c r="EO130" s="0" t="n">
        <v>0.5</v>
      </c>
      <c r="EP130" s="0" t="s">
        <v>2528</v>
      </c>
      <c r="EQ130" s="0" t="s">
        <v>2529</v>
      </c>
      <c r="ER130" s="0" t="s">
        <v>2530</v>
      </c>
      <c r="ES130" s="0" t="n">
        <v>8410</v>
      </c>
      <c r="ET130" s="0" t="n">
        <v>8410</v>
      </c>
      <c r="EU130" s="0" t="n">
        <v>8410</v>
      </c>
      <c r="EV130" s="0" t="n">
        <v>8410</v>
      </c>
      <c r="HA130" s="0" t="s">
        <v>3638</v>
      </c>
      <c r="HB130" s="0" t="s">
        <v>87</v>
      </c>
      <c r="HC130" s="0" t="s">
        <v>2669</v>
      </c>
      <c r="HD130" s="0" t="s">
        <v>88</v>
      </c>
      <c r="HE130" s="0" t="n">
        <v>142770</v>
      </c>
      <c r="HF130" s="0" t="n">
        <v>175340</v>
      </c>
      <c r="HG130" s="0" t="n">
        <v>157665</v>
      </c>
      <c r="HH130" s="0" t="n">
        <v>154880</v>
      </c>
      <c r="HI130" s="0" t="n">
        <v>159090</v>
      </c>
      <c r="HJ130" s="0" t="n">
        <v>160140</v>
      </c>
    </row>
    <row r="131" customFormat="false" ht="15" hidden="false" customHeight="false" outlineLevel="0" collapsed="false">
      <c r="A131" s="0" t="s">
        <v>330</v>
      </c>
      <c r="B131" s="0" t="s">
        <v>331</v>
      </c>
      <c r="C131" s="0" t="n">
        <v>1050</v>
      </c>
      <c r="D131" s="0" t="n">
        <v>1160</v>
      </c>
      <c r="E131" s="0" t="n">
        <v>1250</v>
      </c>
      <c r="F131" s="0" t="n">
        <v>1250</v>
      </c>
      <c r="CQ131" s="0" t="s">
        <v>3639</v>
      </c>
      <c r="CR131" s="0" t="s">
        <v>125</v>
      </c>
      <c r="CS131" s="0" t="s">
        <v>334</v>
      </c>
      <c r="CT131" s="0" t="s">
        <v>335</v>
      </c>
      <c r="CU131" s="0" t="s">
        <v>81</v>
      </c>
      <c r="CV131" s="0" t="s">
        <v>248</v>
      </c>
      <c r="CW131" s="0" t="n">
        <v>0</v>
      </c>
      <c r="DB131" s="0" t="n">
        <v>380</v>
      </c>
      <c r="DC131" s="0" t="n">
        <v>420</v>
      </c>
      <c r="DD131" s="0" t="n">
        <v>460</v>
      </c>
      <c r="DE131" s="0" t="n">
        <v>460</v>
      </c>
      <c r="DG131" s="0" t="s">
        <v>3640</v>
      </c>
      <c r="DH131" s="0" t="s">
        <v>82</v>
      </c>
      <c r="DI131" s="0" t="s">
        <v>1238</v>
      </c>
      <c r="DJ131" s="0" t="s">
        <v>1239</v>
      </c>
      <c r="DK131" s="0" t="s">
        <v>674</v>
      </c>
      <c r="DL131" s="0" t="n">
        <v>30.77</v>
      </c>
      <c r="DM131" s="0" t="s">
        <v>676</v>
      </c>
      <c r="DN131" s="0" t="s">
        <v>675</v>
      </c>
      <c r="DO131" s="0" t="n">
        <v>0</v>
      </c>
      <c r="DP131" s="0" t="n">
        <v>0</v>
      </c>
      <c r="DQ131" s="0" t="n">
        <v>14.57</v>
      </c>
      <c r="DR131" s="0" t="s">
        <v>3641</v>
      </c>
      <c r="EB131" s="0" t="s">
        <v>3642</v>
      </c>
      <c r="EC131" s="0" t="s">
        <v>2929</v>
      </c>
      <c r="ED131" s="0" t="s">
        <v>2930</v>
      </c>
      <c r="EE131" s="0" t="s">
        <v>629</v>
      </c>
      <c r="EF131" s="0" t="s">
        <v>2713</v>
      </c>
      <c r="EG131" s="0" t="n">
        <v>1800</v>
      </c>
      <c r="EH131" s="0" t="n">
        <v>1800</v>
      </c>
      <c r="EI131" s="0" t="n">
        <v>1800</v>
      </c>
      <c r="EJ131" s="0" t="n">
        <v>1800</v>
      </c>
      <c r="EL131" s="0" t="s">
        <v>3643</v>
      </c>
      <c r="EM131" s="0" t="s">
        <v>2725</v>
      </c>
      <c r="EN131" s="0" t="s">
        <v>2726</v>
      </c>
      <c r="EO131" s="0" t="n">
        <v>0.5</v>
      </c>
      <c r="EP131" s="0" t="s">
        <v>2552</v>
      </c>
      <c r="EQ131" s="0" t="s">
        <v>2553</v>
      </c>
      <c r="ER131" s="0" t="s">
        <v>2554</v>
      </c>
      <c r="ES131" s="0" t="n">
        <v>8410</v>
      </c>
      <c r="ET131" s="0" t="n">
        <v>8410</v>
      </c>
      <c r="EU131" s="0" t="n">
        <v>8410</v>
      </c>
      <c r="EV131" s="0" t="n">
        <v>8410</v>
      </c>
      <c r="HA131" s="0" t="s">
        <v>3644</v>
      </c>
      <c r="HB131" s="0" t="s">
        <v>87</v>
      </c>
      <c r="HC131" s="0" t="s">
        <v>2686</v>
      </c>
      <c r="HD131" s="0" t="s">
        <v>90</v>
      </c>
      <c r="HE131" s="0" t="n">
        <v>2925</v>
      </c>
      <c r="HF131" s="0" t="n">
        <v>17540</v>
      </c>
      <c r="HG131" s="0" t="n">
        <v>5407.5</v>
      </c>
      <c r="HH131" s="0" t="n">
        <v>4050</v>
      </c>
      <c r="HI131" s="0" t="n">
        <v>5090</v>
      </c>
      <c r="HJ131" s="0" t="n">
        <v>6150</v>
      </c>
    </row>
    <row r="132" customFormat="false" ht="15" hidden="false" customHeight="false" outlineLevel="0" collapsed="false">
      <c r="A132" s="0" t="s">
        <v>334</v>
      </c>
      <c r="B132" s="0" t="s">
        <v>335</v>
      </c>
      <c r="C132" s="0" t="n">
        <v>380</v>
      </c>
      <c r="D132" s="0" t="n">
        <v>420</v>
      </c>
      <c r="E132" s="0" t="n">
        <v>460</v>
      </c>
      <c r="F132" s="0" t="n">
        <v>460</v>
      </c>
      <c r="CQ132" s="0" t="s">
        <v>3645</v>
      </c>
      <c r="CR132" s="0" t="s">
        <v>125</v>
      </c>
      <c r="CS132" s="0" t="s">
        <v>280</v>
      </c>
      <c r="CT132" s="0" t="s">
        <v>279</v>
      </c>
      <c r="CU132" s="0" t="s">
        <v>81</v>
      </c>
      <c r="CV132" s="0" t="s">
        <v>248</v>
      </c>
      <c r="CW132" s="0" t="n">
        <v>0</v>
      </c>
      <c r="DB132" s="0" t="n">
        <v>860</v>
      </c>
      <c r="DC132" s="0" t="n">
        <v>950</v>
      </c>
      <c r="DD132" s="0" t="n">
        <v>1020</v>
      </c>
      <c r="DE132" s="0" t="n">
        <v>1020</v>
      </c>
      <c r="DG132" s="0" t="s">
        <v>3646</v>
      </c>
      <c r="DH132" s="0" t="s">
        <v>82</v>
      </c>
      <c r="DI132" s="0" t="s">
        <v>1242</v>
      </c>
      <c r="DJ132" s="0" t="s">
        <v>1243</v>
      </c>
      <c r="DK132" s="0" t="s">
        <v>674</v>
      </c>
      <c r="DL132" s="0" t="n">
        <v>30.77</v>
      </c>
      <c r="DM132" s="0" t="s">
        <v>676</v>
      </c>
      <c r="DN132" s="0" t="s">
        <v>675</v>
      </c>
      <c r="DO132" s="0" t="n">
        <v>0</v>
      </c>
      <c r="DP132" s="0" t="n">
        <v>0</v>
      </c>
      <c r="DQ132" s="0" t="n">
        <v>88.19</v>
      </c>
      <c r="DR132" s="0" t="s">
        <v>3647</v>
      </c>
      <c r="EB132" s="0" t="s">
        <v>3648</v>
      </c>
      <c r="EC132" s="0" t="s">
        <v>2929</v>
      </c>
      <c r="ED132" s="0" t="s">
        <v>2930</v>
      </c>
      <c r="EE132" s="0" t="s">
        <v>602</v>
      </c>
      <c r="EF132" s="0" t="s">
        <v>2728</v>
      </c>
      <c r="EG132" s="0" t="n">
        <v>530</v>
      </c>
      <c r="EH132" s="0" t="n">
        <v>530</v>
      </c>
      <c r="EI132" s="0" t="n">
        <v>530</v>
      </c>
      <c r="EJ132" s="0" t="n">
        <v>530</v>
      </c>
      <c r="EL132" s="0" t="s">
        <v>3649</v>
      </c>
      <c r="EM132" s="0" t="s">
        <v>2725</v>
      </c>
      <c r="EN132" s="0" t="s">
        <v>2726</v>
      </c>
      <c r="EO132" s="0" t="n">
        <v>1</v>
      </c>
      <c r="EP132" s="0" t="s">
        <v>2528</v>
      </c>
      <c r="EQ132" s="0" t="s">
        <v>2569</v>
      </c>
      <c r="ER132" s="0" t="s">
        <v>2570</v>
      </c>
      <c r="ES132" s="0" t="n">
        <v>16830</v>
      </c>
      <c r="ET132" s="0" t="n">
        <v>16830</v>
      </c>
      <c r="EU132" s="0" t="n">
        <v>16830</v>
      </c>
      <c r="EV132" s="0" t="n">
        <v>16830</v>
      </c>
      <c r="HA132" s="0" t="s">
        <v>3650</v>
      </c>
      <c r="HB132" s="0" t="s">
        <v>87</v>
      </c>
      <c r="HC132" s="0" t="s">
        <v>2702</v>
      </c>
      <c r="HD132" s="0" t="s">
        <v>99</v>
      </c>
      <c r="HE132" s="0" t="n">
        <v>61630</v>
      </c>
      <c r="HF132" s="0" t="n">
        <v>161442</v>
      </c>
      <c r="HG132" s="0" t="n">
        <v>99763.8461538462</v>
      </c>
      <c r="HH132" s="0" t="n">
        <v>96442</v>
      </c>
      <c r="HI132" s="0" t="n">
        <v>98192</v>
      </c>
      <c r="HJ132" s="0" t="n">
        <v>99817</v>
      </c>
    </row>
    <row r="133" customFormat="false" ht="15" hidden="false" customHeight="false" outlineLevel="0" collapsed="false">
      <c r="A133" s="0" t="s">
        <v>280</v>
      </c>
      <c r="B133" s="0" t="s">
        <v>279</v>
      </c>
      <c r="C133" s="0" t="n">
        <v>860</v>
      </c>
      <c r="D133" s="0" t="n">
        <v>950</v>
      </c>
      <c r="E133" s="0" t="n">
        <v>1020</v>
      </c>
      <c r="F133" s="0" t="n">
        <v>1020</v>
      </c>
      <c r="CQ133" s="0" t="s">
        <v>3651</v>
      </c>
      <c r="CR133" s="0" t="s">
        <v>125</v>
      </c>
      <c r="CS133" s="0" t="s">
        <v>582</v>
      </c>
      <c r="CT133" s="0" t="s">
        <v>580</v>
      </c>
      <c r="CU133" s="0" t="s">
        <v>581</v>
      </c>
      <c r="CV133" s="0" t="s">
        <v>581</v>
      </c>
      <c r="CW133" s="0" t="n">
        <v>0</v>
      </c>
      <c r="DB133" s="0" t="n">
        <v>2030</v>
      </c>
      <c r="DC133" s="0" t="n">
        <v>2210</v>
      </c>
      <c r="DD133" s="0" t="n">
        <v>2380</v>
      </c>
      <c r="DE133" s="0" t="n">
        <v>2560</v>
      </c>
      <c r="DG133" s="0" t="s">
        <v>3652</v>
      </c>
      <c r="DH133" s="0" t="s">
        <v>82</v>
      </c>
      <c r="DI133" s="0" t="s">
        <v>474</v>
      </c>
      <c r="DJ133" s="0" t="s">
        <v>475</v>
      </c>
      <c r="DK133" s="0" t="s">
        <v>1181</v>
      </c>
      <c r="DL133" s="0" t="n">
        <v>30.77</v>
      </c>
      <c r="DM133" s="0" t="s">
        <v>675</v>
      </c>
      <c r="DN133" s="0" t="s">
        <v>676</v>
      </c>
      <c r="DO133" s="0" t="n">
        <v>1</v>
      </c>
      <c r="DP133" s="0" t="n">
        <v>0.1</v>
      </c>
      <c r="DQ133" s="0" t="n">
        <v>0.1</v>
      </c>
      <c r="DR133" s="0" t="s">
        <v>3653</v>
      </c>
      <c r="EB133" s="0" t="s">
        <v>3654</v>
      </c>
      <c r="EC133" s="0" t="s">
        <v>2929</v>
      </c>
      <c r="ED133" s="0" t="s">
        <v>2930</v>
      </c>
      <c r="EE133" s="0" t="s">
        <v>599</v>
      </c>
      <c r="EF133" s="0" t="s">
        <v>2745</v>
      </c>
      <c r="EG133" s="0" t="n">
        <v>2250</v>
      </c>
      <c r="EH133" s="0" t="n">
        <v>2250</v>
      </c>
      <c r="EI133" s="0" t="n">
        <v>2250</v>
      </c>
      <c r="EJ133" s="0" t="n">
        <v>2250</v>
      </c>
      <c r="EL133" s="0" t="s">
        <v>3655</v>
      </c>
      <c r="EM133" s="0" t="s">
        <v>2725</v>
      </c>
      <c r="EN133" s="0" t="s">
        <v>2726</v>
      </c>
      <c r="EO133" s="0" t="n">
        <v>1</v>
      </c>
      <c r="EP133" s="0" t="s">
        <v>2552</v>
      </c>
      <c r="EQ133" s="0" t="s">
        <v>2582</v>
      </c>
      <c r="ER133" s="0" t="s">
        <v>2583</v>
      </c>
      <c r="ES133" s="0" t="n">
        <v>16830</v>
      </c>
      <c r="ET133" s="0" t="n">
        <v>16830</v>
      </c>
      <c r="EU133" s="0" t="n">
        <v>16830</v>
      </c>
      <c r="EV133" s="0" t="n">
        <v>16830</v>
      </c>
      <c r="HA133" s="0" t="s">
        <v>3656</v>
      </c>
      <c r="HB133" s="0" t="s">
        <v>87</v>
      </c>
      <c r="HC133" s="0" t="s">
        <v>2687</v>
      </c>
      <c r="HD133" s="0" t="s">
        <v>145</v>
      </c>
      <c r="HE133" s="0" t="n">
        <v>5055.58</v>
      </c>
      <c r="HF133" s="0" t="n">
        <v>15632.76</v>
      </c>
      <c r="HG133" s="0" t="n">
        <v>9266.44038461538</v>
      </c>
      <c r="HH133" s="0" t="n">
        <v>7802.505</v>
      </c>
      <c r="HI133" s="0" t="n">
        <v>9060.435</v>
      </c>
      <c r="HJ133" s="0" t="n">
        <v>10629.0975</v>
      </c>
    </row>
    <row r="134" customFormat="false" ht="15" hidden="false" customHeight="false" outlineLevel="0" collapsed="false">
      <c r="A134" s="0" t="s">
        <v>278</v>
      </c>
      <c r="B134" s="0" t="s">
        <v>276</v>
      </c>
      <c r="C134" s="0" t="n">
        <v>930</v>
      </c>
      <c r="D134" s="0" t="n">
        <v>1030</v>
      </c>
      <c r="E134" s="0" t="n">
        <v>1110</v>
      </c>
      <c r="F134" s="0" t="n">
        <v>1110</v>
      </c>
      <c r="CQ134" s="0" t="s">
        <v>3657</v>
      </c>
      <c r="CR134" s="0" t="s">
        <v>125</v>
      </c>
      <c r="CS134" s="0" t="s">
        <v>264</v>
      </c>
      <c r="CT134" s="0" t="s">
        <v>262</v>
      </c>
      <c r="CU134" s="0" t="s">
        <v>2252</v>
      </c>
      <c r="CV134" s="0" t="s">
        <v>263</v>
      </c>
      <c r="CW134" s="0" t="n">
        <v>0</v>
      </c>
      <c r="DB134" s="0" t="n">
        <v>680</v>
      </c>
      <c r="DC134" s="0" t="n">
        <v>750</v>
      </c>
      <c r="DD134" s="0" t="n">
        <v>810</v>
      </c>
      <c r="DE134" s="0" t="n">
        <v>810</v>
      </c>
      <c r="DG134" s="0" t="s">
        <v>3658</v>
      </c>
      <c r="DH134" s="0" t="s">
        <v>82</v>
      </c>
      <c r="DJ134" s="0" t="s">
        <v>753</v>
      </c>
      <c r="DK134" s="0" t="s">
        <v>705</v>
      </c>
      <c r="DL134" s="0" t="n">
        <v>30.77</v>
      </c>
      <c r="DM134" s="0" t="s">
        <v>675</v>
      </c>
      <c r="DN134" s="0" t="s">
        <v>675</v>
      </c>
      <c r="DO134" s="0" t="n">
        <v>0</v>
      </c>
      <c r="DP134" s="0" t="n">
        <v>0</v>
      </c>
      <c r="DQ134" s="0" t="n">
        <v>0</v>
      </c>
      <c r="DR134" s="0" t="s">
        <v>2768</v>
      </c>
      <c r="EB134" s="0" t="s">
        <v>3659</v>
      </c>
      <c r="EC134" s="0" t="s">
        <v>2929</v>
      </c>
      <c r="ED134" s="0" t="s">
        <v>2930</v>
      </c>
      <c r="EE134" s="0" t="s">
        <v>597</v>
      </c>
      <c r="EF134" s="0" t="s">
        <v>2759</v>
      </c>
      <c r="EG134" s="0" t="n">
        <v>4500</v>
      </c>
      <c r="EH134" s="0" t="n">
        <v>4500</v>
      </c>
      <c r="EI134" s="0" t="n">
        <v>4500</v>
      </c>
      <c r="EJ134" s="0" t="n">
        <v>4500</v>
      </c>
      <c r="EL134" s="0" t="s">
        <v>3660</v>
      </c>
      <c r="EM134" s="0" t="s">
        <v>2725</v>
      </c>
      <c r="EN134" s="0" t="s">
        <v>2726</v>
      </c>
      <c r="EO134" s="0" t="n">
        <v>1.5</v>
      </c>
      <c r="EP134" s="0" t="s">
        <v>2528</v>
      </c>
      <c r="EQ134" s="0" t="s">
        <v>2598</v>
      </c>
      <c r="ER134" s="0" t="s">
        <v>2599</v>
      </c>
      <c r="ES134" s="0" t="n">
        <v>25230</v>
      </c>
      <c r="ET134" s="0" t="n">
        <v>25230</v>
      </c>
      <c r="EU134" s="0" t="n">
        <v>25230</v>
      </c>
      <c r="EV134" s="0" t="n">
        <v>25230</v>
      </c>
      <c r="HA134" s="0" t="s">
        <v>3661</v>
      </c>
      <c r="HB134" s="0" t="s">
        <v>87</v>
      </c>
      <c r="HC134" s="0" t="s">
        <v>2736</v>
      </c>
      <c r="HD134" s="0" t="s">
        <v>89</v>
      </c>
      <c r="HE134" s="0" t="n">
        <v>1685.19</v>
      </c>
      <c r="HF134" s="0" t="n">
        <v>3707.41</v>
      </c>
      <c r="HG134" s="0" t="n">
        <v>2794.44192307692</v>
      </c>
      <c r="HH134" s="0" t="n">
        <v>2380.9425</v>
      </c>
      <c r="HI134" s="0" t="n">
        <v>2855.32</v>
      </c>
      <c r="HJ134" s="0" t="n">
        <v>3198.2575</v>
      </c>
    </row>
    <row r="135" customFormat="false" ht="15" hidden="false" customHeight="false" outlineLevel="0" collapsed="false">
      <c r="A135" s="0" t="s">
        <v>582</v>
      </c>
      <c r="B135" s="0" t="s">
        <v>580</v>
      </c>
      <c r="C135" s="0" t="n">
        <v>2030</v>
      </c>
      <c r="D135" s="0" t="n">
        <v>2210</v>
      </c>
      <c r="E135" s="0" t="n">
        <v>2380</v>
      </c>
      <c r="F135" s="0" t="n">
        <v>2560</v>
      </c>
      <c r="CQ135" s="0" t="s">
        <v>3662</v>
      </c>
      <c r="CR135" s="0" t="s">
        <v>125</v>
      </c>
      <c r="CS135" s="0" t="s">
        <v>612</v>
      </c>
      <c r="CT135" s="0" t="s">
        <v>2647</v>
      </c>
      <c r="CU135" s="0" t="s">
        <v>2939</v>
      </c>
      <c r="CV135" s="0" t="s">
        <v>277</v>
      </c>
      <c r="CW135" s="0" t="n">
        <v>0</v>
      </c>
      <c r="DB135" s="0" t="n">
        <v>740</v>
      </c>
      <c r="DC135" s="0" t="n">
        <v>820</v>
      </c>
      <c r="DD135" s="0" t="n">
        <v>880</v>
      </c>
      <c r="DE135" s="0" t="n">
        <v>880</v>
      </c>
      <c r="DG135" s="0" t="s">
        <v>3663</v>
      </c>
      <c r="DH135" s="0" t="s">
        <v>82</v>
      </c>
      <c r="DI135" s="0" t="s">
        <v>1249</v>
      </c>
      <c r="DJ135" s="0" t="s">
        <v>1250</v>
      </c>
      <c r="DK135" s="0" t="s">
        <v>705</v>
      </c>
      <c r="DL135" s="0" t="n">
        <v>30.77</v>
      </c>
      <c r="DM135" s="0" t="s">
        <v>675</v>
      </c>
      <c r="DN135" s="0" t="s">
        <v>676</v>
      </c>
      <c r="DO135" s="0" t="n">
        <v>40</v>
      </c>
      <c r="DP135" s="0" t="n">
        <v>937.2</v>
      </c>
      <c r="DQ135" s="0" t="n">
        <v>937.2</v>
      </c>
      <c r="DR135" s="0" t="s">
        <v>3664</v>
      </c>
      <c r="EB135" s="0" t="s">
        <v>3665</v>
      </c>
      <c r="EC135" s="0" t="s">
        <v>2929</v>
      </c>
      <c r="ED135" s="0" t="s">
        <v>2930</v>
      </c>
      <c r="EE135" s="0" t="s">
        <v>2699</v>
      </c>
      <c r="EF135" s="0" t="s">
        <v>2700</v>
      </c>
      <c r="EG135" s="0" t="n">
        <v>48140</v>
      </c>
      <c r="EH135" s="0" t="n">
        <v>53160</v>
      </c>
      <c r="EI135" s="0" t="n">
        <v>57470</v>
      </c>
      <c r="EJ135" s="0" t="n">
        <v>57470</v>
      </c>
      <c r="EL135" s="0" t="s">
        <v>3666</v>
      </c>
      <c r="EM135" s="0" t="s">
        <v>2725</v>
      </c>
      <c r="EN135" s="0" t="s">
        <v>2726</v>
      </c>
      <c r="EO135" s="0" t="n">
        <v>1.5</v>
      </c>
      <c r="EP135" s="0" t="s">
        <v>2552</v>
      </c>
      <c r="EQ135" s="0" t="s">
        <v>2614</v>
      </c>
      <c r="ER135" s="0" t="s">
        <v>2615</v>
      </c>
      <c r="ES135" s="0" t="n">
        <v>25230</v>
      </c>
      <c r="ET135" s="0" t="n">
        <v>25230</v>
      </c>
      <c r="EU135" s="0" t="n">
        <v>25230</v>
      </c>
      <c r="EV135" s="0" t="n">
        <v>25230</v>
      </c>
      <c r="HA135" s="0" t="s">
        <v>3667</v>
      </c>
      <c r="HB135" s="0" t="s">
        <v>87</v>
      </c>
      <c r="HC135" s="0" t="s">
        <v>2703</v>
      </c>
      <c r="HD135" s="0" t="s">
        <v>146</v>
      </c>
      <c r="HE135" s="0" t="n">
        <v>6306.92</v>
      </c>
      <c r="HF135" s="0" t="n">
        <v>16357.87</v>
      </c>
      <c r="HG135" s="0" t="n">
        <v>11027.8388461539</v>
      </c>
      <c r="HH135" s="0" t="n">
        <v>9677.2125</v>
      </c>
      <c r="HI135" s="0" t="n">
        <v>10711.305</v>
      </c>
      <c r="HJ135" s="0" t="n">
        <v>11936.6175</v>
      </c>
    </row>
    <row r="136" customFormat="false" ht="15" hidden="false" customHeight="false" outlineLevel="0" collapsed="false">
      <c r="A136" s="0" t="s">
        <v>296</v>
      </c>
      <c r="B136" s="0" t="s">
        <v>294</v>
      </c>
      <c r="C136" s="0" t="n">
        <v>150</v>
      </c>
      <c r="D136" s="0" t="n">
        <v>150</v>
      </c>
      <c r="E136" s="0" t="n">
        <v>150</v>
      </c>
      <c r="F136" s="0" t="n">
        <v>150</v>
      </c>
      <c r="CQ136" s="0" t="s">
        <v>3668</v>
      </c>
      <c r="CR136" s="0" t="s">
        <v>125</v>
      </c>
      <c r="CS136" s="0" t="s">
        <v>278</v>
      </c>
      <c r="CT136" s="0" t="s">
        <v>276</v>
      </c>
      <c r="CU136" s="0" t="s">
        <v>581</v>
      </c>
      <c r="CV136" s="0" t="s">
        <v>277</v>
      </c>
      <c r="CW136" s="0" t="n">
        <v>0</v>
      </c>
      <c r="DB136" s="0" t="n">
        <v>930</v>
      </c>
      <c r="DC136" s="0" t="n">
        <v>1030</v>
      </c>
      <c r="DD136" s="0" t="n">
        <v>1110</v>
      </c>
      <c r="DE136" s="0" t="n">
        <v>1110</v>
      </c>
      <c r="DG136" s="0" t="s">
        <v>3669</v>
      </c>
      <c r="DH136" s="0" t="s">
        <v>82</v>
      </c>
      <c r="DI136" s="0" t="s">
        <v>1253</v>
      </c>
      <c r="DJ136" s="0" t="s">
        <v>1254</v>
      </c>
      <c r="DK136" s="0" t="s">
        <v>705</v>
      </c>
      <c r="DL136" s="0" t="n">
        <v>30.77</v>
      </c>
      <c r="DM136" s="0" t="s">
        <v>675</v>
      </c>
      <c r="DN136" s="0" t="s">
        <v>676</v>
      </c>
      <c r="DO136" s="0" t="n">
        <v>1</v>
      </c>
      <c r="DP136" s="0" t="n">
        <v>5.32</v>
      </c>
      <c r="DQ136" s="0" t="n">
        <v>5.32</v>
      </c>
      <c r="DR136" s="0" t="s">
        <v>3670</v>
      </c>
      <c r="EB136" s="0" t="s">
        <v>3671</v>
      </c>
      <c r="EC136" s="0" t="s">
        <v>2929</v>
      </c>
      <c r="ED136" s="0" t="s">
        <v>2930</v>
      </c>
      <c r="EE136" s="0" t="s">
        <v>590</v>
      </c>
      <c r="EF136" s="0" t="s">
        <v>2786</v>
      </c>
      <c r="EG136" s="0" t="n">
        <v>4530</v>
      </c>
      <c r="EH136" s="0" t="n">
        <v>4530</v>
      </c>
      <c r="EI136" s="0" t="n">
        <v>4530</v>
      </c>
      <c r="EJ136" s="0" t="n">
        <v>4530</v>
      </c>
      <c r="EL136" s="0" t="s">
        <v>3672</v>
      </c>
      <c r="EM136" s="0" t="s">
        <v>2725</v>
      </c>
      <c r="EN136" s="0" t="s">
        <v>2726</v>
      </c>
      <c r="EO136" s="0" t="n">
        <v>2</v>
      </c>
      <c r="EP136" s="0" t="s">
        <v>2528</v>
      </c>
      <c r="EQ136" s="0" t="s">
        <v>2630</v>
      </c>
      <c r="ER136" s="0" t="s">
        <v>2631</v>
      </c>
      <c r="ES136" s="0" t="n">
        <v>33640</v>
      </c>
      <c r="ET136" s="0" t="n">
        <v>33640</v>
      </c>
      <c r="EU136" s="0" t="n">
        <v>33640</v>
      </c>
      <c r="EV136" s="0" t="n">
        <v>33640</v>
      </c>
      <c r="HA136" s="0" t="s">
        <v>3673</v>
      </c>
      <c r="HB136" s="0" t="s">
        <v>87</v>
      </c>
      <c r="HC136" s="0" t="s">
        <v>2764</v>
      </c>
      <c r="HD136" s="0" t="s">
        <v>92</v>
      </c>
      <c r="HE136" s="0" t="n">
        <v>2102.31</v>
      </c>
      <c r="HF136" s="0" t="n">
        <v>4392.97</v>
      </c>
      <c r="HG136" s="0" t="n">
        <v>3345.67153846154</v>
      </c>
      <c r="HH136" s="0" t="n">
        <v>3059.7975</v>
      </c>
      <c r="HI136" s="0" t="n">
        <v>3428.83</v>
      </c>
      <c r="HJ136" s="0" t="n">
        <v>3617.7125</v>
      </c>
    </row>
    <row r="137" customFormat="false" ht="15" hidden="false" customHeight="false" outlineLevel="0" collapsed="false">
      <c r="A137" s="0" t="s">
        <v>579</v>
      </c>
      <c r="B137" s="0" t="s">
        <v>2889</v>
      </c>
      <c r="C137" s="0" t="n">
        <v>1300</v>
      </c>
      <c r="D137" s="0" t="n">
        <v>1300</v>
      </c>
      <c r="E137" s="0" t="n">
        <v>1300</v>
      </c>
      <c r="F137" s="0" t="n">
        <v>1300</v>
      </c>
      <c r="CQ137" s="0" t="s">
        <v>3674</v>
      </c>
      <c r="CR137" s="0" t="s">
        <v>125</v>
      </c>
      <c r="CS137" s="0" t="s">
        <v>616</v>
      </c>
      <c r="CT137" s="0" t="s">
        <v>2612</v>
      </c>
      <c r="CU137" s="0" t="s">
        <v>90</v>
      </c>
      <c r="CV137" s="0" t="s">
        <v>289</v>
      </c>
      <c r="CW137" s="0" t="n">
        <v>0</v>
      </c>
      <c r="DB137" s="0" t="n">
        <v>480</v>
      </c>
      <c r="DC137" s="0" t="n">
        <v>530</v>
      </c>
      <c r="DD137" s="0" t="n">
        <v>570</v>
      </c>
      <c r="DE137" s="0" t="n">
        <v>570</v>
      </c>
      <c r="DG137" s="0" t="s">
        <v>3675</v>
      </c>
      <c r="DH137" s="0" t="s">
        <v>82</v>
      </c>
      <c r="DI137" s="0" t="s">
        <v>1256</v>
      </c>
      <c r="DJ137" s="0" t="s">
        <v>1257</v>
      </c>
      <c r="DK137" s="0" t="s">
        <v>705</v>
      </c>
      <c r="DL137" s="0" t="n">
        <v>30.77</v>
      </c>
      <c r="DM137" s="0" t="s">
        <v>675</v>
      </c>
      <c r="DN137" s="0" t="s">
        <v>676</v>
      </c>
      <c r="DO137" s="0" t="n">
        <v>1</v>
      </c>
      <c r="DP137" s="0" t="n">
        <v>3.98</v>
      </c>
      <c r="DQ137" s="0" t="n">
        <v>3.98</v>
      </c>
      <c r="DR137" s="0" t="s">
        <v>3676</v>
      </c>
      <c r="EB137" s="0" t="s">
        <v>3677</v>
      </c>
      <c r="EC137" s="0" t="s">
        <v>2929</v>
      </c>
      <c r="ED137" s="0" t="s">
        <v>2930</v>
      </c>
      <c r="EE137" s="0" t="s">
        <v>588</v>
      </c>
      <c r="EF137" s="0" t="s">
        <v>2801</v>
      </c>
      <c r="EG137" s="0" t="n">
        <v>3110</v>
      </c>
      <c r="EH137" s="0" t="n">
        <v>3440</v>
      </c>
      <c r="EI137" s="0" t="n">
        <v>3710</v>
      </c>
      <c r="EJ137" s="0" t="n">
        <v>3710</v>
      </c>
      <c r="EL137" s="0" t="s">
        <v>3678</v>
      </c>
      <c r="EM137" s="0" t="s">
        <v>2725</v>
      </c>
      <c r="EN137" s="0" t="s">
        <v>2726</v>
      </c>
      <c r="EO137" s="0" t="n">
        <v>2</v>
      </c>
      <c r="EP137" s="0" t="s">
        <v>2552</v>
      </c>
      <c r="EQ137" s="0" t="s">
        <v>2649</v>
      </c>
      <c r="ER137" s="0" t="s">
        <v>2650</v>
      </c>
      <c r="ES137" s="0" t="n">
        <v>33640</v>
      </c>
      <c r="ET137" s="0" t="n">
        <v>33640</v>
      </c>
      <c r="EU137" s="0" t="n">
        <v>33640</v>
      </c>
      <c r="EV137" s="0" t="n">
        <v>33640</v>
      </c>
      <c r="HA137" s="0" t="s">
        <v>3679</v>
      </c>
      <c r="HB137" s="0" t="s">
        <v>87</v>
      </c>
      <c r="HC137" s="0" t="s">
        <v>2718</v>
      </c>
      <c r="HD137" s="0" t="s">
        <v>95</v>
      </c>
      <c r="HE137" s="0" t="n">
        <v>5459.76</v>
      </c>
      <c r="HF137" s="0" t="n">
        <v>14791.84</v>
      </c>
      <c r="HG137" s="0" t="n">
        <v>9667.04346153846</v>
      </c>
      <c r="HH137" s="0" t="n">
        <v>8468.8525</v>
      </c>
      <c r="HI137" s="0" t="n">
        <v>9439.535</v>
      </c>
      <c r="HJ137" s="0" t="n">
        <v>11143.7</v>
      </c>
    </row>
    <row r="138" customFormat="false" ht="15" hidden="false" customHeight="false" outlineLevel="0" collapsed="false">
      <c r="A138" s="0" t="s">
        <v>575</v>
      </c>
      <c r="B138" s="0" t="s">
        <v>573</v>
      </c>
      <c r="C138" s="0" t="n">
        <v>2000</v>
      </c>
      <c r="D138" s="0" t="n">
        <v>2000</v>
      </c>
      <c r="E138" s="0" t="n">
        <v>2000</v>
      </c>
      <c r="F138" s="0" t="n">
        <v>2000</v>
      </c>
      <c r="CQ138" s="0" t="s">
        <v>3680</v>
      </c>
      <c r="CR138" s="0" t="s">
        <v>125</v>
      </c>
      <c r="CS138" s="0" t="s">
        <v>614</v>
      </c>
      <c r="CT138" s="0" t="s">
        <v>2628</v>
      </c>
      <c r="CU138" s="0" t="s">
        <v>90</v>
      </c>
      <c r="CV138" s="0" t="s">
        <v>2979</v>
      </c>
      <c r="CW138" s="0" t="n">
        <v>0</v>
      </c>
      <c r="DB138" s="0" t="n">
        <v>980</v>
      </c>
      <c r="DC138" s="0" t="n">
        <v>1080</v>
      </c>
      <c r="DD138" s="0" t="n">
        <v>1170</v>
      </c>
      <c r="DE138" s="0" t="n">
        <v>1170</v>
      </c>
      <c r="DG138" s="0" t="s">
        <v>3681</v>
      </c>
      <c r="DH138" s="0" t="s">
        <v>82</v>
      </c>
      <c r="DJ138" s="0" t="s">
        <v>970</v>
      </c>
      <c r="DK138" s="0" t="s">
        <v>674</v>
      </c>
      <c r="DL138" s="0" t="n">
        <v>26.92</v>
      </c>
      <c r="DM138" s="0" t="s">
        <v>675</v>
      </c>
      <c r="DN138" s="0" t="s">
        <v>675</v>
      </c>
      <c r="DO138" s="0" t="n">
        <v>0</v>
      </c>
      <c r="DP138" s="0" t="n">
        <v>0</v>
      </c>
      <c r="DQ138" s="0" t="n">
        <v>0</v>
      </c>
      <c r="DR138" s="0" t="s">
        <v>3206</v>
      </c>
      <c r="EB138" s="0" t="s">
        <v>3682</v>
      </c>
      <c r="EC138" s="0" t="s">
        <v>2929</v>
      </c>
      <c r="ED138" s="0" t="s">
        <v>2930</v>
      </c>
      <c r="EE138" s="0" t="s">
        <v>586</v>
      </c>
      <c r="EF138" s="0" t="s">
        <v>2815</v>
      </c>
      <c r="EG138" s="0" t="n">
        <v>13170</v>
      </c>
      <c r="EH138" s="0" t="n">
        <v>14550</v>
      </c>
      <c r="EI138" s="0" t="n">
        <v>15720</v>
      </c>
      <c r="EJ138" s="0" t="n">
        <v>15720</v>
      </c>
      <c r="EL138" s="0" t="s">
        <v>3683</v>
      </c>
      <c r="EM138" s="0" t="s">
        <v>2725</v>
      </c>
      <c r="EN138" s="0" t="s">
        <v>2726</v>
      </c>
      <c r="EO138" s="0" t="n">
        <v>2.5</v>
      </c>
      <c r="EP138" s="0" t="s">
        <v>2528</v>
      </c>
      <c r="EQ138" s="0" t="s">
        <v>2665</v>
      </c>
      <c r="ER138" s="0" t="s">
        <v>2666</v>
      </c>
      <c r="ES138" s="0" t="n">
        <v>44860</v>
      </c>
      <c r="ET138" s="0" t="n">
        <v>44860</v>
      </c>
      <c r="EU138" s="0" t="n">
        <v>44860</v>
      </c>
      <c r="EV138" s="0" t="n">
        <v>44860</v>
      </c>
      <c r="HA138" s="0" t="s">
        <v>3684</v>
      </c>
      <c r="HB138" s="0" t="s">
        <v>87</v>
      </c>
      <c r="HC138" s="0" t="s">
        <v>2737</v>
      </c>
      <c r="HD138" s="0" t="s">
        <v>98</v>
      </c>
      <c r="HE138" s="0" t="n">
        <v>49210.94</v>
      </c>
      <c r="HF138" s="0" t="n">
        <v>142365.98</v>
      </c>
      <c r="HG138" s="0" t="n">
        <v>84196.2588461538</v>
      </c>
      <c r="HH138" s="0" t="n">
        <v>66040.54</v>
      </c>
      <c r="HI138" s="0" t="n">
        <v>72382.9</v>
      </c>
      <c r="HJ138" s="0" t="n">
        <v>107563.63</v>
      </c>
    </row>
    <row r="139" customFormat="false" ht="15" hidden="false" customHeight="false" outlineLevel="0" collapsed="false">
      <c r="A139" s="0" t="s">
        <v>2917</v>
      </c>
      <c r="B139" s="0" t="s">
        <v>2918</v>
      </c>
      <c r="C139" s="0" t="n">
        <v>3320</v>
      </c>
      <c r="D139" s="0" t="n">
        <v>3320</v>
      </c>
      <c r="E139" s="0" t="n">
        <v>3320</v>
      </c>
      <c r="F139" s="0" t="n">
        <v>3320</v>
      </c>
      <c r="CQ139" s="0" t="s">
        <v>3685</v>
      </c>
      <c r="CR139" s="0" t="s">
        <v>125</v>
      </c>
      <c r="CS139" s="0" t="s">
        <v>240</v>
      </c>
      <c r="CT139" s="0" t="s">
        <v>238</v>
      </c>
      <c r="CU139" s="0" t="s">
        <v>90</v>
      </c>
      <c r="CV139" s="0" t="s">
        <v>239</v>
      </c>
      <c r="CW139" s="0" t="n">
        <v>0</v>
      </c>
      <c r="DB139" s="0" t="n">
        <v>3620</v>
      </c>
      <c r="DC139" s="0" t="n">
        <v>3620</v>
      </c>
      <c r="DD139" s="0" t="n">
        <v>3620</v>
      </c>
      <c r="DE139" s="0" t="n">
        <v>3620</v>
      </c>
      <c r="DG139" s="0" t="s">
        <v>3686</v>
      </c>
      <c r="DH139" s="0" t="s">
        <v>82</v>
      </c>
      <c r="DI139" s="0" t="s">
        <v>1260</v>
      </c>
      <c r="DJ139" s="0" t="s">
        <v>1261</v>
      </c>
      <c r="DK139" s="0" t="s">
        <v>674</v>
      </c>
      <c r="DL139" s="0" t="n">
        <v>26.92</v>
      </c>
      <c r="DM139" s="0" t="s">
        <v>676</v>
      </c>
      <c r="DN139" s="0" t="s">
        <v>675</v>
      </c>
      <c r="DO139" s="0" t="n">
        <v>0</v>
      </c>
      <c r="DP139" s="0" t="n">
        <v>0</v>
      </c>
      <c r="DQ139" s="0" t="n">
        <v>33.2</v>
      </c>
      <c r="DR139" s="0" t="s">
        <v>3687</v>
      </c>
      <c r="EB139" s="0" t="s">
        <v>3688</v>
      </c>
      <c r="EC139" s="0" t="s">
        <v>2929</v>
      </c>
      <c r="ED139" s="0" t="s">
        <v>2930</v>
      </c>
      <c r="EE139" s="0" t="s">
        <v>584</v>
      </c>
      <c r="EF139" s="0" t="s">
        <v>583</v>
      </c>
      <c r="EG139" s="0" t="n">
        <v>150000</v>
      </c>
      <c r="EH139" s="0" t="n">
        <v>150000</v>
      </c>
      <c r="EI139" s="0" t="n">
        <v>150000</v>
      </c>
      <c r="EJ139" s="0" t="n">
        <v>150000</v>
      </c>
      <c r="EL139" s="0" t="s">
        <v>3689</v>
      </c>
      <c r="EM139" s="0" t="s">
        <v>2725</v>
      </c>
      <c r="EN139" s="0" t="s">
        <v>2726</v>
      </c>
      <c r="EO139" s="0" t="n">
        <v>2.5</v>
      </c>
      <c r="EP139" s="0" t="s">
        <v>2552</v>
      </c>
      <c r="EQ139" s="0" t="s">
        <v>2682</v>
      </c>
      <c r="ER139" s="0" t="s">
        <v>2683</v>
      </c>
      <c r="ES139" s="0" t="n">
        <v>44860</v>
      </c>
      <c r="ET139" s="0" t="n">
        <v>44860</v>
      </c>
      <c r="EU139" s="0" t="n">
        <v>44860</v>
      </c>
      <c r="EV139" s="0" t="n">
        <v>44860</v>
      </c>
      <c r="HA139" s="0" t="s">
        <v>3690</v>
      </c>
      <c r="HB139" s="0" t="s">
        <v>87</v>
      </c>
      <c r="HC139" s="0" t="s">
        <v>2751</v>
      </c>
      <c r="HD139" s="0" t="s">
        <v>101</v>
      </c>
      <c r="HE139" s="0" t="n">
        <v>73205.15</v>
      </c>
      <c r="HF139" s="0" t="n">
        <v>114163.9</v>
      </c>
      <c r="HG139" s="0" t="n">
        <v>91343.3496153846</v>
      </c>
      <c r="HH139" s="0" t="n">
        <v>89130.0775</v>
      </c>
      <c r="HI139" s="0" t="n">
        <v>89130.16</v>
      </c>
      <c r="HJ139" s="0" t="n">
        <v>98838.05</v>
      </c>
    </row>
    <row r="140" customFormat="false" ht="15" hidden="false" customHeight="false" outlineLevel="0" collapsed="false">
      <c r="A140" s="0" t="s">
        <v>2932</v>
      </c>
      <c r="B140" s="0" t="s">
        <v>2933</v>
      </c>
      <c r="C140" s="0" t="n">
        <v>4660</v>
      </c>
      <c r="D140" s="0" t="n">
        <v>4660</v>
      </c>
      <c r="E140" s="0" t="n">
        <v>4660</v>
      </c>
      <c r="F140" s="0" t="n">
        <v>4660</v>
      </c>
      <c r="CQ140" s="0" t="s">
        <v>3691</v>
      </c>
      <c r="CR140" s="0" t="s">
        <v>125</v>
      </c>
      <c r="CS140" s="0" t="s">
        <v>609</v>
      </c>
      <c r="CT140" s="0" t="s">
        <v>2663</v>
      </c>
      <c r="CU140" s="0" t="s">
        <v>90</v>
      </c>
      <c r="CV140" s="0" t="s">
        <v>239</v>
      </c>
      <c r="CW140" s="0" t="n">
        <v>0</v>
      </c>
      <c r="DB140" s="0" t="n">
        <v>350</v>
      </c>
      <c r="DC140" s="0" t="n">
        <v>350</v>
      </c>
      <c r="DD140" s="0" t="n">
        <v>350</v>
      </c>
      <c r="DE140" s="0" t="n">
        <v>350</v>
      </c>
      <c r="DG140" s="0" t="s">
        <v>3692</v>
      </c>
      <c r="DH140" s="0" t="s">
        <v>82</v>
      </c>
      <c r="DI140" s="0" t="s">
        <v>1264</v>
      </c>
      <c r="DJ140" s="0" t="s">
        <v>1265</v>
      </c>
      <c r="DK140" s="0" t="s">
        <v>705</v>
      </c>
      <c r="DL140" s="0" t="n">
        <v>26.92</v>
      </c>
      <c r="DM140" s="0" t="s">
        <v>676</v>
      </c>
      <c r="DN140" s="0" t="s">
        <v>675</v>
      </c>
      <c r="DO140" s="0" t="n">
        <v>0</v>
      </c>
      <c r="DP140" s="0" t="n">
        <v>0</v>
      </c>
      <c r="DQ140" s="0" t="n">
        <v>570</v>
      </c>
      <c r="DR140" s="0" t="s">
        <v>3693</v>
      </c>
      <c r="EB140" s="0" t="s">
        <v>3694</v>
      </c>
      <c r="EC140" s="0" t="s">
        <v>2929</v>
      </c>
      <c r="EE140" s="0" t="s">
        <v>330</v>
      </c>
      <c r="EL140" s="0" t="s">
        <v>3695</v>
      </c>
      <c r="EM140" s="0" t="s">
        <v>2725</v>
      </c>
      <c r="EN140" s="0" t="s">
        <v>2726</v>
      </c>
      <c r="EO140" s="0" t="n">
        <v>3</v>
      </c>
      <c r="EP140" s="0" t="s">
        <v>2528</v>
      </c>
      <c r="EQ140" s="0" t="s">
        <v>2699</v>
      </c>
      <c r="ER140" s="0" t="s">
        <v>2700</v>
      </c>
      <c r="ES140" s="0" t="n">
        <v>53270</v>
      </c>
      <c r="ET140" s="0" t="n">
        <v>53270</v>
      </c>
      <c r="EU140" s="0" t="n">
        <v>53270</v>
      </c>
      <c r="EV140" s="0" t="n">
        <v>53270</v>
      </c>
      <c r="HA140" s="0" t="s">
        <v>3696</v>
      </c>
      <c r="HB140" s="0" t="s">
        <v>87</v>
      </c>
      <c r="HC140" s="0" t="s">
        <v>2823</v>
      </c>
      <c r="HD140" s="0" t="s">
        <v>147</v>
      </c>
      <c r="HE140" s="0" t="n">
        <v>163037.45</v>
      </c>
      <c r="HF140" s="0" t="n">
        <v>275880.12</v>
      </c>
      <c r="HG140" s="0" t="n">
        <v>205500.931153846</v>
      </c>
      <c r="HH140" s="0" t="n">
        <v>182949.105</v>
      </c>
      <c r="HI140" s="0" t="n">
        <v>189217.605</v>
      </c>
      <c r="HJ140" s="0" t="n">
        <v>231144.7325</v>
      </c>
    </row>
    <row r="141" customFormat="false" ht="15" hidden="false" customHeight="false" outlineLevel="0" collapsed="false">
      <c r="A141" s="0" t="s">
        <v>2946</v>
      </c>
      <c r="B141" s="0" t="s">
        <v>2947</v>
      </c>
      <c r="C141" s="0" t="n">
        <v>7680</v>
      </c>
      <c r="D141" s="0" t="n">
        <v>7680</v>
      </c>
      <c r="E141" s="0" t="n">
        <v>7680</v>
      </c>
      <c r="F141" s="0" t="n">
        <v>7680</v>
      </c>
      <c r="CQ141" s="0" t="s">
        <v>3697</v>
      </c>
      <c r="CR141" s="0" t="s">
        <v>125</v>
      </c>
      <c r="CS141" s="0" t="s">
        <v>252</v>
      </c>
      <c r="CT141" s="0" t="s">
        <v>250</v>
      </c>
      <c r="CU141" s="0" t="s">
        <v>90</v>
      </c>
      <c r="CV141" s="0" t="s">
        <v>251</v>
      </c>
      <c r="CW141" s="0" t="n">
        <v>0</v>
      </c>
      <c r="DB141" s="0" t="n">
        <v>890</v>
      </c>
      <c r="DC141" s="0" t="n">
        <v>890</v>
      </c>
      <c r="DD141" s="0" t="n">
        <v>890</v>
      </c>
      <c r="DE141" s="0" t="n">
        <v>890</v>
      </c>
      <c r="DG141" s="0" t="s">
        <v>3698</v>
      </c>
      <c r="DH141" s="0" t="s">
        <v>82</v>
      </c>
      <c r="DI141" s="0" t="s">
        <v>1269</v>
      </c>
      <c r="DJ141" s="0" t="s">
        <v>1270</v>
      </c>
      <c r="DK141" s="0" t="s">
        <v>705</v>
      </c>
      <c r="DL141" s="0" t="n">
        <v>26.92</v>
      </c>
      <c r="DM141" s="0" t="s">
        <v>675</v>
      </c>
      <c r="DN141" s="0" t="s">
        <v>676</v>
      </c>
      <c r="DO141" s="0" t="n">
        <v>1</v>
      </c>
      <c r="DP141" s="0" t="n">
        <v>277</v>
      </c>
      <c r="DQ141" s="0" t="n">
        <v>277</v>
      </c>
      <c r="DR141" s="0" t="s">
        <v>3699</v>
      </c>
      <c r="EB141" s="0" t="s">
        <v>3700</v>
      </c>
      <c r="EC141" s="0" t="s">
        <v>2929</v>
      </c>
      <c r="EE141" s="0" t="s">
        <v>334</v>
      </c>
      <c r="EL141" s="0" t="s">
        <v>3701</v>
      </c>
      <c r="EM141" s="0" t="s">
        <v>2725</v>
      </c>
      <c r="EN141" s="0" t="s">
        <v>2726</v>
      </c>
      <c r="EO141" s="0" t="n">
        <v>3</v>
      </c>
      <c r="EP141" s="0" t="s">
        <v>2552</v>
      </c>
      <c r="EQ141" s="0" t="s">
        <v>2715</v>
      </c>
      <c r="ER141" s="0" t="s">
        <v>2716</v>
      </c>
      <c r="ES141" s="0" t="n">
        <v>53270</v>
      </c>
      <c r="ET141" s="0" t="n">
        <v>53270</v>
      </c>
      <c r="EU141" s="0" t="n">
        <v>53270</v>
      </c>
      <c r="EV141" s="0" t="n">
        <v>53270</v>
      </c>
      <c r="HA141" s="0" t="s">
        <v>3702</v>
      </c>
      <c r="HB141" s="0" t="s">
        <v>87</v>
      </c>
      <c r="HC141" s="0" t="s">
        <v>2839</v>
      </c>
      <c r="HD141" s="0" t="s">
        <v>96</v>
      </c>
      <c r="HE141" s="0" t="n">
        <v>20379.68</v>
      </c>
      <c r="HF141" s="0" t="n">
        <v>34485.01</v>
      </c>
      <c r="HG141" s="0" t="n">
        <v>25687.6153846154</v>
      </c>
      <c r="HH141" s="0" t="n">
        <v>22868.6375</v>
      </c>
      <c r="HI141" s="0" t="n">
        <v>23652.2</v>
      </c>
      <c r="HJ141" s="0" t="n">
        <v>28893.0925</v>
      </c>
    </row>
    <row r="142" customFormat="false" ht="15" hidden="false" customHeight="false" outlineLevel="0" collapsed="false">
      <c r="A142" s="0" t="s">
        <v>567</v>
      </c>
      <c r="B142" s="0" t="s">
        <v>2959</v>
      </c>
      <c r="C142" s="0" t="n">
        <v>1250</v>
      </c>
      <c r="D142" s="0" t="n">
        <v>1250</v>
      </c>
      <c r="E142" s="0" t="n">
        <v>1250</v>
      </c>
      <c r="F142" s="0" t="n">
        <v>1250</v>
      </c>
      <c r="CQ142" s="0" t="s">
        <v>3703</v>
      </c>
      <c r="CR142" s="0" t="s">
        <v>125</v>
      </c>
      <c r="CS142" s="0" t="s">
        <v>607</v>
      </c>
      <c r="CT142" s="0" t="s">
        <v>2680</v>
      </c>
      <c r="CU142" s="0" t="s">
        <v>90</v>
      </c>
      <c r="CV142" s="0" t="s">
        <v>242</v>
      </c>
      <c r="CW142" s="0" t="n">
        <v>0</v>
      </c>
      <c r="DB142" s="0" t="n">
        <v>850</v>
      </c>
      <c r="DC142" s="0" t="n">
        <v>850</v>
      </c>
      <c r="DD142" s="0" t="n">
        <v>850</v>
      </c>
      <c r="DE142" s="0" t="n">
        <v>850</v>
      </c>
      <c r="DG142" s="0" t="s">
        <v>3704</v>
      </c>
      <c r="DH142" s="0" t="s">
        <v>82</v>
      </c>
      <c r="DI142" s="0" t="s">
        <v>1272</v>
      </c>
      <c r="DJ142" s="0" t="s">
        <v>1273</v>
      </c>
      <c r="DK142" s="0" t="s">
        <v>705</v>
      </c>
      <c r="DL142" s="0" t="n">
        <v>26.92</v>
      </c>
      <c r="DM142" s="0" t="s">
        <v>675</v>
      </c>
      <c r="DN142" s="0" t="s">
        <v>676</v>
      </c>
      <c r="DO142" s="0" t="n">
        <v>1</v>
      </c>
      <c r="DP142" s="0" t="n">
        <v>650</v>
      </c>
      <c r="DQ142" s="0" t="n">
        <v>650</v>
      </c>
      <c r="DR142" s="0" t="s">
        <v>3705</v>
      </c>
      <c r="EB142" s="0" t="s">
        <v>3706</v>
      </c>
      <c r="EC142" s="0" t="s">
        <v>2929</v>
      </c>
      <c r="ED142" s="0" t="s">
        <v>2930</v>
      </c>
      <c r="EE142" s="0" t="s">
        <v>582</v>
      </c>
      <c r="EF142" s="0" t="s">
        <v>580</v>
      </c>
      <c r="EG142" s="0" t="n">
        <v>3050</v>
      </c>
      <c r="EH142" s="0" t="n">
        <v>3320</v>
      </c>
      <c r="EI142" s="0" t="n">
        <v>3570</v>
      </c>
      <c r="EJ142" s="0" t="n">
        <v>3840</v>
      </c>
      <c r="EL142" s="0" t="s">
        <v>3707</v>
      </c>
      <c r="EM142" s="0" t="s">
        <v>2725</v>
      </c>
      <c r="EN142" s="0" t="s">
        <v>2726</v>
      </c>
      <c r="EO142" s="0" t="n">
        <v>3.5</v>
      </c>
      <c r="EP142" s="0" t="s">
        <v>2528</v>
      </c>
      <c r="EQ142" s="0" t="s">
        <v>2730</v>
      </c>
      <c r="ER142" s="0" t="s">
        <v>2731</v>
      </c>
      <c r="ES142" s="0" t="n">
        <v>63080</v>
      </c>
      <c r="ET142" s="0" t="n">
        <v>63080</v>
      </c>
      <c r="EU142" s="0" t="n">
        <v>63080</v>
      </c>
      <c r="EV142" s="0" t="n">
        <v>63080</v>
      </c>
      <c r="HA142" s="0" t="s">
        <v>3708</v>
      </c>
      <c r="HB142" s="0" t="s">
        <v>87</v>
      </c>
      <c r="HC142" s="0" t="s">
        <v>2852</v>
      </c>
      <c r="HD142" s="0" t="s">
        <v>2345</v>
      </c>
      <c r="HE142" s="0" t="n">
        <v>279404</v>
      </c>
      <c r="HF142" s="0" t="n">
        <v>391128</v>
      </c>
      <c r="HG142" s="0" t="n">
        <v>325114.615384615</v>
      </c>
      <c r="HH142" s="0" t="n">
        <v>314774.5</v>
      </c>
      <c r="HI142" s="0" t="n">
        <v>321609</v>
      </c>
      <c r="HJ142" s="0" t="n">
        <v>331811.5</v>
      </c>
    </row>
    <row r="143" customFormat="false" ht="15" hidden="false" customHeight="false" outlineLevel="0" collapsed="false">
      <c r="A143" s="0" t="s">
        <v>569</v>
      </c>
      <c r="B143" s="0" t="s">
        <v>2973</v>
      </c>
      <c r="C143" s="0" t="n">
        <v>10500</v>
      </c>
      <c r="D143" s="0" t="n">
        <v>10500</v>
      </c>
      <c r="E143" s="0" t="n">
        <v>10500</v>
      </c>
      <c r="F143" s="0" t="n">
        <v>10500</v>
      </c>
      <c r="CQ143" s="0" t="s">
        <v>3709</v>
      </c>
      <c r="CR143" s="0" t="s">
        <v>125</v>
      </c>
      <c r="CS143" s="0" t="s">
        <v>229</v>
      </c>
      <c r="CT143" s="0" t="s">
        <v>227</v>
      </c>
      <c r="CU143" s="0" t="s">
        <v>90</v>
      </c>
      <c r="CV143" s="0" t="s">
        <v>228</v>
      </c>
      <c r="CW143" s="0" t="n">
        <v>0</v>
      </c>
      <c r="DB143" s="0" t="n">
        <v>270</v>
      </c>
      <c r="DC143" s="0" t="n">
        <v>300</v>
      </c>
      <c r="DD143" s="0" t="n">
        <v>330</v>
      </c>
      <c r="DE143" s="0" t="n">
        <v>350</v>
      </c>
      <c r="DG143" s="0" t="s">
        <v>3710</v>
      </c>
      <c r="DH143" s="0" t="s">
        <v>82</v>
      </c>
      <c r="DI143" s="0" t="s">
        <v>1276</v>
      </c>
      <c r="DJ143" s="0" t="s">
        <v>204</v>
      </c>
      <c r="DK143" s="0" t="s">
        <v>705</v>
      </c>
      <c r="DL143" s="0" t="n">
        <v>26.92</v>
      </c>
      <c r="DM143" s="0" t="s">
        <v>675</v>
      </c>
      <c r="DN143" s="0" t="s">
        <v>676</v>
      </c>
      <c r="DO143" s="0" t="n">
        <v>1</v>
      </c>
      <c r="DP143" s="0" t="n">
        <v>4218.6</v>
      </c>
      <c r="DQ143" s="0" t="n">
        <v>4218.6</v>
      </c>
      <c r="DR143" s="0" t="s">
        <v>3711</v>
      </c>
      <c r="EB143" s="0" t="s">
        <v>3712</v>
      </c>
      <c r="EC143" s="0" t="s">
        <v>2929</v>
      </c>
      <c r="ED143" s="0" t="s">
        <v>2930</v>
      </c>
      <c r="EE143" s="0" t="s">
        <v>579</v>
      </c>
      <c r="EF143" s="0" t="s">
        <v>2889</v>
      </c>
      <c r="EG143" s="0" t="n">
        <v>1950</v>
      </c>
      <c r="EH143" s="0" t="n">
        <v>1950</v>
      </c>
      <c r="EI143" s="0" t="n">
        <v>1950</v>
      </c>
      <c r="EJ143" s="0" t="n">
        <v>1950</v>
      </c>
      <c r="EL143" s="0" t="s">
        <v>3713</v>
      </c>
      <c r="EM143" s="0" t="s">
        <v>2725</v>
      </c>
      <c r="EN143" s="0" t="s">
        <v>2726</v>
      </c>
      <c r="EO143" s="0" t="n">
        <v>3.5</v>
      </c>
      <c r="EP143" s="0" t="s">
        <v>2552</v>
      </c>
      <c r="EQ143" s="0" t="s">
        <v>2747</v>
      </c>
      <c r="ER143" s="0" t="s">
        <v>2748</v>
      </c>
      <c r="ES143" s="0" t="n">
        <v>63080</v>
      </c>
      <c r="ET143" s="0" t="n">
        <v>63080</v>
      </c>
      <c r="EU143" s="0" t="n">
        <v>63080</v>
      </c>
      <c r="EV143" s="0" t="n">
        <v>63080</v>
      </c>
      <c r="HA143" s="0" t="s">
        <v>3714</v>
      </c>
      <c r="HB143" s="0" t="s">
        <v>87</v>
      </c>
      <c r="HC143" s="0" t="s">
        <v>2866</v>
      </c>
      <c r="HD143" s="0" t="s">
        <v>2346</v>
      </c>
      <c r="HE143" s="0" t="n">
        <v>0</v>
      </c>
      <c r="HF143" s="0" t="n">
        <v>0</v>
      </c>
      <c r="HG143" s="0" t="n">
        <v>0</v>
      </c>
      <c r="HH143" s="0" t="n">
        <v>0</v>
      </c>
      <c r="HI143" s="0" t="n">
        <v>0</v>
      </c>
      <c r="HJ143" s="0" t="n">
        <v>0</v>
      </c>
    </row>
    <row r="144" customFormat="false" ht="15" hidden="false" customHeight="false" outlineLevel="0" collapsed="false">
      <c r="A144" s="0" t="s">
        <v>562</v>
      </c>
      <c r="B144" s="0" t="s">
        <v>2986</v>
      </c>
      <c r="C144" s="0" t="n">
        <v>550</v>
      </c>
      <c r="D144" s="0" t="n">
        <v>850</v>
      </c>
      <c r="E144" s="0" t="n">
        <v>1200</v>
      </c>
      <c r="F144" s="0" t="n">
        <v>1200</v>
      </c>
      <c r="CQ144" s="0" t="s">
        <v>3715</v>
      </c>
      <c r="CR144" s="0" t="s">
        <v>125</v>
      </c>
      <c r="CS144" s="0" t="s">
        <v>246</v>
      </c>
      <c r="CT144" s="0" t="s">
        <v>244</v>
      </c>
      <c r="CU144" s="0" t="s">
        <v>90</v>
      </c>
      <c r="CV144" s="0" t="s">
        <v>245</v>
      </c>
      <c r="CW144" s="0" t="n">
        <v>0</v>
      </c>
      <c r="DB144" s="0" t="n">
        <v>730</v>
      </c>
      <c r="DC144" s="0" t="n">
        <v>800</v>
      </c>
      <c r="DD144" s="0" t="n">
        <v>870</v>
      </c>
      <c r="DE144" s="0" t="n">
        <v>870</v>
      </c>
      <c r="DG144" s="0" t="s">
        <v>3716</v>
      </c>
      <c r="DH144" s="0" t="s">
        <v>82</v>
      </c>
      <c r="DI144" s="0" t="s">
        <v>1280</v>
      </c>
      <c r="DJ144" s="0" t="s">
        <v>201</v>
      </c>
      <c r="DK144" s="0" t="s">
        <v>705</v>
      </c>
      <c r="DL144" s="0" t="n">
        <v>26.92</v>
      </c>
      <c r="DM144" s="0" t="s">
        <v>675</v>
      </c>
      <c r="DN144" s="0" t="s">
        <v>676</v>
      </c>
      <c r="DO144" s="0" t="n">
        <v>3</v>
      </c>
      <c r="DP144" s="0" t="n">
        <v>10578</v>
      </c>
      <c r="DQ144" s="0" t="n">
        <v>10578</v>
      </c>
      <c r="DR144" s="0" t="s">
        <v>3717</v>
      </c>
      <c r="EB144" s="0" t="s">
        <v>3718</v>
      </c>
      <c r="EC144" s="0" t="s">
        <v>2929</v>
      </c>
      <c r="ED144" s="0" t="s">
        <v>2930</v>
      </c>
      <c r="EE144" s="0" t="s">
        <v>575</v>
      </c>
      <c r="EF144" s="0" t="s">
        <v>573</v>
      </c>
      <c r="EG144" s="0" t="n">
        <v>3000</v>
      </c>
      <c r="EH144" s="0" t="n">
        <v>3000</v>
      </c>
      <c r="EI144" s="0" t="n">
        <v>3000</v>
      </c>
      <c r="EJ144" s="0" t="n">
        <v>3000</v>
      </c>
      <c r="EL144" s="0" t="s">
        <v>3719</v>
      </c>
      <c r="EM144" s="0" t="s">
        <v>2725</v>
      </c>
      <c r="EN144" s="0" t="s">
        <v>2726</v>
      </c>
      <c r="EO144" s="0" t="n">
        <v>4</v>
      </c>
      <c r="EP144" s="0" t="s">
        <v>2528</v>
      </c>
      <c r="EQ144" s="0" t="s">
        <v>2761</v>
      </c>
      <c r="ER144" s="0" t="s">
        <v>2762</v>
      </c>
      <c r="ES144" s="0" t="n">
        <v>71500</v>
      </c>
      <c r="ET144" s="0" t="n">
        <v>71500</v>
      </c>
      <c r="EU144" s="0" t="n">
        <v>71500</v>
      </c>
      <c r="EV144" s="0" t="n">
        <v>71500</v>
      </c>
      <c r="HA144" s="0" t="s">
        <v>3720</v>
      </c>
      <c r="HB144" s="0" t="s">
        <v>87</v>
      </c>
      <c r="HC144" s="0" t="s">
        <v>2880</v>
      </c>
      <c r="HD144" s="0" t="s">
        <v>2347</v>
      </c>
      <c r="HE144" s="0" t="n">
        <v>381.3</v>
      </c>
      <c r="HF144" s="0" t="n">
        <v>7755.38</v>
      </c>
      <c r="HG144" s="0" t="n">
        <v>2376.79</v>
      </c>
      <c r="HH144" s="0" t="n">
        <v>1144.8375</v>
      </c>
      <c r="HI144" s="0" t="n">
        <v>1914.83</v>
      </c>
      <c r="HJ144" s="0" t="n">
        <v>2778.05</v>
      </c>
    </row>
    <row r="145" customFormat="false" ht="15" hidden="false" customHeight="false" outlineLevel="0" collapsed="false">
      <c r="A145" s="0" t="s">
        <v>275</v>
      </c>
      <c r="B145" s="0" t="s">
        <v>273</v>
      </c>
      <c r="C145" s="0" t="n">
        <v>1000</v>
      </c>
      <c r="D145" s="0" t="n">
        <v>1110</v>
      </c>
      <c r="E145" s="0" t="n">
        <v>1200</v>
      </c>
      <c r="F145" s="0" t="n">
        <v>1200</v>
      </c>
      <c r="CQ145" s="0" t="s">
        <v>3721</v>
      </c>
      <c r="CR145" s="0" t="s">
        <v>125</v>
      </c>
      <c r="CS145" s="0" t="s">
        <v>255</v>
      </c>
      <c r="CT145" s="0" t="s">
        <v>253</v>
      </c>
      <c r="CU145" s="0" t="s">
        <v>90</v>
      </c>
      <c r="CV145" s="0" t="s">
        <v>254</v>
      </c>
      <c r="CW145" s="0" t="n">
        <v>0</v>
      </c>
      <c r="DB145" s="0" t="n">
        <v>980</v>
      </c>
      <c r="DC145" s="0" t="n">
        <v>1080</v>
      </c>
      <c r="DD145" s="0" t="n">
        <v>1170</v>
      </c>
      <c r="DE145" s="0" t="n">
        <v>1170</v>
      </c>
      <c r="DG145" s="0" t="s">
        <v>3722</v>
      </c>
      <c r="DH145" s="0" t="s">
        <v>82</v>
      </c>
      <c r="DI145" s="0" t="s">
        <v>1283</v>
      </c>
      <c r="DJ145" s="0" t="s">
        <v>1284</v>
      </c>
      <c r="DK145" s="0" t="s">
        <v>705</v>
      </c>
      <c r="DL145" s="0" t="n">
        <v>26.92</v>
      </c>
      <c r="DM145" s="0" t="s">
        <v>675</v>
      </c>
      <c r="DN145" s="0" t="s">
        <v>676</v>
      </c>
      <c r="DO145" s="0" t="n">
        <v>1</v>
      </c>
      <c r="DP145" s="0" t="n">
        <v>221.5</v>
      </c>
      <c r="DQ145" s="0" t="n">
        <v>221.5</v>
      </c>
      <c r="DR145" s="0" t="s">
        <v>3723</v>
      </c>
      <c r="EB145" s="0" t="s">
        <v>3724</v>
      </c>
      <c r="EC145" s="0" t="s">
        <v>2929</v>
      </c>
      <c r="ED145" s="0" t="s">
        <v>2930</v>
      </c>
      <c r="EE145" s="0" t="s">
        <v>2917</v>
      </c>
      <c r="EF145" s="0" t="s">
        <v>3375</v>
      </c>
      <c r="EG145" s="0" t="n">
        <v>4980</v>
      </c>
      <c r="EH145" s="0" t="n">
        <v>4980</v>
      </c>
      <c r="EI145" s="0" t="n">
        <v>4980</v>
      </c>
      <c r="EJ145" s="0" t="n">
        <v>4980</v>
      </c>
      <c r="EL145" s="0" t="s">
        <v>3725</v>
      </c>
      <c r="EM145" s="0" t="s">
        <v>2725</v>
      </c>
      <c r="EN145" s="0" t="s">
        <v>2726</v>
      </c>
      <c r="EO145" s="0" t="n">
        <v>4</v>
      </c>
      <c r="EP145" s="0" t="s">
        <v>2552</v>
      </c>
      <c r="EQ145" s="0" t="s">
        <v>2774</v>
      </c>
      <c r="ER145" s="0" t="s">
        <v>2775</v>
      </c>
      <c r="ES145" s="0" t="n">
        <v>71500</v>
      </c>
      <c r="ET145" s="0" t="n">
        <v>71500</v>
      </c>
      <c r="EU145" s="0" t="n">
        <v>71500</v>
      </c>
      <c r="EV145" s="0" t="n">
        <v>71500</v>
      </c>
      <c r="HA145" s="0" t="s">
        <v>3726</v>
      </c>
      <c r="HB145" s="0" t="s">
        <v>87</v>
      </c>
      <c r="HC145" s="0" t="s">
        <v>2895</v>
      </c>
      <c r="HD145" s="0" t="s">
        <v>150</v>
      </c>
      <c r="HE145" s="0" t="n">
        <v>490629.41</v>
      </c>
      <c r="HF145" s="0" t="n">
        <v>640625.13</v>
      </c>
      <c r="HG145" s="0" t="n">
        <v>556303.161923077</v>
      </c>
      <c r="HH145" s="0" t="n">
        <v>520489.6525</v>
      </c>
      <c r="HI145" s="0" t="n">
        <v>539491.34</v>
      </c>
      <c r="HJ145" s="0" t="n">
        <v>596680.1275</v>
      </c>
    </row>
    <row r="146" customFormat="false" ht="15" hidden="false" customHeight="false" outlineLevel="0" collapsed="false">
      <c r="A146" s="0" t="s">
        <v>557</v>
      </c>
      <c r="B146" s="0" t="s">
        <v>554</v>
      </c>
      <c r="C146" s="0" t="n">
        <v>1670</v>
      </c>
      <c r="D146" s="0" t="n">
        <v>1850</v>
      </c>
      <c r="E146" s="0" t="n">
        <v>1990</v>
      </c>
      <c r="F146" s="0" t="n">
        <v>1990</v>
      </c>
      <c r="CQ146" s="0" t="s">
        <v>3727</v>
      </c>
      <c r="CR146" s="0" t="s">
        <v>125</v>
      </c>
      <c r="CS146" s="0" t="s">
        <v>605</v>
      </c>
      <c r="CT146" s="0" t="s">
        <v>2697</v>
      </c>
      <c r="CU146" s="0" t="s">
        <v>90</v>
      </c>
      <c r="CV146" s="0" t="s">
        <v>3062</v>
      </c>
      <c r="CW146" s="0" t="n">
        <v>0</v>
      </c>
      <c r="DB146" s="0" t="n">
        <v>930</v>
      </c>
      <c r="DC146" s="0" t="n">
        <v>930</v>
      </c>
      <c r="DD146" s="0" t="n">
        <v>930</v>
      </c>
      <c r="DE146" s="0" t="n">
        <v>930</v>
      </c>
      <c r="DG146" s="0" t="s">
        <v>3728</v>
      </c>
      <c r="DH146" s="0" t="s">
        <v>82</v>
      </c>
      <c r="DI146" s="0" t="s">
        <v>1285</v>
      </c>
      <c r="DJ146" s="0" t="s">
        <v>1286</v>
      </c>
      <c r="DK146" s="0" t="s">
        <v>705</v>
      </c>
      <c r="DL146" s="0" t="n">
        <v>26.92</v>
      </c>
      <c r="DM146" s="0" t="s">
        <v>675</v>
      </c>
      <c r="DN146" s="0" t="s">
        <v>676</v>
      </c>
      <c r="DO146" s="0" t="n">
        <v>4</v>
      </c>
      <c r="DP146" s="0" t="n">
        <v>363.76</v>
      </c>
      <c r="DQ146" s="0" t="n">
        <v>363.76</v>
      </c>
      <c r="DR146" s="0" t="s">
        <v>3729</v>
      </c>
      <c r="EB146" s="0" t="s">
        <v>3730</v>
      </c>
      <c r="EC146" s="0" t="s">
        <v>2929</v>
      </c>
      <c r="ED146" s="0" t="s">
        <v>2930</v>
      </c>
      <c r="EE146" s="0" t="s">
        <v>2932</v>
      </c>
      <c r="EF146" s="0" t="s">
        <v>3383</v>
      </c>
      <c r="EG146" s="0" t="n">
        <v>6990</v>
      </c>
      <c r="EH146" s="0" t="n">
        <v>6990</v>
      </c>
      <c r="EI146" s="0" t="n">
        <v>6990</v>
      </c>
      <c r="EJ146" s="0" t="n">
        <v>6990</v>
      </c>
      <c r="EL146" s="0" t="s">
        <v>3731</v>
      </c>
      <c r="EM146" s="0" t="s">
        <v>2725</v>
      </c>
      <c r="EN146" s="0" t="s">
        <v>2726</v>
      </c>
      <c r="EO146" s="0" t="n">
        <v>4.5</v>
      </c>
      <c r="EP146" s="0" t="s">
        <v>2528</v>
      </c>
      <c r="EQ146" s="0" t="s">
        <v>2788</v>
      </c>
      <c r="ER146" s="0" t="s">
        <v>2789</v>
      </c>
      <c r="ES146" s="0" t="n">
        <v>80610</v>
      </c>
      <c r="ET146" s="0" t="n">
        <v>80610</v>
      </c>
      <c r="EU146" s="0" t="n">
        <v>80610</v>
      </c>
      <c r="EV146" s="0" t="n">
        <v>80610</v>
      </c>
    </row>
    <row r="147" customFormat="false" ht="15" hidden="false" customHeight="false" outlineLevel="0" collapsed="false">
      <c r="A147" s="0" t="s">
        <v>298</v>
      </c>
      <c r="B147" s="0" t="s">
        <v>297</v>
      </c>
      <c r="C147" s="0" t="n">
        <v>1</v>
      </c>
      <c r="D147" s="0" t="n">
        <v>1</v>
      </c>
      <c r="E147" s="0" t="n">
        <v>1</v>
      </c>
      <c r="F147" s="0" t="n">
        <v>1</v>
      </c>
      <c r="CQ147" s="0" t="s">
        <v>3732</v>
      </c>
      <c r="CR147" s="0" t="s">
        <v>125</v>
      </c>
      <c r="CS147" s="0" t="s">
        <v>243</v>
      </c>
      <c r="CT147" s="0" t="s">
        <v>241</v>
      </c>
      <c r="CU147" s="0" t="s">
        <v>90</v>
      </c>
      <c r="CV147" s="0" t="s">
        <v>242</v>
      </c>
      <c r="CW147" s="0" t="n">
        <v>0</v>
      </c>
      <c r="DB147" s="0" t="n">
        <v>1250</v>
      </c>
      <c r="DC147" s="0" t="n">
        <v>1250</v>
      </c>
      <c r="DD147" s="0" t="n">
        <v>1250</v>
      </c>
      <c r="DE147" s="0" t="n">
        <v>1250</v>
      </c>
      <c r="DG147" s="0" t="s">
        <v>3733</v>
      </c>
      <c r="DH147" s="0" t="s">
        <v>82</v>
      </c>
      <c r="DI147" s="0" t="s">
        <v>1288</v>
      </c>
      <c r="DJ147" s="0" t="s">
        <v>1289</v>
      </c>
      <c r="DK147" s="0" t="s">
        <v>705</v>
      </c>
      <c r="DL147" s="0" t="n">
        <v>26.92</v>
      </c>
      <c r="DM147" s="0" t="s">
        <v>676</v>
      </c>
      <c r="DN147" s="0" t="s">
        <v>676</v>
      </c>
      <c r="DO147" s="0" t="n">
        <v>0</v>
      </c>
      <c r="DP147" s="0" t="n">
        <v>0</v>
      </c>
      <c r="DQ147" s="0" t="n">
        <v>75.75</v>
      </c>
      <c r="DR147" s="0" t="s">
        <v>3734</v>
      </c>
      <c r="EB147" s="0" t="s">
        <v>3735</v>
      </c>
      <c r="EC147" s="0" t="s">
        <v>2929</v>
      </c>
      <c r="ED147" s="0" t="s">
        <v>2930</v>
      </c>
      <c r="EE147" s="0" t="s">
        <v>2946</v>
      </c>
      <c r="EF147" s="0" t="s">
        <v>3389</v>
      </c>
      <c r="EG147" s="0" t="n">
        <v>11520</v>
      </c>
      <c r="EH147" s="0" t="n">
        <v>11520</v>
      </c>
      <c r="EI147" s="0" t="n">
        <v>11520</v>
      </c>
      <c r="EJ147" s="0" t="n">
        <v>11520</v>
      </c>
      <c r="EL147" s="0" t="s">
        <v>3736</v>
      </c>
      <c r="EM147" s="0" t="s">
        <v>2725</v>
      </c>
      <c r="EN147" s="0" t="s">
        <v>2726</v>
      </c>
      <c r="EO147" s="0" t="n">
        <v>4.5</v>
      </c>
      <c r="EP147" s="0" t="s">
        <v>2552</v>
      </c>
      <c r="EQ147" s="0" t="s">
        <v>2803</v>
      </c>
      <c r="ER147" s="0" t="s">
        <v>2804</v>
      </c>
      <c r="ES147" s="0" t="n">
        <v>80610</v>
      </c>
      <c r="ET147" s="0" t="n">
        <v>80610</v>
      </c>
      <c r="EU147" s="0" t="n">
        <v>80610</v>
      </c>
      <c r="EV147" s="0" t="n">
        <v>80610</v>
      </c>
    </row>
    <row r="148" customFormat="false" ht="15" hidden="false" customHeight="false" outlineLevel="0" collapsed="false">
      <c r="CQ148" s="0" t="s">
        <v>3737</v>
      </c>
      <c r="CR148" s="0" t="s">
        <v>125</v>
      </c>
      <c r="CS148" s="0" t="s">
        <v>599</v>
      </c>
      <c r="CT148" s="0" t="s">
        <v>2745</v>
      </c>
      <c r="CU148" s="0" t="s">
        <v>79</v>
      </c>
      <c r="CV148" s="0" t="s">
        <v>3081</v>
      </c>
      <c r="CW148" s="0" t="n">
        <v>0</v>
      </c>
      <c r="DB148" s="0" t="n">
        <v>1500</v>
      </c>
      <c r="DC148" s="0" t="n">
        <v>1500</v>
      </c>
      <c r="DD148" s="0" t="n">
        <v>1500</v>
      </c>
      <c r="DE148" s="0" t="n">
        <v>1500</v>
      </c>
      <c r="DG148" s="0" t="s">
        <v>3738</v>
      </c>
      <c r="DH148" s="0" t="s">
        <v>82</v>
      </c>
      <c r="DI148" s="0" t="s">
        <v>1293</v>
      </c>
      <c r="DJ148" s="0" t="s">
        <v>1294</v>
      </c>
      <c r="DK148" s="0" t="s">
        <v>705</v>
      </c>
      <c r="DL148" s="0" t="n">
        <v>26.92</v>
      </c>
      <c r="DM148" s="0" t="s">
        <v>676</v>
      </c>
      <c r="DN148" s="0" t="s">
        <v>675</v>
      </c>
      <c r="DO148" s="0" t="n">
        <v>0</v>
      </c>
      <c r="DP148" s="0" t="n">
        <v>0</v>
      </c>
      <c r="DQ148" s="0" t="n">
        <v>1650</v>
      </c>
      <c r="DR148" s="0" t="s">
        <v>3739</v>
      </c>
      <c r="EB148" s="0" t="s">
        <v>3740</v>
      </c>
      <c r="EC148" s="0" t="s">
        <v>2929</v>
      </c>
      <c r="ED148" s="0" t="s">
        <v>2930</v>
      </c>
      <c r="EE148" s="0" t="s">
        <v>567</v>
      </c>
      <c r="EF148" s="0" t="s">
        <v>2959</v>
      </c>
      <c r="EG148" s="0" t="n">
        <v>1880</v>
      </c>
      <c r="EH148" s="0" t="n">
        <v>1880</v>
      </c>
      <c r="EI148" s="0" t="n">
        <v>1880</v>
      </c>
      <c r="EJ148" s="0" t="n">
        <v>1880</v>
      </c>
      <c r="EL148" s="0" t="s">
        <v>3741</v>
      </c>
      <c r="EM148" s="0" t="s">
        <v>2725</v>
      </c>
      <c r="EN148" s="0" t="s">
        <v>2726</v>
      </c>
      <c r="EO148" s="0" t="n">
        <v>5</v>
      </c>
      <c r="EP148" s="0" t="s">
        <v>2528</v>
      </c>
      <c r="EQ148" s="0" t="s">
        <v>2817</v>
      </c>
      <c r="ER148" s="0" t="s">
        <v>2818</v>
      </c>
      <c r="ES148" s="0" t="n">
        <v>89020</v>
      </c>
      <c r="ET148" s="0" t="n">
        <v>89020</v>
      </c>
      <c r="EU148" s="0" t="n">
        <v>89020</v>
      </c>
      <c r="EV148" s="0" t="n">
        <v>89020</v>
      </c>
    </row>
    <row r="149" customFormat="false" ht="15" hidden="false" customHeight="false" outlineLevel="0" collapsed="false">
      <c r="A149" s="5" t="s">
        <v>3742</v>
      </c>
      <c r="CQ149" s="0" t="s">
        <v>3743</v>
      </c>
      <c r="CR149" s="0" t="s">
        <v>125</v>
      </c>
      <c r="CS149" s="0" t="s">
        <v>597</v>
      </c>
      <c r="CT149" s="0" t="s">
        <v>2759</v>
      </c>
      <c r="CU149" s="0" t="s">
        <v>79</v>
      </c>
      <c r="CV149" s="0" t="s">
        <v>3081</v>
      </c>
      <c r="CW149" s="0" t="n">
        <v>0</v>
      </c>
      <c r="DB149" s="0" t="n">
        <v>3000</v>
      </c>
      <c r="DC149" s="0" t="n">
        <v>3000</v>
      </c>
      <c r="DD149" s="0" t="n">
        <v>3000</v>
      </c>
      <c r="DE149" s="0" t="n">
        <v>3000</v>
      </c>
      <c r="DG149" s="0" t="s">
        <v>3744</v>
      </c>
      <c r="DH149" s="0" t="s">
        <v>82</v>
      </c>
      <c r="DI149" s="0" t="s">
        <v>1298</v>
      </c>
      <c r="DJ149" s="0" t="s">
        <v>1299</v>
      </c>
      <c r="DK149" s="0" t="s">
        <v>674</v>
      </c>
      <c r="DL149" s="0" t="n">
        <v>23.08</v>
      </c>
      <c r="DM149" s="0" t="s">
        <v>675</v>
      </c>
      <c r="DN149" s="0" t="s">
        <v>676</v>
      </c>
      <c r="DO149" s="0" t="n">
        <v>1</v>
      </c>
      <c r="DP149" s="0" t="n">
        <v>96.8</v>
      </c>
      <c r="DQ149" s="0" t="n">
        <v>96.8</v>
      </c>
      <c r="DR149" s="0" t="s">
        <v>3745</v>
      </c>
      <c r="EB149" s="0" t="s">
        <v>3746</v>
      </c>
      <c r="EC149" s="0" t="s">
        <v>2929</v>
      </c>
      <c r="ED149" s="0" t="s">
        <v>2930</v>
      </c>
      <c r="EE149" s="0" t="s">
        <v>569</v>
      </c>
      <c r="EF149" s="0" t="s">
        <v>2973</v>
      </c>
      <c r="EG149" s="0" t="n">
        <v>15750</v>
      </c>
      <c r="EH149" s="0" t="n">
        <v>15750</v>
      </c>
      <c r="EI149" s="0" t="n">
        <v>15750</v>
      </c>
      <c r="EJ149" s="0" t="n">
        <v>15750</v>
      </c>
      <c r="EL149" s="0" t="s">
        <v>3747</v>
      </c>
      <c r="EM149" s="0" t="s">
        <v>2725</v>
      </c>
      <c r="EN149" s="0" t="s">
        <v>2726</v>
      </c>
      <c r="EO149" s="0" t="n">
        <v>5</v>
      </c>
      <c r="EP149" s="0" t="s">
        <v>2552</v>
      </c>
      <c r="EQ149" s="0" t="s">
        <v>2835</v>
      </c>
      <c r="ER149" s="0" t="s">
        <v>2836</v>
      </c>
      <c r="ES149" s="0" t="n">
        <v>89020</v>
      </c>
      <c r="ET149" s="0" t="n">
        <v>89020</v>
      </c>
      <c r="EU149" s="0" t="n">
        <v>89020</v>
      </c>
      <c r="EV149" s="0" t="n">
        <v>89020</v>
      </c>
    </row>
    <row r="150" customFormat="false" ht="15" hidden="false" customHeight="false" outlineLevel="0" collapsed="false">
      <c r="A150" s="15" t="s">
        <v>3748</v>
      </c>
      <c r="B150" s="15" t="s">
        <v>3749</v>
      </c>
      <c r="C150" s="15" t="s">
        <v>2437</v>
      </c>
      <c r="D150" s="15" t="s">
        <v>2438</v>
      </c>
      <c r="E150" s="15" t="s">
        <v>3750</v>
      </c>
      <c r="F150" s="15" t="s">
        <v>3751</v>
      </c>
      <c r="G150" s="15" t="s">
        <v>3752</v>
      </c>
      <c r="CQ150" s="0" t="s">
        <v>3753</v>
      </c>
      <c r="CR150" s="0" t="s">
        <v>125</v>
      </c>
      <c r="CS150" s="0" t="s">
        <v>261</v>
      </c>
      <c r="CT150" s="0" t="s">
        <v>259</v>
      </c>
      <c r="CU150" s="0" t="s">
        <v>2266</v>
      </c>
      <c r="CV150" s="0" t="s">
        <v>260</v>
      </c>
      <c r="CW150" s="0" t="n">
        <v>0</v>
      </c>
      <c r="DB150" s="0" t="n">
        <v>860</v>
      </c>
      <c r="DC150" s="0" t="n">
        <v>950</v>
      </c>
      <c r="DD150" s="0" t="n">
        <v>1020</v>
      </c>
      <c r="DE150" s="0" t="n">
        <v>1020</v>
      </c>
      <c r="DG150" s="0" t="s">
        <v>3754</v>
      </c>
      <c r="DH150" s="0" t="s">
        <v>82</v>
      </c>
      <c r="DI150" s="0" t="s">
        <v>1304</v>
      </c>
      <c r="DJ150" s="0" t="s">
        <v>1305</v>
      </c>
      <c r="DK150" s="0" t="s">
        <v>674</v>
      </c>
      <c r="DL150" s="0" t="n">
        <v>23.08</v>
      </c>
      <c r="DM150" s="0" t="s">
        <v>676</v>
      </c>
      <c r="DN150" s="0" t="s">
        <v>675</v>
      </c>
      <c r="DO150" s="0" t="n">
        <v>0</v>
      </c>
      <c r="DP150" s="0" t="n">
        <v>0</v>
      </c>
      <c r="DQ150" s="0" t="n">
        <v>71.43</v>
      </c>
      <c r="DR150" s="0" t="s">
        <v>3755</v>
      </c>
      <c r="EB150" s="0" t="s">
        <v>3756</v>
      </c>
      <c r="EC150" s="0" t="s">
        <v>2929</v>
      </c>
      <c r="ED150" s="0" t="s">
        <v>2930</v>
      </c>
      <c r="EE150" s="0" t="s">
        <v>562</v>
      </c>
      <c r="EF150" s="0" t="s">
        <v>2986</v>
      </c>
      <c r="EG150" s="0" t="n">
        <v>830</v>
      </c>
      <c r="EH150" s="0" t="n">
        <v>1280</v>
      </c>
      <c r="EI150" s="0" t="n">
        <v>1800</v>
      </c>
      <c r="EJ150" s="0" t="n">
        <v>1800</v>
      </c>
      <c r="EL150" s="0" t="s">
        <v>3757</v>
      </c>
      <c r="EM150" s="0" t="s">
        <v>2725</v>
      </c>
      <c r="EN150" s="0" t="s">
        <v>2726</v>
      </c>
      <c r="EO150" s="0" t="n">
        <v>5.5</v>
      </c>
      <c r="EP150" s="0" t="s">
        <v>2528</v>
      </c>
      <c r="EQ150" s="0" t="s">
        <v>2848</v>
      </c>
      <c r="ER150" s="0" t="s">
        <v>2849</v>
      </c>
      <c r="ES150" s="0" t="n">
        <v>98130</v>
      </c>
      <c r="ET150" s="0" t="n">
        <v>98130</v>
      </c>
      <c r="EU150" s="0" t="n">
        <v>98130</v>
      </c>
      <c r="EV150" s="0" t="n">
        <v>98130</v>
      </c>
    </row>
    <row r="151" customFormat="false" ht="15" hidden="false" customHeight="false" outlineLevel="0" collapsed="false">
      <c r="A151" s="0" t="s">
        <v>367</v>
      </c>
      <c r="B151" s="0" t="s">
        <v>385</v>
      </c>
      <c r="C151" s="0" t="s">
        <v>472</v>
      </c>
      <c r="D151" s="0" t="s">
        <v>473</v>
      </c>
      <c r="E151" s="0" t="s">
        <v>1300</v>
      </c>
      <c r="F151" s="0" t="s">
        <v>680</v>
      </c>
      <c r="G151" s="0" t="s">
        <v>1248</v>
      </c>
      <c r="CQ151" s="0" t="s">
        <v>3758</v>
      </c>
      <c r="CR151" s="0" t="s">
        <v>125</v>
      </c>
      <c r="CS151" s="0" t="s">
        <v>584</v>
      </c>
      <c r="CT151" s="0" t="s">
        <v>583</v>
      </c>
      <c r="CU151" s="0" t="s">
        <v>3111</v>
      </c>
      <c r="CV151" s="0" t="s">
        <v>3112</v>
      </c>
      <c r="CW151" s="0" t="n">
        <v>0</v>
      </c>
      <c r="DB151" s="0" t="n">
        <v>100000</v>
      </c>
      <c r="DC151" s="0" t="n">
        <v>100000</v>
      </c>
      <c r="DD151" s="0" t="n">
        <v>100000</v>
      </c>
      <c r="DE151" s="0" t="n">
        <v>100000</v>
      </c>
      <c r="DG151" s="0" t="s">
        <v>3759</v>
      </c>
      <c r="DH151" s="0" t="s">
        <v>82</v>
      </c>
      <c r="DI151" s="0" t="s">
        <v>1310</v>
      </c>
      <c r="DJ151" s="0" t="s">
        <v>1311</v>
      </c>
      <c r="DK151" s="0" t="s">
        <v>674</v>
      </c>
      <c r="DL151" s="0" t="n">
        <v>23.08</v>
      </c>
      <c r="DM151" s="0" t="s">
        <v>675</v>
      </c>
      <c r="DN151" s="0" t="s">
        <v>676</v>
      </c>
      <c r="DO151" s="0" t="n">
        <v>1</v>
      </c>
      <c r="DP151" s="0" t="n">
        <v>31.59</v>
      </c>
      <c r="DQ151" s="0" t="n">
        <v>31.59</v>
      </c>
      <c r="DR151" s="0" t="s">
        <v>3760</v>
      </c>
      <c r="EB151" s="0" t="s">
        <v>3761</v>
      </c>
      <c r="EC151" s="0" t="s">
        <v>2929</v>
      </c>
      <c r="EE151" s="0" t="s">
        <v>557</v>
      </c>
      <c r="EL151" s="0" t="s">
        <v>3762</v>
      </c>
      <c r="EM151" s="0" t="s">
        <v>2725</v>
      </c>
      <c r="EN151" s="0" t="s">
        <v>2726</v>
      </c>
      <c r="EO151" s="0" t="n">
        <v>5.5</v>
      </c>
      <c r="EP151" s="0" t="s">
        <v>2552</v>
      </c>
      <c r="EQ151" s="0" t="s">
        <v>2862</v>
      </c>
      <c r="ER151" s="0" t="s">
        <v>2863</v>
      </c>
      <c r="ES151" s="0" t="n">
        <v>98130</v>
      </c>
      <c r="ET151" s="0" t="n">
        <v>98130</v>
      </c>
      <c r="EU151" s="0" t="n">
        <v>98130</v>
      </c>
      <c r="EV151" s="0" t="n">
        <v>98130</v>
      </c>
    </row>
    <row r="152" customFormat="false" ht="15" hidden="false" customHeight="false" outlineLevel="0" collapsed="false">
      <c r="A152" s="0" t="s">
        <v>367</v>
      </c>
      <c r="B152" s="0" t="s">
        <v>385</v>
      </c>
      <c r="C152" s="0" t="s">
        <v>470</v>
      </c>
      <c r="D152" s="0" t="s">
        <v>471</v>
      </c>
      <c r="E152" s="0" t="s">
        <v>1750</v>
      </c>
      <c r="F152" s="0" t="s">
        <v>680</v>
      </c>
      <c r="G152" s="0" t="s">
        <v>1337</v>
      </c>
      <c r="CQ152" s="0" t="s">
        <v>3763</v>
      </c>
      <c r="CR152" s="0" t="s">
        <v>125</v>
      </c>
      <c r="CS152" s="0" t="s">
        <v>575</v>
      </c>
      <c r="CT152" s="0" t="s">
        <v>573</v>
      </c>
      <c r="CU152" s="0" t="s">
        <v>3111</v>
      </c>
      <c r="CV152" s="0" t="s">
        <v>3119</v>
      </c>
      <c r="CW152" s="0" t="n">
        <v>0</v>
      </c>
      <c r="DB152" s="0" t="n">
        <v>2000</v>
      </c>
      <c r="DC152" s="0" t="n">
        <v>2000</v>
      </c>
      <c r="DD152" s="0" t="n">
        <v>2000</v>
      </c>
      <c r="DE152" s="0" t="n">
        <v>2000</v>
      </c>
      <c r="DG152" s="0" t="s">
        <v>3764</v>
      </c>
      <c r="DH152" s="0" t="s">
        <v>82</v>
      </c>
      <c r="DI152" s="0" t="s">
        <v>1313</v>
      </c>
      <c r="DJ152" s="0" t="s">
        <v>1314</v>
      </c>
      <c r="DK152" s="0" t="s">
        <v>674</v>
      </c>
      <c r="DL152" s="0" t="n">
        <v>23.08</v>
      </c>
      <c r="DM152" s="0" t="s">
        <v>676</v>
      </c>
      <c r="DN152" s="0" t="s">
        <v>676</v>
      </c>
      <c r="DO152" s="0" t="n">
        <v>1</v>
      </c>
      <c r="DP152" s="0" t="n">
        <v>93.94</v>
      </c>
      <c r="DQ152" s="0" t="n">
        <v>140.91</v>
      </c>
      <c r="DR152" s="0" t="s">
        <v>3765</v>
      </c>
      <c r="EB152" s="0" t="s">
        <v>3766</v>
      </c>
      <c r="EC152" s="0" t="s">
        <v>2929</v>
      </c>
      <c r="EE152" s="0" t="s">
        <v>290</v>
      </c>
      <c r="EL152" s="0" t="s">
        <v>3767</v>
      </c>
      <c r="EM152" s="0" t="s">
        <v>2725</v>
      </c>
      <c r="EN152" s="0" t="s">
        <v>2726</v>
      </c>
      <c r="EO152" s="0" t="n">
        <v>6</v>
      </c>
      <c r="EP152" s="0" t="s">
        <v>2528</v>
      </c>
      <c r="EQ152" s="0" t="s">
        <v>2877</v>
      </c>
      <c r="ER152" s="0" t="s">
        <v>2878</v>
      </c>
      <c r="ES152" s="0" t="n">
        <v>107240</v>
      </c>
      <c r="ET152" s="0" t="n">
        <v>107240</v>
      </c>
      <c r="EU152" s="0" t="n">
        <v>107240</v>
      </c>
      <c r="EV152" s="0" t="n">
        <v>107240</v>
      </c>
    </row>
    <row r="153" customFormat="false" ht="15" hidden="false" customHeight="false" outlineLevel="0" collapsed="false">
      <c r="A153" s="0" t="s">
        <v>367</v>
      </c>
      <c r="B153" s="0" t="s">
        <v>385</v>
      </c>
      <c r="C153" s="0" t="s">
        <v>474</v>
      </c>
      <c r="D153" s="0" t="s">
        <v>475</v>
      </c>
      <c r="E153" s="0" t="s">
        <v>1170</v>
      </c>
      <c r="F153" s="0" t="s">
        <v>680</v>
      </c>
      <c r="G153" s="0" t="s">
        <v>1248</v>
      </c>
      <c r="CQ153" s="0" t="s">
        <v>3768</v>
      </c>
      <c r="CR153" s="0" t="s">
        <v>125</v>
      </c>
      <c r="CS153" s="0" t="s">
        <v>562</v>
      </c>
      <c r="CT153" s="0" t="s">
        <v>2986</v>
      </c>
      <c r="CU153" s="0" t="s">
        <v>79</v>
      </c>
      <c r="CV153" s="0" t="s">
        <v>3126</v>
      </c>
      <c r="CW153" s="0" t="n">
        <v>0</v>
      </c>
      <c r="DB153" s="0" t="n">
        <v>550</v>
      </c>
      <c r="DC153" s="0" t="n">
        <v>850</v>
      </c>
      <c r="DD153" s="0" t="n">
        <v>1200</v>
      </c>
      <c r="DE153" s="0" t="n">
        <v>1200</v>
      </c>
      <c r="DG153" s="0" t="s">
        <v>3769</v>
      </c>
      <c r="DH153" s="0" t="s">
        <v>82</v>
      </c>
      <c r="DI153" s="0" t="s">
        <v>1319</v>
      </c>
      <c r="DJ153" s="0" t="s">
        <v>1320</v>
      </c>
      <c r="DK153" s="0" t="s">
        <v>674</v>
      </c>
      <c r="DL153" s="0" t="n">
        <v>23.08</v>
      </c>
      <c r="DM153" s="0" t="s">
        <v>675</v>
      </c>
      <c r="DN153" s="0" t="s">
        <v>676</v>
      </c>
      <c r="DO153" s="0" t="n">
        <v>1</v>
      </c>
      <c r="DP153" s="0" t="n">
        <v>747.44</v>
      </c>
      <c r="DQ153" s="0" t="n">
        <v>747.44</v>
      </c>
      <c r="DR153" s="0" t="s">
        <v>3770</v>
      </c>
      <c r="EB153" s="0" t="s">
        <v>3771</v>
      </c>
      <c r="EC153" s="0" t="s">
        <v>2929</v>
      </c>
      <c r="EE153" s="0" t="s">
        <v>275</v>
      </c>
      <c r="EL153" s="0" t="s">
        <v>3772</v>
      </c>
      <c r="EM153" s="0" t="s">
        <v>2725</v>
      </c>
      <c r="EN153" s="0" t="s">
        <v>2726</v>
      </c>
      <c r="EO153" s="0" t="n">
        <v>6</v>
      </c>
      <c r="EP153" s="0" t="s">
        <v>2552</v>
      </c>
      <c r="EQ153" s="0" t="s">
        <v>2891</v>
      </c>
      <c r="ER153" s="0" t="s">
        <v>2892</v>
      </c>
      <c r="ES153" s="0" t="n">
        <v>107240</v>
      </c>
      <c r="ET153" s="0" t="n">
        <v>107240</v>
      </c>
      <c r="EU153" s="0" t="n">
        <v>107240</v>
      </c>
      <c r="EV153" s="0" t="n">
        <v>107240</v>
      </c>
    </row>
    <row r="154" customFormat="false" ht="15" hidden="false" customHeight="false" outlineLevel="0" collapsed="false">
      <c r="A154" s="0" t="s">
        <v>367</v>
      </c>
      <c r="B154" s="0" t="s">
        <v>390</v>
      </c>
      <c r="C154" s="0" t="s">
        <v>476</v>
      </c>
      <c r="D154" s="0" t="s">
        <v>477</v>
      </c>
      <c r="E154" s="0" t="s">
        <v>1107</v>
      </c>
      <c r="F154" s="0" t="s">
        <v>680</v>
      </c>
      <c r="G154" s="0" t="s">
        <v>1182</v>
      </c>
      <c r="CQ154" s="0" t="s">
        <v>3773</v>
      </c>
      <c r="CR154" s="0" t="s">
        <v>125</v>
      </c>
      <c r="CS154" s="0" t="s">
        <v>602</v>
      </c>
      <c r="CT154" s="0" t="s">
        <v>2728</v>
      </c>
      <c r="CU154" s="0" t="s">
        <v>79</v>
      </c>
      <c r="CV154" s="0" t="s">
        <v>600</v>
      </c>
      <c r="CW154" s="0" t="n">
        <v>0</v>
      </c>
      <c r="DB154" s="0" t="n">
        <v>350</v>
      </c>
      <c r="DC154" s="0" t="n">
        <v>350</v>
      </c>
      <c r="DD154" s="0" t="n">
        <v>350</v>
      </c>
      <c r="DE154" s="0" t="n">
        <v>350</v>
      </c>
      <c r="DG154" s="0" t="s">
        <v>3774</v>
      </c>
      <c r="DH154" s="0" t="s">
        <v>82</v>
      </c>
      <c r="DI154" s="0" t="s">
        <v>1322</v>
      </c>
      <c r="DJ154" s="0" t="s">
        <v>1323</v>
      </c>
      <c r="DK154" s="0" t="s">
        <v>674</v>
      </c>
      <c r="DL154" s="0" t="n">
        <v>23.08</v>
      </c>
      <c r="DM154" s="0" t="s">
        <v>676</v>
      </c>
      <c r="DN154" s="0" t="s">
        <v>676</v>
      </c>
      <c r="DO154" s="0" t="n">
        <v>1</v>
      </c>
      <c r="DP154" s="0" t="n">
        <v>93.92</v>
      </c>
      <c r="DQ154" s="0" t="n">
        <v>281.76</v>
      </c>
      <c r="DR154" s="0" t="s">
        <v>3775</v>
      </c>
      <c r="EB154" s="0" t="s">
        <v>3776</v>
      </c>
      <c r="EC154" s="0" t="s">
        <v>2929</v>
      </c>
      <c r="EE154" s="0" t="s">
        <v>298</v>
      </c>
      <c r="EL154" s="0" t="s">
        <v>3777</v>
      </c>
      <c r="EM154" s="0" t="s">
        <v>2725</v>
      </c>
      <c r="EN154" s="0" t="s">
        <v>2726</v>
      </c>
      <c r="EO154" s="0" t="n">
        <v>6.5</v>
      </c>
      <c r="EP154" s="0" t="s">
        <v>2528</v>
      </c>
      <c r="EQ154" s="0" t="s">
        <v>2904</v>
      </c>
      <c r="ER154" s="0" t="s">
        <v>2905</v>
      </c>
      <c r="ES154" s="0" t="n">
        <v>115650</v>
      </c>
      <c r="ET154" s="0" t="n">
        <v>115650</v>
      </c>
      <c r="EU154" s="0" t="n">
        <v>115650</v>
      </c>
      <c r="EV154" s="0" t="n">
        <v>115650</v>
      </c>
    </row>
    <row r="155" customFormat="false" ht="15" hidden="false" customHeight="false" outlineLevel="0" collapsed="false">
      <c r="A155" s="0" t="s">
        <v>353</v>
      </c>
      <c r="B155" s="0" t="s">
        <v>354</v>
      </c>
      <c r="C155" s="0" t="s">
        <v>362</v>
      </c>
      <c r="D155" s="0" t="s">
        <v>363</v>
      </c>
      <c r="E155" s="0" t="s">
        <v>1750</v>
      </c>
      <c r="F155" s="0" t="s">
        <v>680</v>
      </c>
      <c r="G155" s="0" t="s">
        <v>1672</v>
      </c>
      <c r="CQ155" s="0" t="s">
        <v>3778</v>
      </c>
      <c r="CR155" s="0" t="s">
        <v>125</v>
      </c>
      <c r="CS155" s="0" t="s">
        <v>567</v>
      </c>
      <c r="CT155" s="0" t="s">
        <v>2959</v>
      </c>
      <c r="CU155" s="0" t="s">
        <v>79</v>
      </c>
      <c r="CV155" s="0" t="s">
        <v>3139</v>
      </c>
      <c r="CW155" s="0" t="n">
        <v>0</v>
      </c>
      <c r="DB155" s="0" t="n">
        <v>1250</v>
      </c>
      <c r="DC155" s="0" t="n">
        <v>1250</v>
      </c>
      <c r="DD155" s="0" t="n">
        <v>1250</v>
      </c>
      <c r="DE155" s="0" t="n">
        <v>1250</v>
      </c>
      <c r="DG155" s="0" t="s">
        <v>3779</v>
      </c>
      <c r="DH155" s="0" t="s">
        <v>82</v>
      </c>
      <c r="DI155" s="0" t="s">
        <v>1327</v>
      </c>
      <c r="DJ155" s="0" t="s">
        <v>1328</v>
      </c>
      <c r="DK155" s="0" t="s">
        <v>674</v>
      </c>
      <c r="DL155" s="0" t="n">
        <v>23.08</v>
      </c>
      <c r="DM155" s="0" t="s">
        <v>676</v>
      </c>
      <c r="DN155" s="0" t="s">
        <v>675</v>
      </c>
      <c r="DO155" s="0" t="n">
        <v>0</v>
      </c>
      <c r="DP155" s="0" t="n">
        <v>0</v>
      </c>
      <c r="DQ155" s="0" t="n">
        <v>3.51</v>
      </c>
      <c r="DR155" s="0" t="s">
        <v>3780</v>
      </c>
      <c r="EB155" s="0" t="s">
        <v>3781</v>
      </c>
      <c r="EC155" s="0" t="s">
        <v>2929</v>
      </c>
      <c r="EE155" s="0" t="s">
        <v>286</v>
      </c>
      <c r="EL155" s="0" t="s">
        <v>3782</v>
      </c>
      <c r="EM155" s="0" t="s">
        <v>2725</v>
      </c>
      <c r="EN155" s="0" t="s">
        <v>2726</v>
      </c>
      <c r="EO155" s="0" t="n">
        <v>6.5</v>
      </c>
      <c r="EP155" s="0" t="s">
        <v>2552</v>
      </c>
      <c r="EQ155" s="0" t="s">
        <v>2920</v>
      </c>
      <c r="ER155" s="0" t="s">
        <v>2921</v>
      </c>
      <c r="ES155" s="0" t="n">
        <v>115650</v>
      </c>
      <c r="ET155" s="0" t="n">
        <v>115650</v>
      </c>
      <c r="EU155" s="0" t="n">
        <v>115650</v>
      </c>
      <c r="EV155" s="0" t="n">
        <v>115650</v>
      </c>
    </row>
    <row r="156" customFormat="false" ht="15" hidden="false" customHeight="false" outlineLevel="0" collapsed="false">
      <c r="A156" s="0" t="s">
        <v>353</v>
      </c>
      <c r="B156" s="0" t="s">
        <v>354</v>
      </c>
      <c r="C156" s="0" t="s">
        <v>356</v>
      </c>
      <c r="D156" s="0" t="s">
        <v>357</v>
      </c>
      <c r="E156" s="0" t="s">
        <v>1463</v>
      </c>
      <c r="F156" s="0" t="s">
        <v>680</v>
      </c>
      <c r="G156" s="0" t="s">
        <v>1672</v>
      </c>
      <c r="CQ156" s="0" t="s">
        <v>3783</v>
      </c>
      <c r="CR156" s="0" t="s">
        <v>125</v>
      </c>
      <c r="CS156" s="0" t="s">
        <v>590</v>
      </c>
      <c r="CT156" s="0" t="s">
        <v>2786</v>
      </c>
      <c r="CU156" s="0" t="s">
        <v>3111</v>
      </c>
      <c r="CV156" s="0" t="s">
        <v>3146</v>
      </c>
      <c r="CW156" s="0" t="n">
        <v>0</v>
      </c>
      <c r="DB156" s="0" t="n">
        <v>3020</v>
      </c>
      <c r="DC156" s="0" t="n">
        <v>3020</v>
      </c>
      <c r="DD156" s="0" t="n">
        <v>3020</v>
      </c>
      <c r="DE156" s="0" t="n">
        <v>3020</v>
      </c>
      <c r="DG156" s="0" t="s">
        <v>3784</v>
      </c>
      <c r="DH156" s="0" t="s">
        <v>82</v>
      </c>
      <c r="DI156" s="0" t="s">
        <v>518</v>
      </c>
      <c r="DJ156" s="0" t="s">
        <v>1333</v>
      </c>
      <c r="DK156" s="0" t="s">
        <v>1181</v>
      </c>
      <c r="DL156" s="0" t="n">
        <v>23.08</v>
      </c>
      <c r="DM156" s="0" t="s">
        <v>675</v>
      </c>
      <c r="DN156" s="0" t="s">
        <v>676</v>
      </c>
      <c r="DO156" s="0" t="n">
        <v>1</v>
      </c>
      <c r="DP156" s="0" t="n">
        <v>1406.25</v>
      </c>
      <c r="DQ156" s="0" t="n">
        <v>1406.25</v>
      </c>
      <c r="DR156" s="0" t="s">
        <v>3785</v>
      </c>
      <c r="EB156" s="0" t="s">
        <v>3786</v>
      </c>
      <c r="EC156" s="0" t="s">
        <v>2929</v>
      </c>
      <c r="EE156" s="0" t="s">
        <v>272</v>
      </c>
      <c r="EL156" s="0" t="s">
        <v>3787</v>
      </c>
      <c r="EM156" s="0" t="s">
        <v>2725</v>
      </c>
      <c r="EN156" s="0" t="s">
        <v>2726</v>
      </c>
      <c r="EO156" s="0" t="n">
        <v>7</v>
      </c>
      <c r="EP156" s="0" t="s">
        <v>2528</v>
      </c>
      <c r="EQ156" s="0" t="s">
        <v>2935</v>
      </c>
      <c r="ER156" s="0" t="s">
        <v>2936</v>
      </c>
      <c r="ES156" s="0" t="n">
        <v>125470</v>
      </c>
      <c r="ET156" s="0" t="n">
        <v>125470</v>
      </c>
      <c r="EU156" s="0" t="n">
        <v>125470</v>
      </c>
      <c r="EV156" s="0" t="n">
        <v>125470</v>
      </c>
    </row>
    <row r="157" customFormat="false" ht="15" hidden="false" customHeight="false" outlineLevel="0" collapsed="false">
      <c r="A157" s="0" t="s">
        <v>353</v>
      </c>
      <c r="B157" s="0" t="s">
        <v>354</v>
      </c>
      <c r="C157" s="0" t="s">
        <v>376</v>
      </c>
      <c r="D157" s="0" t="s">
        <v>377</v>
      </c>
      <c r="E157" s="0" t="s">
        <v>1557</v>
      </c>
      <c r="F157" s="0" t="s">
        <v>680</v>
      </c>
      <c r="G157" s="0" t="s">
        <v>1672</v>
      </c>
      <c r="CQ157" s="0" t="s">
        <v>3788</v>
      </c>
      <c r="CR157" s="0" t="s">
        <v>125</v>
      </c>
      <c r="CS157" s="0" t="s">
        <v>588</v>
      </c>
      <c r="CT157" s="0" t="s">
        <v>2801</v>
      </c>
      <c r="CU157" s="0" t="s">
        <v>3111</v>
      </c>
      <c r="CV157" s="0" t="s">
        <v>587</v>
      </c>
      <c r="CW157" s="0" t="n">
        <v>0</v>
      </c>
      <c r="DB157" s="0" t="n">
        <v>2470</v>
      </c>
      <c r="DC157" s="0" t="n">
        <v>2470</v>
      </c>
      <c r="DD157" s="0" t="n">
        <v>2470</v>
      </c>
      <c r="DE157" s="0" t="n">
        <v>2470</v>
      </c>
      <c r="DG157" s="0" t="s">
        <v>3789</v>
      </c>
      <c r="DH157" s="0" t="s">
        <v>82</v>
      </c>
      <c r="DI157" s="0" t="s">
        <v>472</v>
      </c>
      <c r="DJ157" s="0" t="s">
        <v>473</v>
      </c>
      <c r="DK157" s="0" t="s">
        <v>1181</v>
      </c>
      <c r="DL157" s="0" t="n">
        <v>23.08</v>
      </c>
      <c r="DM157" s="0" t="s">
        <v>675</v>
      </c>
      <c r="DN157" s="0" t="s">
        <v>676</v>
      </c>
      <c r="DO157" s="0" t="n">
        <v>1</v>
      </c>
      <c r="DP157" s="0" t="n">
        <v>0.1</v>
      </c>
      <c r="DQ157" s="0" t="n">
        <v>0.1</v>
      </c>
      <c r="DR157" s="0" t="s">
        <v>3790</v>
      </c>
      <c r="EB157" s="0" t="s">
        <v>3791</v>
      </c>
      <c r="EC157" s="0" t="s">
        <v>2929</v>
      </c>
      <c r="EE157" s="0" t="s">
        <v>283</v>
      </c>
      <c r="EL157" s="0" t="s">
        <v>3792</v>
      </c>
      <c r="EM157" s="0" t="s">
        <v>2725</v>
      </c>
      <c r="EN157" s="0" t="s">
        <v>2726</v>
      </c>
      <c r="EO157" s="0" t="n">
        <v>7</v>
      </c>
      <c r="EP157" s="0" t="s">
        <v>2552</v>
      </c>
      <c r="EQ157" s="0" t="s">
        <v>2949</v>
      </c>
      <c r="ER157" s="0" t="s">
        <v>2950</v>
      </c>
      <c r="ES157" s="0" t="n">
        <v>125470</v>
      </c>
      <c r="ET157" s="0" t="n">
        <v>125470</v>
      </c>
      <c r="EU157" s="0" t="n">
        <v>125470</v>
      </c>
      <c r="EV157" s="0" t="n">
        <v>125470</v>
      </c>
    </row>
    <row r="158" customFormat="false" ht="15" hidden="false" customHeight="false" outlineLevel="0" collapsed="false">
      <c r="A158" s="0" t="s">
        <v>353</v>
      </c>
      <c r="B158" s="0" t="s">
        <v>354</v>
      </c>
      <c r="C158" s="0" t="s">
        <v>382</v>
      </c>
      <c r="D158" s="0" t="s">
        <v>383</v>
      </c>
      <c r="E158" s="0" t="s">
        <v>1557</v>
      </c>
      <c r="F158" s="0" t="s">
        <v>680</v>
      </c>
      <c r="G158" s="0" t="s">
        <v>1672</v>
      </c>
      <c r="CQ158" s="0" t="s">
        <v>3793</v>
      </c>
      <c r="CR158" s="0" t="s">
        <v>125</v>
      </c>
      <c r="CS158" s="0" t="s">
        <v>586</v>
      </c>
      <c r="CT158" s="0" t="s">
        <v>2815</v>
      </c>
      <c r="CU158" s="0" t="s">
        <v>3111</v>
      </c>
      <c r="CV158" s="0" t="s">
        <v>3161</v>
      </c>
      <c r="CW158" s="0" t="n">
        <v>0</v>
      </c>
      <c r="DB158" s="0" t="n">
        <v>10480</v>
      </c>
      <c r="DC158" s="0" t="n">
        <v>10480</v>
      </c>
      <c r="DD158" s="0" t="n">
        <v>10480</v>
      </c>
      <c r="DE158" s="0" t="n">
        <v>10480</v>
      </c>
      <c r="DG158" s="0" t="s">
        <v>3794</v>
      </c>
      <c r="DH158" s="0" t="s">
        <v>82</v>
      </c>
      <c r="DJ158" s="0" t="s">
        <v>1165</v>
      </c>
      <c r="DK158" s="0" t="s">
        <v>705</v>
      </c>
      <c r="DL158" s="0" t="n">
        <v>23.08</v>
      </c>
      <c r="DM158" s="0" t="s">
        <v>675</v>
      </c>
      <c r="DN158" s="0" t="s">
        <v>675</v>
      </c>
      <c r="DO158" s="0" t="n">
        <v>0</v>
      </c>
      <c r="DP158" s="0" t="n">
        <v>0</v>
      </c>
      <c r="DQ158" s="0" t="n">
        <v>0</v>
      </c>
      <c r="DR158" s="0" t="s">
        <v>3512</v>
      </c>
      <c r="EB158" s="0" t="s">
        <v>3795</v>
      </c>
      <c r="EC158" s="0" t="s">
        <v>2929</v>
      </c>
      <c r="EE158" s="0" t="s">
        <v>267</v>
      </c>
      <c r="EL158" s="0" t="s">
        <v>3796</v>
      </c>
      <c r="EM158" s="0" t="s">
        <v>2725</v>
      </c>
      <c r="EN158" s="0" t="s">
        <v>2726</v>
      </c>
      <c r="EO158" s="0" t="n">
        <v>7.5</v>
      </c>
      <c r="EP158" s="0" t="s">
        <v>2528</v>
      </c>
      <c r="EQ158" s="0" t="s">
        <v>2961</v>
      </c>
      <c r="ER158" s="0" t="s">
        <v>3797</v>
      </c>
      <c r="ES158" s="0" t="n">
        <v>133170</v>
      </c>
      <c r="ET158" s="0" t="n">
        <v>133170</v>
      </c>
      <c r="EU158" s="0" t="n">
        <v>133170</v>
      </c>
      <c r="EV158" s="0" t="n">
        <v>133170</v>
      </c>
    </row>
    <row r="159" customFormat="false" ht="15" hidden="false" customHeight="false" outlineLevel="0" collapsed="false">
      <c r="A159" s="0" t="s">
        <v>353</v>
      </c>
      <c r="B159" s="0" t="s">
        <v>354</v>
      </c>
      <c r="C159" s="0" t="s">
        <v>388</v>
      </c>
      <c r="D159" s="0" t="s">
        <v>389</v>
      </c>
      <c r="E159" s="0" t="s">
        <v>1750</v>
      </c>
      <c r="F159" s="0" t="s">
        <v>680</v>
      </c>
      <c r="G159" s="0" t="s">
        <v>1672</v>
      </c>
      <c r="CQ159" s="0" t="s">
        <v>3798</v>
      </c>
      <c r="CR159" s="0" t="s">
        <v>125</v>
      </c>
      <c r="CS159" s="0" t="s">
        <v>296</v>
      </c>
      <c r="CT159" s="0" t="s">
        <v>294</v>
      </c>
      <c r="CU159" s="0" t="s">
        <v>2267</v>
      </c>
      <c r="CV159" s="0" t="s">
        <v>295</v>
      </c>
      <c r="CW159" s="0" t="n">
        <v>0</v>
      </c>
      <c r="DB159" s="0" t="n">
        <v>150</v>
      </c>
      <c r="DC159" s="0" t="n">
        <v>150</v>
      </c>
      <c r="DD159" s="0" t="n">
        <v>150</v>
      </c>
      <c r="DE159" s="0" t="n">
        <v>150</v>
      </c>
      <c r="DG159" s="0" t="s">
        <v>3799</v>
      </c>
      <c r="DH159" s="0" t="s">
        <v>82</v>
      </c>
      <c r="DI159" s="0" t="s">
        <v>1339</v>
      </c>
      <c r="DJ159" s="0" t="s">
        <v>1340</v>
      </c>
      <c r="DK159" s="0" t="s">
        <v>705</v>
      </c>
      <c r="DL159" s="0" t="n">
        <v>23.08</v>
      </c>
      <c r="DM159" s="0" t="s">
        <v>675</v>
      </c>
      <c r="DN159" s="0" t="s">
        <v>676</v>
      </c>
      <c r="DO159" s="0" t="n">
        <v>1</v>
      </c>
      <c r="DP159" s="0" t="n">
        <v>117.19</v>
      </c>
      <c r="DQ159" s="0" t="n">
        <v>117.19</v>
      </c>
      <c r="DR159" s="0" t="s">
        <v>3800</v>
      </c>
      <c r="EB159" s="0" t="s">
        <v>3801</v>
      </c>
      <c r="EC159" s="0" t="s">
        <v>2929</v>
      </c>
      <c r="EE159" s="0" t="s">
        <v>258</v>
      </c>
      <c r="EL159" s="0" t="s">
        <v>3802</v>
      </c>
      <c r="EM159" s="0" t="s">
        <v>2725</v>
      </c>
      <c r="EN159" s="0" t="s">
        <v>2726</v>
      </c>
      <c r="EO159" s="0" t="n">
        <v>7.5</v>
      </c>
      <c r="EP159" s="0" t="s">
        <v>2552</v>
      </c>
      <c r="EQ159" s="0" t="s">
        <v>2975</v>
      </c>
      <c r="ER159" s="0" t="s">
        <v>2976</v>
      </c>
      <c r="ES159" s="0" t="n">
        <v>133170</v>
      </c>
      <c r="ET159" s="0" t="n">
        <v>133170</v>
      </c>
      <c r="EU159" s="0" t="n">
        <v>133170</v>
      </c>
      <c r="EV159" s="0" t="n">
        <v>133170</v>
      </c>
    </row>
    <row r="160" customFormat="false" ht="15" hidden="false" customHeight="false" outlineLevel="0" collapsed="false">
      <c r="A160" s="0" t="s">
        <v>353</v>
      </c>
      <c r="B160" s="0" t="s">
        <v>354</v>
      </c>
      <c r="C160" s="0" t="s">
        <v>370</v>
      </c>
      <c r="D160" s="0" t="s">
        <v>371</v>
      </c>
      <c r="E160" s="0" t="s">
        <v>1750</v>
      </c>
      <c r="F160" s="0" t="s">
        <v>680</v>
      </c>
      <c r="G160" s="0" t="s">
        <v>1672</v>
      </c>
      <c r="CQ160" s="0" t="s">
        <v>3768</v>
      </c>
      <c r="CR160" s="0" t="s">
        <v>125</v>
      </c>
      <c r="CS160" s="0" t="s">
        <v>562</v>
      </c>
      <c r="CT160" s="0" t="s">
        <v>2986</v>
      </c>
      <c r="CU160" s="0" t="s">
        <v>79</v>
      </c>
      <c r="CV160" s="0" t="s">
        <v>3126</v>
      </c>
      <c r="CW160" s="0" t="n">
        <v>0</v>
      </c>
      <c r="DB160" s="0" t="n">
        <v>550</v>
      </c>
      <c r="DC160" s="0" t="n">
        <v>850</v>
      </c>
      <c r="DD160" s="0" t="n">
        <v>1200</v>
      </c>
      <c r="DE160" s="0" t="n">
        <v>1200</v>
      </c>
      <c r="DG160" s="0" t="s">
        <v>3803</v>
      </c>
      <c r="DH160" s="0" t="s">
        <v>82</v>
      </c>
      <c r="DI160" s="0" t="s">
        <v>1343</v>
      </c>
      <c r="DJ160" s="0" t="s">
        <v>1344</v>
      </c>
      <c r="DK160" s="0" t="s">
        <v>705</v>
      </c>
      <c r="DL160" s="0" t="n">
        <v>23.08</v>
      </c>
      <c r="DM160" s="0" t="s">
        <v>675</v>
      </c>
      <c r="DN160" s="0" t="s">
        <v>676</v>
      </c>
      <c r="DO160" s="0" t="n">
        <v>4</v>
      </c>
      <c r="DP160" s="0" t="n">
        <v>462</v>
      </c>
      <c r="DQ160" s="0" t="n">
        <v>462</v>
      </c>
      <c r="DR160" s="0" t="s">
        <v>3804</v>
      </c>
      <c r="EB160" s="0" t="s">
        <v>3805</v>
      </c>
      <c r="EC160" s="0" t="s">
        <v>2929</v>
      </c>
      <c r="EE160" s="0" t="s">
        <v>222</v>
      </c>
      <c r="EL160" s="0" t="s">
        <v>3806</v>
      </c>
      <c r="EM160" s="0" t="s">
        <v>2725</v>
      </c>
      <c r="EN160" s="0" t="s">
        <v>2726</v>
      </c>
      <c r="EO160" s="0" t="n">
        <v>8</v>
      </c>
      <c r="EP160" s="0" t="s">
        <v>2528</v>
      </c>
      <c r="EQ160" s="0" t="s">
        <v>2988</v>
      </c>
      <c r="ER160" s="0" t="s">
        <v>3807</v>
      </c>
      <c r="ES160" s="0" t="n">
        <v>139490</v>
      </c>
      <c r="ET160" s="0" t="n">
        <v>139490</v>
      </c>
      <c r="EU160" s="0" t="n">
        <v>139490</v>
      </c>
      <c r="EV160" s="0" t="n">
        <v>139490</v>
      </c>
    </row>
    <row r="161" customFormat="false" ht="15" hidden="false" customHeight="false" outlineLevel="0" collapsed="false">
      <c r="A161" s="0" t="s">
        <v>353</v>
      </c>
      <c r="B161" s="0" t="s">
        <v>360</v>
      </c>
      <c r="C161" s="0" t="s">
        <v>396</v>
      </c>
      <c r="D161" s="0" t="s">
        <v>397</v>
      </c>
      <c r="E161" s="0" t="s">
        <v>1750</v>
      </c>
      <c r="F161" s="0" t="s">
        <v>680</v>
      </c>
      <c r="G161" s="0" t="s">
        <v>1506</v>
      </c>
      <c r="CQ161" s="0" t="s">
        <v>3808</v>
      </c>
      <c r="CR161" s="0" t="s">
        <v>85</v>
      </c>
      <c r="CS161" s="0" t="s">
        <v>290</v>
      </c>
      <c r="CT161" s="0" t="s">
        <v>289</v>
      </c>
      <c r="CU161" s="0" t="s">
        <v>81</v>
      </c>
      <c r="CV161" s="0" t="s">
        <v>289</v>
      </c>
      <c r="CW161" s="0" t="n">
        <v>0</v>
      </c>
      <c r="DB161" s="0" t="n">
        <v>420</v>
      </c>
      <c r="DC161" s="0" t="n">
        <v>460</v>
      </c>
      <c r="DD161" s="0" t="n">
        <v>500</v>
      </c>
      <c r="DE161" s="0" t="n">
        <v>500</v>
      </c>
      <c r="DG161" s="0" t="s">
        <v>3809</v>
      </c>
      <c r="DH161" s="0" t="s">
        <v>82</v>
      </c>
      <c r="DI161" s="0" t="s">
        <v>1347</v>
      </c>
      <c r="DJ161" s="0" t="s">
        <v>1348</v>
      </c>
      <c r="DK161" s="0" t="s">
        <v>705</v>
      </c>
      <c r="DL161" s="0" t="n">
        <v>23.08</v>
      </c>
      <c r="DM161" s="0" t="s">
        <v>675</v>
      </c>
      <c r="DN161" s="0" t="s">
        <v>676</v>
      </c>
      <c r="DO161" s="0" t="n">
        <v>5</v>
      </c>
      <c r="DP161" s="0" t="n">
        <v>75</v>
      </c>
      <c r="DQ161" s="0" t="n">
        <v>75</v>
      </c>
      <c r="DR161" s="0" t="s">
        <v>3810</v>
      </c>
      <c r="EB161" s="0" t="s">
        <v>3811</v>
      </c>
      <c r="EC161" s="0" t="s">
        <v>2929</v>
      </c>
      <c r="EE161" s="0" t="s">
        <v>233</v>
      </c>
      <c r="EL161" s="0" t="s">
        <v>3812</v>
      </c>
      <c r="EM161" s="0" t="s">
        <v>2725</v>
      </c>
      <c r="EN161" s="0" t="s">
        <v>2726</v>
      </c>
      <c r="EO161" s="0" t="n">
        <v>8</v>
      </c>
      <c r="EP161" s="0" t="s">
        <v>2552</v>
      </c>
      <c r="EQ161" s="0" t="s">
        <v>3000</v>
      </c>
      <c r="ER161" s="0" t="s">
        <v>3813</v>
      </c>
      <c r="ES161" s="0" t="n">
        <v>139490</v>
      </c>
      <c r="ET161" s="0" t="n">
        <v>139490</v>
      </c>
      <c r="EU161" s="0" t="n">
        <v>139490</v>
      </c>
      <c r="EV161" s="0" t="n">
        <v>139490</v>
      </c>
    </row>
    <row r="162" customFormat="false" ht="15" hidden="false" customHeight="false" outlineLevel="0" collapsed="false">
      <c r="A162" s="0" t="s">
        <v>353</v>
      </c>
      <c r="B162" s="0" t="s">
        <v>360</v>
      </c>
      <c r="C162" s="0" t="s">
        <v>401</v>
      </c>
      <c r="D162" s="0" t="s">
        <v>402</v>
      </c>
      <c r="E162" s="0" t="s">
        <v>1750</v>
      </c>
      <c r="F162" s="0" t="s">
        <v>680</v>
      </c>
      <c r="G162" s="0" t="s">
        <v>1506</v>
      </c>
      <c r="CQ162" s="0" t="s">
        <v>3814</v>
      </c>
      <c r="CR162" s="0" t="s">
        <v>85</v>
      </c>
      <c r="CS162" s="0" t="s">
        <v>275</v>
      </c>
      <c r="CT162" s="0" t="s">
        <v>273</v>
      </c>
      <c r="CU162" s="0" t="s">
        <v>81</v>
      </c>
      <c r="CV162" s="0" t="s">
        <v>274</v>
      </c>
      <c r="CW162" s="0" t="n">
        <v>0</v>
      </c>
      <c r="DB162" s="0" t="n">
        <v>1000</v>
      </c>
      <c r="DC162" s="0" t="n">
        <v>1110</v>
      </c>
      <c r="DD162" s="0" t="n">
        <v>1200</v>
      </c>
      <c r="DE162" s="0" t="n">
        <v>1200</v>
      </c>
      <c r="DG162" s="0" t="s">
        <v>3815</v>
      </c>
      <c r="DH162" s="0" t="s">
        <v>82</v>
      </c>
      <c r="DI162" s="0" t="s">
        <v>1350</v>
      </c>
      <c r="DJ162" s="0" t="s">
        <v>1351</v>
      </c>
      <c r="DK162" s="0" t="s">
        <v>705</v>
      </c>
      <c r="DL162" s="0" t="n">
        <v>23.08</v>
      </c>
      <c r="DM162" s="0" t="s">
        <v>675</v>
      </c>
      <c r="DN162" s="0" t="s">
        <v>676</v>
      </c>
      <c r="DO162" s="0" t="n">
        <v>45</v>
      </c>
      <c r="DP162" s="0" t="n">
        <v>1476</v>
      </c>
      <c r="DQ162" s="0" t="n">
        <v>1476</v>
      </c>
      <c r="DR162" s="0" t="s">
        <v>3816</v>
      </c>
      <c r="EB162" s="0" t="s">
        <v>3817</v>
      </c>
      <c r="EC162" s="0" t="s">
        <v>2929</v>
      </c>
      <c r="EE162" s="0" t="s">
        <v>225</v>
      </c>
      <c r="EL162" s="0" t="s">
        <v>3818</v>
      </c>
      <c r="EM162" s="0" t="s">
        <v>2831</v>
      </c>
      <c r="EN162" s="0" t="s">
        <v>2832</v>
      </c>
      <c r="EO162" s="0" t="n">
        <v>0.5</v>
      </c>
      <c r="EP162" s="0" t="s">
        <v>2528</v>
      </c>
      <c r="EQ162" s="0" t="s">
        <v>2529</v>
      </c>
      <c r="ER162" s="0" t="s">
        <v>2530</v>
      </c>
      <c r="ES162" s="0" t="n">
        <v>7500</v>
      </c>
      <c r="ET162" s="0" t="n">
        <v>7500</v>
      </c>
      <c r="EU162" s="0" t="n">
        <v>7500</v>
      </c>
      <c r="EV162" s="0" t="n">
        <v>7500</v>
      </c>
    </row>
    <row r="163" customFormat="false" ht="15" hidden="false" customHeight="false" outlineLevel="0" collapsed="false">
      <c r="A163" s="0" t="s">
        <v>353</v>
      </c>
      <c r="B163" s="0" t="s">
        <v>360</v>
      </c>
      <c r="C163" s="0" t="s">
        <v>406</v>
      </c>
      <c r="D163" s="0" t="s">
        <v>407</v>
      </c>
      <c r="E163" s="0" t="s">
        <v>1750</v>
      </c>
      <c r="F163" s="0" t="s">
        <v>680</v>
      </c>
      <c r="G163" s="0" t="s">
        <v>1506</v>
      </c>
      <c r="CQ163" s="0" t="s">
        <v>3819</v>
      </c>
      <c r="CR163" s="0" t="s">
        <v>85</v>
      </c>
      <c r="CS163" s="0" t="s">
        <v>557</v>
      </c>
      <c r="CT163" s="0" t="s">
        <v>554</v>
      </c>
      <c r="CU163" s="0" t="s">
        <v>81</v>
      </c>
      <c r="CV163" s="0" t="s">
        <v>274</v>
      </c>
      <c r="CW163" s="0" t="n">
        <v>0</v>
      </c>
      <c r="DB163" s="0" t="n">
        <v>1670</v>
      </c>
      <c r="DC163" s="0" t="n">
        <v>1850</v>
      </c>
      <c r="DD163" s="0" t="n">
        <v>1990</v>
      </c>
      <c r="DE163" s="0" t="n">
        <v>1990</v>
      </c>
      <c r="DG163" s="0" t="s">
        <v>3820</v>
      </c>
      <c r="DH163" s="0" t="s">
        <v>82</v>
      </c>
      <c r="DI163" s="0" t="s">
        <v>1355</v>
      </c>
      <c r="DJ163" s="0" t="s">
        <v>1356</v>
      </c>
      <c r="DK163" s="0" t="s">
        <v>705</v>
      </c>
      <c r="DL163" s="0" t="n">
        <v>23.08</v>
      </c>
      <c r="DM163" s="0" t="s">
        <v>675</v>
      </c>
      <c r="DN163" s="0" t="s">
        <v>676</v>
      </c>
      <c r="DO163" s="0" t="n">
        <v>1</v>
      </c>
      <c r="DP163" s="0" t="n">
        <v>534</v>
      </c>
      <c r="DQ163" s="0" t="n">
        <v>534</v>
      </c>
      <c r="DR163" s="0" t="s">
        <v>3821</v>
      </c>
      <c r="EB163" s="0" t="s">
        <v>3822</v>
      </c>
      <c r="EC163" s="0" t="s">
        <v>2929</v>
      </c>
      <c r="EE163" s="0" t="s">
        <v>288</v>
      </c>
      <c r="EL163" s="0" t="s">
        <v>3823</v>
      </c>
      <c r="EM163" s="0" t="s">
        <v>2831</v>
      </c>
      <c r="EN163" s="0" t="s">
        <v>2832</v>
      </c>
      <c r="EO163" s="0" t="n">
        <v>0.5</v>
      </c>
      <c r="EP163" s="0" t="s">
        <v>2552</v>
      </c>
      <c r="EQ163" s="0" t="s">
        <v>2553</v>
      </c>
      <c r="ER163" s="0" t="s">
        <v>2554</v>
      </c>
      <c r="ES163" s="0" t="n">
        <v>9750</v>
      </c>
      <c r="ET163" s="0" t="n">
        <v>9750</v>
      </c>
      <c r="EU163" s="0" t="n">
        <v>9750</v>
      </c>
      <c r="EV163" s="0" t="n">
        <v>9750</v>
      </c>
    </row>
    <row r="164" customFormat="false" ht="15" hidden="false" customHeight="false" outlineLevel="0" collapsed="false">
      <c r="A164" s="0" t="s">
        <v>353</v>
      </c>
      <c r="B164" s="0" t="s">
        <v>360</v>
      </c>
      <c r="C164" s="0" t="s">
        <v>393</v>
      </c>
      <c r="D164" s="0" t="s">
        <v>394</v>
      </c>
      <c r="E164" s="0" t="s">
        <v>1750</v>
      </c>
      <c r="F164" s="0" t="s">
        <v>680</v>
      </c>
      <c r="G164" s="0" t="s">
        <v>1506</v>
      </c>
      <c r="CQ164" s="0" t="s">
        <v>3824</v>
      </c>
      <c r="CR164" s="0" t="s">
        <v>85</v>
      </c>
      <c r="CS164" s="0" t="s">
        <v>298</v>
      </c>
      <c r="CT164" s="0" t="s">
        <v>297</v>
      </c>
      <c r="CU164" s="0" t="s">
        <v>81</v>
      </c>
      <c r="CV164" s="0" t="s">
        <v>274</v>
      </c>
      <c r="CW164" s="0" t="n">
        <v>0</v>
      </c>
      <c r="DB164" s="0" t="n">
        <v>1</v>
      </c>
      <c r="DC164" s="0" t="n">
        <v>1</v>
      </c>
      <c r="DD164" s="0" t="n">
        <v>1</v>
      </c>
      <c r="DE164" s="0" t="n">
        <v>1</v>
      </c>
      <c r="DG164" s="0" t="s">
        <v>3825</v>
      </c>
      <c r="DH164" s="0" t="s">
        <v>82</v>
      </c>
      <c r="DI164" s="0" t="s">
        <v>1360</v>
      </c>
      <c r="DJ164" s="0" t="s">
        <v>198</v>
      </c>
      <c r="DK164" s="0" t="s">
        <v>705</v>
      </c>
      <c r="DL164" s="0" t="n">
        <v>23.08</v>
      </c>
      <c r="DM164" s="0" t="s">
        <v>675</v>
      </c>
      <c r="DN164" s="0" t="s">
        <v>676</v>
      </c>
      <c r="DO164" s="0" t="n">
        <v>1</v>
      </c>
      <c r="DP164" s="0" t="n">
        <v>28040</v>
      </c>
      <c r="DQ164" s="0" t="n">
        <v>28040</v>
      </c>
      <c r="DR164" s="0" t="s">
        <v>3826</v>
      </c>
      <c r="EB164" s="0" t="s">
        <v>3827</v>
      </c>
      <c r="EC164" s="0" t="s">
        <v>2929</v>
      </c>
      <c r="ED164" s="0" t="s">
        <v>2930</v>
      </c>
      <c r="EE164" s="0" t="s">
        <v>269</v>
      </c>
      <c r="EF164" s="0" t="s">
        <v>268</v>
      </c>
      <c r="EG164" s="0" t="n">
        <v>420</v>
      </c>
      <c r="EH164" s="0" t="n">
        <v>420</v>
      </c>
      <c r="EI164" s="0" t="n">
        <v>420</v>
      </c>
      <c r="EJ164" s="0" t="n">
        <v>420</v>
      </c>
      <c r="EL164" s="0" t="s">
        <v>3828</v>
      </c>
      <c r="EM164" s="0" t="s">
        <v>2831</v>
      </c>
      <c r="EN164" s="0" t="s">
        <v>2832</v>
      </c>
      <c r="EO164" s="0" t="n">
        <v>1</v>
      </c>
      <c r="EP164" s="0" t="s">
        <v>2528</v>
      </c>
      <c r="EQ164" s="0" t="s">
        <v>2569</v>
      </c>
      <c r="ER164" s="0" t="s">
        <v>2570</v>
      </c>
      <c r="ES164" s="0" t="n">
        <v>13850</v>
      </c>
      <c r="ET164" s="0" t="n">
        <v>13850</v>
      </c>
      <c r="EU164" s="0" t="n">
        <v>13850</v>
      </c>
      <c r="EV164" s="0" t="n">
        <v>13850</v>
      </c>
    </row>
    <row r="165" customFormat="false" ht="15" hidden="false" customHeight="false" outlineLevel="0" collapsed="false">
      <c r="A165" s="0" t="s">
        <v>353</v>
      </c>
      <c r="B165" s="0" t="s">
        <v>368</v>
      </c>
      <c r="C165" s="0" t="s">
        <v>421</v>
      </c>
      <c r="D165" s="0" t="s">
        <v>422</v>
      </c>
      <c r="E165" s="0" t="s">
        <v>1557</v>
      </c>
      <c r="F165" s="0" t="s">
        <v>680</v>
      </c>
      <c r="G165" s="0" t="s">
        <v>1506</v>
      </c>
      <c r="CQ165" s="0" t="s">
        <v>3829</v>
      </c>
      <c r="CR165" s="0" t="s">
        <v>85</v>
      </c>
      <c r="CS165" s="0" t="s">
        <v>626</v>
      </c>
      <c r="CT165" s="0" t="s">
        <v>2526</v>
      </c>
      <c r="CU165" s="0" t="s">
        <v>81</v>
      </c>
      <c r="CV165" s="0" t="s">
        <v>285</v>
      </c>
      <c r="CW165" s="0" t="n">
        <v>0</v>
      </c>
      <c r="DB165" s="0" t="n">
        <v>360</v>
      </c>
      <c r="DC165" s="0" t="n">
        <v>400</v>
      </c>
      <c r="DD165" s="0" t="n">
        <v>430</v>
      </c>
      <c r="DE165" s="0" t="n">
        <v>430</v>
      </c>
      <c r="DG165" s="0" t="s">
        <v>3830</v>
      </c>
      <c r="DH165" s="0" t="s">
        <v>82</v>
      </c>
      <c r="DI165" s="0" t="s">
        <v>1362</v>
      </c>
      <c r="DJ165" s="0" t="s">
        <v>1363</v>
      </c>
      <c r="DK165" s="0" t="s">
        <v>705</v>
      </c>
      <c r="DL165" s="0" t="n">
        <v>23.08</v>
      </c>
      <c r="DM165" s="0" t="s">
        <v>675</v>
      </c>
      <c r="DN165" s="0" t="s">
        <v>676</v>
      </c>
      <c r="DO165" s="0" t="n">
        <v>1</v>
      </c>
      <c r="DP165" s="0" t="n">
        <v>3862</v>
      </c>
      <c r="DQ165" s="0" t="n">
        <v>3862</v>
      </c>
      <c r="DR165" s="0" t="s">
        <v>3831</v>
      </c>
      <c r="EB165" s="0" t="s">
        <v>3832</v>
      </c>
      <c r="EC165" s="0" t="s">
        <v>2929</v>
      </c>
      <c r="ED165" s="0" t="s">
        <v>2930</v>
      </c>
      <c r="EE165" s="0" t="s">
        <v>237</v>
      </c>
      <c r="EF165" s="0" t="s">
        <v>235</v>
      </c>
      <c r="EG165" s="0" t="n">
        <v>3980</v>
      </c>
      <c r="EH165" s="0" t="n">
        <v>3980</v>
      </c>
      <c r="EI165" s="0" t="n">
        <v>3980</v>
      </c>
      <c r="EJ165" s="0" t="n">
        <v>3980</v>
      </c>
      <c r="EL165" s="0" t="s">
        <v>3833</v>
      </c>
      <c r="EM165" s="0" t="s">
        <v>2831</v>
      </c>
      <c r="EN165" s="0" t="s">
        <v>2832</v>
      </c>
      <c r="EO165" s="0" t="n">
        <v>1</v>
      </c>
      <c r="EP165" s="0" t="s">
        <v>2552</v>
      </c>
      <c r="EQ165" s="0" t="s">
        <v>2582</v>
      </c>
      <c r="ER165" s="0" t="s">
        <v>2583</v>
      </c>
      <c r="ES165" s="0" t="n">
        <v>18005</v>
      </c>
      <c r="ET165" s="0" t="n">
        <v>18005</v>
      </c>
      <c r="EU165" s="0" t="n">
        <v>18005</v>
      </c>
      <c r="EV165" s="0" t="n">
        <v>18005</v>
      </c>
    </row>
    <row r="166" customFormat="false" ht="15" hidden="false" customHeight="false" outlineLevel="0" collapsed="false">
      <c r="A166" s="0" t="s">
        <v>353</v>
      </c>
      <c r="B166" s="0" t="s">
        <v>368</v>
      </c>
      <c r="C166" s="0" t="s">
        <v>415</v>
      </c>
      <c r="D166" s="0" t="s">
        <v>416</v>
      </c>
      <c r="E166" s="0" t="s">
        <v>1750</v>
      </c>
      <c r="F166" s="0" t="s">
        <v>680</v>
      </c>
      <c r="G166" s="0" t="s">
        <v>1506</v>
      </c>
      <c r="CQ166" s="0" t="s">
        <v>3834</v>
      </c>
      <c r="CR166" s="0" t="s">
        <v>85</v>
      </c>
      <c r="CS166" s="0" t="s">
        <v>624</v>
      </c>
      <c r="CT166" s="0" t="s">
        <v>2550</v>
      </c>
      <c r="CU166" s="0" t="s">
        <v>81</v>
      </c>
      <c r="CV166" s="0" t="s">
        <v>285</v>
      </c>
      <c r="CW166" s="0" t="n">
        <v>0</v>
      </c>
      <c r="DB166" s="0" t="n">
        <v>580</v>
      </c>
      <c r="DC166" s="0" t="n">
        <v>660</v>
      </c>
      <c r="DD166" s="0" t="n">
        <v>760</v>
      </c>
      <c r="DE166" s="0" t="n">
        <v>800</v>
      </c>
      <c r="DG166" s="0" t="s">
        <v>3835</v>
      </c>
      <c r="DH166" s="0" t="s">
        <v>82</v>
      </c>
      <c r="DI166" s="0" t="s">
        <v>1365</v>
      </c>
      <c r="DJ166" s="0" t="s">
        <v>1366</v>
      </c>
      <c r="DK166" s="0" t="s">
        <v>705</v>
      </c>
      <c r="DL166" s="0" t="n">
        <v>23.08</v>
      </c>
      <c r="DM166" s="0" t="s">
        <v>675</v>
      </c>
      <c r="DN166" s="0" t="s">
        <v>676</v>
      </c>
      <c r="DO166" s="0" t="n">
        <v>5</v>
      </c>
      <c r="DP166" s="0" t="n">
        <v>38.35</v>
      </c>
      <c r="DQ166" s="0" t="n">
        <v>38.35</v>
      </c>
      <c r="DR166" s="0" t="s">
        <v>3836</v>
      </c>
      <c r="EB166" s="0" t="s">
        <v>3837</v>
      </c>
      <c r="EC166" s="0" t="s">
        <v>2929</v>
      </c>
      <c r="EE166" s="0" t="s">
        <v>249</v>
      </c>
      <c r="EL166" s="0" t="s">
        <v>3838</v>
      </c>
      <c r="EM166" s="0" t="s">
        <v>2831</v>
      </c>
      <c r="EN166" s="0" t="s">
        <v>2832</v>
      </c>
      <c r="EO166" s="0" t="n">
        <v>1.5</v>
      </c>
      <c r="EP166" s="0" t="s">
        <v>2528</v>
      </c>
      <c r="EQ166" s="0" t="s">
        <v>2598</v>
      </c>
      <c r="ER166" s="0" t="s">
        <v>2599</v>
      </c>
      <c r="ES166" s="0" t="n">
        <v>20800</v>
      </c>
      <c r="ET166" s="0" t="n">
        <v>20800</v>
      </c>
      <c r="EU166" s="0" t="n">
        <v>20800</v>
      </c>
      <c r="EV166" s="0" t="n">
        <v>20800</v>
      </c>
    </row>
    <row r="167" customFormat="false" ht="15" hidden="false" customHeight="false" outlineLevel="0" collapsed="false">
      <c r="A167" s="0" t="s">
        <v>353</v>
      </c>
      <c r="B167" s="0" t="s">
        <v>368</v>
      </c>
      <c r="C167" s="0" t="s">
        <v>409</v>
      </c>
      <c r="D167" s="0" t="s">
        <v>410</v>
      </c>
      <c r="E167" s="0" t="s">
        <v>1415</v>
      </c>
      <c r="F167" s="0" t="s">
        <v>680</v>
      </c>
      <c r="G167" s="0" t="s">
        <v>1506</v>
      </c>
      <c r="CQ167" s="0" t="s">
        <v>3839</v>
      </c>
      <c r="CR167" s="0" t="s">
        <v>85</v>
      </c>
      <c r="CS167" s="0" t="s">
        <v>622</v>
      </c>
      <c r="CT167" s="0" t="s">
        <v>2567</v>
      </c>
      <c r="CU167" s="0" t="s">
        <v>81</v>
      </c>
      <c r="CV167" s="0" t="s">
        <v>285</v>
      </c>
      <c r="CW167" s="0" t="n">
        <v>0</v>
      </c>
      <c r="DB167" s="0" t="n">
        <v>1230</v>
      </c>
      <c r="DC167" s="0" t="n">
        <v>1360</v>
      </c>
      <c r="DD167" s="0" t="n">
        <v>1470</v>
      </c>
      <c r="DE167" s="0" t="n">
        <v>1470</v>
      </c>
      <c r="DG167" s="0" t="s">
        <v>3840</v>
      </c>
      <c r="DH167" s="0" t="s">
        <v>82</v>
      </c>
      <c r="DI167" s="0" t="s">
        <v>1368</v>
      </c>
      <c r="DJ167" s="0" t="s">
        <v>1369</v>
      </c>
      <c r="DK167" s="0" t="s">
        <v>705</v>
      </c>
      <c r="DL167" s="0" t="n">
        <v>23.08</v>
      </c>
      <c r="DM167" s="0" t="s">
        <v>676</v>
      </c>
      <c r="DN167" s="0" t="s">
        <v>675</v>
      </c>
      <c r="DO167" s="0" t="n">
        <v>0</v>
      </c>
      <c r="DP167" s="0" t="n">
        <v>0</v>
      </c>
      <c r="DQ167" s="0" t="n">
        <v>222.25</v>
      </c>
      <c r="DR167" s="0" t="s">
        <v>3841</v>
      </c>
      <c r="EB167" s="0" t="s">
        <v>3842</v>
      </c>
      <c r="EC167" s="0" t="s">
        <v>2929</v>
      </c>
      <c r="EE167" s="0" t="s">
        <v>293</v>
      </c>
      <c r="EL167" s="0" t="s">
        <v>3843</v>
      </c>
      <c r="EM167" s="0" t="s">
        <v>2831</v>
      </c>
      <c r="EN167" s="0" t="s">
        <v>2832</v>
      </c>
      <c r="EO167" s="0" t="n">
        <v>1.5</v>
      </c>
      <c r="EP167" s="0" t="s">
        <v>2552</v>
      </c>
      <c r="EQ167" s="0" t="s">
        <v>2614</v>
      </c>
      <c r="ER167" s="0" t="s">
        <v>2615</v>
      </c>
      <c r="ES167" s="0" t="n">
        <v>27040</v>
      </c>
      <c r="ET167" s="0" t="n">
        <v>27040</v>
      </c>
      <c r="EU167" s="0" t="n">
        <v>27040</v>
      </c>
      <c r="EV167" s="0" t="n">
        <v>27040</v>
      </c>
    </row>
    <row r="168" customFormat="false" ht="15" hidden="false" customHeight="false" outlineLevel="0" collapsed="false">
      <c r="A168" s="0" t="s">
        <v>353</v>
      </c>
      <c r="B168" s="0" t="s">
        <v>368</v>
      </c>
      <c r="C168" s="0" t="s">
        <v>412</v>
      </c>
      <c r="D168" s="0" t="s">
        <v>413</v>
      </c>
      <c r="E168" s="0" t="s">
        <v>1415</v>
      </c>
      <c r="F168" s="0" t="s">
        <v>680</v>
      </c>
      <c r="G168" s="0" t="s">
        <v>1506</v>
      </c>
      <c r="CQ168" s="0" t="s">
        <v>3844</v>
      </c>
      <c r="CR168" s="0" t="s">
        <v>85</v>
      </c>
      <c r="CS168" s="0" t="s">
        <v>620</v>
      </c>
      <c r="CT168" s="0" t="s">
        <v>2580</v>
      </c>
      <c r="CU168" s="0" t="s">
        <v>81</v>
      </c>
      <c r="CV168" s="0" t="s">
        <v>285</v>
      </c>
      <c r="CW168" s="0" t="n">
        <v>0</v>
      </c>
      <c r="DB168" s="0" t="n">
        <v>730</v>
      </c>
      <c r="DC168" s="0" t="n">
        <v>800</v>
      </c>
      <c r="DD168" s="0" t="n">
        <v>870</v>
      </c>
      <c r="DE168" s="0" t="n">
        <v>870</v>
      </c>
      <c r="DG168" s="0" t="s">
        <v>3845</v>
      </c>
      <c r="DH168" s="0" t="s">
        <v>82</v>
      </c>
      <c r="DI168" s="0" t="s">
        <v>1374</v>
      </c>
      <c r="DJ168" s="0" t="s">
        <v>1375</v>
      </c>
      <c r="DK168" s="0" t="s">
        <v>705</v>
      </c>
      <c r="DL168" s="0" t="n">
        <v>23.08</v>
      </c>
      <c r="DM168" s="0" t="s">
        <v>676</v>
      </c>
      <c r="DN168" s="0" t="s">
        <v>675</v>
      </c>
      <c r="DO168" s="0" t="n">
        <v>0</v>
      </c>
      <c r="DP168" s="0" t="n">
        <v>0</v>
      </c>
      <c r="DQ168" s="0" t="n">
        <v>56.25</v>
      </c>
      <c r="DR168" s="0" t="s">
        <v>3846</v>
      </c>
      <c r="EB168" s="0" t="s">
        <v>3847</v>
      </c>
      <c r="EC168" s="0" t="s">
        <v>2929</v>
      </c>
      <c r="EE168" s="0" t="s">
        <v>280</v>
      </c>
      <c r="EL168" s="0" t="s">
        <v>3848</v>
      </c>
      <c r="EM168" s="0" t="s">
        <v>2831</v>
      </c>
      <c r="EN168" s="0" t="s">
        <v>2832</v>
      </c>
      <c r="EO168" s="0" t="n">
        <v>2</v>
      </c>
      <c r="EP168" s="0" t="s">
        <v>2528</v>
      </c>
      <c r="EQ168" s="0" t="s">
        <v>2630</v>
      </c>
      <c r="ER168" s="0" t="s">
        <v>2631</v>
      </c>
      <c r="ES168" s="0" t="n">
        <v>27700</v>
      </c>
      <c r="ET168" s="0" t="n">
        <v>27700</v>
      </c>
      <c r="EU168" s="0" t="n">
        <v>27700</v>
      </c>
      <c r="EV168" s="0" t="n">
        <v>27700</v>
      </c>
    </row>
    <row r="169" customFormat="false" ht="15" hidden="false" customHeight="false" outlineLevel="0" collapsed="false">
      <c r="A169" s="0" t="s">
        <v>353</v>
      </c>
      <c r="B169" s="0" t="s">
        <v>368</v>
      </c>
      <c r="C169" s="0" t="s">
        <v>418</v>
      </c>
      <c r="D169" s="0" t="s">
        <v>419</v>
      </c>
      <c r="E169" s="0" t="s">
        <v>1750</v>
      </c>
      <c r="F169" s="0" t="s">
        <v>680</v>
      </c>
      <c r="G169" s="0" t="s">
        <v>1506</v>
      </c>
      <c r="CQ169" s="0" t="s">
        <v>3849</v>
      </c>
      <c r="CR169" s="0" t="s">
        <v>85</v>
      </c>
      <c r="CS169" s="0" t="s">
        <v>286</v>
      </c>
      <c r="CT169" s="0" t="s">
        <v>284</v>
      </c>
      <c r="CU169" s="0" t="s">
        <v>81</v>
      </c>
      <c r="CV169" s="0" t="s">
        <v>285</v>
      </c>
      <c r="CW169" s="0" t="n">
        <v>0</v>
      </c>
      <c r="DB169" s="0" t="n">
        <v>680</v>
      </c>
      <c r="DC169" s="0" t="n">
        <v>750</v>
      </c>
      <c r="DD169" s="0" t="n">
        <v>810</v>
      </c>
      <c r="DE169" s="0" t="n">
        <v>810</v>
      </c>
      <c r="DG169" s="0" t="s">
        <v>3850</v>
      </c>
      <c r="DH169" s="0" t="s">
        <v>82</v>
      </c>
      <c r="DI169" s="0" t="s">
        <v>1377</v>
      </c>
      <c r="DJ169" s="0" t="s">
        <v>1378</v>
      </c>
      <c r="DK169" s="0" t="s">
        <v>705</v>
      </c>
      <c r="DL169" s="0" t="n">
        <v>23.08</v>
      </c>
      <c r="DM169" s="0" t="s">
        <v>676</v>
      </c>
      <c r="DN169" s="0" t="s">
        <v>675</v>
      </c>
      <c r="DO169" s="0" t="n">
        <v>0</v>
      </c>
      <c r="DP169" s="0" t="n">
        <v>0</v>
      </c>
      <c r="DQ169" s="0" t="n">
        <v>276.57</v>
      </c>
      <c r="DR169" s="0" t="s">
        <v>3851</v>
      </c>
      <c r="EB169" s="0" t="s">
        <v>3852</v>
      </c>
      <c r="EC169" s="0" t="s">
        <v>2929</v>
      </c>
      <c r="ED169" s="0" t="s">
        <v>2930</v>
      </c>
      <c r="EE169" s="0" t="s">
        <v>264</v>
      </c>
      <c r="EF169" s="0" t="s">
        <v>262</v>
      </c>
      <c r="EG169" s="0" t="n">
        <v>1020</v>
      </c>
      <c r="EH169" s="0" t="n">
        <v>1130</v>
      </c>
      <c r="EI169" s="0" t="n">
        <v>1220</v>
      </c>
      <c r="EJ169" s="0" t="n">
        <v>1220</v>
      </c>
      <c r="EL169" s="0" t="s">
        <v>3853</v>
      </c>
      <c r="EM169" s="0" t="s">
        <v>2831</v>
      </c>
      <c r="EN169" s="0" t="s">
        <v>2832</v>
      </c>
      <c r="EO169" s="0" t="n">
        <v>2</v>
      </c>
      <c r="EP169" s="0" t="s">
        <v>2552</v>
      </c>
      <c r="EQ169" s="0" t="s">
        <v>2649</v>
      </c>
      <c r="ER169" s="0" t="s">
        <v>2650</v>
      </c>
      <c r="ES169" s="0" t="n">
        <v>36010</v>
      </c>
      <c r="ET169" s="0" t="n">
        <v>36010</v>
      </c>
      <c r="EU169" s="0" t="n">
        <v>36010</v>
      </c>
      <c r="EV169" s="0" t="n">
        <v>36010</v>
      </c>
    </row>
    <row r="170" customFormat="false" ht="15" hidden="false" customHeight="false" outlineLevel="0" collapsed="false">
      <c r="A170" s="0" t="s">
        <v>391</v>
      </c>
      <c r="B170" s="0" t="s">
        <v>366</v>
      </c>
      <c r="C170" s="0" t="s">
        <v>518</v>
      </c>
      <c r="D170" s="0" t="s">
        <v>519</v>
      </c>
      <c r="E170" s="0" t="s">
        <v>1259</v>
      </c>
      <c r="F170" s="0" t="s">
        <v>680</v>
      </c>
      <c r="G170" s="0" t="s">
        <v>1334</v>
      </c>
      <c r="CQ170" s="0" t="s">
        <v>3854</v>
      </c>
      <c r="CR170" s="0" t="s">
        <v>85</v>
      </c>
      <c r="CS170" s="0" t="s">
        <v>272</v>
      </c>
      <c r="CT170" s="0" t="s">
        <v>270</v>
      </c>
      <c r="CU170" s="0" t="s">
        <v>81</v>
      </c>
      <c r="CV170" s="0" t="s">
        <v>271</v>
      </c>
      <c r="CW170" s="0" t="n">
        <v>0</v>
      </c>
      <c r="DB170" s="0" t="n">
        <v>1430</v>
      </c>
      <c r="DC170" s="0" t="n">
        <v>1580</v>
      </c>
      <c r="DD170" s="0" t="n">
        <v>1710</v>
      </c>
      <c r="DE170" s="0" t="n">
        <v>1710</v>
      </c>
      <c r="DG170" s="0" t="s">
        <v>3855</v>
      </c>
      <c r="DH170" s="0" t="s">
        <v>82</v>
      </c>
      <c r="DI170" s="0" t="s">
        <v>1382</v>
      </c>
      <c r="DJ170" s="0" t="s">
        <v>1383</v>
      </c>
      <c r="DK170" s="0" t="s">
        <v>705</v>
      </c>
      <c r="DL170" s="0" t="n">
        <v>23.08</v>
      </c>
      <c r="DM170" s="0" t="s">
        <v>675</v>
      </c>
      <c r="DN170" s="0" t="s">
        <v>676</v>
      </c>
      <c r="DO170" s="0" t="n">
        <v>1</v>
      </c>
      <c r="DP170" s="0" t="n">
        <v>3393.25</v>
      </c>
      <c r="DQ170" s="0" t="n">
        <v>3393.25</v>
      </c>
      <c r="DR170" s="0" t="s">
        <v>3856</v>
      </c>
      <c r="EB170" s="0" t="s">
        <v>3857</v>
      </c>
      <c r="EC170" s="0" t="s">
        <v>2929</v>
      </c>
      <c r="ED170" s="0" t="s">
        <v>2930</v>
      </c>
      <c r="EE170" s="0" t="s">
        <v>278</v>
      </c>
      <c r="EF170" s="0" t="s">
        <v>276</v>
      </c>
      <c r="EG170" s="0" t="n">
        <v>1400</v>
      </c>
      <c r="EH170" s="0" t="n">
        <v>1550</v>
      </c>
      <c r="EI170" s="0" t="n">
        <v>1670</v>
      </c>
      <c r="EJ170" s="0" t="n">
        <v>1670</v>
      </c>
      <c r="EL170" s="0" t="s">
        <v>3858</v>
      </c>
      <c r="EM170" s="0" t="s">
        <v>2831</v>
      </c>
      <c r="EN170" s="0" t="s">
        <v>2832</v>
      </c>
      <c r="EO170" s="0" t="n">
        <v>2.5</v>
      </c>
      <c r="EP170" s="0" t="s">
        <v>2528</v>
      </c>
      <c r="EQ170" s="0" t="s">
        <v>2665</v>
      </c>
      <c r="ER170" s="0" t="s">
        <v>2666</v>
      </c>
      <c r="ES170" s="0" t="n">
        <v>36950</v>
      </c>
      <c r="ET170" s="0" t="n">
        <v>36950</v>
      </c>
      <c r="EU170" s="0" t="n">
        <v>36950</v>
      </c>
      <c r="EV170" s="0" t="n">
        <v>36950</v>
      </c>
    </row>
    <row r="171" customFormat="false" ht="15" hidden="false" customHeight="false" outlineLevel="0" collapsed="false">
      <c r="A171" s="0" t="s">
        <v>391</v>
      </c>
      <c r="B171" s="0" t="s">
        <v>366</v>
      </c>
      <c r="C171" s="0" t="s">
        <v>520</v>
      </c>
      <c r="D171" s="0" t="s">
        <v>521</v>
      </c>
      <c r="E171" s="0" t="s">
        <v>1750</v>
      </c>
      <c r="F171" s="0" t="s">
        <v>680</v>
      </c>
      <c r="G171" s="0" t="s">
        <v>2025</v>
      </c>
      <c r="CQ171" s="0" t="s">
        <v>3859</v>
      </c>
      <c r="CR171" s="0" t="s">
        <v>85</v>
      </c>
      <c r="CS171" s="0" t="s">
        <v>283</v>
      </c>
      <c r="CT171" s="0" t="s">
        <v>281</v>
      </c>
      <c r="CU171" s="0" t="s">
        <v>81</v>
      </c>
      <c r="CV171" s="0" t="s">
        <v>282</v>
      </c>
      <c r="CW171" s="0" t="n">
        <v>0</v>
      </c>
      <c r="DB171" s="0" t="n">
        <v>360</v>
      </c>
      <c r="DC171" s="0" t="n">
        <v>400</v>
      </c>
      <c r="DD171" s="0" t="n">
        <v>430</v>
      </c>
      <c r="DE171" s="0" t="n">
        <v>430</v>
      </c>
      <c r="DG171" s="0" t="s">
        <v>3860</v>
      </c>
      <c r="DH171" s="0" t="s">
        <v>82</v>
      </c>
      <c r="DI171" s="0" t="s">
        <v>1388</v>
      </c>
      <c r="DJ171" s="0" t="s">
        <v>1389</v>
      </c>
      <c r="DK171" s="0" t="s">
        <v>705</v>
      </c>
      <c r="DL171" s="0" t="n">
        <v>23.08</v>
      </c>
      <c r="DM171" s="0" t="s">
        <v>676</v>
      </c>
      <c r="DN171" s="0" t="s">
        <v>675</v>
      </c>
      <c r="DO171" s="0" t="n">
        <v>0</v>
      </c>
      <c r="DP171" s="0" t="n">
        <v>0</v>
      </c>
      <c r="DQ171" s="0" t="n">
        <v>245</v>
      </c>
      <c r="DR171" s="0" t="s">
        <v>3861</v>
      </c>
      <c r="EB171" s="0" t="s">
        <v>3862</v>
      </c>
      <c r="EC171" s="0" t="s">
        <v>2929</v>
      </c>
      <c r="ED171" s="0" t="s">
        <v>2930</v>
      </c>
      <c r="EE171" s="0" t="s">
        <v>240</v>
      </c>
      <c r="EF171" s="0" t="s">
        <v>238</v>
      </c>
      <c r="EG171" s="0" t="n">
        <v>5430</v>
      </c>
      <c r="EH171" s="0" t="n">
        <v>5430</v>
      </c>
      <c r="EI171" s="0" t="n">
        <v>5430</v>
      </c>
      <c r="EJ171" s="0" t="n">
        <v>5430</v>
      </c>
      <c r="EL171" s="0" t="s">
        <v>3863</v>
      </c>
      <c r="EM171" s="0" t="s">
        <v>2831</v>
      </c>
      <c r="EN171" s="0" t="s">
        <v>2832</v>
      </c>
      <c r="EO171" s="0" t="n">
        <v>2.5</v>
      </c>
      <c r="EP171" s="0" t="s">
        <v>2552</v>
      </c>
      <c r="EQ171" s="0" t="s">
        <v>2682</v>
      </c>
      <c r="ER171" s="0" t="s">
        <v>2683</v>
      </c>
      <c r="ES171" s="0" t="n">
        <v>48035</v>
      </c>
      <c r="ET171" s="0" t="n">
        <v>48035</v>
      </c>
      <c r="EU171" s="0" t="n">
        <v>48035</v>
      </c>
      <c r="EV171" s="0" t="n">
        <v>48035</v>
      </c>
    </row>
    <row r="172" customFormat="false" ht="15" hidden="false" customHeight="false" outlineLevel="0" collapsed="false">
      <c r="A172" s="0" t="s">
        <v>386</v>
      </c>
      <c r="B172" s="0" t="s">
        <v>366</v>
      </c>
      <c r="C172" s="0" t="s">
        <v>514</v>
      </c>
      <c r="D172" s="0" t="s">
        <v>515</v>
      </c>
      <c r="E172" s="0" t="s">
        <v>1750</v>
      </c>
      <c r="F172" s="0" t="s">
        <v>680</v>
      </c>
      <c r="G172" s="0" t="s">
        <v>2026</v>
      </c>
      <c r="CQ172" s="0" t="s">
        <v>3864</v>
      </c>
      <c r="CR172" s="0" t="s">
        <v>85</v>
      </c>
      <c r="CS172" s="0" t="s">
        <v>267</v>
      </c>
      <c r="CT172" s="0" t="s">
        <v>265</v>
      </c>
      <c r="CU172" s="0" t="s">
        <v>81</v>
      </c>
      <c r="CV172" s="0" t="s">
        <v>266</v>
      </c>
      <c r="CW172" s="0" t="n">
        <v>0</v>
      </c>
      <c r="DB172" s="0" t="n">
        <v>1920</v>
      </c>
      <c r="DC172" s="0" t="n">
        <v>2120</v>
      </c>
      <c r="DD172" s="0" t="n">
        <v>2290</v>
      </c>
      <c r="DE172" s="0" t="n">
        <v>2290</v>
      </c>
      <c r="DG172" s="0" t="s">
        <v>3865</v>
      </c>
      <c r="DH172" s="0" t="s">
        <v>82</v>
      </c>
      <c r="DI172" s="0" t="s">
        <v>1390</v>
      </c>
      <c r="DJ172" s="0" t="s">
        <v>1391</v>
      </c>
      <c r="DK172" s="0" t="s">
        <v>705</v>
      </c>
      <c r="DL172" s="0" t="n">
        <v>23.08</v>
      </c>
      <c r="DM172" s="0" t="s">
        <v>676</v>
      </c>
      <c r="DN172" s="0" t="s">
        <v>676</v>
      </c>
      <c r="DO172" s="0" t="n">
        <v>0</v>
      </c>
      <c r="DP172" s="0" t="n">
        <v>0</v>
      </c>
      <c r="DQ172" s="0" t="n">
        <v>490.5</v>
      </c>
      <c r="DR172" s="0" t="s">
        <v>3866</v>
      </c>
      <c r="EB172" s="0" t="s">
        <v>3867</v>
      </c>
      <c r="EC172" s="0" t="s">
        <v>2929</v>
      </c>
      <c r="ED172" s="0" t="s">
        <v>2930</v>
      </c>
      <c r="EE172" s="0" t="s">
        <v>252</v>
      </c>
      <c r="EF172" s="0" t="s">
        <v>250</v>
      </c>
      <c r="EG172" s="0" t="n">
        <v>1340</v>
      </c>
      <c r="EH172" s="0" t="n">
        <v>1340</v>
      </c>
      <c r="EI172" s="0" t="n">
        <v>1340</v>
      </c>
      <c r="EJ172" s="0" t="n">
        <v>1340</v>
      </c>
      <c r="EL172" s="0" t="s">
        <v>3868</v>
      </c>
      <c r="EM172" s="0" t="s">
        <v>2831</v>
      </c>
      <c r="EN172" s="0" t="s">
        <v>2832</v>
      </c>
      <c r="EO172" s="0" t="n">
        <v>3</v>
      </c>
      <c r="EP172" s="0" t="s">
        <v>2528</v>
      </c>
      <c r="EQ172" s="0" t="s">
        <v>2699</v>
      </c>
      <c r="ER172" s="0" t="s">
        <v>2700</v>
      </c>
      <c r="ES172" s="0" t="n">
        <v>43900</v>
      </c>
      <c r="ET172" s="0" t="n">
        <v>43900</v>
      </c>
      <c r="EU172" s="0" t="n">
        <v>43900</v>
      </c>
      <c r="EV172" s="0" t="n">
        <v>43900</v>
      </c>
    </row>
    <row r="173" customFormat="false" ht="15" hidden="false" customHeight="false" outlineLevel="0" collapsed="false">
      <c r="A173" s="0" t="s">
        <v>386</v>
      </c>
      <c r="B173" s="0" t="s">
        <v>366</v>
      </c>
      <c r="C173" s="0" t="s">
        <v>516</v>
      </c>
      <c r="D173" s="0" t="s">
        <v>517</v>
      </c>
      <c r="E173" s="0" t="s">
        <v>1750</v>
      </c>
      <c r="F173" s="0" t="s">
        <v>680</v>
      </c>
      <c r="G173" s="0" t="s">
        <v>2027</v>
      </c>
      <c r="CQ173" s="0" t="s">
        <v>3869</v>
      </c>
      <c r="CR173" s="0" t="s">
        <v>85</v>
      </c>
      <c r="CS173" s="0" t="s">
        <v>258</v>
      </c>
      <c r="CT173" s="0" t="s">
        <v>256</v>
      </c>
      <c r="CU173" s="0" t="s">
        <v>81</v>
      </c>
      <c r="CV173" s="0" t="s">
        <v>257</v>
      </c>
      <c r="CW173" s="0" t="n">
        <v>0</v>
      </c>
      <c r="DB173" s="0" t="n">
        <v>2910</v>
      </c>
      <c r="DC173" s="0" t="n">
        <v>3220</v>
      </c>
      <c r="DD173" s="0" t="n">
        <v>3470</v>
      </c>
      <c r="DE173" s="0" t="n">
        <v>3470</v>
      </c>
      <c r="DG173" s="0" t="s">
        <v>3870</v>
      </c>
      <c r="DH173" s="0" t="s">
        <v>82</v>
      </c>
      <c r="DJ173" s="0" t="s">
        <v>683</v>
      </c>
      <c r="DK173" s="0" t="s">
        <v>674</v>
      </c>
      <c r="DL173" s="0" t="n">
        <v>19.23</v>
      </c>
      <c r="DM173" s="0" t="s">
        <v>675</v>
      </c>
      <c r="DN173" s="0" t="s">
        <v>675</v>
      </c>
      <c r="DO173" s="0" t="n">
        <v>0</v>
      </c>
      <c r="DP173" s="0" t="n">
        <v>0</v>
      </c>
      <c r="DQ173" s="0" t="n">
        <v>0</v>
      </c>
      <c r="DR173" s="0" t="s">
        <v>2545</v>
      </c>
      <c r="EB173" s="0" t="s">
        <v>3871</v>
      </c>
      <c r="EC173" s="0" t="s">
        <v>2929</v>
      </c>
      <c r="ED173" s="0" t="s">
        <v>2930</v>
      </c>
      <c r="EE173" s="0" t="s">
        <v>229</v>
      </c>
      <c r="EF173" s="0" t="s">
        <v>227</v>
      </c>
      <c r="EG173" s="0" t="n">
        <v>410</v>
      </c>
      <c r="EH173" s="0" t="n">
        <v>450</v>
      </c>
      <c r="EI173" s="0" t="n">
        <v>500</v>
      </c>
      <c r="EJ173" s="0" t="n">
        <v>530</v>
      </c>
      <c r="EL173" s="0" t="s">
        <v>3872</v>
      </c>
      <c r="EM173" s="0" t="s">
        <v>2831</v>
      </c>
      <c r="EN173" s="0" t="s">
        <v>2832</v>
      </c>
      <c r="EO173" s="0" t="n">
        <v>3</v>
      </c>
      <c r="EP173" s="0" t="s">
        <v>2552</v>
      </c>
      <c r="EQ173" s="0" t="s">
        <v>2715</v>
      </c>
      <c r="ER173" s="0" t="s">
        <v>2716</v>
      </c>
      <c r="ES173" s="0" t="n">
        <v>57070</v>
      </c>
      <c r="ET173" s="0" t="n">
        <v>57070</v>
      </c>
      <c r="EU173" s="0" t="n">
        <v>57070</v>
      </c>
      <c r="EV173" s="0" t="n">
        <v>57070</v>
      </c>
    </row>
    <row r="174" customFormat="false" ht="15" hidden="false" customHeight="false" outlineLevel="0" collapsed="false">
      <c r="A174" s="0" t="s">
        <v>380</v>
      </c>
      <c r="B174" s="0" t="s">
        <v>354</v>
      </c>
      <c r="C174" s="0" t="s">
        <v>508</v>
      </c>
      <c r="D174" s="0" t="s">
        <v>509</v>
      </c>
      <c r="E174" s="0" t="s">
        <v>1750</v>
      </c>
      <c r="F174" s="0" t="s">
        <v>680</v>
      </c>
      <c r="G174" s="0" t="s">
        <v>1434</v>
      </c>
      <c r="CQ174" s="0" t="s">
        <v>3873</v>
      </c>
      <c r="CR174" s="0" t="s">
        <v>85</v>
      </c>
      <c r="CS174" s="0" t="s">
        <v>222</v>
      </c>
      <c r="CT174" s="0" t="s">
        <v>220</v>
      </c>
      <c r="CU174" s="0" t="s">
        <v>81</v>
      </c>
      <c r="CV174" s="0" t="s">
        <v>221</v>
      </c>
      <c r="CW174" s="0" t="n">
        <v>0</v>
      </c>
      <c r="DB174" s="0" t="n">
        <v>2430</v>
      </c>
      <c r="DC174" s="0" t="n">
        <v>2690</v>
      </c>
      <c r="DD174" s="0" t="n">
        <v>2900</v>
      </c>
      <c r="DE174" s="0" t="n">
        <v>2900</v>
      </c>
      <c r="DG174" s="0" t="s">
        <v>3874</v>
      </c>
      <c r="DH174" s="0" t="s">
        <v>82</v>
      </c>
      <c r="DI174" s="0" t="s">
        <v>1394</v>
      </c>
      <c r="DJ174" s="0" t="s">
        <v>1395</v>
      </c>
      <c r="DK174" s="0" t="s">
        <v>674</v>
      </c>
      <c r="DL174" s="0" t="n">
        <v>19.23</v>
      </c>
      <c r="DM174" s="0" t="s">
        <v>676</v>
      </c>
      <c r="DN174" s="0" t="s">
        <v>675</v>
      </c>
      <c r="DO174" s="0" t="n">
        <v>0</v>
      </c>
      <c r="DP174" s="0" t="n">
        <v>0</v>
      </c>
      <c r="DQ174" s="0" t="n">
        <v>5.86</v>
      </c>
      <c r="DR174" s="0" t="s">
        <v>3875</v>
      </c>
      <c r="EB174" s="0" t="s">
        <v>3876</v>
      </c>
      <c r="EC174" s="0" t="s">
        <v>2929</v>
      </c>
      <c r="ED174" s="0" t="s">
        <v>2930</v>
      </c>
      <c r="EE174" s="0" t="s">
        <v>246</v>
      </c>
      <c r="EF174" s="0" t="s">
        <v>244</v>
      </c>
      <c r="EG174" s="0" t="n">
        <v>1100</v>
      </c>
      <c r="EH174" s="0" t="n">
        <v>1200</v>
      </c>
      <c r="EI174" s="0" t="n">
        <v>1310</v>
      </c>
      <c r="EJ174" s="0" t="n">
        <v>1310</v>
      </c>
      <c r="EL174" s="0" t="s">
        <v>3877</v>
      </c>
      <c r="EM174" s="0" t="s">
        <v>2831</v>
      </c>
      <c r="EN174" s="0" t="s">
        <v>2832</v>
      </c>
      <c r="EO174" s="0" t="n">
        <v>3.5</v>
      </c>
      <c r="EP174" s="0" t="s">
        <v>2528</v>
      </c>
      <c r="EQ174" s="0" t="s">
        <v>2730</v>
      </c>
      <c r="ER174" s="0" t="s">
        <v>2731</v>
      </c>
      <c r="ES174" s="0" t="n">
        <v>52000</v>
      </c>
      <c r="ET174" s="0" t="n">
        <v>52000</v>
      </c>
      <c r="EU174" s="0" t="n">
        <v>52000</v>
      </c>
      <c r="EV174" s="0" t="n">
        <v>52000</v>
      </c>
    </row>
    <row r="175" customFormat="false" ht="15" hidden="false" customHeight="false" outlineLevel="0" collapsed="false">
      <c r="A175" s="0" t="s">
        <v>380</v>
      </c>
      <c r="B175" s="0" t="s">
        <v>368</v>
      </c>
      <c r="C175" s="0" t="s">
        <v>512</v>
      </c>
      <c r="D175" s="0" t="s">
        <v>513</v>
      </c>
      <c r="E175" s="0" t="s">
        <v>1750</v>
      </c>
      <c r="F175" s="0" t="s">
        <v>680</v>
      </c>
      <c r="G175" s="0" t="s">
        <v>1248</v>
      </c>
      <c r="CQ175" s="0" t="s">
        <v>3878</v>
      </c>
      <c r="CR175" s="0" t="s">
        <v>85</v>
      </c>
      <c r="CS175" s="0" t="s">
        <v>233</v>
      </c>
      <c r="CT175" s="0" t="s">
        <v>231</v>
      </c>
      <c r="CU175" s="0" t="s">
        <v>81</v>
      </c>
      <c r="CV175" s="0" t="s">
        <v>232</v>
      </c>
      <c r="CW175" s="0" t="n">
        <v>0</v>
      </c>
      <c r="DB175" s="0" t="n">
        <v>1110</v>
      </c>
      <c r="DC175" s="0" t="n">
        <v>1220</v>
      </c>
      <c r="DD175" s="0" t="n">
        <v>1320</v>
      </c>
      <c r="DE175" s="0" t="n">
        <v>1320</v>
      </c>
      <c r="DG175" s="0" t="s">
        <v>3879</v>
      </c>
      <c r="DH175" s="0" t="s">
        <v>82</v>
      </c>
      <c r="DI175" s="0" t="s">
        <v>1399</v>
      </c>
      <c r="DJ175" s="0" t="s">
        <v>1400</v>
      </c>
      <c r="DK175" s="0" t="s">
        <v>674</v>
      </c>
      <c r="DL175" s="0" t="n">
        <v>19.23</v>
      </c>
      <c r="DM175" s="0" t="s">
        <v>675</v>
      </c>
      <c r="DN175" s="0" t="s">
        <v>676</v>
      </c>
      <c r="DO175" s="0" t="n">
        <v>3</v>
      </c>
      <c r="DP175" s="0" t="n">
        <v>186.72</v>
      </c>
      <c r="DQ175" s="0" t="n">
        <v>186.72</v>
      </c>
      <c r="DR175" s="0" t="s">
        <v>3880</v>
      </c>
      <c r="EB175" s="0" t="s">
        <v>3881</v>
      </c>
      <c r="EC175" s="0" t="s">
        <v>2929</v>
      </c>
      <c r="ED175" s="0" t="s">
        <v>2930</v>
      </c>
      <c r="EE175" s="0" t="s">
        <v>255</v>
      </c>
      <c r="EF175" s="0" t="s">
        <v>253</v>
      </c>
      <c r="EG175" s="0" t="n">
        <v>1470</v>
      </c>
      <c r="EH175" s="0" t="n">
        <v>1620</v>
      </c>
      <c r="EI175" s="0" t="n">
        <v>1760</v>
      </c>
      <c r="EJ175" s="0" t="n">
        <v>1760</v>
      </c>
      <c r="EL175" s="0" t="s">
        <v>3882</v>
      </c>
      <c r="EM175" s="0" t="s">
        <v>2831</v>
      </c>
      <c r="EN175" s="0" t="s">
        <v>2832</v>
      </c>
      <c r="EO175" s="0" t="n">
        <v>3.5</v>
      </c>
      <c r="EP175" s="0" t="s">
        <v>2552</v>
      </c>
      <c r="EQ175" s="0" t="s">
        <v>2747</v>
      </c>
      <c r="ER175" s="0" t="s">
        <v>2748</v>
      </c>
      <c r="ES175" s="0" t="n">
        <v>67600</v>
      </c>
      <c r="ET175" s="0" t="n">
        <v>67600</v>
      </c>
      <c r="EU175" s="0" t="n">
        <v>67600</v>
      </c>
      <c r="EV175" s="0" t="n">
        <v>67600</v>
      </c>
    </row>
    <row r="176" customFormat="false" ht="15" hidden="false" customHeight="false" outlineLevel="0" collapsed="false">
      <c r="A176" s="0" t="s">
        <v>380</v>
      </c>
      <c r="B176" s="0" t="s">
        <v>368</v>
      </c>
      <c r="C176" s="0" t="s">
        <v>510</v>
      </c>
      <c r="D176" s="0" t="s">
        <v>511</v>
      </c>
      <c r="E176" s="0" t="s">
        <v>1463</v>
      </c>
      <c r="F176" s="0" t="s">
        <v>680</v>
      </c>
      <c r="G176" s="0" t="s">
        <v>1337</v>
      </c>
      <c r="CQ176" s="0" t="s">
        <v>3883</v>
      </c>
      <c r="CR176" s="0" t="s">
        <v>85</v>
      </c>
      <c r="CS176" s="0" t="s">
        <v>618</v>
      </c>
      <c r="CT176" s="0" t="s">
        <v>2596</v>
      </c>
      <c r="CU176" s="0" t="s">
        <v>81</v>
      </c>
      <c r="CV176" s="0" t="s">
        <v>2766</v>
      </c>
      <c r="CW176" s="0" t="n">
        <v>0</v>
      </c>
      <c r="DB176" s="0" t="n">
        <v>360</v>
      </c>
      <c r="DC176" s="0" t="n">
        <v>400</v>
      </c>
      <c r="DD176" s="0" t="n">
        <v>430</v>
      </c>
      <c r="DE176" s="0" t="n">
        <v>430</v>
      </c>
      <c r="DG176" s="0" t="s">
        <v>3884</v>
      </c>
      <c r="DH176" s="0" t="s">
        <v>82</v>
      </c>
      <c r="DI176" s="0" t="s">
        <v>1402</v>
      </c>
      <c r="DJ176" s="0" t="s">
        <v>1403</v>
      </c>
      <c r="DK176" s="0" t="s">
        <v>674</v>
      </c>
      <c r="DL176" s="0" t="n">
        <v>19.23</v>
      </c>
      <c r="DM176" s="0" t="s">
        <v>676</v>
      </c>
      <c r="DN176" s="0" t="s">
        <v>676</v>
      </c>
      <c r="DO176" s="0" t="n">
        <v>1</v>
      </c>
      <c r="DP176" s="0" t="n">
        <v>93.92</v>
      </c>
      <c r="DQ176" s="0" t="n">
        <v>375.68</v>
      </c>
      <c r="DR176" s="0" t="s">
        <v>3885</v>
      </c>
      <c r="EB176" s="0" t="s">
        <v>3886</v>
      </c>
      <c r="EC176" s="0" t="s">
        <v>2929</v>
      </c>
      <c r="ED176" s="0" t="s">
        <v>2930</v>
      </c>
      <c r="EE176" s="0" t="s">
        <v>243</v>
      </c>
      <c r="EF176" s="0" t="s">
        <v>241</v>
      </c>
      <c r="EG176" s="0" t="n">
        <v>1880</v>
      </c>
      <c r="EH176" s="0" t="n">
        <v>1880</v>
      </c>
      <c r="EI176" s="0" t="n">
        <v>1880</v>
      </c>
      <c r="EJ176" s="0" t="n">
        <v>1880</v>
      </c>
      <c r="EL176" s="0" t="s">
        <v>3887</v>
      </c>
      <c r="EM176" s="0" t="s">
        <v>2831</v>
      </c>
      <c r="EN176" s="0" t="s">
        <v>2832</v>
      </c>
      <c r="EO176" s="0" t="n">
        <v>4</v>
      </c>
      <c r="EP176" s="0" t="s">
        <v>2528</v>
      </c>
      <c r="EQ176" s="0" t="s">
        <v>2761</v>
      </c>
      <c r="ER176" s="0" t="s">
        <v>2762</v>
      </c>
      <c r="ES176" s="0" t="n">
        <v>58900</v>
      </c>
      <c r="ET176" s="0" t="n">
        <v>58900</v>
      </c>
      <c r="EU176" s="0" t="n">
        <v>58900</v>
      </c>
      <c r="EV176" s="0" t="n">
        <v>58900</v>
      </c>
    </row>
    <row r="177" customFormat="false" ht="15" hidden="false" customHeight="false" outlineLevel="0" collapsed="false">
      <c r="A177" s="0" t="s">
        <v>374</v>
      </c>
      <c r="B177" s="0" t="s">
        <v>354</v>
      </c>
      <c r="C177" s="0" t="s">
        <v>480</v>
      </c>
      <c r="D177" s="0" t="s">
        <v>481</v>
      </c>
      <c r="E177" s="0" t="s">
        <v>1750</v>
      </c>
      <c r="F177" s="0" t="s">
        <v>680</v>
      </c>
      <c r="G177" s="0" t="s">
        <v>2022</v>
      </c>
      <c r="CQ177" s="0" t="s">
        <v>3888</v>
      </c>
      <c r="CR177" s="0" t="s">
        <v>85</v>
      </c>
      <c r="CS177" s="0" t="s">
        <v>225</v>
      </c>
      <c r="CT177" s="0" t="s">
        <v>223</v>
      </c>
      <c r="CU177" s="0" t="s">
        <v>81</v>
      </c>
      <c r="CV177" s="0" t="s">
        <v>224</v>
      </c>
      <c r="CW177" s="0" t="n">
        <v>0</v>
      </c>
      <c r="DB177" s="0" t="n">
        <v>2730</v>
      </c>
      <c r="DC177" s="0" t="n">
        <v>3020</v>
      </c>
      <c r="DD177" s="0" t="n">
        <v>3260</v>
      </c>
      <c r="DE177" s="0" t="n">
        <v>3260</v>
      </c>
      <c r="DG177" s="0" t="s">
        <v>3889</v>
      </c>
      <c r="DH177" s="0" t="s">
        <v>82</v>
      </c>
      <c r="DI177" s="0" t="s">
        <v>1405</v>
      </c>
      <c r="DJ177" s="0" t="s">
        <v>1406</v>
      </c>
      <c r="DK177" s="0" t="s">
        <v>705</v>
      </c>
      <c r="DL177" s="0" t="n">
        <v>19.23</v>
      </c>
      <c r="DM177" s="0" t="s">
        <v>675</v>
      </c>
      <c r="DN177" s="0" t="s">
        <v>676</v>
      </c>
      <c r="DO177" s="0" t="n">
        <v>1</v>
      </c>
      <c r="DP177" s="0" t="n">
        <v>1063.13</v>
      </c>
      <c r="DQ177" s="0" t="n">
        <v>1063.13</v>
      </c>
      <c r="DR177" s="0" t="s">
        <v>3890</v>
      </c>
      <c r="EB177" s="0" t="s">
        <v>3891</v>
      </c>
      <c r="EC177" s="0" t="s">
        <v>2929</v>
      </c>
      <c r="ED177" s="0" t="s">
        <v>2930</v>
      </c>
      <c r="EE177" s="0" t="s">
        <v>261</v>
      </c>
      <c r="EF177" s="0" t="s">
        <v>259</v>
      </c>
      <c r="EG177" s="0" t="n">
        <v>1290</v>
      </c>
      <c r="EH177" s="0" t="n">
        <v>1430</v>
      </c>
      <c r="EI177" s="0" t="n">
        <v>1530</v>
      </c>
      <c r="EJ177" s="0" t="n">
        <v>1530</v>
      </c>
      <c r="EL177" s="0" t="s">
        <v>3892</v>
      </c>
      <c r="EM177" s="0" t="s">
        <v>2831</v>
      </c>
      <c r="EN177" s="0" t="s">
        <v>2832</v>
      </c>
      <c r="EO177" s="0" t="n">
        <v>4</v>
      </c>
      <c r="EP177" s="0" t="s">
        <v>2552</v>
      </c>
      <c r="EQ177" s="0" t="s">
        <v>2774</v>
      </c>
      <c r="ER177" s="0" t="s">
        <v>2775</v>
      </c>
      <c r="ES177" s="0" t="n">
        <v>76570</v>
      </c>
      <c r="ET177" s="0" t="n">
        <v>76570</v>
      </c>
      <c r="EU177" s="0" t="n">
        <v>76570</v>
      </c>
      <c r="EV177" s="0" t="n">
        <v>76570</v>
      </c>
    </row>
    <row r="178" customFormat="false" ht="15" hidden="false" customHeight="false" outlineLevel="0" collapsed="false">
      <c r="A178" s="0" t="s">
        <v>374</v>
      </c>
      <c r="B178" s="0" t="s">
        <v>354</v>
      </c>
      <c r="C178" s="0" t="s">
        <v>484</v>
      </c>
      <c r="D178" s="0" t="s">
        <v>485</v>
      </c>
      <c r="E178" s="0" t="s">
        <v>1415</v>
      </c>
      <c r="F178" s="0" t="s">
        <v>680</v>
      </c>
      <c r="G178" s="0" t="s">
        <v>1434</v>
      </c>
      <c r="CQ178" s="0" t="s">
        <v>3893</v>
      </c>
      <c r="CR178" s="0" t="s">
        <v>85</v>
      </c>
      <c r="CS178" s="0" t="s">
        <v>288</v>
      </c>
      <c r="CT178" s="0" t="s">
        <v>287</v>
      </c>
      <c r="CU178" s="0" t="s">
        <v>81</v>
      </c>
      <c r="CV178" s="0" t="s">
        <v>236</v>
      </c>
      <c r="CW178" s="0" t="n">
        <v>0</v>
      </c>
      <c r="DB178" s="0" t="n">
        <v>450</v>
      </c>
      <c r="DC178" s="0" t="n">
        <v>530</v>
      </c>
      <c r="DD178" s="0" t="n">
        <v>580</v>
      </c>
      <c r="DE178" s="0" t="n">
        <v>580</v>
      </c>
      <c r="DG178" s="0" t="s">
        <v>3894</v>
      </c>
      <c r="DH178" s="0" t="s">
        <v>82</v>
      </c>
      <c r="DI178" s="0" t="s">
        <v>1407</v>
      </c>
      <c r="DJ178" s="0" t="s">
        <v>1408</v>
      </c>
      <c r="DK178" s="0" t="s">
        <v>705</v>
      </c>
      <c r="DL178" s="0" t="n">
        <v>19.23</v>
      </c>
      <c r="DM178" s="0" t="s">
        <v>676</v>
      </c>
      <c r="DN178" s="0" t="s">
        <v>676</v>
      </c>
      <c r="DO178" s="0" t="n">
        <v>1</v>
      </c>
      <c r="DP178" s="0" t="n">
        <v>90.94</v>
      </c>
      <c r="DQ178" s="0" t="n">
        <v>90.94</v>
      </c>
      <c r="DR178" s="0" t="s">
        <v>3895</v>
      </c>
      <c r="EB178" s="0" t="s">
        <v>3896</v>
      </c>
      <c r="EC178" s="0" t="s">
        <v>2929</v>
      </c>
      <c r="ED178" s="0" t="s">
        <v>2930</v>
      </c>
      <c r="EE178" s="0" t="s">
        <v>296</v>
      </c>
      <c r="EF178" s="0" t="s">
        <v>294</v>
      </c>
      <c r="EG178" s="0" t="n">
        <v>230</v>
      </c>
      <c r="EH178" s="0" t="n">
        <v>230</v>
      </c>
      <c r="EI178" s="0" t="n">
        <v>230</v>
      </c>
      <c r="EJ178" s="0" t="n">
        <v>230</v>
      </c>
      <c r="EL178" s="0" t="s">
        <v>3897</v>
      </c>
      <c r="EM178" s="0" t="s">
        <v>2831</v>
      </c>
      <c r="EN178" s="0" t="s">
        <v>2832</v>
      </c>
      <c r="EO178" s="0" t="n">
        <v>4.5</v>
      </c>
      <c r="EP178" s="0" t="s">
        <v>2528</v>
      </c>
      <c r="EQ178" s="0" t="s">
        <v>2788</v>
      </c>
      <c r="ER178" s="0" t="s">
        <v>2789</v>
      </c>
      <c r="ES178" s="0" t="n">
        <v>66400</v>
      </c>
      <c r="ET178" s="0" t="n">
        <v>66400</v>
      </c>
      <c r="EU178" s="0" t="n">
        <v>66400</v>
      </c>
      <c r="EV178" s="0" t="n">
        <v>66400</v>
      </c>
    </row>
    <row r="179" customFormat="false" ht="15" hidden="false" customHeight="false" outlineLevel="0" collapsed="false">
      <c r="A179" s="0" t="s">
        <v>374</v>
      </c>
      <c r="B179" s="0" t="s">
        <v>354</v>
      </c>
      <c r="C179" s="0" t="s">
        <v>478</v>
      </c>
      <c r="D179" s="0" t="s">
        <v>479</v>
      </c>
      <c r="E179" s="0" t="s">
        <v>1557</v>
      </c>
      <c r="F179" s="0" t="s">
        <v>680</v>
      </c>
      <c r="G179" s="0" t="s">
        <v>1434</v>
      </c>
      <c r="CQ179" s="0" t="s">
        <v>3898</v>
      </c>
      <c r="CR179" s="0" t="s">
        <v>85</v>
      </c>
      <c r="CS179" s="0" t="s">
        <v>269</v>
      </c>
      <c r="CT179" s="0" t="s">
        <v>268</v>
      </c>
      <c r="CU179" s="0" t="s">
        <v>81</v>
      </c>
      <c r="CV179" s="0" t="s">
        <v>236</v>
      </c>
      <c r="CW179" s="0" t="n">
        <v>0</v>
      </c>
      <c r="DB179" s="0" t="n">
        <v>280</v>
      </c>
      <c r="DC179" s="0" t="n">
        <v>280</v>
      </c>
      <c r="DD179" s="0" t="n">
        <v>280</v>
      </c>
      <c r="DE179" s="0" t="n">
        <v>280</v>
      </c>
      <c r="DG179" s="0" t="s">
        <v>3899</v>
      </c>
      <c r="DH179" s="0" t="s">
        <v>82</v>
      </c>
      <c r="DI179" s="0" t="s">
        <v>1409</v>
      </c>
      <c r="DJ179" s="0" t="s">
        <v>1410</v>
      </c>
      <c r="DK179" s="0" t="s">
        <v>705</v>
      </c>
      <c r="DL179" s="0" t="n">
        <v>19.23</v>
      </c>
      <c r="DM179" s="0" t="s">
        <v>676</v>
      </c>
      <c r="DN179" s="0" t="s">
        <v>675</v>
      </c>
      <c r="DO179" s="0" t="n">
        <v>0</v>
      </c>
      <c r="DP179" s="0" t="n">
        <v>0</v>
      </c>
      <c r="DQ179" s="0" t="n">
        <v>135</v>
      </c>
      <c r="DR179" s="0" t="s">
        <v>3900</v>
      </c>
      <c r="EB179" s="0" t="s">
        <v>3901</v>
      </c>
      <c r="EC179" s="0" t="s">
        <v>2609</v>
      </c>
      <c r="ED179" s="0" t="s">
        <v>2610</v>
      </c>
      <c r="EE179" s="0" t="s">
        <v>626</v>
      </c>
      <c r="EF179" s="0" t="s">
        <v>2526</v>
      </c>
      <c r="EG179" s="0" t="n">
        <v>335</v>
      </c>
      <c r="EH179" s="0" t="n">
        <v>370</v>
      </c>
      <c r="EI179" s="0" t="n">
        <v>370</v>
      </c>
      <c r="EJ179" s="0" t="n">
        <v>425</v>
      </c>
      <c r="EL179" s="0" t="s">
        <v>3902</v>
      </c>
      <c r="EM179" s="0" t="s">
        <v>2831</v>
      </c>
      <c r="EN179" s="0" t="s">
        <v>2832</v>
      </c>
      <c r="EO179" s="0" t="n">
        <v>4.5</v>
      </c>
      <c r="EP179" s="0" t="s">
        <v>2552</v>
      </c>
      <c r="EQ179" s="0" t="s">
        <v>2803</v>
      </c>
      <c r="ER179" s="0" t="s">
        <v>2804</v>
      </c>
      <c r="ES179" s="0" t="n">
        <v>86320</v>
      </c>
      <c r="ET179" s="0" t="n">
        <v>86320</v>
      </c>
      <c r="EU179" s="0" t="n">
        <v>86320</v>
      </c>
      <c r="EV179" s="0" t="n">
        <v>86320</v>
      </c>
    </row>
    <row r="180" customFormat="false" ht="15" hidden="false" customHeight="false" outlineLevel="0" collapsed="false">
      <c r="A180" s="0" t="s">
        <v>374</v>
      </c>
      <c r="B180" s="0" t="s">
        <v>354</v>
      </c>
      <c r="C180" s="0" t="s">
        <v>482</v>
      </c>
      <c r="D180" s="0" t="s">
        <v>483</v>
      </c>
      <c r="E180" s="0" t="s">
        <v>1750</v>
      </c>
      <c r="F180" s="0" t="s">
        <v>680</v>
      </c>
      <c r="G180" s="0" t="s">
        <v>2022</v>
      </c>
      <c r="CQ180" s="0" t="s">
        <v>3903</v>
      </c>
      <c r="CR180" s="0" t="s">
        <v>85</v>
      </c>
      <c r="CS180" s="0" t="s">
        <v>237</v>
      </c>
      <c r="CT180" s="0" t="s">
        <v>235</v>
      </c>
      <c r="CU180" s="0" t="s">
        <v>81</v>
      </c>
      <c r="CV180" s="0" t="s">
        <v>236</v>
      </c>
      <c r="CW180" s="0" t="n">
        <v>0</v>
      </c>
      <c r="DB180" s="0" t="n">
        <v>2650</v>
      </c>
      <c r="DC180" s="0" t="n">
        <v>2650</v>
      </c>
      <c r="DD180" s="0" t="n">
        <v>2650</v>
      </c>
      <c r="DE180" s="0" t="n">
        <v>2650</v>
      </c>
      <c r="DG180" s="0" t="s">
        <v>3904</v>
      </c>
      <c r="DH180" s="0" t="s">
        <v>82</v>
      </c>
      <c r="DI180" s="0" t="s">
        <v>1413</v>
      </c>
      <c r="DJ180" s="0" t="s">
        <v>1414</v>
      </c>
      <c r="DK180" s="0" t="s">
        <v>674</v>
      </c>
      <c r="DL180" s="0" t="n">
        <v>15.38</v>
      </c>
      <c r="DM180" s="0" t="s">
        <v>676</v>
      </c>
      <c r="DN180" s="0" t="s">
        <v>675</v>
      </c>
      <c r="DO180" s="0" t="n">
        <v>0</v>
      </c>
      <c r="DP180" s="0" t="n">
        <v>0</v>
      </c>
      <c r="DQ180" s="0" t="n">
        <v>349.5</v>
      </c>
      <c r="DR180" s="0" t="s">
        <v>3905</v>
      </c>
      <c r="EB180" s="0" t="s">
        <v>3906</v>
      </c>
      <c r="EC180" s="0" t="s">
        <v>2609</v>
      </c>
      <c r="ED180" s="0" t="s">
        <v>2610</v>
      </c>
      <c r="EE180" s="0" t="s">
        <v>624</v>
      </c>
      <c r="EF180" s="0" t="s">
        <v>2550</v>
      </c>
      <c r="EG180" s="0" t="n">
        <v>290</v>
      </c>
      <c r="EH180" s="0" t="n">
        <v>320</v>
      </c>
      <c r="EI180" s="0" t="n">
        <v>320</v>
      </c>
      <c r="EJ180" s="0" t="n">
        <v>370</v>
      </c>
      <c r="EL180" s="0" t="s">
        <v>3907</v>
      </c>
      <c r="EM180" s="0" t="s">
        <v>2831</v>
      </c>
      <c r="EN180" s="0" t="s">
        <v>2832</v>
      </c>
      <c r="EO180" s="0" t="n">
        <v>5</v>
      </c>
      <c r="EP180" s="0" t="s">
        <v>2528</v>
      </c>
      <c r="EQ180" s="0" t="s">
        <v>2817</v>
      </c>
      <c r="ER180" s="0" t="s">
        <v>2818</v>
      </c>
      <c r="ES180" s="0" t="n">
        <v>73350</v>
      </c>
      <c r="ET180" s="0" t="n">
        <v>73350</v>
      </c>
      <c r="EU180" s="0" t="n">
        <v>73350</v>
      </c>
      <c r="EV180" s="0" t="n">
        <v>73350</v>
      </c>
    </row>
    <row r="181" customFormat="false" ht="15" hidden="false" customHeight="false" outlineLevel="0" collapsed="false">
      <c r="A181" s="0" t="s">
        <v>374</v>
      </c>
      <c r="B181" s="0" t="s">
        <v>373</v>
      </c>
      <c r="C181" s="0" t="s">
        <v>486</v>
      </c>
      <c r="D181" s="0" t="s">
        <v>487</v>
      </c>
      <c r="E181" s="0" t="s">
        <v>1750</v>
      </c>
      <c r="F181" s="0" t="s">
        <v>680</v>
      </c>
      <c r="G181" s="0" t="s">
        <v>1434</v>
      </c>
      <c r="CQ181" s="0" t="s">
        <v>3908</v>
      </c>
      <c r="CR181" s="0" t="s">
        <v>85</v>
      </c>
      <c r="CS181" s="0" t="s">
        <v>249</v>
      </c>
      <c r="CT181" s="0" t="s">
        <v>247</v>
      </c>
      <c r="CU181" s="0" t="s">
        <v>81</v>
      </c>
      <c r="CV181" s="0" t="s">
        <v>248</v>
      </c>
      <c r="CW181" s="0" t="n">
        <v>0</v>
      </c>
      <c r="DB181" s="0" t="n">
        <v>310</v>
      </c>
      <c r="DC181" s="0" t="n">
        <v>340</v>
      </c>
      <c r="DD181" s="0" t="n">
        <v>370</v>
      </c>
      <c r="DE181" s="0" t="n">
        <v>370</v>
      </c>
      <c r="DG181" s="0" t="s">
        <v>3909</v>
      </c>
      <c r="DH181" s="0" t="s">
        <v>82</v>
      </c>
      <c r="DI181" s="0" t="s">
        <v>1419</v>
      </c>
      <c r="DJ181" s="0" t="s">
        <v>1420</v>
      </c>
      <c r="DK181" s="0" t="s">
        <v>674</v>
      </c>
      <c r="DL181" s="0" t="n">
        <v>15.38</v>
      </c>
      <c r="DM181" s="0" t="s">
        <v>675</v>
      </c>
      <c r="DN181" s="0" t="s">
        <v>676</v>
      </c>
      <c r="DO181" s="0" t="n">
        <v>1</v>
      </c>
      <c r="DP181" s="0" t="n">
        <v>56.84</v>
      </c>
      <c r="DQ181" s="0" t="n">
        <v>56.84</v>
      </c>
      <c r="DR181" s="0" t="s">
        <v>3910</v>
      </c>
      <c r="EB181" s="0" t="s">
        <v>3911</v>
      </c>
      <c r="EC181" s="0" t="s">
        <v>2609</v>
      </c>
      <c r="ED181" s="0" t="s">
        <v>2610</v>
      </c>
      <c r="EE181" s="0" t="s">
        <v>622</v>
      </c>
      <c r="EF181" s="0" t="s">
        <v>2567</v>
      </c>
      <c r="EG181" s="0" t="n">
        <v>945</v>
      </c>
      <c r="EH181" s="0" t="n">
        <v>1040</v>
      </c>
      <c r="EI181" s="0" t="n">
        <v>1040</v>
      </c>
      <c r="EJ181" s="0" t="n">
        <v>1195</v>
      </c>
      <c r="EL181" s="0" t="s">
        <v>3912</v>
      </c>
      <c r="EM181" s="0" t="s">
        <v>2831</v>
      </c>
      <c r="EN181" s="0" t="s">
        <v>2832</v>
      </c>
      <c r="EO181" s="0" t="n">
        <v>5</v>
      </c>
      <c r="EP181" s="0" t="s">
        <v>2552</v>
      </c>
      <c r="EQ181" s="0" t="s">
        <v>2835</v>
      </c>
      <c r="ER181" s="0" t="s">
        <v>2836</v>
      </c>
      <c r="ES181" s="0" t="n">
        <v>95875</v>
      </c>
      <c r="ET181" s="0" t="n">
        <v>95875</v>
      </c>
      <c r="EU181" s="0" t="n">
        <v>95875</v>
      </c>
      <c r="EV181" s="0" t="n">
        <v>95875</v>
      </c>
    </row>
    <row r="182" customFormat="false" ht="15" hidden="false" customHeight="false" outlineLevel="0" collapsed="false">
      <c r="A182" s="0" t="s">
        <v>374</v>
      </c>
      <c r="B182" s="0" t="s">
        <v>360</v>
      </c>
      <c r="C182" s="0" t="s">
        <v>488</v>
      </c>
      <c r="D182" s="0" t="s">
        <v>489</v>
      </c>
      <c r="E182" s="0" t="s">
        <v>1750</v>
      </c>
      <c r="F182" s="0" t="s">
        <v>680</v>
      </c>
      <c r="G182" s="0" t="s">
        <v>2028</v>
      </c>
      <c r="CQ182" s="0" t="s">
        <v>3913</v>
      </c>
      <c r="CR182" s="0" t="s">
        <v>85</v>
      </c>
      <c r="CS182" s="0" t="s">
        <v>293</v>
      </c>
      <c r="CT182" s="0" t="s">
        <v>291</v>
      </c>
      <c r="CU182" s="0" t="s">
        <v>81</v>
      </c>
      <c r="CV182" s="0" t="s">
        <v>292</v>
      </c>
      <c r="CW182" s="0" t="n">
        <v>0</v>
      </c>
      <c r="DB182" s="0" t="n">
        <v>330</v>
      </c>
      <c r="DC182" s="0" t="n">
        <v>370</v>
      </c>
      <c r="DD182" s="0" t="n">
        <v>400</v>
      </c>
      <c r="DE182" s="0" t="n">
        <v>400</v>
      </c>
      <c r="DG182" s="0" t="s">
        <v>3914</v>
      </c>
      <c r="DH182" s="0" t="s">
        <v>82</v>
      </c>
      <c r="DI182" s="0" t="s">
        <v>1425</v>
      </c>
      <c r="DJ182" s="0" t="s">
        <v>1426</v>
      </c>
      <c r="DK182" s="0" t="s">
        <v>674</v>
      </c>
      <c r="DL182" s="0" t="n">
        <v>15.38</v>
      </c>
      <c r="DM182" s="0" t="s">
        <v>675</v>
      </c>
      <c r="DN182" s="0" t="s">
        <v>676</v>
      </c>
      <c r="DO182" s="0" t="n">
        <v>1</v>
      </c>
      <c r="DP182" s="0" t="n">
        <v>270</v>
      </c>
      <c r="DQ182" s="0" t="n">
        <v>270</v>
      </c>
      <c r="DR182" s="0" t="s">
        <v>3915</v>
      </c>
      <c r="EB182" s="0" t="s">
        <v>3916</v>
      </c>
      <c r="EC182" s="0" t="s">
        <v>2609</v>
      </c>
      <c r="ED182" s="0" t="s">
        <v>2610</v>
      </c>
      <c r="EE182" s="0" t="s">
        <v>620</v>
      </c>
      <c r="EF182" s="0" t="s">
        <v>2580</v>
      </c>
      <c r="EG182" s="0" t="n">
        <v>380</v>
      </c>
      <c r="EH182" s="0" t="n">
        <v>420</v>
      </c>
      <c r="EI182" s="0" t="n">
        <v>420</v>
      </c>
      <c r="EJ182" s="0" t="n">
        <v>485</v>
      </c>
      <c r="EL182" s="0" t="s">
        <v>3917</v>
      </c>
      <c r="EM182" s="0" t="s">
        <v>2831</v>
      </c>
      <c r="EN182" s="0" t="s">
        <v>2832</v>
      </c>
      <c r="EO182" s="0" t="n">
        <v>5.5</v>
      </c>
      <c r="EP182" s="0" t="s">
        <v>2528</v>
      </c>
      <c r="EQ182" s="0" t="s">
        <v>2848</v>
      </c>
      <c r="ER182" s="0" t="s">
        <v>2849</v>
      </c>
      <c r="ES182" s="0" t="n">
        <v>80850</v>
      </c>
      <c r="ET182" s="0" t="n">
        <v>80850</v>
      </c>
      <c r="EU182" s="0" t="n">
        <v>80850</v>
      </c>
      <c r="EV182" s="0" t="n">
        <v>80850</v>
      </c>
    </row>
    <row r="183" customFormat="false" ht="15" hidden="false" customHeight="false" outlineLevel="0" collapsed="false">
      <c r="A183" s="0" t="s">
        <v>374</v>
      </c>
      <c r="B183" s="0" t="s">
        <v>360</v>
      </c>
      <c r="C183" s="0" t="s">
        <v>490</v>
      </c>
      <c r="D183" s="0" t="s">
        <v>491</v>
      </c>
      <c r="E183" s="0" t="s">
        <v>1750</v>
      </c>
      <c r="F183" s="0" t="s">
        <v>680</v>
      </c>
      <c r="G183" s="0" t="s">
        <v>2029</v>
      </c>
      <c r="CQ183" s="0" t="s">
        <v>3918</v>
      </c>
      <c r="CR183" s="0" t="s">
        <v>85</v>
      </c>
      <c r="CS183" s="0" t="s">
        <v>330</v>
      </c>
      <c r="CT183" s="0" t="s">
        <v>331</v>
      </c>
      <c r="CU183" s="0" t="s">
        <v>81</v>
      </c>
      <c r="CV183" s="0" t="s">
        <v>248</v>
      </c>
      <c r="CW183" s="0" t="n">
        <v>0</v>
      </c>
      <c r="DB183" s="0" t="n">
        <v>1050</v>
      </c>
      <c r="DC183" s="0" t="n">
        <v>1160</v>
      </c>
      <c r="DD183" s="0" t="n">
        <v>1250</v>
      </c>
      <c r="DE183" s="0" t="n">
        <v>1250</v>
      </c>
      <c r="DG183" s="0" t="s">
        <v>3919</v>
      </c>
      <c r="DH183" s="0" t="s">
        <v>82</v>
      </c>
      <c r="DI183" s="0" t="s">
        <v>1313</v>
      </c>
      <c r="DJ183" s="0" t="s">
        <v>1427</v>
      </c>
      <c r="DK183" s="0" t="s">
        <v>674</v>
      </c>
      <c r="DL183" s="0" t="n">
        <v>15.38</v>
      </c>
      <c r="DM183" s="0" t="s">
        <v>675</v>
      </c>
      <c r="DN183" s="0" t="s">
        <v>676</v>
      </c>
      <c r="DO183" s="0" t="n">
        <v>1</v>
      </c>
      <c r="DP183" s="0" t="n">
        <v>94.01</v>
      </c>
      <c r="DQ183" s="0" t="n">
        <v>94.01</v>
      </c>
      <c r="DR183" s="0" t="s">
        <v>3920</v>
      </c>
      <c r="EB183" s="0" t="s">
        <v>3921</v>
      </c>
      <c r="EC183" s="0" t="s">
        <v>2609</v>
      </c>
      <c r="ED183" s="0" t="s">
        <v>2610</v>
      </c>
      <c r="EE183" s="0" t="s">
        <v>618</v>
      </c>
      <c r="EF183" s="0" t="s">
        <v>2596</v>
      </c>
      <c r="EG183" s="0" t="n">
        <v>200</v>
      </c>
      <c r="EH183" s="0" t="n">
        <v>220</v>
      </c>
      <c r="EI183" s="0" t="n">
        <v>220</v>
      </c>
      <c r="EJ183" s="0" t="n">
        <v>255</v>
      </c>
      <c r="EL183" s="0" t="s">
        <v>3922</v>
      </c>
      <c r="EM183" s="0" t="s">
        <v>2831</v>
      </c>
      <c r="EN183" s="0" t="s">
        <v>2832</v>
      </c>
      <c r="EO183" s="0" t="n">
        <v>5.5</v>
      </c>
      <c r="EP183" s="0" t="s">
        <v>2552</v>
      </c>
      <c r="EQ183" s="0" t="s">
        <v>2862</v>
      </c>
      <c r="ER183" s="0" t="s">
        <v>2863</v>
      </c>
      <c r="ES183" s="0" t="n">
        <v>105105</v>
      </c>
      <c r="ET183" s="0" t="n">
        <v>105105</v>
      </c>
      <c r="EU183" s="0" t="n">
        <v>105105</v>
      </c>
      <c r="EV183" s="0" t="n">
        <v>105105</v>
      </c>
    </row>
    <row r="184" customFormat="false" ht="15" hidden="false" customHeight="false" outlineLevel="0" collapsed="false">
      <c r="A184" s="0" t="s">
        <v>374</v>
      </c>
      <c r="B184" s="0" t="s">
        <v>360</v>
      </c>
      <c r="C184" s="0" t="s">
        <v>492</v>
      </c>
      <c r="D184" s="0" t="s">
        <v>493</v>
      </c>
      <c r="E184" s="0" t="s">
        <v>1750</v>
      </c>
      <c r="F184" s="0" t="s">
        <v>680</v>
      </c>
      <c r="G184" s="0" t="s">
        <v>2029</v>
      </c>
      <c r="CQ184" s="0" t="s">
        <v>3923</v>
      </c>
      <c r="CR184" s="0" t="s">
        <v>85</v>
      </c>
      <c r="CS184" s="0" t="s">
        <v>334</v>
      </c>
      <c r="CT184" s="0" t="s">
        <v>335</v>
      </c>
      <c r="CU184" s="0" t="s">
        <v>81</v>
      </c>
      <c r="CV184" s="0" t="s">
        <v>248</v>
      </c>
      <c r="CW184" s="0" t="n">
        <v>0</v>
      </c>
      <c r="DB184" s="0" t="n">
        <v>380</v>
      </c>
      <c r="DC184" s="0" t="n">
        <v>420</v>
      </c>
      <c r="DD184" s="0" t="n">
        <v>460</v>
      </c>
      <c r="DE184" s="0" t="n">
        <v>460</v>
      </c>
      <c r="DG184" s="0" t="s">
        <v>3924</v>
      </c>
      <c r="DH184" s="0" t="s">
        <v>82</v>
      </c>
      <c r="DI184" s="0" t="s">
        <v>1428</v>
      </c>
      <c r="DJ184" s="0" t="s">
        <v>1429</v>
      </c>
      <c r="DK184" s="0" t="s">
        <v>674</v>
      </c>
      <c r="DL184" s="0" t="n">
        <v>15.38</v>
      </c>
      <c r="DM184" s="0" t="s">
        <v>675</v>
      </c>
      <c r="DN184" s="0" t="s">
        <v>676</v>
      </c>
      <c r="DO184" s="0" t="n">
        <v>1</v>
      </c>
      <c r="DP184" s="0" t="n">
        <v>697.55</v>
      </c>
      <c r="DQ184" s="0" t="n">
        <v>697.55</v>
      </c>
      <c r="DR184" s="0" t="s">
        <v>3925</v>
      </c>
      <c r="EB184" s="0" t="s">
        <v>3926</v>
      </c>
      <c r="EC184" s="0" t="s">
        <v>2609</v>
      </c>
      <c r="ED184" s="0" t="s">
        <v>2610</v>
      </c>
      <c r="EE184" s="0" t="s">
        <v>616</v>
      </c>
      <c r="EF184" s="0" t="s">
        <v>2612</v>
      </c>
      <c r="EG184" s="0" t="n">
        <v>475</v>
      </c>
      <c r="EH184" s="0" t="n">
        <v>525</v>
      </c>
      <c r="EI184" s="0" t="n">
        <v>525</v>
      </c>
      <c r="EJ184" s="0" t="n">
        <v>605</v>
      </c>
      <c r="EL184" s="0" t="s">
        <v>3927</v>
      </c>
      <c r="EM184" s="0" t="s">
        <v>2831</v>
      </c>
      <c r="EN184" s="0" t="s">
        <v>2832</v>
      </c>
      <c r="EO184" s="0" t="n">
        <v>6</v>
      </c>
      <c r="EP184" s="0" t="s">
        <v>2528</v>
      </c>
      <c r="EQ184" s="0" t="s">
        <v>2877</v>
      </c>
      <c r="ER184" s="0" t="s">
        <v>2878</v>
      </c>
      <c r="ES184" s="0" t="n">
        <v>88350</v>
      </c>
      <c r="ET184" s="0" t="n">
        <v>88350</v>
      </c>
      <c r="EU184" s="0" t="n">
        <v>88350</v>
      </c>
      <c r="EV184" s="0" t="n">
        <v>88350</v>
      </c>
    </row>
    <row r="185" customFormat="false" ht="15" hidden="false" customHeight="false" outlineLevel="0" collapsed="false">
      <c r="A185" s="0" t="s">
        <v>374</v>
      </c>
      <c r="B185" s="0" t="s">
        <v>360</v>
      </c>
      <c r="C185" s="0" t="s">
        <v>494</v>
      </c>
      <c r="D185" s="0" t="s">
        <v>495</v>
      </c>
      <c r="E185" s="0" t="s">
        <v>1750</v>
      </c>
      <c r="F185" s="0" t="s">
        <v>680</v>
      </c>
      <c r="G185" s="0" t="s">
        <v>2029</v>
      </c>
      <c r="CQ185" s="0" t="s">
        <v>3928</v>
      </c>
      <c r="CR185" s="0" t="s">
        <v>85</v>
      </c>
      <c r="CS185" s="0" t="s">
        <v>280</v>
      </c>
      <c r="CT185" s="0" t="s">
        <v>279</v>
      </c>
      <c r="CU185" s="0" t="s">
        <v>81</v>
      </c>
      <c r="CV185" s="0" t="s">
        <v>248</v>
      </c>
      <c r="CW185" s="0" t="n">
        <v>0</v>
      </c>
      <c r="DB185" s="0" t="n">
        <v>860</v>
      </c>
      <c r="DC185" s="0" t="n">
        <v>950</v>
      </c>
      <c r="DD185" s="0" t="n">
        <v>1020</v>
      </c>
      <c r="DE185" s="0" t="n">
        <v>1020</v>
      </c>
      <c r="DG185" s="0" t="s">
        <v>3929</v>
      </c>
      <c r="DH185" s="0" t="s">
        <v>82</v>
      </c>
      <c r="DI185" s="0" t="s">
        <v>1431</v>
      </c>
      <c r="DJ185" s="0" t="s">
        <v>1432</v>
      </c>
      <c r="DK185" s="0" t="s">
        <v>674</v>
      </c>
      <c r="DL185" s="0" t="n">
        <v>15.38</v>
      </c>
      <c r="DM185" s="0" t="s">
        <v>676</v>
      </c>
      <c r="DN185" s="0" t="s">
        <v>675</v>
      </c>
      <c r="DO185" s="0" t="n">
        <v>0</v>
      </c>
      <c r="DP185" s="0" t="n">
        <v>0</v>
      </c>
      <c r="DQ185" s="0" t="n">
        <v>56.25</v>
      </c>
      <c r="DR185" s="0" t="s">
        <v>3930</v>
      </c>
      <c r="EB185" s="0" t="s">
        <v>3931</v>
      </c>
      <c r="EC185" s="0" t="s">
        <v>2609</v>
      </c>
      <c r="EE185" s="0" t="s">
        <v>614</v>
      </c>
      <c r="EL185" s="0" t="s">
        <v>3932</v>
      </c>
      <c r="EM185" s="0" t="s">
        <v>2831</v>
      </c>
      <c r="EN185" s="0" t="s">
        <v>2832</v>
      </c>
      <c r="EO185" s="0" t="n">
        <v>6</v>
      </c>
      <c r="EP185" s="0" t="s">
        <v>2552</v>
      </c>
      <c r="EQ185" s="0" t="s">
        <v>2891</v>
      </c>
      <c r="ER185" s="0" t="s">
        <v>2892</v>
      </c>
      <c r="ES185" s="0" t="n">
        <v>114855</v>
      </c>
      <c r="ET185" s="0" t="n">
        <v>114855</v>
      </c>
      <c r="EU185" s="0" t="n">
        <v>114855</v>
      </c>
      <c r="EV185" s="0" t="n">
        <v>114855</v>
      </c>
    </row>
    <row r="186" customFormat="false" ht="15" hidden="false" customHeight="false" outlineLevel="0" collapsed="false">
      <c r="A186" s="0" t="s">
        <v>374</v>
      </c>
      <c r="B186" s="0" t="s">
        <v>368</v>
      </c>
      <c r="C186" s="0" t="s">
        <v>496</v>
      </c>
      <c r="D186" s="0" t="s">
        <v>497</v>
      </c>
      <c r="E186" s="0" t="s">
        <v>1750</v>
      </c>
      <c r="F186" s="0" t="s">
        <v>680</v>
      </c>
      <c r="G186" s="0" t="s">
        <v>2034</v>
      </c>
      <c r="CQ186" s="0" t="s">
        <v>3933</v>
      </c>
      <c r="CR186" s="0" t="s">
        <v>85</v>
      </c>
      <c r="CS186" s="0" t="s">
        <v>582</v>
      </c>
      <c r="CT186" s="0" t="s">
        <v>580</v>
      </c>
      <c r="CU186" s="0" t="s">
        <v>581</v>
      </c>
      <c r="CV186" s="0" t="s">
        <v>581</v>
      </c>
      <c r="CW186" s="0" t="n">
        <v>0</v>
      </c>
      <c r="DB186" s="0" t="n">
        <v>2030</v>
      </c>
      <c r="DC186" s="0" t="n">
        <v>2210</v>
      </c>
      <c r="DD186" s="0" t="n">
        <v>2380</v>
      </c>
      <c r="DE186" s="0" t="n">
        <v>2560</v>
      </c>
      <c r="DG186" s="0" t="s">
        <v>3934</v>
      </c>
      <c r="DH186" s="0" t="s">
        <v>82</v>
      </c>
      <c r="DI186" s="0" t="s">
        <v>484</v>
      </c>
      <c r="DJ186" s="0" t="s">
        <v>485</v>
      </c>
      <c r="DK186" s="0" t="s">
        <v>1181</v>
      </c>
      <c r="DL186" s="0" t="n">
        <v>15.38</v>
      </c>
      <c r="DM186" s="0" t="s">
        <v>675</v>
      </c>
      <c r="DN186" s="0" t="s">
        <v>676</v>
      </c>
      <c r="DO186" s="0" t="n">
        <v>1</v>
      </c>
      <c r="DP186" s="0" t="n">
        <v>43628</v>
      </c>
      <c r="DQ186" s="0" t="n">
        <v>43628</v>
      </c>
      <c r="DR186" s="0" t="s">
        <v>3935</v>
      </c>
      <c r="EB186" s="0" t="s">
        <v>3936</v>
      </c>
      <c r="EC186" s="0" t="s">
        <v>2609</v>
      </c>
      <c r="EE186" s="0" t="s">
        <v>612</v>
      </c>
      <c r="EL186" s="0" t="s">
        <v>3937</v>
      </c>
      <c r="EM186" s="0" t="s">
        <v>2831</v>
      </c>
      <c r="EN186" s="0" t="s">
        <v>2832</v>
      </c>
      <c r="EO186" s="0" t="n">
        <v>6.5</v>
      </c>
      <c r="EP186" s="0" t="s">
        <v>2528</v>
      </c>
      <c r="EQ186" s="0" t="s">
        <v>2904</v>
      </c>
      <c r="ER186" s="0" t="s">
        <v>2905</v>
      </c>
      <c r="ES186" s="0" t="n">
        <v>95300</v>
      </c>
      <c r="ET186" s="0" t="n">
        <v>95300</v>
      </c>
      <c r="EU186" s="0" t="n">
        <v>95300</v>
      </c>
      <c r="EV186" s="0" t="n">
        <v>95300</v>
      </c>
    </row>
    <row r="187" customFormat="false" ht="15" hidden="false" customHeight="false" outlineLevel="0" collapsed="false">
      <c r="A187" s="0" t="s">
        <v>374</v>
      </c>
      <c r="B187" s="0" t="s">
        <v>368</v>
      </c>
      <c r="C187" s="0" t="s">
        <v>498</v>
      </c>
      <c r="D187" s="0" t="s">
        <v>499</v>
      </c>
      <c r="E187" s="0" t="s">
        <v>1750</v>
      </c>
      <c r="F187" s="0" t="s">
        <v>680</v>
      </c>
      <c r="G187" s="0" t="s">
        <v>1508</v>
      </c>
      <c r="CQ187" s="0" t="s">
        <v>3938</v>
      </c>
      <c r="CR187" s="0" t="s">
        <v>85</v>
      </c>
      <c r="CS187" s="0" t="s">
        <v>264</v>
      </c>
      <c r="CT187" s="0" t="s">
        <v>262</v>
      </c>
      <c r="CU187" s="0" t="s">
        <v>2252</v>
      </c>
      <c r="CV187" s="0" t="s">
        <v>263</v>
      </c>
      <c r="CW187" s="0" t="n">
        <v>0</v>
      </c>
      <c r="DB187" s="0" t="n">
        <v>680</v>
      </c>
      <c r="DC187" s="0" t="n">
        <v>750</v>
      </c>
      <c r="DD187" s="0" t="n">
        <v>810</v>
      </c>
      <c r="DE187" s="0" t="n">
        <v>810</v>
      </c>
      <c r="DG187" s="0" t="s">
        <v>3939</v>
      </c>
      <c r="DH187" s="0" t="s">
        <v>82</v>
      </c>
      <c r="DJ187" s="0" t="s">
        <v>911</v>
      </c>
      <c r="DK187" s="0" t="s">
        <v>705</v>
      </c>
      <c r="DL187" s="0" t="n">
        <v>15.38</v>
      </c>
      <c r="DM187" s="0" t="s">
        <v>675</v>
      </c>
      <c r="DN187" s="0" t="s">
        <v>675</v>
      </c>
      <c r="DO187" s="0" t="n">
        <v>0</v>
      </c>
      <c r="DP187" s="0" t="n">
        <v>0</v>
      </c>
      <c r="DQ187" s="0" t="n">
        <v>0</v>
      </c>
      <c r="DR187" s="0" t="s">
        <v>3121</v>
      </c>
      <c r="EB187" s="0" t="s">
        <v>3940</v>
      </c>
      <c r="EC187" s="0" t="s">
        <v>2609</v>
      </c>
      <c r="ED187" s="0" t="s">
        <v>2610</v>
      </c>
      <c r="EE187" s="0" t="s">
        <v>609</v>
      </c>
      <c r="EF187" s="0" t="s">
        <v>2663</v>
      </c>
      <c r="EG187" s="0" t="n">
        <v>295</v>
      </c>
      <c r="EH187" s="0" t="n">
        <v>295</v>
      </c>
      <c r="EI187" s="0" t="n">
        <v>295</v>
      </c>
      <c r="EJ187" s="0" t="n">
        <v>295</v>
      </c>
      <c r="EL187" s="0" t="s">
        <v>3941</v>
      </c>
      <c r="EM187" s="0" t="s">
        <v>2831</v>
      </c>
      <c r="EN187" s="0" t="s">
        <v>2832</v>
      </c>
      <c r="EO187" s="0" t="n">
        <v>6.5</v>
      </c>
      <c r="EP187" s="0" t="s">
        <v>2552</v>
      </c>
      <c r="EQ187" s="0" t="s">
        <v>2920</v>
      </c>
      <c r="ER187" s="0" t="s">
        <v>2921</v>
      </c>
      <c r="ES187" s="0" t="n">
        <v>123890</v>
      </c>
      <c r="ET187" s="0" t="n">
        <v>123890</v>
      </c>
      <c r="EU187" s="0" t="n">
        <v>123890</v>
      </c>
      <c r="EV187" s="0" t="n">
        <v>123890</v>
      </c>
    </row>
    <row r="188" customFormat="false" ht="15" hidden="false" customHeight="false" outlineLevel="0" collapsed="false">
      <c r="A188" s="0" t="s">
        <v>374</v>
      </c>
      <c r="B188" s="0" t="s">
        <v>368</v>
      </c>
      <c r="C188" s="0" t="s">
        <v>500</v>
      </c>
      <c r="D188" s="0" t="s">
        <v>501</v>
      </c>
      <c r="E188" s="0" t="s">
        <v>1415</v>
      </c>
      <c r="F188" s="0" t="s">
        <v>680</v>
      </c>
      <c r="G188" s="0" t="s">
        <v>1508</v>
      </c>
      <c r="CQ188" s="0" t="s">
        <v>3942</v>
      </c>
      <c r="CR188" s="0" t="s">
        <v>85</v>
      </c>
      <c r="CS188" s="0" t="s">
        <v>612</v>
      </c>
      <c r="CT188" s="0" t="s">
        <v>2647</v>
      </c>
      <c r="CU188" s="0" t="s">
        <v>2939</v>
      </c>
      <c r="CV188" s="0" t="s">
        <v>277</v>
      </c>
      <c r="CW188" s="0" t="n">
        <v>0</v>
      </c>
      <c r="DB188" s="0" t="n">
        <v>740</v>
      </c>
      <c r="DC188" s="0" t="n">
        <v>820</v>
      </c>
      <c r="DD188" s="0" t="n">
        <v>880</v>
      </c>
      <c r="DE188" s="0" t="n">
        <v>880</v>
      </c>
      <c r="DG188" s="0" t="s">
        <v>3943</v>
      </c>
      <c r="DH188" s="0" t="s">
        <v>82</v>
      </c>
      <c r="DJ188" s="0" t="s">
        <v>1289</v>
      </c>
      <c r="DK188" s="0" t="s">
        <v>705</v>
      </c>
      <c r="DL188" s="0" t="n">
        <v>15.38</v>
      </c>
      <c r="DM188" s="0" t="s">
        <v>675</v>
      </c>
      <c r="DN188" s="0" t="s">
        <v>675</v>
      </c>
      <c r="DO188" s="0" t="n">
        <v>0</v>
      </c>
      <c r="DP188" s="0" t="n">
        <v>0</v>
      </c>
      <c r="DQ188" s="0" t="n">
        <v>0</v>
      </c>
      <c r="DR188" s="0" t="s">
        <v>3734</v>
      </c>
      <c r="EB188" s="0" t="s">
        <v>3944</v>
      </c>
      <c r="EC188" s="0" t="s">
        <v>2609</v>
      </c>
      <c r="ED188" s="0" t="s">
        <v>2610</v>
      </c>
      <c r="EE188" s="0" t="s">
        <v>607</v>
      </c>
      <c r="EF188" s="0" t="s">
        <v>2680</v>
      </c>
      <c r="EG188" s="0" t="n">
        <v>1</v>
      </c>
      <c r="EH188" s="0" t="n">
        <v>1</v>
      </c>
      <c r="EI188" s="0" t="n">
        <v>1</v>
      </c>
      <c r="EJ188" s="0" t="n">
        <v>1</v>
      </c>
      <c r="EL188" s="0" t="s">
        <v>3945</v>
      </c>
      <c r="EM188" s="0" t="s">
        <v>2831</v>
      </c>
      <c r="EN188" s="0" t="s">
        <v>2832</v>
      </c>
      <c r="EO188" s="0" t="n">
        <v>7</v>
      </c>
      <c r="EP188" s="0" t="s">
        <v>2528</v>
      </c>
      <c r="EQ188" s="0" t="s">
        <v>2935</v>
      </c>
      <c r="ER188" s="0" t="s">
        <v>2936</v>
      </c>
      <c r="ES188" s="0" t="n">
        <v>103350</v>
      </c>
      <c r="ET188" s="0" t="n">
        <v>103350</v>
      </c>
      <c r="EU188" s="0" t="n">
        <v>103350</v>
      </c>
      <c r="EV188" s="0" t="n">
        <v>103350</v>
      </c>
    </row>
    <row r="189" customFormat="false" ht="15" hidden="false" customHeight="false" outlineLevel="0" collapsed="false">
      <c r="A189" s="0" t="s">
        <v>374</v>
      </c>
      <c r="B189" s="0" t="s">
        <v>368</v>
      </c>
      <c r="C189" s="0" t="s">
        <v>502</v>
      </c>
      <c r="D189" s="0" t="s">
        <v>503</v>
      </c>
      <c r="E189" s="0" t="s">
        <v>1415</v>
      </c>
      <c r="F189" s="0" t="s">
        <v>680</v>
      </c>
      <c r="G189" s="0" t="s">
        <v>1508</v>
      </c>
      <c r="CQ189" s="0" t="s">
        <v>3946</v>
      </c>
      <c r="CR189" s="0" t="s">
        <v>85</v>
      </c>
      <c r="CS189" s="0" t="s">
        <v>278</v>
      </c>
      <c r="CT189" s="0" t="s">
        <v>276</v>
      </c>
      <c r="CU189" s="0" t="s">
        <v>581</v>
      </c>
      <c r="CV189" s="0" t="s">
        <v>277</v>
      </c>
      <c r="CW189" s="0" t="n">
        <v>0</v>
      </c>
      <c r="DB189" s="0" t="n">
        <v>930</v>
      </c>
      <c r="DC189" s="0" t="n">
        <v>1030</v>
      </c>
      <c r="DD189" s="0" t="n">
        <v>1110</v>
      </c>
      <c r="DE189" s="0" t="n">
        <v>1110</v>
      </c>
      <c r="DG189" s="0" t="s">
        <v>3947</v>
      </c>
      <c r="DH189" s="0" t="s">
        <v>82</v>
      </c>
      <c r="DI189" s="0" t="s">
        <v>1435</v>
      </c>
      <c r="DJ189" s="0" t="s">
        <v>1436</v>
      </c>
      <c r="DK189" s="0" t="s">
        <v>705</v>
      </c>
      <c r="DL189" s="0" t="n">
        <v>15.38</v>
      </c>
      <c r="DM189" s="0" t="s">
        <v>676</v>
      </c>
      <c r="DN189" s="0" t="s">
        <v>675</v>
      </c>
      <c r="DO189" s="0" t="n">
        <v>0</v>
      </c>
      <c r="DP189" s="0" t="n">
        <v>0</v>
      </c>
      <c r="DQ189" s="0" t="n">
        <v>436</v>
      </c>
      <c r="DR189" s="0" t="s">
        <v>3948</v>
      </c>
      <c r="EB189" s="0" t="s">
        <v>3949</v>
      </c>
      <c r="EC189" s="0" t="s">
        <v>2609</v>
      </c>
      <c r="ED189" s="0" t="s">
        <v>2610</v>
      </c>
      <c r="EE189" s="0" t="s">
        <v>605</v>
      </c>
      <c r="EF189" s="0" t="s">
        <v>2697</v>
      </c>
      <c r="EG189" s="0" t="n">
        <v>600</v>
      </c>
      <c r="EH189" s="0" t="n">
        <v>600</v>
      </c>
      <c r="EI189" s="0" t="n">
        <v>600</v>
      </c>
      <c r="EJ189" s="0" t="n">
        <v>600</v>
      </c>
      <c r="EL189" s="0" t="s">
        <v>3950</v>
      </c>
      <c r="EM189" s="0" t="s">
        <v>2831</v>
      </c>
      <c r="EN189" s="0" t="s">
        <v>2832</v>
      </c>
      <c r="EO189" s="0" t="n">
        <v>7</v>
      </c>
      <c r="EP189" s="0" t="s">
        <v>2552</v>
      </c>
      <c r="EQ189" s="0" t="s">
        <v>2949</v>
      </c>
      <c r="ER189" s="0" t="s">
        <v>2950</v>
      </c>
      <c r="ES189" s="0" t="n">
        <v>134355</v>
      </c>
      <c r="ET189" s="0" t="n">
        <v>134355</v>
      </c>
      <c r="EU189" s="0" t="n">
        <v>134355</v>
      </c>
      <c r="EV189" s="0" t="n">
        <v>134355</v>
      </c>
    </row>
    <row r="190" customFormat="false" ht="15" hidden="false" customHeight="false" outlineLevel="0" collapsed="false">
      <c r="A190" s="0" t="s">
        <v>374</v>
      </c>
      <c r="B190" s="0" t="s">
        <v>368</v>
      </c>
      <c r="C190" s="0" t="s">
        <v>504</v>
      </c>
      <c r="D190" s="0" t="s">
        <v>505</v>
      </c>
      <c r="E190" s="0" t="s">
        <v>1750</v>
      </c>
      <c r="F190" s="0" t="s">
        <v>680</v>
      </c>
      <c r="G190" s="0" t="s">
        <v>1508</v>
      </c>
      <c r="CQ190" s="0" t="s">
        <v>3951</v>
      </c>
      <c r="CR190" s="0" t="s">
        <v>85</v>
      </c>
      <c r="CS190" s="0" t="s">
        <v>616</v>
      </c>
      <c r="CT190" s="0" t="s">
        <v>2612</v>
      </c>
      <c r="CU190" s="0" t="s">
        <v>90</v>
      </c>
      <c r="CV190" s="0" t="s">
        <v>289</v>
      </c>
      <c r="CW190" s="0" t="n">
        <v>0</v>
      </c>
      <c r="DB190" s="0" t="n">
        <v>480</v>
      </c>
      <c r="DC190" s="0" t="n">
        <v>530</v>
      </c>
      <c r="DD190" s="0" t="n">
        <v>570</v>
      </c>
      <c r="DE190" s="0" t="n">
        <v>570</v>
      </c>
      <c r="DG190" s="0" t="s">
        <v>3952</v>
      </c>
      <c r="DH190" s="0" t="s">
        <v>82</v>
      </c>
      <c r="DI190" s="0" t="s">
        <v>1441</v>
      </c>
      <c r="DJ190" s="0" t="s">
        <v>1442</v>
      </c>
      <c r="DK190" s="0" t="s">
        <v>705</v>
      </c>
      <c r="DL190" s="0" t="n">
        <v>15.38</v>
      </c>
      <c r="DM190" s="0" t="s">
        <v>676</v>
      </c>
      <c r="DN190" s="0" t="s">
        <v>675</v>
      </c>
      <c r="DO190" s="0" t="n">
        <v>0</v>
      </c>
      <c r="DP190" s="0" t="n">
        <v>0</v>
      </c>
      <c r="DQ190" s="0" t="n">
        <v>420</v>
      </c>
      <c r="DR190" s="0" t="s">
        <v>3953</v>
      </c>
      <c r="EB190" s="0" t="s">
        <v>3954</v>
      </c>
      <c r="EC190" s="0" t="s">
        <v>2609</v>
      </c>
      <c r="EE190" s="0" t="s">
        <v>629</v>
      </c>
      <c r="EL190" s="0" t="s">
        <v>3955</v>
      </c>
      <c r="EM190" s="0" t="s">
        <v>2831</v>
      </c>
      <c r="EN190" s="0" t="s">
        <v>2832</v>
      </c>
      <c r="EO190" s="0" t="n">
        <v>7.5</v>
      </c>
      <c r="EP190" s="0" t="s">
        <v>2528</v>
      </c>
      <c r="EQ190" s="0" t="s">
        <v>2961</v>
      </c>
      <c r="ER190" s="0" t="s">
        <v>2962</v>
      </c>
      <c r="ES190" s="0" t="n">
        <v>109750</v>
      </c>
      <c r="ET190" s="0" t="n">
        <v>109750</v>
      </c>
      <c r="EU190" s="0" t="n">
        <v>109750</v>
      </c>
      <c r="EV190" s="0" t="n">
        <v>109750</v>
      </c>
    </row>
    <row r="191" customFormat="false" ht="15" hidden="false" customHeight="false" outlineLevel="0" collapsed="false">
      <c r="A191" s="0" t="s">
        <v>374</v>
      </c>
      <c r="B191" s="0" t="s">
        <v>368</v>
      </c>
      <c r="C191" s="0" t="s">
        <v>506</v>
      </c>
      <c r="D191" s="0" t="s">
        <v>507</v>
      </c>
      <c r="E191" s="0" t="s">
        <v>1750</v>
      </c>
      <c r="F191" s="0" t="s">
        <v>680</v>
      </c>
      <c r="G191" s="0" t="s">
        <v>2036</v>
      </c>
      <c r="CQ191" s="0" t="s">
        <v>3956</v>
      </c>
      <c r="CR191" s="0" t="s">
        <v>85</v>
      </c>
      <c r="CS191" s="0" t="s">
        <v>614</v>
      </c>
      <c r="CT191" s="0" t="s">
        <v>2628</v>
      </c>
      <c r="CU191" s="0" t="s">
        <v>90</v>
      </c>
      <c r="CV191" s="0" t="s">
        <v>2979</v>
      </c>
      <c r="CW191" s="0" t="n">
        <v>0</v>
      </c>
      <c r="DB191" s="0" t="n">
        <v>980</v>
      </c>
      <c r="DC191" s="0" t="n">
        <v>1080</v>
      </c>
      <c r="DD191" s="0" t="n">
        <v>1170</v>
      </c>
      <c r="DE191" s="0" t="n">
        <v>1170</v>
      </c>
      <c r="DG191" s="0" t="s">
        <v>3957</v>
      </c>
      <c r="DH191" s="0" t="s">
        <v>82</v>
      </c>
      <c r="DI191" s="0" t="s">
        <v>1443</v>
      </c>
      <c r="DJ191" s="0" t="s">
        <v>1444</v>
      </c>
      <c r="DK191" s="0" t="s">
        <v>705</v>
      </c>
      <c r="DL191" s="0" t="n">
        <v>15.38</v>
      </c>
      <c r="DM191" s="0" t="s">
        <v>675</v>
      </c>
      <c r="DN191" s="0" t="s">
        <v>676</v>
      </c>
      <c r="DO191" s="0" t="n">
        <v>1</v>
      </c>
      <c r="DP191" s="0" t="n">
        <v>4500</v>
      </c>
      <c r="DQ191" s="0" t="n">
        <v>4500</v>
      </c>
      <c r="DR191" s="0" t="s">
        <v>3958</v>
      </c>
      <c r="EB191" s="0" t="s">
        <v>3959</v>
      </c>
      <c r="EC191" s="0" t="s">
        <v>2609</v>
      </c>
      <c r="EE191" s="0" t="s">
        <v>602</v>
      </c>
      <c r="EL191" s="0" t="s">
        <v>3960</v>
      </c>
      <c r="EM191" s="0" t="s">
        <v>2831</v>
      </c>
      <c r="EN191" s="0" t="s">
        <v>2832</v>
      </c>
      <c r="EO191" s="0" t="n">
        <v>7.5</v>
      </c>
      <c r="EP191" s="0" t="s">
        <v>2552</v>
      </c>
      <c r="EQ191" s="0" t="s">
        <v>2975</v>
      </c>
      <c r="ER191" s="0" t="s">
        <v>2976</v>
      </c>
      <c r="ES191" s="0" t="n">
        <v>142675</v>
      </c>
      <c r="ET191" s="0" t="n">
        <v>142675</v>
      </c>
      <c r="EU191" s="0" t="n">
        <v>142675</v>
      </c>
      <c r="EV191" s="0" t="n">
        <v>142675</v>
      </c>
    </row>
    <row r="192" customFormat="false" ht="15" hidden="false" customHeight="false" outlineLevel="0" collapsed="false">
      <c r="A192" s="0" t="s">
        <v>359</v>
      </c>
      <c r="B192" s="0" t="s">
        <v>354</v>
      </c>
      <c r="C192" s="0" t="s">
        <v>434</v>
      </c>
      <c r="D192" s="0" t="s">
        <v>435</v>
      </c>
      <c r="E192" s="0" t="s">
        <v>1750</v>
      </c>
      <c r="F192" s="0" t="s">
        <v>680</v>
      </c>
      <c r="G192" s="0" t="s">
        <v>2019</v>
      </c>
      <c r="CQ192" s="0" t="s">
        <v>3961</v>
      </c>
      <c r="CR192" s="0" t="s">
        <v>85</v>
      </c>
      <c r="CS192" s="0" t="s">
        <v>240</v>
      </c>
      <c r="CT192" s="0" t="s">
        <v>238</v>
      </c>
      <c r="CU192" s="0" t="s">
        <v>90</v>
      </c>
      <c r="CV192" s="0" t="s">
        <v>239</v>
      </c>
      <c r="CW192" s="0" t="n">
        <v>0</v>
      </c>
      <c r="DB192" s="0" t="n">
        <v>3620</v>
      </c>
      <c r="DC192" s="0" t="n">
        <v>3620</v>
      </c>
      <c r="DD192" s="0" t="n">
        <v>3620</v>
      </c>
      <c r="DE192" s="0" t="n">
        <v>3620</v>
      </c>
      <c r="DG192" s="0" t="s">
        <v>3962</v>
      </c>
      <c r="DH192" s="0" t="s">
        <v>82</v>
      </c>
      <c r="DI192" s="0" t="s">
        <v>1446</v>
      </c>
      <c r="DJ192" s="0" t="s">
        <v>203</v>
      </c>
      <c r="DK192" s="0" t="s">
        <v>705</v>
      </c>
      <c r="DL192" s="0" t="n">
        <v>15.38</v>
      </c>
      <c r="DM192" s="0" t="s">
        <v>675</v>
      </c>
      <c r="DN192" s="0" t="s">
        <v>676</v>
      </c>
      <c r="DO192" s="0" t="n">
        <v>3</v>
      </c>
      <c r="DP192" s="0" t="n">
        <v>9999.99</v>
      </c>
      <c r="DQ192" s="0" t="n">
        <v>9999.99</v>
      </c>
      <c r="DR192" s="0" t="s">
        <v>3963</v>
      </c>
      <c r="EB192" s="0" t="s">
        <v>3964</v>
      </c>
      <c r="EC192" s="0" t="s">
        <v>2609</v>
      </c>
      <c r="ED192" s="0" t="s">
        <v>2610</v>
      </c>
      <c r="EE192" s="0" t="s">
        <v>599</v>
      </c>
      <c r="EF192" s="0" t="s">
        <v>2745</v>
      </c>
      <c r="EG192" s="0" t="n">
        <v>1</v>
      </c>
      <c r="EH192" s="0" t="n">
        <v>1</v>
      </c>
      <c r="EI192" s="0" t="n">
        <v>1</v>
      </c>
      <c r="EJ192" s="0" t="n">
        <v>1</v>
      </c>
      <c r="EL192" s="0" t="s">
        <v>3965</v>
      </c>
      <c r="EM192" s="0" t="s">
        <v>2831</v>
      </c>
      <c r="EN192" s="0" t="s">
        <v>2832</v>
      </c>
      <c r="EO192" s="0" t="n">
        <v>8</v>
      </c>
      <c r="EP192" s="0" t="s">
        <v>2528</v>
      </c>
      <c r="EQ192" s="0" t="s">
        <v>2988</v>
      </c>
      <c r="ER192" s="0" t="s">
        <v>2989</v>
      </c>
      <c r="ES192" s="0" t="n">
        <v>114900</v>
      </c>
      <c r="ET192" s="0" t="n">
        <v>114900</v>
      </c>
      <c r="EU192" s="0" t="n">
        <v>114900</v>
      </c>
      <c r="EV192" s="0" t="n">
        <v>114900</v>
      </c>
    </row>
    <row r="193" customFormat="false" ht="15" hidden="false" customHeight="false" outlineLevel="0" collapsed="false">
      <c r="A193" s="0" t="s">
        <v>359</v>
      </c>
      <c r="B193" s="0" t="s">
        <v>354</v>
      </c>
      <c r="C193" s="0" t="s">
        <v>432</v>
      </c>
      <c r="D193" s="0" t="s">
        <v>433</v>
      </c>
      <c r="E193" s="0" t="s">
        <v>1750</v>
      </c>
      <c r="F193" s="0" t="s">
        <v>680</v>
      </c>
      <c r="G193" s="0" t="s">
        <v>2020</v>
      </c>
      <c r="CQ193" s="0" t="s">
        <v>3966</v>
      </c>
      <c r="CR193" s="0" t="s">
        <v>85</v>
      </c>
      <c r="CS193" s="0" t="s">
        <v>609</v>
      </c>
      <c r="CT193" s="0" t="s">
        <v>2663</v>
      </c>
      <c r="CU193" s="0" t="s">
        <v>90</v>
      </c>
      <c r="CV193" s="0" t="s">
        <v>239</v>
      </c>
      <c r="CW193" s="0" t="n">
        <v>0</v>
      </c>
      <c r="DB193" s="0" t="n">
        <v>350</v>
      </c>
      <c r="DC193" s="0" t="n">
        <v>350</v>
      </c>
      <c r="DD193" s="0" t="n">
        <v>350</v>
      </c>
      <c r="DE193" s="0" t="n">
        <v>350</v>
      </c>
      <c r="DG193" s="0" t="s">
        <v>3967</v>
      </c>
      <c r="DH193" s="0" t="s">
        <v>82</v>
      </c>
      <c r="DI193" s="0" t="s">
        <v>1449</v>
      </c>
      <c r="DJ193" s="0" t="s">
        <v>199</v>
      </c>
      <c r="DK193" s="0" t="s">
        <v>705</v>
      </c>
      <c r="DL193" s="0" t="n">
        <v>15.38</v>
      </c>
      <c r="DM193" s="0" t="s">
        <v>675</v>
      </c>
      <c r="DN193" s="0" t="s">
        <v>676</v>
      </c>
      <c r="DO193" s="0" t="n">
        <v>1</v>
      </c>
      <c r="DP193" s="0" t="n">
        <v>28040</v>
      </c>
      <c r="DQ193" s="0" t="n">
        <v>28040</v>
      </c>
      <c r="DR193" s="0" t="s">
        <v>3968</v>
      </c>
      <c r="EB193" s="0" t="s">
        <v>3969</v>
      </c>
      <c r="EC193" s="0" t="s">
        <v>2609</v>
      </c>
      <c r="ED193" s="0" t="s">
        <v>2610</v>
      </c>
      <c r="EE193" s="0" t="s">
        <v>597</v>
      </c>
      <c r="EF193" s="0" t="s">
        <v>3308</v>
      </c>
      <c r="EG193" s="0" t="n">
        <v>1000</v>
      </c>
      <c r="EH193" s="0" t="n">
        <v>1000</v>
      </c>
      <c r="EI193" s="0" t="n">
        <v>1000</v>
      </c>
      <c r="EJ193" s="0" t="n">
        <v>1000</v>
      </c>
      <c r="EL193" s="0" t="s">
        <v>3970</v>
      </c>
      <c r="EM193" s="0" t="s">
        <v>2831</v>
      </c>
      <c r="EN193" s="0" t="s">
        <v>2832</v>
      </c>
      <c r="EO193" s="0" t="n">
        <v>8</v>
      </c>
      <c r="EP193" s="0" t="s">
        <v>2552</v>
      </c>
      <c r="EQ193" s="0" t="s">
        <v>3000</v>
      </c>
      <c r="ER193" s="0" t="s">
        <v>3001</v>
      </c>
      <c r="ES193" s="0" t="n">
        <v>149370</v>
      </c>
      <c r="ET193" s="0" t="n">
        <v>149370</v>
      </c>
      <c r="EU193" s="0" t="n">
        <v>149370</v>
      </c>
      <c r="EV193" s="0" t="n">
        <v>149370</v>
      </c>
    </row>
    <row r="194" customFormat="false" ht="15" hidden="false" customHeight="false" outlineLevel="0" collapsed="false">
      <c r="A194" s="0" t="s">
        <v>359</v>
      </c>
      <c r="B194" s="0" t="s">
        <v>354</v>
      </c>
      <c r="C194" s="0" t="s">
        <v>436</v>
      </c>
      <c r="D194" s="0" t="s">
        <v>437</v>
      </c>
      <c r="E194" s="0" t="s">
        <v>1750</v>
      </c>
      <c r="F194" s="0" t="s">
        <v>680</v>
      </c>
      <c r="G194" s="0" t="s">
        <v>2020</v>
      </c>
      <c r="CQ194" s="0" t="s">
        <v>3971</v>
      </c>
      <c r="CR194" s="0" t="s">
        <v>85</v>
      </c>
      <c r="CS194" s="0" t="s">
        <v>252</v>
      </c>
      <c r="CT194" s="0" t="s">
        <v>250</v>
      </c>
      <c r="CU194" s="0" t="s">
        <v>90</v>
      </c>
      <c r="CV194" s="0" t="s">
        <v>251</v>
      </c>
      <c r="CW194" s="0" t="n">
        <v>0</v>
      </c>
      <c r="DB194" s="0" t="n">
        <v>890</v>
      </c>
      <c r="DC194" s="0" t="n">
        <v>890</v>
      </c>
      <c r="DD194" s="0" t="n">
        <v>890</v>
      </c>
      <c r="DE194" s="0" t="n">
        <v>890</v>
      </c>
      <c r="DG194" s="0" t="s">
        <v>3972</v>
      </c>
      <c r="DH194" s="0" t="s">
        <v>82</v>
      </c>
      <c r="DI194" s="0" t="s">
        <v>1450</v>
      </c>
      <c r="DJ194" s="0" t="s">
        <v>1451</v>
      </c>
      <c r="DK194" s="0" t="s">
        <v>705</v>
      </c>
      <c r="DL194" s="0" t="n">
        <v>15.38</v>
      </c>
      <c r="DM194" s="0" t="s">
        <v>675</v>
      </c>
      <c r="DN194" s="0" t="s">
        <v>676</v>
      </c>
      <c r="DO194" s="0" t="n">
        <v>2</v>
      </c>
      <c r="DP194" s="0" t="n">
        <v>1120</v>
      </c>
      <c r="DQ194" s="0" t="n">
        <v>1120</v>
      </c>
      <c r="DR194" s="0" t="s">
        <v>3973</v>
      </c>
      <c r="EB194" s="0" t="s">
        <v>3974</v>
      </c>
      <c r="EC194" s="0" t="s">
        <v>2609</v>
      </c>
      <c r="ED194" s="0" t="s">
        <v>2610</v>
      </c>
      <c r="EE194" s="0" t="s">
        <v>2699</v>
      </c>
      <c r="EF194" s="0" t="s">
        <v>2700</v>
      </c>
      <c r="EG194" s="0" t="n">
        <v>24000</v>
      </c>
      <c r="EH194" s="0" t="n">
        <v>24000</v>
      </c>
      <c r="EI194" s="0" t="n">
        <v>24000</v>
      </c>
      <c r="EJ194" s="0" t="n">
        <v>24000</v>
      </c>
      <c r="EL194" s="0" t="s">
        <v>3975</v>
      </c>
      <c r="EM194" s="0" t="s">
        <v>2644</v>
      </c>
      <c r="EN194" s="0" t="s">
        <v>2645</v>
      </c>
      <c r="EO194" s="0" t="n">
        <v>0.5</v>
      </c>
      <c r="EP194" s="0" t="s">
        <v>2528</v>
      </c>
      <c r="EQ194" s="0" t="s">
        <v>2529</v>
      </c>
      <c r="ER194" s="0" t="s">
        <v>2530</v>
      </c>
      <c r="ES194" s="0" t="n">
        <v>7130</v>
      </c>
      <c r="ET194" s="0" t="n">
        <v>7130</v>
      </c>
      <c r="EU194" s="0" t="n">
        <v>7130</v>
      </c>
      <c r="EV194" s="0" t="n">
        <v>7130</v>
      </c>
    </row>
    <row r="195" customFormat="false" ht="15" hidden="false" customHeight="false" outlineLevel="0" collapsed="false">
      <c r="A195" s="0" t="s">
        <v>359</v>
      </c>
      <c r="B195" s="0" t="s">
        <v>354</v>
      </c>
      <c r="C195" s="0" t="s">
        <v>438</v>
      </c>
      <c r="D195" s="0" t="s">
        <v>439</v>
      </c>
      <c r="E195" s="0" t="s">
        <v>1750</v>
      </c>
      <c r="F195" s="0" t="s">
        <v>680</v>
      </c>
      <c r="G195" s="0" t="s">
        <v>2021</v>
      </c>
      <c r="CQ195" s="0" t="s">
        <v>3976</v>
      </c>
      <c r="CR195" s="0" t="s">
        <v>85</v>
      </c>
      <c r="CS195" s="0" t="s">
        <v>607</v>
      </c>
      <c r="CT195" s="0" t="s">
        <v>2680</v>
      </c>
      <c r="CU195" s="0" t="s">
        <v>90</v>
      </c>
      <c r="CV195" s="0" t="s">
        <v>242</v>
      </c>
      <c r="CW195" s="0" t="n">
        <v>0</v>
      </c>
      <c r="DB195" s="0" t="n">
        <v>850</v>
      </c>
      <c r="DC195" s="0" t="n">
        <v>850</v>
      </c>
      <c r="DD195" s="0" t="n">
        <v>850</v>
      </c>
      <c r="DE195" s="0" t="n">
        <v>850</v>
      </c>
      <c r="DG195" s="0" t="s">
        <v>3977</v>
      </c>
      <c r="DH195" s="0" t="s">
        <v>82</v>
      </c>
      <c r="DI195" s="0" t="s">
        <v>1454</v>
      </c>
      <c r="DJ195" s="0" t="s">
        <v>1455</v>
      </c>
      <c r="DK195" s="0" t="s">
        <v>705</v>
      </c>
      <c r="DL195" s="0" t="n">
        <v>15.38</v>
      </c>
      <c r="DM195" s="0" t="s">
        <v>676</v>
      </c>
      <c r="DN195" s="0" t="s">
        <v>675</v>
      </c>
      <c r="DO195" s="0" t="n">
        <v>0</v>
      </c>
      <c r="DP195" s="0" t="n">
        <v>0</v>
      </c>
      <c r="DQ195" s="0" t="n">
        <v>79.43</v>
      </c>
      <c r="DR195" s="0" t="s">
        <v>3978</v>
      </c>
      <c r="EB195" s="0" t="s">
        <v>3979</v>
      </c>
      <c r="EC195" s="0" t="s">
        <v>2609</v>
      </c>
      <c r="EE195" s="0" t="s">
        <v>590</v>
      </c>
      <c r="EL195" s="0" t="s">
        <v>3980</v>
      </c>
      <c r="EM195" s="0" t="s">
        <v>2644</v>
      </c>
      <c r="EN195" s="0" t="s">
        <v>2645</v>
      </c>
      <c r="EO195" s="0" t="n">
        <v>0.5</v>
      </c>
      <c r="EP195" s="0" t="s">
        <v>2552</v>
      </c>
      <c r="EQ195" s="0" t="s">
        <v>2553</v>
      </c>
      <c r="ER195" s="0" t="s">
        <v>2554</v>
      </c>
      <c r="ES195" s="0" t="n">
        <v>10695</v>
      </c>
      <c r="ET195" s="0" t="n">
        <v>10695</v>
      </c>
      <c r="EU195" s="0" t="n">
        <v>10695</v>
      </c>
      <c r="EV195" s="0" t="n">
        <v>10695</v>
      </c>
    </row>
    <row r="196" customFormat="false" ht="15" hidden="false" customHeight="false" outlineLevel="0" collapsed="false">
      <c r="A196" s="0" t="s">
        <v>359</v>
      </c>
      <c r="B196" s="0" t="s">
        <v>354</v>
      </c>
      <c r="C196" s="0" t="s">
        <v>440</v>
      </c>
      <c r="D196" s="0" t="s">
        <v>441</v>
      </c>
      <c r="E196" s="0" t="s">
        <v>1750</v>
      </c>
      <c r="F196" s="0" t="s">
        <v>680</v>
      </c>
      <c r="G196" s="0" t="s">
        <v>2021</v>
      </c>
      <c r="CQ196" s="0" t="s">
        <v>3981</v>
      </c>
      <c r="CR196" s="0" t="s">
        <v>85</v>
      </c>
      <c r="CS196" s="0" t="s">
        <v>229</v>
      </c>
      <c r="CT196" s="0" t="s">
        <v>227</v>
      </c>
      <c r="CU196" s="0" t="s">
        <v>90</v>
      </c>
      <c r="CV196" s="0" t="s">
        <v>228</v>
      </c>
      <c r="CW196" s="0" t="n">
        <v>0</v>
      </c>
      <c r="DB196" s="0" t="n">
        <v>270</v>
      </c>
      <c r="DC196" s="0" t="n">
        <v>300</v>
      </c>
      <c r="DD196" s="0" t="n">
        <v>330</v>
      </c>
      <c r="DE196" s="0" t="n">
        <v>350</v>
      </c>
      <c r="DG196" s="0" t="s">
        <v>3982</v>
      </c>
      <c r="DH196" s="0" t="s">
        <v>82</v>
      </c>
      <c r="DI196" s="0" t="s">
        <v>1459</v>
      </c>
      <c r="DJ196" s="0" t="s">
        <v>1460</v>
      </c>
      <c r="DK196" s="0" t="s">
        <v>705</v>
      </c>
      <c r="DL196" s="0" t="n">
        <v>15.38</v>
      </c>
      <c r="DM196" s="0" t="s">
        <v>676</v>
      </c>
      <c r="DN196" s="0" t="s">
        <v>676</v>
      </c>
      <c r="DO196" s="0" t="n">
        <v>0</v>
      </c>
      <c r="DP196" s="0" t="n">
        <v>0</v>
      </c>
      <c r="DQ196" s="0" t="n">
        <v>107.43</v>
      </c>
      <c r="DR196" s="0" t="s">
        <v>3983</v>
      </c>
      <c r="EB196" s="0" t="s">
        <v>3984</v>
      </c>
      <c r="EC196" s="0" t="s">
        <v>2609</v>
      </c>
      <c r="ED196" s="0" t="s">
        <v>2610</v>
      </c>
      <c r="EE196" s="0" t="s">
        <v>588</v>
      </c>
      <c r="EF196" s="0" t="s">
        <v>2801</v>
      </c>
      <c r="EG196" s="0" t="n">
        <v>1</v>
      </c>
      <c r="EH196" s="0" t="n">
        <v>1</v>
      </c>
      <c r="EI196" s="0" t="n">
        <v>1</v>
      </c>
      <c r="EJ196" s="0" t="n">
        <v>1</v>
      </c>
      <c r="EL196" s="0" t="s">
        <v>3985</v>
      </c>
      <c r="EM196" s="0" t="s">
        <v>2644</v>
      </c>
      <c r="EN196" s="0" t="s">
        <v>2645</v>
      </c>
      <c r="EO196" s="0" t="n">
        <v>1</v>
      </c>
      <c r="EP196" s="0" t="s">
        <v>2528</v>
      </c>
      <c r="EQ196" s="0" t="s">
        <v>2569</v>
      </c>
      <c r="ER196" s="0" t="s">
        <v>2570</v>
      </c>
      <c r="ES196" s="0" t="n">
        <v>14260</v>
      </c>
      <c r="ET196" s="0" t="n">
        <v>14260</v>
      </c>
      <c r="EU196" s="0" t="n">
        <v>14260</v>
      </c>
      <c r="EV196" s="0" t="n">
        <v>14260</v>
      </c>
    </row>
    <row r="197" customFormat="false" ht="15" hidden="false" customHeight="false" outlineLevel="0" collapsed="false">
      <c r="A197" s="0" t="s">
        <v>359</v>
      </c>
      <c r="B197" s="0" t="s">
        <v>354</v>
      </c>
      <c r="C197" s="0" t="s">
        <v>443</v>
      </c>
      <c r="D197" s="0" t="s">
        <v>444</v>
      </c>
      <c r="E197" s="0" t="s">
        <v>1750</v>
      </c>
      <c r="F197" s="0" t="s">
        <v>680</v>
      </c>
      <c r="G197" s="0" t="s">
        <v>2020</v>
      </c>
      <c r="CQ197" s="0" t="s">
        <v>3986</v>
      </c>
      <c r="CR197" s="0" t="s">
        <v>85</v>
      </c>
      <c r="CS197" s="0" t="s">
        <v>246</v>
      </c>
      <c r="CT197" s="0" t="s">
        <v>244</v>
      </c>
      <c r="CU197" s="0" t="s">
        <v>90</v>
      </c>
      <c r="CV197" s="0" t="s">
        <v>245</v>
      </c>
      <c r="CW197" s="0" t="n">
        <v>0</v>
      </c>
      <c r="DB197" s="0" t="n">
        <v>730</v>
      </c>
      <c r="DC197" s="0" t="n">
        <v>800</v>
      </c>
      <c r="DD197" s="0" t="n">
        <v>870</v>
      </c>
      <c r="DE197" s="0" t="n">
        <v>870</v>
      </c>
      <c r="DG197" s="0" t="s">
        <v>3987</v>
      </c>
      <c r="DH197" s="0" t="s">
        <v>82</v>
      </c>
      <c r="DJ197" s="0" t="s">
        <v>1119</v>
      </c>
      <c r="DK197" s="0" t="s">
        <v>674</v>
      </c>
      <c r="DL197" s="0" t="n">
        <v>11.54</v>
      </c>
      <c r="DM197" s="0" t="s">
        <v>675</v>
      </c>
      <c r="DN197" s="0" t="s">
        <v>675</v>
      </c>
      <c r="DO197" s="0" t="n">
        <v>0</v>
      </c>
      <c r="DP197" s="0" t="n">
        <v>0</v>
      </c>
      <c r="DQ197" s="0" t="n">
        <v>0</v>
      </c>
      <c r="DR197" s="0" t="s">
        <v>3434</v>
      </c>
      <c r="EB197" s="0" t="s">
        <v>3988</v>
      </c>
      <c r="EC197" s="0" t="s">
        <v>2609</v>
      </c>
      <c r="ED197" s="0" t="s">
        <v>2610</v>
      </c>
      <c r="EE197" s="0" t="s">
        <v>586</v>
      </c>
      <c r="EF197" s="0" t="s">
        <v>2815</v>
      </c>
      <c r="EG197" s="0" t="n">
        <v>1</v>
      </c>
      <c r="EH197" s="0" t="n">
        <v>1</v>
      </c>
      <c r="EI197" s="0" t="n">
        <v>1</v>
      </c>
      <c r="EJ197" s="0" t="n">
        <v>1</v>
      </c>
      <c r="EL197" s="0" t="s">
        <v>3989</v>
      </c>
      <c r="EM197" s="0" t="s">
        <v>2644</v>
      </c>
      <c r="EN197" s="0" t="s">
        <v>2645</v>
      </c>
      <c r="EO197" s="0" t="n">
        <v>1</v>
      </c>
      <c r="EP197" s="0" t="s">
        <v>2552</v>
      </c>
      <c r="EQ197" s="0" t="s">
        <v>2582</v>
      </c>
      <c r="ER197" s="0" t="s">
        <v>2583</v>
      </c>
      <c r="ES197" s="0" t="n">
        <v>21390</v>
      </c>
      <c r="ET197" s="0" t="n">
        <v>21390</v>
      </c>
      <c r="EU197" s="0" t="n">
        <v>21390</v>
      </c>
      <c r="EV197" s="0" t="n">
        <v>21390</v>
      </c>
    </row>
    <row r="198" customFormat="false" ht="15" hidden="false" customHeight="false" outlineLevel="0" collapsed="false">
      <c r="A198" s="0" t="s">
        <v>359</v>
      </c>
      <c r="B198" s="0" t="s">
        <v>354</v>
      </c>
      <c r="C198" s="0" t="s">
        <v>426</v>
      </c>
      <c r="D198" s="0" t="s">
        <v>427</v>
      </c>
      <c r="E198" s="0" t="s">
        <v>1750</v>
      </c>
      <c r="F198" s="0" t="s">
        <v>680</v>
      </c>
      <c r="G198" s="0" t="s">
        <v>2021</v>
      </c>
      <c r="CQ198" s="0" t="s">
        <v>3990</v>
      </c>
      <c r="CR198" s="0" t="s">
        <v>85</v>
      </c>
      <c r="CS198" s="0" t="s">
        <v>255</v>
      </c>
      <c r="CT198" s="0" t="s">
        <v>253</v>
      </c>
      <c r="CU198" s="0" t="s">
        <v>90</v>
      </c>
      <c r="CV198" s="0" t="s">
        <v>254</v>
      </c>
      <c r="CW198" s="0" t="n">
        <v>0</v>
      </c>
      <c r="DB198" s="0" t="n">
        <v>980</v>
      </c>
      <c r="DC198" s="0" t="n">
        <v>1080</v>
      </c>
      <c r="DD198" s="0" t="n">
        <v>1170</v>
      </c>
      <c r="DE198" s="0" t="n">
        <v>1170</v>
      </c>
      <c r="DG198" s="0" t="s">
        <v>3991</v>
      </c>
      <c r="DH198" s="0" t="s">
        <v>82</v>
      </c>
      <c r="DJ198" s="0" t="s">
        <v>1122</v>
      </c>
      <c r="DK198" s="0" t="s">
        <v>674</v>
      </c>
      <c r="DL198" s="0" t="n">
        <v>11.54</v>
      </c>
      <c r="DM198" s="0" t="s">
        <v>675</v>
      </c>
      <c r="DN198" s="0" t="s">
        <v>675</v>
      </c>
      <c r="DO198" s="0" t="n">
        <v>0</v>
      </c>
      <c r="DP198" s="0" t="n">
        <v>0</v>
      </c>
      <c r="DQ198" s="0" t="n">
        <v>0</v>
      </c>
      <c r="DR198" s="0" t="s">
        <v>3440</v>
      </c>
      <c r="EB198" s="0" t="s">
        <v>3992</v>
      </c>
      <c r="EC198" s="0" t="s">
        <v>2609</v>
      </c>
      <c r="ED198" s="0" t="s">
        <v>2610</v>
      </c>
      <c r="EE198" s="0" t="s">
        <v>584</v>
      </c>
      <c r="EF198" s="0" t="s">
        <v>583</v>
      </c>
      <c r="EG198" s="0" t="n">
        <v>120000</v>
      </c>
      <c r="EH198" s="0" t="n">
        <v>120000</v>
      </c>
      <c r="EI198" s="0" t="n">
        <v>120000</v>
      </c>
      <c r="EJ198" s="0" t="n">
        <v>120000</v>
      </c>
      <c r="EL198" s="0" t="s">
        <v>3993</v>
      </c>
      <c r="EM198" s="0" t="s">
        <v>2644</v>
      </c>
      <c r="EN198" s="0" t="s">
        <v>2645</v>
      </c>
      <c r="EO198" s="0" t="n">
        <v>1.5</v>
      </c>
      <c r="EP198" s="0" t="s">
        <v>2528</v>
      </c>
      <c r="EQ198" s="0" t="s">
        <v>2598</v>
      </c>
      <c r="ER198" s="0" t="s">
        <v>2599</v>
      </c>
      <c r="ES198" s="0" t="n">
        <v>21380</v>
      </c>
      <c r="ET198" s="0" t="n">
        <v>21380</v>
      </c>
      <c r="EU198" s="0" t="n">
        <v>21380</v>
      </c>
      <c r="EV198" s="0" t="n">
        <v>21380</v>
      </c>
    </row>
    <row r="199" customFormat="false" ht="15" hidden="false" customHeight="false" outlineLevel="0" collapsed="false">
      <c r="A199" s="0" t="s">
        <v>359</v>
      </c>
      <c r="B199" s="0" t="s">
        <v>354</v>
      </c>
      <c r="C199" s="0" t="s">
        <v>430</v>
      </c>
      <c r="D199" s="0" t="s">
        <v>431</v>
      </c>
      <c r="E199" s="0" t="s">
        <v>1750</v>
      </c>
      <c r="F199" s="0" t="s">
        <v>680</v>
      </c>
      <c r="G199" s="0" t="s">
        <v>2024</v>
      </c>
      <c r="CQ199" s="0" t="s">
        <v>3994</v>
      </c>
      <c r="CR199" s="0" t="s">
        <v>85</v>
      </c>
      <c r="CS199" s="0" t="s">
        <v>605</v>
      </c>
      <c r="CT199" s="0" t="s">
        <v>2697</v>
      </c>
      <c r="CU199" s="0" t="s">
        <v>90</v>
      </c>
      <c r="CV199" s="0" t="s">
        <v>3062</v>
      </c>
      <c r="CW199" s="0" t="n">
        <v>0</v>
      </c>
      <c r="DB199" s="0" t="n">
        <v>930</v>
      </c>
      <c r="DC199" s="0" t="n">
        <v>930</v>
      </c>
      <c r="DD199" s="0" t="n">
        <v>930</v>
      </c>
      <c r="DE199" s="0" t="n">
        <v>930</v>
      </c>
      <c r="DG199" s="0" t="s">
        <v>3995</v>
      </c>
      <c r="DH199" s="0" t="s">
        <v>82</v>
      </c>
      <c r="DI199" s="0" t="s">
        <v>1464</v>
      </c>
      <c r="DJ199" s="0" t="s">
        <v>1465</v>
      </c>
      <c r="DK199" s="0" t="s">
        <v>674</v>
      </c>
      <c r="DL199" s="0" t="n">
        <v>11.54</v>
      </c>
      <c r="DM199" s="0" t="s">
        <v>675</v>
      </c>
      <c r="DN199" s="0" t="s">
        <v>676</v>
      </c>
      <c r="DO199" s="0" t="n">
        <v>4</v>
      </c>
      <c r="DP199" s="0" t="n">
        <v>52.2</v>
      </c>
      <c r="DQ199" s="0" t="n">
        <v>52.2</v>
      </c>
      <c r="DR199" s="0" t="s">
        <v>3996</v>
      </c>
      <c r="EB199" s="0" t="s">
        <v>3997</v>
      </c>
      <c r="EC199" s="0" t="s">
        <v>2609</v>
      </c>
      <c r="ED199" s="0" t="s">
        <v>2610</v>
      </c>
      <c r="EE199" s="0" t="s">
        <v>330</v>
      </c>
      <c r="EF199" s="0" t="s">
        <v>331</v>
      </c>
      <c r="EG199" s="0" t="n">
        <v>475</v>
      </c>
      <c r="EH199" s="0" t="n">
        <v>525</v>
      </c>
      <c r="EI199" s="0" t="n">
        <v>525</v>
      </c>
      <c r="EJ199" s="0" t="n">
        <v>605</v>
      </c>
      <c r="EL199" s="0" t="s">
        <v>3998</v>
      </c>
      <c r="EM199" s="0" t="s">
        <v>2644</v>
      </c>
      <c r="EN199" s="0" t="s">
        <v>2645</v>
      </c>
      <c r="EO199" s="0" t="n">
        <v>1.5</v>
      </c>
      <c r="EP199" s="0" t="s">
        <v>2552</v>
      </c>
      <c r="EQ199" s="0" t="s">
        <v>2614</v>
      </c>
      <c r="ER199" s="0" t="s">
        <v>2615</v>
      </c>
      <c r="ES199" s="0" t="n">
        <v>32070</v>
      </c>
      <c r="ET199" s="0" t="n">
        <v>32070</v>
      </c>
      <c r="EU199" s="0" t="n">
        <v>32070</v>
      </c>
      <c r="EV199" s="0" t="n">
        <v>32070</v>
      </c>
    </row>
    <row r="200" customFormat="false" ht="15" hidden="false" customHeight="false" outlineLevel="0" collapsed="false">
      <c r="A200" s="0" t="s">
        <v>359</v>
      </c>
      <c r="B200" s="0" t="s">
        <v>354</v>
      </c>
      <c r="C200" s="0" t="s">
        <v>424</v>
      </c>
      <c r="D200" s="0" t="s">
        <v>425</v>
      </c>
      <c r="E200" s="0" t="s">
        <v>1750</v>
      </c>
      <c r="F200" s="0" t="s">
        <v>680</v>
      </c>
      <c r="G200" s="0" t="s">
        <v>2019</v>
      </c>
      <c r="CQ200" s="0" t="s">
        <v>3999</v>
      </c>
      <c r="CR200" s="0" t="s">
        <v>85</v>
      </c>
      <c r="CS200" s="0" t="s">
        <v>243</v>
      </c>
      <c r="CT200" s="0" t="s">
        <v>241</v>
      </c>
      <c r="CU200" s="0" t="s">
        <v>90</v>
      </c>
      <c r="CV200" s="0" t="s">
        <v>242</v>
      </c>
      <c r="CW200" s="0" t="n">
        <v>0</v>
      </c>
      <c r="DB200" s="0" t="n">
        <v>1250</v>
      </c>
      <c r="DC200" s="0" t="n">
        <v>1250</v>
      </c>
      <c r="DD200" s="0" t="n">
        <v>1250</v>
      </c>
      <c r="DE200" s="0" t="n">
        <v>1250</v>
      </c>
      <c r="DG200" s="0" t="s">
        <v>4000</v>
      </c>
      <c r="DH200" s="0" t="s">
        <v>82</v>
      </c>
      <c r="DI200" s="0" t="s">
        <v>1468</v>
      </c>
      <c r="DJ200" s="0" t="s">
        <v>1469</v>
      </c>
      <c r="DK200" s="0" t="s">
        <v>674</v>
      </c>
      <c r="DL200" s="0" t="n">
        <v>11.54</v>
      </c>
      <c r="DM200" s="0" t="s">
        <v>676</v>
      </c>
      <c r="DN200" s="0" t="s">
        <v>675</v>
      </c>
      <c r="DO200" s="0" t="n">
        <v>0</v>
      </c>
      <c r="DP200" s="0" t="n">
        <v>0</v>
      </c>
      <c r="DQ200" s="0" t="n">
        <v>22.91</v>
      </c>
      <c r="DR200" s="0" t="s">
        <v>4001</v>
      </c>
      <c r="EB200" s="0" t="s">
        <v>4002</v>
      </c>
      <c r="EC200" s="0" t="s">
        <v>2609</v>
      </c>
      <c r="ED200" s="0" t="s">
        <v>2610</v>
      </c>
      <c r="EE200" s="0" t="s">
        <v>334</v>
      </c>
      <c r="EF200" s="0" t="s">
        <v>335</v>
      </c>
      <c r="EG200" s="0" t="n">
        <v>240</v>
      </c>
      <c r="EH200" s="0" t="n">
        <v>265</v>
      </c>
      <c r="EI200" s="0" t="n">
        <v>265</v>
      </c>
      <c r="EJ200" s="0" t="n">
        <v>305</v>
      </c>
      <c r="EL200" s="0" t="s">
        <v>4003</v>
      </c>
      <c r="EM200" s="0" t="s">
        <v>2644</v>
      </c>
      <c r="EN200" s="0" t="s">
        <v>2645</v>
      </c>
      <c r="EO200" s="0" t="n">
        <v>2</v>
      </c>
      <c r="EP200" s="0" t="s">
        <v>2528</v>
      </c>
      <c r="EQ200" s="0" t="s">
        <v>2630</v>
      </c>
      <c r="ER200" s="0" t="s">
        <v>2631</v>
      </c>
      <c r="ES200" s="0" t="n">
        <v>28510</v>
      </c>
      <c r="ET200" s="0" t="n">
        <v>28510</v>
      </c>
      <c r="EU200" s="0" t="n">
        <v>28510</v>
      </c>
      <c r="EV200" s="0" t="n">
        <v>28510</v>
      </c>
    </row>
    <row r="201" customFormat="false" ht="15" hidden="false" customHeight="false" outlineLevel="0" collapsed="false">
      <c r="A201" s="0" t="s">
        <v>359</v>
      </c>
      <c r="B201" s="0" t="s">
        <v>354</v>
      </c>
      <c r="C201" s="0" t="s">
        <v>428</v>
      </c>
      <c r="D201" s="0" t="s">
        <v>429</v>
      </c>
      <c r="E201" s="0" t="s">
        <v>1750</v>
      </c>
      <c r="F201" s="0" t="s">
        <v>680</v>
      </c>
      <c r="G201" s="0" t="s">
        <v>2019</v>
      </c>
      <c r="CQ201" s="0" t="s">
        <v>4004</v>
      </c>
      <c r="CR201" s="0" t="s">
        <v>85</v>
      </c>
      <c r="CS201" s="0" t="s">
        <v>599</v>
      </c>
      <c r="CT201" s="0" t="s">
        <v>2745</v>
      </c>
      <c r="CU201" s="0" t="s">
        <v>79</v>
      </c>
      <c r="CV201" s="0" t="s">
        <v>3081</v>
      </c>
      <c r="CW201" s="0" t="n">
        <v>0</v>
      </c>
      <c r="DB201" s="0" t="n">
        <v>1500</v>
      </c>
      <c r="DC201" s="0" t="n">
        <v>1500</v>
      </c>
      <c r="DD201" s="0" t="n">
        <v>1500</v>
      </c>
      <c r="DE201" s="0" t="n">
        <v>1500</v>
      </c>
      <c r="DG201" s="0" t="s">
        <v>4005</v>
      </c>
      <c r="DH201" s="0" t="s">
        <v>82</v>
      </c>
      <c r="DI201" s="0" t="s">
        <v>1473</v>
      </c>
      <c r="DJ201" s="0" t="s">
        <v>1474</v>
      </c>
      <c r="DK201" s="0" t="s">
        <v>674</v>
      </c>
      <c r="DL201" s="0" t="n">
        <v>11.54</v>
      </c>
      <c r="DM201" s="0" t="s">
        <v>675</v>
      </c>
      <c r="DN201" s="0" t="s">
        <v>676</v>
      </c>
      <c r="DO201" s="0" t="n">
        <v>1</v>
      </c>
      <c r="DP201" s="0" t="n">
        <v>687</v>
      </c>
      <c r="DQ201" s="0" t="n">
        <v>687</v>
      </c>
      <c r="DR201" s="0" t="s">
        <v>4006</v>
      </c>
      <c r="EB201" s="0" t="s">
        <v>4007</v>
      </c>
      <c r="EC201" s="0" t="s">
        <v>2609</v>
      </c>
      <c r="EE201" s="0" t="s">
        <v>582</v>
      </c>
      <c r="EL201" s="0" t="s">
        <v>4008</v>
      </c>
      <c r="EM201" s="0" t="s">
        <v>2644</v>
      </c>
      <c r="EN201" s="0" t="s">
        <v>2645</v>
      </c>
      <c r="EO201" s="0" t="n">
        <v>2</v>
      </c>
      <c r="EP201" s="0" t="s">
        <v>2552</v>
      </c>
      <c r="EQ201" s="0" t="s">
        <v>2649</v>
      </c>
      <c r="ER201" s="0" t="s">
        <v>2650</v>
      </c>
      <c r="ES201" s="0" t="n">
        <v>42765</v>
      </c>
      <c r="ET201" s="0" t="n">
        <v>42765</v>
      </c>
      <c r="EU201" s="0" t="n">
        <v>42765</v>
      </c>
      <c r="EV201" s="0" t="n">
        <v>42765</v>
      </c>
    </row>
    <row r="202" customFormat="false" ht="15" hidden="false" customHeight="false" outlineLevel="0" collapsed="false">
      <c r="A202" s="0" t="s">
        <v>359</v>
      </c>
      <c r="B202" s="0" t="s">
        <v>360</v>
      </c>
      <c r="C202" s="0" t="s">
        <v>448</v>
      </c>
      <c r="D202" s="0" t="s">
        <v>449</v>
      </c>
      <c r="E202" s="0" t="s">
        <v>1750</v>
      </c>
      <c r="F202" s="0" t="s">
        <v>680</v>
      </c>
      <c r="G202" s="0" t="s">
        <v>1503</v>
      </c>
      <c r="CQ202" s="0" t="s">
        <v>4009</v>
      </c>
      <c r="CR202" s="0" t="s">
        <v>85</v>
      </c>
      <c r="CS202" s="0" t="s">
        <v>597</v>
      </c>
      <c r="CT202" s="0" t="s">
        <v>2759</v>
      </c>
      <c r="CU202" s="0" t="s">
        <v>79</v>
      </c>
      <c r="CV202" s="0" t="s">
        <v>3081</v>
      </c>
      <c r="CW202" s="0" t="n">
        <v>0</v>
      </c>
      <c r="DB202" s="0" t="n">
        <v>3000</v>
      </c>
      <c r="DC202" s="0" t="n">
        <v>3000</v>
      </c>
      <c r="DD202" s="0" t="n">
        <v>3000</v>
      </c>
      <c r="DE202" s="0" t="n">
        <v>3000</v>
      </c>
      <c r="DG202" s="0" t="s">
        <v>4010</v>
      </c>
      <c r="DH202" s="0" t="s">
        <v>82</v>
      </c>
      <c r="DI202" s="0" t="s">
        <v>1478</v>
      </c>
      <c r="DJ202" s="0" t="s">
        <v>1479</v>
      </c>
      <c r="DK202" s="0" t="s">
        <v>674</v>
      </c>
      <c r="DL202" s="0" t="n">
        <v>11.54</v>
      </c>
      <c r="DM202" s="0" t="s">
        <v>675</v>
      </c>
      <c r="DN202" s="0" t="s">
        <v>676</v>
      </c>
      <c r="DO202" s="0" t="n">
        <v>1</v>
      </c>
      <c r="DP202" s="0" t="n">
        <v>14.5</v>
      </c>
      <c r="DQ202" s="0" t="n">
        <v>14.5</v>
      </c>
      <c r="DR202" s="0" t="s">
        <v>4011</v>
      </c>
      <c r="EB202" s="0" t="s">
        <v>4012</v>
      </c>
      <c r="EC202" s="0" t="s">
        <v>2609</v>
      </c>
      <c r="ED202" s="0" t="s">
        <v>2610</v>
      </c>
      <c r="EE202" s="0" t="s">
        <v>579</v>
      </c>
      <c r="EF202" s="0" t="s">
        <v>2889</v>
      </c>
      <c r="EG202" s="0" t="n">
        <v>1510</v>
      </c>
      <c r="EH202" s="0" t="n">
        <v>1510</v>
      </c>
      <c r="EI202" s="0" t="n">
        <v>1510</v>
      </c>
      <c r="EJ202" s="0" t="n">
        <v>1510</v>
      </c>
      <c r="EL202" s="0" t="s">
        <v>4013</v>
      </c>
      <c r="EM202" s="0" t="s">
        <v>2644</v>
      </c>
      <c r="EN202" s="0" t="s">
        <v>2645</v>
      </c>
      <c r="EO202" s="0" t="n">
        <v>2.5</v>
      </c>
      <c r="EP202" s="0" t="s">
        <v>2528</v>
      </c>
      <c r="EQ202" s="0" t="s">
        <v>2665</v>
      </c>
      <c r="ER202" s="0" t="s">
        <v>2666</v>
      </c>
      <c r="ES202" s="0" t="n">
        <v>38020</v>
      </c>
      <c r="ET202" s="0" t="n">
        <v>38020</v>
      </c>
      <c r="EU202" s="0" t="n">
        <v>38020</v>
      </c>
      <c r="EV202" s="0" t="n">
        <v>38020</v>
      </c>
    </row>
    <row r="203" customFormat="false" ht="15" hidden="false" customHeight="false" outlineLevel="0" collapsed="false">
      <c r="A203" s="0" t="s">
        <v>359</v>
      </c>
      <c r="B203" s="0" t="s">
        <v>360</v>
      </c>
      <c r="C203" s="0" t="s">
        <v>450</v>
      </c>
      <c r="D203" s="0" t="s">
        <v>451</v>
      </c>
      <c r="E203" s="0" t="s">
        <v>1750</v>
      </c>
      <c r="F203" s="0" t="s">
        <v>680</v>
      </c>
      <c r="G203" s="0" t="s">
        <v>1503</v>
      </c>
      <c r="CQ203" s="0" t="s">
        <v>4014</v>
      </c>
      <c r="CR203" s="0" t="s">
        <v>85</v>
      </c>
      <c r="CS203" s="0" t="s">
        <v>261</v>
      </c>
      <c r="CT203" s="0" t="s">
        <v>259</v>
      </c>
      <c r="CU203" s="0" t="s">
        <v>2266</v>
      </c>
      <c r="CV203" s="0" t="s">
        <v>260</v>
      </c>
      <c r="CW203" s="0" t="n">
        <v>0</v>
      </c>
      <c r="DB203" s="0" t="n">
        <v>860</v>
      </c>
      <c r="DC203" s="0" t="n">
        <v>950</v>
      </c>
      <c r="DD203" s="0" t="n">
        <v>1020</v>
      </c>
      <c r="DE203" s="0" t="n">
        <v>1020</v>
      </c>
      <c r="DG203" s="0" t="s">
        <v>4015</v>
      </c>
      <c r="DH203" s="0" t="s">
        <v>82</v>
      </c>
      <c r="DI203" s="0" t="s">
        <v>1413</v>
      </c>
      <c r="DJ203" s="0" t="s">
        <v>1481</v>
      </c>
      <c r="DK203" s="0" t="s">
        <v>674</v>
      </c>
      <c r="DL203" s="0" t="n">
        <v>11.54</v>
      </c>
      <c r="DM203" s="0" t="s">
        <v>676</v>
      </c>
      <c r="DN203" s="0" t="s">
        <v>675</v>
      </c>
      <c r="DO203" s="0" t="n">
        <v>0</v>
      </c>
      <c r="DP203" s="0" t="n">
        <v>0</v>
      </c>
      <c r="DQ203" s="0" t="n">
        <v>699</v>
      </c>
      <c r="DR203" s="0" t="s">
        <v>4016</v>
      </c>
      <c r="EB203" s="0" t="s">
        <v>4017</v>
      </c>
      <c r="EC203" s="0" t="s">
        <v>2609</v>
      </c>
      <c r="ED203" s="0" t="s">
        <v>2610</v>
      </c>
      <c r="EE203" s="0" t="s">
        <v>575</v>
      </c>
      <c r="EF203" s="0" t="s">
        <v>573</v>
      </c>
      <c r="EG203" s="0" t="n">
        <v>1</v>
      </c>
      <c r="EH203" s="0" t="n">
        <v>1</v>
      </c>
      <c r="EI203" s="0" t="n">
        <v>1</v>
      </c>
      <c r="EJ203" s="0" t="n">
        <v>1</v>
      </c>
      <c r="EL203" s="0" t="s">
        <v>4018</v>
      </c>
      <c r="EM203" s="0" t="s">
        <v>2644</v>
      </c>
      <c r="EN203" s="0" t="s">
        <v>2645</v>
      </c>
      <c r="EO203" s="0" t="n">
        <v>2.5</v>
      </c>
      <c r="EP203" s="0" t="s">
        <v>2552</v>
      </c>
      <c r="EQ203" s="0" t="s">
        <v>2682</v>
      </c>
      <c r="ER203" s="0" t="s">
        <v>2683</v>
      </c>
      <c r="ES203" s="0" t="n">
        <v>57030</v>
      </c>
      <c r="ET203" s="0" t="n">
        <v>57030</v>
      </c>
      <c r="EU203" s="0" t="n">
        <v>57030</v>
      </c>
      <c r="EV203" s="0" t="n">
        <v>57030</v>
      </c>
    </row>
    <row r="204" customFormat="false" ht="15" hidden="false" customHeight="false" outlineLevel="0" collapsed="false">
      <c r="A204" s="0" t="s">
        <v>359</v>
      </c>
      <c r="B204" s="0" t="s">
        <v>360</v>
      </c>
      <c r="C204" s="0" t="s">
        <v>446</v>
      </c>
      <c r="D204" s="0" t="s">
        <v>447</v>
      </c>
      <c r="E204" s="0" t="s">
        <v>1750</v>
      </c>
      <c r="F204" s="0" t="s">
        <v>684</v>
      </c>
      <c r="G204" s="0" t="s">
        <v>1503</v>
      </c>
      <c r="CQ204" s="0" t="s">
        <v>4019</v>
      </c>
      <c r="CR204" s="0" t="s">
        <v>85</v>
      </c>
      <c r="CS204" s="0" t="s">
        <v>584</v>
      </c>
      <c r="CT204" s="0" t="s">
        <v>583</v>
      </c>
      <c r="CU204" s="0" t="s">
        <v>3111</v>
      </c>
      <c r="CV204" s="0" t="s">
        <v>3112</v>
      </c>
      <c r="CW204" s="0" t="n">
        <v>0</v>
      </c>
      <c r="DB204" s="0" t="n">
        <v>100000</v>
      </c>
      <c r="DC204" s="0" t="n">
        <v>100000</v>
      </c>
      <c r="DD204" s="0" t="n">
        <v>100000</v>
      </c>
      <c r="DE204" s="0" t="n">
        <v>100000</v>
      </c>
      <c r="DG204" s="0" t="s">
        <v>4020</v>
      </c>
      <c r="DH204" s="0" t="s">
        <v>82</v>
      </c>
      <c r="DI204" s="0" t="s">
        <v>1482</v>
      </c>
      <c r="DJ204" s="0" t="s">
        <v>1483</v>
      </c>
      <c r="DK204" s="0" t="s">
        <v>674</v>
      </c>
      <c r="DL204" s="0" t="n">
        <v>11.54</v>
      </c>
      <c r="DM204" s="0" t="s">
        <v>675</v>
      </c>
      <c r="DN204" s="0" t="s">
        <v>676</v>
      </c>
      <c r="DO204" s="0" t="n">
        <v>1</v>
      </c>
      <c r="DP204" s="0" t="n">
        <v>37.24</v>
      </c>
      <c r="DQ204" s="0" t="n">
        <v>37.24</v>
      </c>
      <c r="DR204" s="0" t="s">
        <v>4021</v>
      </c>
      <c r="EB204" s="0" t="s">
        <v>4022</v>
      </c>
      <c r="EC204" s="0" t="s">
        <v>2609</v>
      </c>
      <c r="ED204" s="0" t="s">
        <v>2610</v>
      </c>
      <c r="EE204" s="0" t="s">
        <v>2917</v>
      </c>
      <c r="EF204" s="0" t="s">
        <v>3375</v>
      </c>
      <c r="EG204" s="0" t="n">
        <v>1200</v>
      </c>
      <c r="EH204" s="0" t="n">
        <v>1200</v>
      </c>
      <c r="EI204" s="0" t="n">
        <v>1200</v>
      </c>
      <c r="EJ204" s="0" t="n">
        <v>1200</v>
      </c>
      <c r="EL204" s="0" t="s">
        <v>4023</v>
      </c>
      <c r="EM204" s="0" t="s">
        <v>2644</v>
      </c>
      <c r="EN204" s="0" t="s">
        <v>2645</v>
      </c>
      <c r="EO204" s="0" t="n">
        <v>3</v>
      </c>
      <c r="EP204" s="0" t="s">
        <v>2528</v>
      </c>
      <c r="EQ204" s="0" t="s">
        <v>2699</v>
      </c>
      <c r="ER204" s="0" t="s">
        <v>2700</v>
      </c>
      <c r="ES204" s="0" t="n">
        <v>45140</v>
      </c>
      <c r="ET204" s="0" t="n">
        <v>45140</v>
      </c>
      <c r="EU204" s="0" t="n">
        <v>45140</v>
      </c>
      <c r="EV204" s="0" t="n">
        <v>45140</v>
      </c>
    </row>
    <row r="205" customFormat="false" ht="15" hidden="false" customHeight="false" outlineLevel="0" collapsed="false">
      <c r="A205" s="0" t="s">
        <v>359</v>
      </c>
      <c r="B205" s="0" t="s">
        <v>360</v>
      </c>
      <c r="C205" s="0" t="s">
        <v>452</v>
      </c>
      <c r="D205" s="0" t="s">
        <v>453</v>
      </c>
      <c r="E205" s="0" t="s">
        <v>1750</v>
      </c>
      <c r="F205" s="0" t="s">
        <v>680</v>
      </c>
      <c r="G205" s="0" t="s">
        <v>2031</v>
      </c>
      <c r="CQ205" s="0" t="s">
        <v>4024</v>
      </c>
      <c r="CR205" s="0" t="s">
        <v>85</v>
      </c>
      <c r="CS205" s="0" t="s">
        <v>575</v>
      </c>
      <c r="CT205" s="0" t="s">
        <v>573</v>
      </c>
      <c r="CU205" s="0" t="s">
        <v>3111</v>
      </c>
      <c r="CV205" s="0" t="s">
        <v>3119</v>
      </c>
      <c r="CW205" s="0" t="n">
        <v>0</v>
      </c>
      <c r="DB205" s="0" t="n">
        <v>2000</v>
      </c>
      <c r="DC205" s="0" t="n">
        <v>2000</v>
      </c>
      <c r="DD205" s="0" t="n">
        <v>2000</v>
      </c>
      <c r="DE205" s="0" t="n">
        <v>2000</v>
      </c>
      <c r="DG205" s="0" t="s">
        <v>4025</v>
      </c>
      <c r="DH205" s="0" t="s">
        <v>82</v>
      </c>
      <c r="DI205" s="0" t="s">
        <v>1485</v>
      </c>
      <c r="DJ205" s="0" t="s">
        <v>1486</v>
      </c>
      <c r="DK205" s="0" t="s">
        <v>674</v>
      </c>
      <c r="DL205" s="0" t="n">
        <v>11.54</v>
      </c>
      <c r="DM205" s="0" t="s">
        <v>675</v>
      </c>
      <c r="DN205" s="0" t="s">
        <v>676</v>
      </c>
      <c r="DO205" s="0" t="n">
        <v>1</v>
      </c>
      <c r="DP205" s="0" t="n">
        <v>37.25</v>
      </c>
      <c r="DQ205" s="0" t="n">
        <v>37.25</v>
      </c>
      <c r="DR205" s="0" t="s">
        <v>4026</v>
      </c>
      <c r="EB205" s="0" t="s">
        <v>4027</v>
      </c>
      <c r="EC205" s="0" t="s">
        <v>2609</v>
      </c>
      <c r="ED205" s="0" t="s">
        <v>2610</v>
      </c>
      <c r="EE205" s="0" t="s">
        <v>2932</v>
      </c>
      <c r="EF205" s="0" t="s">
        <v>3383</v>
      </c>
      <c r="EG205" s="0" t="n">
        <v>3000</v>
      </c>
      <c r="EH205" s="0" t="n">
        <v>3000</v>
      </c>
      <c r="EI205" s="0" t="n">
        <v>3000</v>
      </c>
      <c r="EJ205" s="0" t="n">
        <v>3000</v>
      </c>
      <c r="EL205" s="0" t="s">
        <v>4028</v>
      </c>
      <c r="EM205" s="0" t="s">
        <v>2644</v>
      </c>
      <c r="EN205" s="0" t="s">
        <v>2645</v>
      </c>
      <c r="EO205" s="0" t="n">
        <v>3</v>
      </c>
      <c r="EP205" s="0" t="s">
        <v>2552</v>
      </c>
      <c r="EQ205" s="0" t="s">
        <v>2715</v>
      </c>
      <c r="ER205" s="0" t="s">
        <v>2716</v>
      </c>
      <c r="ES205" s="0" t="n">
        <v>67710</v>
      </c>
      <c r="ET205" s="0" t="n">
        <v>67710</v>
      </c>
      <c r="EU205" s="0" t="n">
        <v>67710</v>
      </c>
      <c r="EV205" s="0" t="n">
        <v>67710</v>
      </c>
    </row>
    <row r="206" customFormat="false" ht="15" hidden="false" customHeight="false" outlineLevel="0" collapsed="false">
      <c r="A206" s="0" t="s">
        <v>359</v>
      </c>
      <c r="B206" s="0" t="s">
        <v>368</v>
      </c>
      <c r="C206" s="0" t="s">
        <v>468</v>
      </c>
      <c r="D206" s="0" t="s">
        <v>469</v>
      </c>
      <c r="E206" s="0" t="s">
        <v>1463</v>
      </c>
      <c r="F206" s="0" t="s">
        <v>680</v>
      </c>
      <c r="G206" s="0" t="s">
        <v>1503</v>
      </c>
      <c r="CQ206" s="0" t="s">
        <v>4029</v>
      </c>
      <c r="CR206" s="0" t="s">
        <v>85</v>
      </c>
      <c r="CS206" s="0" t="s">
        <v>562</v>
      </c>
      <c r="CT206" s="0" t="s">
        <v>2986</v>
      </c>
      <c r="CU206" s="0" t="s">
        <v>79</v>
      </c>
      <c r="CV206" s="0" t="s">
        <v>3126</v>
      </c>
      <c r="CW206" s="0" t="n">
        <v>0</v>
      </c>
      <c r="DB206" s="0" t="n">
        <v>550</v>
      </c>
      <c r="DC206" s="0" t="n">
        <v>850</v>
      </c>
      <c r="DD206" s="0" t="n">
        <v>1200</v>
      </c>
      <c r="DE206" s="0" t="n">
        <v>1200</v>
      </c>
      <c r="DG206" s="0" t="s">
        <v>4030</v>
      </c>
      <c r="DH206" s="0" t="s">
        <v>82</v>
      </c>
      <c r="DI206" s="0" t="s">
        <v>1488</v>
      </c>
      <c r="DJ206" s="0" t="s">
        <v>1489</v>
      </c>
      <c r="DK206" s="0" t="s">
        <v>674</v>
      </c>
      <c r="DL206" s="0" t="n">
        <v>11.54</v>
      </c>
      <c r="DM206" s="0" t="s">
        <v>676</v>
      </c>
      <c r="DN206" s="0" t="s">
        <v>675</v>
      </c>
      <c r="DO206" s="0" t="n">
        <v>0</v>
      </c>
      <c r="DP206" s="0" t="n">
        <v>0</v>
      </c>
      <c r="DQ206" s="0" t="n">
        <v>60.35</v>
      </c>
      <c r="DR206" s="0" t="s">
        <v>4031</v>
      </c>
      <c r="EB206" s="0" t="s">
        <v>4032</v>
      </c>
      <c r="EC206" s="0" t="s">
        <v>2609</v>
      </c>
      <c r="ED206" s="0" t="s">
        <v>2610</v>
      </c>
      <c r="EE206" s="0" t="s">
        <v>2946</v>
      </c>
      <c r="EF206" s="0" t="s">
        <v>3389</v>
      </c>
      <c r="EG206" s="0" t="n">
        <v>4000</v>
      </c>
      <c r="EH206" s="0" t="n">
        <v>4000</v>
      </c>
      <c r="EI206" s="0" t="n">
        <v>4000</v>
      </c>
      <c r="EJ206" s="0" t="n">
        <v>4000</v>
      </c>
      <c r="EL206" s="0" t="s">
        <v>4033</v>
      </c>
      <c r="EM206" s="0" t="s">
        <v>2644</v>
      </c>
      <c r="EN206" s="0" t="s">
        <v>2645</v>
      </c>
      <c r="EO206" s="0" t="n">
        <v>3.5</v>
      </c>
      <c r="EP206" s="0" t="s">
        <v>2528</v>
      </c>
      <c r="EQ206" s="0" t="s">
        <v>2730</v>
      </c>
      <c r="ER206" s="0" t="s">
        <v>2731</v>
      </c>
      <c r="ES206" s="0" t="n">
        <v>53460</v>
      </c>
      <c r="ET206" s="0" t="n">
        <v>53460</v>
      </c>
      <c r="EU206" s="0" t="n">
        <v>53460</v>
      </c>
      <c r="EV206" s="0" t="n">
        <v>53460</v>
      </c>
    </row>
    <row r="207" customFormat="false" ht="15" hidden="false" customHeight="false" outlineLevel="0" collapsed="false">
      <c r="A207" s="0" t="s">
        <v>359</v>
      </c>
      <c r="B207" s="0" t="s">
        <v>368</v>
      </c>
      <c r="C207" s="0" t="s">
        <v>464</v>
      </c>
      <c r="D207" s="0" t="s">
        <v>465</v>
      </c>
      <c r="E207" s="0" t="s">
        <v>1750</v>
      </c>
      <c r="F207" s="0" t="s">
        <v>680</v>
      </c>
      <c r="G207" s="0" t="s">
        <v>1503</v>
      </c>
      <c r="CQ207" s="0" t="s">
        <v>4034</v>
      </c>
      <c r="CR207" s="0" t="s">
        <v>85</v>
      </c>
      <c r="CS207" s="0" t="s">
        <v>602</v>
      </c>
      <c r="CT207" s="0" t="s">
        <v>2728</v>
      </c>
      <c r="CU207" s="0" t="s">
        <v>79</v>
      </c>
      <c r="CV207" s="0" t="s">
        <v>600</v>
      </c>
      <c r="CW207" s="0" t="n">
        <v>0</v>
      </c>
      <c r="DB207" s="0" t="n">
        <v>350</v>
      </c>
      <c r="DC207" s="0" t="n">
        <v>350</v>
      </c>
      <c r="DD207" s="0" t="n">
        <v>350</v>
      </c>
      <c r="DE207" s="0" t="n">
        <v>350</v>
      </c>
      <c r="DG207" s="0" t="s">
        <v>4035</v>
      </c>
      <c r="DH207" s="0" t="s">
        <v>82</v>
      </c>
      <c r="DI207" s="0" t="s">
        <v>1491</v>
      </c>
      <c r="DJ207" s="0" t="s">
        <v>1492</v>
      </c>
      <c r="DK207" s="0" t="s">
        <v>674</v>
      </c>
      <c r="DL207" s="0" t="n">
        <v>11.54</v>
      </c>
      <c r="DM207" s="0" t="s">
        <v>676</v>
      </c>
      <c r="DN207" s="0" t="s">
        <v>675</v>
      </c>
      <c r="DO207" s="0" t="n">
        <v>0</v>
      </c>
      <c r="DP207" s="0" t="n">
        <v>0</v>
      </c>
      <c r="DQ207" s="0" t="n">
        <v>24.28</v>
      </c>
      <c r="DR207" s="0" t="s">
        <v>4036</v>
      </c>
      <c r="EB207" s="0" t="s">
        <v>4037</v>
      </c>
      <c r="EC207" s="0" t="s">
        <v>2609</v>
      </c>
      <c r="ED207" s="0" t="s">
        <v>2610</v>
      </c>
      <c r="EE207" s="0" t="s">
        <v>567</v>
      </c>
      <c r="EF207" s="0" t="s">
        <v>2959</v>
      </c>
      <c r="EG207" s="0" t="n">
        <v>1</v>
      </c>
      <c r="EH207" s="0" t="n">
        <v>1</v>
      </c>
      <c r="EI207" s="0" t="n">
        <v>1</v>
      </c>
      <c r="EJ207" s="0" t="n">
        <v>1</v>
      </c>
      <c r="EL207" s="0" t="s">
        <v>4038</v>
      </c>
      <c r="EM207" s="0" t="s">
        <v>2644</v>
      </c>
      <c r="EN207" s="0" t="s">
        <v>2645</v>
      </c>
      <c r="EO207" s="0" t="n">
        <v>3.5</v>
      </c>
      <c r="EP207" s="0" t="s">
        <v>2552</v>
      </c>
      <c r="EQ207" s="0" t="s">
        <v>2747</v>
      </c>
      <c r="ER207" s="0" t="s">
        <v>2748</v>
      </c>
      <c r="ES207" s="0" t="n">
        <v>80190</v>
      </c>
      <c r="ET207" s="0" t="n">
        <v>80190</v>
      </c>
      <c r="EU207" s="0" t="n">
        <v>80190</v>
      </c>
      <c r="EV207" s="0" t="n">
        <v>80190</v>
      </c>
    </row>
    <row r="208" customFormat="false" ht="15" hidden="false" customHeight="false" outlineLevel="0" collapsed="false">
      <c r="A208" s="0" t="s">
        <v>359</v>
      </c>
      <c r="B208" s="0" t="s">
        <v>368</v>
      </c>
      <c r="C208" s="0" t="s">
        <v>458</v>
      </c>
      <c r="D208" s="0" t="s">
        <v>459</v>
      </c>
      <c r="E208" s="0" t="s">
        <v>1750</v>
      </c>
      <c r="F208" s="0" t="s">
        <v>680</v>
      </c>
      <c r="G208" s="0" t="s">
        <v>1503</v>
      </c>
      <c r="CQ208" s="0" t="s">
        <v>4039</v>
      </c>
      <c r="CR208" s="0" t="s">
        <v>85</v>
      </c>
      <c r="CS208" s="0" t="s">
        <v>567</v>
      </c>
      <c r="CT208" s="0" t="s">
        <v>2959</v>
      </c>
      <c r="CU208" s="0" t="s">
        <v>79</v>
      </c>
      <c r="CV208" s="0" t="s">
        <v>3139</v>
      </c>
      <c r="CW208" s="0" t="n">
        <v>0</v>
      </c>
      <c r="DB208" s="0" t="n">
        <v>1250</v>
      </c>
      <c r="DC208" s="0" t="n">
        <v>1250</v>
      </c>
      <c r="DD208" s="0" t="n">
        <v>1250</v>
      </c>
      <c r="DE208" s="0" t="n">
        <v>1250</v>
      </c>
      <c r="DG208" s="0" t="s">
        <v>4040</v>
      </c>
      <c r="DH208" s="0" t="s">
        <v>82</v>
      </c>
      <c r="DI208" s="0" t="s">
        <v>1496</v>
      </c>
      <c r="DJ208" s="0" t="s">
        <v>1497</v>
      </c>
      <c r="DK208" s="0" t="s">
        <v>674</v>
      </c>
      <c r="DL208" s="0" t="n">
        <v>11.54</v>
      </c>
      <c r="DM208" s="0" t="s">
        <v>676</v>
      </c>
      <c r="DN208" s="0" t="s">
        <v>675</v>
      </c>
      <c r="DO208" s="0" t="n">
        <v>0</v>
      </c>
      <c r="DP208" s="0" t="n">
        <v>0</v>
      </c>
      <c r="DQ208" s="0" t="n">
        <v>2.5</v>
      </c>
      <c r="DR208" s="0" t="s">
        <v>4041</v>
      </c>
      <c r="EB208" s="0" t="s">
        <v>4042</v>
      </c>
      <c r="EC208" s="0" t="s">
        <v>2609</v>
      </c>
      <c r="ED208" s="0" t="s">
        <v>2610</v>
      </c>
      <c r="EE208" s="0" t="s">
        <v>569</v>
      </c>
      <c r="EF208" s="0" t="s">
        <v>2973</v>
      </c>
      <c r="EG208" s="0" t="n">
        <v>6000</v>
      </c>
      <c r="EH208" s="0" t="n">
        <v>6000</v>
      </c>
      <c r="EI208" s="0" t="n">
        <v>6000</v>
      </c>
      <c r="EJ208" s="0" t="n">
        <v>6000</v>
      </c>
      <c r="EL208" s="0" t="s">
        <v>4043</v>
      </c>
      <c r="EM208" s="0" t="s">
        <v>2644</v>
      </c>
      <c r="EN208" s="0" t="s">
        <v>2645</v>
      </c>
      <c r="EO208" s="0" t="n">
        <v>4</v>
      </c>
      <c r="EP208" s="0" t="s">
        <v>2528</v>
      </c>
      <c r="EQ208" s="0" t="s">
        <v>2761</v>
      </c>
      <c r="ER208" s="0" t="s">
        <v>2762</v>
      </c>
      <c r="ES208" s="0" t="n">
        <v>60590</v>
      </c>
      <c r="ET208" s="0" t="n">
        <v>60590</v>
      </c>
      <c r="EU208" s="0" t="n">
        <v>60590</v>
      </c>
      <c r="EV208" s="0" t="n">
        <v>60590</v>
      </c>
    </row>
    <row r="209" customFormat="false" ht="15" hidden="false" customHeight="false" outlineLevel="0" collapsed="false">
      <c r="A209" s="0" t="s">
        <v>359</v>
      </c>
      <c r="B209" s="0" t="s">
        <v>368</v>
      </c>
      <c r="C209" s="0" t="s">
        <v>456</v>
      </c>
      <c r="D209" s="0" t="s">
        <v>457</v>
      </c>
      <c r="E209" s="0" t="s">
        <v>1463</v>
      </c>
      <c r="F209" s="0" t="s">
        <v>680</v>
      </c>
      <c r="G209" s="0" t="s">
        <v>1503</v>
      </c>
      <c r="CQ209" s="0" t="s">
        <v>4044</v>
      </c>
      <c r="CR209" s="0" t="s">
        <v>85</v>
      </c>
      <c r="CS209" s="0" t="s">
        <v>590</v>
      </c>
      <c r="CT209" s="0" t="s">
        <v>2786</v>
      </c>
      <c r="CU209" s="0" t="s">
        <v>3111</v>
      </c>
      <c r="CV209" s="0" t="s">
        <v>3146</v>
      </c>
      <c r="CW209" s="0" t="n">
        <v>0</v>
      </c>
      <c r="DB209" s="0" t="n">
        <v>3020</v>
      </c>
      <c r="DC209" s="0" t="n">
        <v>3020</v>
      </c>
      <c r="DD209" s="0" t="n">
        <v>3020</v>
      </c>
      <c r="DE209" s="0" t="n">
        <v>3020</v>
      </c>
      <c r="DG209" s="0" t="s">
        <v>4045</v>
      </c>
      <c r="DH209" s="0" t="s">
        <v>82</v>
      </c>
      <c r="DI209" s="0" t="s">
        <v>1501</v>
      </c>
      <c r="DJ209" s="0" t="s">
        <v>1502</v>
      </c>
      <c r="DK209" s="0" t="s">
        <v>674</v>
      </c>
      <c r="DL209" s="0" t="n">
        <v>11.54</v>
      </c>
      <c r="DM209" s="0" t="s">
        <v>676</v>
      </c>
      <c r="DN209" s="0" t="s">
        <v>675</v>
      </c>
      <c r="DO209" s="0" t="n">
        <v>0</v>
      </c>
      <c r="DP209" s="0" t="n">
        <v>0</v>
      </c>
      <c r="DQ209" s="0" t="n">
        <v>181.39</v>
      </c>
      <c r="DR209" s="0" t="s">
        <v>4046</v>
      </c>
      <c r="EB209" s="0" t="s">
        <v>4047</v>
      </c>
      <c r="EC209" s="0" t="s">
        <v>2609</v>
      </c>
      <c r="ED209" s="0" t="s">
        <v>2610</v>
      </c>
      <c r="EE209" s="0" t="s">
        <v>562</v>
      </c>
      <c r="EF209" s="0" t="s">
        <v>2986</v>
      </c>
      <c r="EG209" s="0" t="n">
        <v>1</v>
      </c>
      <c r="EH209" s="0" t="n">
        <v>1</v>
      </c>
      <c r="EI209" s="0" t="n">
        <v>1</v>
      </c>
      <c r="EJ209" s="0" t="n">
        <v>1</v>
      </c>
      <c r="EL209" s="0" t="s">
        <v>4048</v>
      </c>
      <c r="EM209" s="0" t="s">
        <v>2644</v>
      </c>
      <c r="EN209" s="0" t="s">
        <v>2645</v>
      </c>
      <c r="EO209" s="0" t="n">
        <v>4</v>
      </c>
      <c r="EP209" s="0" t="s">
        <v>2552</v>
      </c>
      <c r="EQ209" s="0" t="s">
        <v>2774</v>
      </c>
      <c r="ER209" s="0" t="s">
        <v>2775</v>
      </c>
      <c r="ES209" s="0" t="n">
        <v>90885</v>
      </c>
      <c r="ET209" s="0" t="n">
        <v>90885</v>
      </c>
      <c r="EU209" s="0" t="n">
        <v>90885</v>
      </c>
      <c r="EV209" s="0" t="n">
        <v>90885</v>
      </c>
    </row>
    <row r="210" customFormat="false" ht="15" hidden="false" customHeight="false" outlineLevel="0" collapsed="false">
      <c r="A210" s="0" t="s">
        <v>359</v>
      </c>
      <c r="B210" s="0" t="s">
        <v>368</v>
      </c>
      <c r="C210" s="0" t="s">
        <v>454</v>
      </c>
      <c r="D210" s="0" t="s">
        <v>455</v>
      </c>
      <c r="E210" s="0" t="s">
        <v>1750</v>
      </c>
      <c r="F210" s="0" t="s">
        <v>680</v>
      </c>
      <c r="G210" s="0" t="s">
        <v>1503</v>
      </c>
      <c r="CQ210" s="0" t="s">
        <v>4049</v>
      </c>
      <c r="CR210" s="0" t="s">
        <v>85</v>
      </c>
      <c r="CS210" s="0" t="s">
        <v>588</v>
      </c>
      <c r="CT210" s="0" t="s">
        <v>2801</v>
      </c>
      <c r="CU210" s="0" t="s">
        <v>3111</v>
      </c>
      <c r="CV210" s="0" t="s">
        <v>587</v>
      </c>
      <c r="CW210" s="0" t="n">
        <v>0</v>
      </c>
      <c r="DB210" s="0" t="n">
        <v>2470</v>
      </c>
      <c r="DC210" s="0" t="n">
        <v>2470</v>
      </c>
      <c r="DD210" s="0" t="n">
        <v>2470</v>
      </c>
      <c r="DE210" s="0" t="n">
        <v>2470</v>
      </c>
      <c r="DG210" s="0" t="s">
        <v>4050</v>
      </c>
      <c r="DH210" s="0" t="s">
        <v>82</v>
      </c>
      <c r="DI210" s="0" t="s">
        <v>468</v>
      </c>
      <c r="DJ210" s="0" t="s">
        <v>469</v>
      </c>
      <c r="DK210" s="0" t="s">
        <v>1181</v>
      </c>
      <c r="DL210" s="0" t="n">
        <v>11.54</v>
      </c>
      <c r="DM210" s="0" t="s">
        <v>675</v>
      </c>
      <c r="DN210" s="0" t="s">
        <v>676</v>
      </c>
      <c r="DO210" s="0" t="n">
        <v>1</v>
      </c>
      <c r="DP210" s="0" t="n">
        <v>13340.05</v>
      </c>
      <c r="DQ210" s="0" t="n">
        <v>13340.05</v>
      </c>
      <c r="DR210" s="0" t="s">
        <v>4051</v>
      </c>
      <c r="EB210" s="0" t="s">
        <v>4052</v>
      </c>
      <c r="EC210" s="0" t="s">
        <v>2609</v>
      </c>
      <c r="ED210" s="0" t="s">
        <v>2610</v>
      </c>
      <c r="EE210" s="0" t="s">
        <v>557</v>
      </c>
      <c r="EF210" s="0" t="s">
        <v>554</v>
      </c>
      <c r="EG210" s="0" t="n">
        <v>1150</v>
      </c>
      <c r="EH210" s="0" t="n">
        <v>1265</v>
      </c>
      <c r="EI210" s="0" t="n">
        <v>1265</v>
      </c>
      <c r="EJ210" s="0" t="n">
        <v>1455</v>
      </c>
      <c r="EL210" s="0" t="s">
        <v>4053</v>
      </c>
      <c r="EM210" s="0" t="s">
        <v>2644</v>
      </c>
      <c r="EN210" s="0" t="s">
        <v>2645</v>
      </c>
      <c r="EO210" s="0" t="n">
        <v>4.5</v>
      </c>
      <c r="EP210" s="0" t="s">
        <v>2528</v>
      </c>
      <c r="EQ210" s="0" t="s">
        <v>2788</v>
      </c>
      <c r="ER210" s="0" t="s">
        <v>2789</v>
      </c>
      <c r="ES210" s="0" t="n">
        <v>68310</v>
      </c>
      <c r="ET210" s="0" t="n">
        <v>68310</v>
      </c>
      <c r="EU210" s="0" t="n">
        <v>68310</v>
      </c>
      <c r="EV210" s="0" t="n">
        <v>68310</v>
      </c>
    </row>
    <row r="211" customFormat="false" ht="15" hidden="false" customHeight="false" outlineLevel="0" collapsed="false">
      <c r="A211" s="0" t="s">
        <v>359</v>
      </c>
      <c r="B211" s="0" t="s">
        <v>368</v>
      </c>
      <c r="C211" s="0" t="s">
        <v>466</v>
      </c>
      <c r="D211" s="0" t="s">
        <v>467</v>
      </c>
      <c r="E211" s="0" t="s">
        <v>1750</v>
      </c>
      <c r="F211" s="0" t="s">
        <v>680</v>
      </c>
      <c r="G211" s="0" t="s">
        <v>1503</v>
      </c>
      <c r="CQ211" s="0" t="s">
        <v>4054</v>
      </c>
      <c r="CR211" s="0" t="s">
        <v>85</v>
      </c>
      <c r="CS211" s="0" t="s">
        <v>586</v>
      </c>
      <c r="CT211" s="0" t="s">
        <v>2815</v>
      </c>
      <c r="CU211" s="0" t="s">
        <v>3111</v>
      </c>
      <c r="CV211" s="0" t="s">
        <v>3161</v>
      </c>
      <c r="CW211" s="0" t="n">
        <v>0</v>
      </c>
      <c r="DB211" s="0" t="n">
        <v>10480</v>
      </c>
      <c r="DC211" s="0" t="n">
        <v>10480</v>
      </c>
      <c r="DD211" s="0" t="n">
        <v>10480</v>
      </c>
      <c r="DE211" s="0" t="n">
        <v>10480</v>
      </c>
      <c r="DG211" s="0" t="s">
        <v>4055</v>
      </c>
      <c r="DH211" s="0" t="s">
        <v>82</v>
      </c>
      <c r="DI211" s="0" t="s">
        <v>412</v>
      </c>
      <c r="DJ211" s="0" t="s">
        <v>413</v>
      </c>
      <c r="DK211" s="0" t="s">
        <v>1181</v>
      </c>
      <c r="DL211" s="0" t="n">
        <v>11.54</v>
      </c>
      <c r="DM211" s="0" t="s">
        <v>675</v>
      </c>
      <c r="DN211" s="0" t="s">
        <v>676</v>
      </c>
      <c r="DO211" s="0" t="n">
        <v>1</v>
      </c>
      <c r="DP211" s="0" t="n">
        <v>36130</v>
      </c>
      <c r="DQ211" s="0" t="n">
        <v>36130</v>
      </c>
      <c r="DR211" s="0" t="s">
        <v>4056</v>
      </c>
      <c r="EB211" s="0" t="s">
        <v>4057</v>
      </c>
      <c r="EC211" s="0" t="s">
        <v>2609</v>
      </c>
      <c r="ED211" s="0" t="s">
        <v>2610</v>
      </c>
      <c r="EE211" s="0" t="s">
        <v>290</v>
      </c>
      <c r="EF211" s="0" t="s">
        <v>289</v>
      </c>
      <c r="EG211" s="0" t="n">
        <v>255</v>
      </c>
      <c r="EH211" s="0" t="n">
        <v>280</v>
      </c>
      <c r="EI211" s="0" t="n">
        <v>280</v>
      </c>
      <c r="EJ211" s="0" t="n">
        <v>320</v>
      </c>
      <c r="EL211" s="0" t="s">
        <v>4058</v>
      </c>
      <c r="EM211" s="0" t="s">
        <v>2644</v>
      </c>
      <c r="EN211" s="0" t="s">
        <v>2645</v>
      </c>
      <c r="EO211" s="0" t="n">
        <v>4.5</v>
      </c>
      <c r="EP211" s="0" t="s">
        <v>2552</v>
      </c>
      <c r="EQ211" s="0" t="s">
        <v>2803</v>
      </c>
      <c r="ER211" s="0" t="s">
        <v>2804</v>
      </c>
      <c r="ES211" s="0" t="n">
        <v>102465</v>
      </c>
      <c r="ET211" s="0" t="n">
        <v>102465</v>
      </c>
      <c r="EU211" s="0" t="n">
        <v>102465</v>
      </c>
      <c r="EV211" s="0" t="n">
        <v>102465</v>
      </c>
    </row>
    <row r="212" customFormat="false" ht="15" hidden="false" customHeight="false" outlineLevel="0" collapsed="false">
      <c r="A212" s="0" t="s">
        <v>359</v>
      </c>
      <c r="B212" s="0" t="s">
        <v>368</v>
      </c>
      <c r="C212" s="0" t="s">
        <v>460</v>
      </c>
      <c r="D212" s="0" t="s">
        <v>461</v>
      </c>
      <c r="E212" s="0" t="s">
        <v>1750</v>
      </c>
      <c r="F212" s="0" t="s">
        <v>680</v>
      </c>
      <c r="G212" s="0" t="s">
        <v>2033</v>
      </c>
      <c r="CQ212" s="0" t="s">
        <v>4059</v>
      </c>
      <c r="CR212" s="0" t="s">
        <v>85</v>
      </c>
      <c r="CS212" s="0" t="s">
        <v>296</v>
      </c>
      <c r="CT212" s="0" t="s">
        <v>294</v>
      </c>
      <c r="CU212" s="0" t="s">
        <v>2267</v>
      </c>
      <c r="CV212" s="0" t="s">
        <v>295</v>
      </c>
      <c r="CW212" s="0" t="n">
        <v>0</v>
      </c>
      <c r="DB212" s="0" t="n">
        <v>150</v>
      </c>
      <c r="DC212" s="0" t="n">
        <v>150</v>
      </c>
      <c r="DD212" s="0" t="n">
        <v>150</v>
      </c>
      <c r="DE212" s="0" t="n">
        <v>150</v>
      </c>
      <c r="DG212" s="0" t="s">
        <v>4060</v>
      </c>
      <c r="DH212" s="0" t="s">
        <v>82</v>
      </c>
      <c r="DI212" s="0" t="s">
        <v>500</v>
      </c>
      <c r="DJ212" s="0" t="s">
        <v>1507</v>
      </c>
      <c r="DK212" s="0" t="s">
        <v>1181</v>
      </c>
      <c r="DL212" s="0" t="n">
        <v>11.54</v>
      </c>
      <c r="DM212" s="0" t="s">
        <v>675</v>
      </c>
      <c r="DN212" s="0" t="s">
        <v>676</v>
      </c>
      <c r="DO212" s="0" t="n">
        <v>1</v>
      </c>
      <c r="DP212" s="0" t="n">
        <v>39660</v>
      </c>
      <c r="DQ212" s="0" t="n">
        <v>39660</v>
      </c>
      <c r="DR212" s="0" t="s">
        <v>4061</v>
      </c>
      <c r="EB212" s="0" t="s">
        <v>4062</v>
      </c>
      <c r="EC212" s="0" t="s">
        <v>2609</v>
      </c>
      <c r="ED212" s="0" t="s">
        <v>2610</v>
      </c>
      <c r="EE212" s="0" t="s">
        <v>275</v>
      </c>
      <c r="EF212" s="0" t="s">
        <v>273</v>
      </c>
      <c r="EG212" s="0" t="n">
        <v>695</v>
      </c>
      <c r="EH212" s="0" t="n">
        <v>765</v>
      </c>
      <c r="EI212" s="0" t="n">
        <v>765</v>
      </c>
      <c r="EJ212" s="0" t="n">
        <v>880</v>
      </c>
      <c r="EL212" s="0" t="s">
        <v>4063</v>
      </c>
      <c r="EM212" s="0" t="s">
        <v>2644</v>
      </c>
      <c r="EN212" s="0" t="s">
        <v>2645</v>
      </c>
      <c r="EO212" s="0" t="n">
        <v>5</v>
      </c>
      <c r="EP212" s="0" t="s">
        <v>2528</v>
      </c>
      <c r="EQ212" s="0" t="s">
        <v>2817</v>
      </c>
      <c r="ER212" s="0" t="s">
        <v>2818</v>
      </c>
      <c r="ES212" s="0" t="n">
        <v>75440</v>
      </c>
      <c r="ET212" s="0" t="n">
        <v>75440</v>
      </c>
      <c r="EU212" s="0" t="n">
        <v>75440</v>
      </c>
      <c r="EV212" s="0" t="n">
        <v>75440</v>
      </c>
    </row>
    <row r="213" customFormat="false" ht="15" hidden="false" customHeight="false" outlineLevel="0" collapsed="false">
      <c r="A213" s="0" t="s">
        <v>359</v>
      </c>
      <c r="B213" s="0" t="s">
        <v>368</v>
      </c>
      <c r="C213" s="0" t="s">
        <v>462</v>
      </c>
      <c r="D213" s="0" t="s">
        <v>463</v>
      </c>
      <c r="E213" s="0" t="s">
        <v>1750</v>
      </c>
      <c r="F213" s="0" t="s">
        <v>680</v>
      </c>
      <c r="G213" s="0" t="s">
        <v>1503</v>
      </c>
      <c r="CQ213" s="0" t="s">
        <v>4029</v>
      </c>
      <c r="CR213" s="0" t="s">
        <v>85</v>
      </c>
      <c r="CS213" s="0" t="s">
        <v>562</v>
      </c>
      <c r="CT213" s="0" t="s">
        <v>2986</v>
      </c>
      <c r="CU213" s="0" t="s">
        <v>79</v>
      </c>
      <c r="CV213" s="0" t="s">
        <v>3126</v>
      </c>
      <c r="CW213" s="0" t="n">
        <v>0</v>
      </c>
      <c r="DB213" s="0" t="n">
        <v>550</v>
      </c>
      <c r="DC213" s="0" t="n">
        <v>850</v>
      </c>
      <c r="DD213" s="0" t="n">
        <v>1200</v>
      </c>
      <c r="DE213" s="0" t="n">
        <v>1200</v>
      </c>
      <c r="DG213" s="0" t="s">
        <v>4064</v>
      </c>
      <c r="DH213" s="0" t="s">
        <v>82</v>
      </c>
      <c r="DI213" s="0" t="s">
        <v>502</v>
      </c>
      <c r="DJ213" s="0" t="s">
        <v>503</v>
      </c>
      <c r="DK213" s="0" t="s">
        <v>1181</v>
      </c>
      <c r="DL213" s="0" t="n">
        <v>11.54</v>
      </c>
      <c r="DM213" s="0" t="s">
        <v>675</v>
      </c>
      <c r="DN213" s="0" t="s">
        <v>676</v>
      </c>
      <c r="DO213" s="0" t="n">
        <v>1</v>
      </c>
      <c r="DP213" s="0" t="n">
        <v>39660</v>
      </c>
      <c r="DQ213" s="0" t="n">
        <v>39660</v>
      </c>
      <c r="DR213" s="0" t="s">
        <v>4065</v>
      </c>
      <c r="EB213" s="0" t="s">
        <v>4066</v>
      </c>
      <c r="EC213" s="0" t="s">
        <v>2609</v>
      </c>
      <c r="EE213" s="0" t="s">
        <v>298</v>
      </c>
      <c r="EL213" s="0" t="s">
        <v>4067</v>
      </c>
      <c r="EM213" s="0" t="s">
        <v>2644</v>
      </c>
      <c r="EN213" s="0" t="s">
        <v>2645</v>
      </c>
      <c r="EO213" s="0" t="n">
        <v>5</v>
      </c>
      <c r="EP213" s="0" t="s">
        <v>2552</v>
      </c>
      <c r="EQ213" s="0" t="s">
        <v>2835</v>
      </c>
      <c r="ER213" s="0" t="s">
        <v>2836</v>
      </c>
      <c r="ES213" s="0" t="n">
        <v>113160</v>
      </c>
      <c r="ET213" s="0" t="n">
        <v>113160</v>
      </c>
      <c r="EU213" s="0" t="n">
        <v>113160</v>
      </c>
      <c r="EV213" s="0" t="n">
        <v>113160</v>
      </c>
    </row>
    <row r="214" customFormat="false" ht="15" hidden="false" customHeight="false" outlineLevel="0" collapsed="false">
      <c r="CQ214" s="0" t="s">
        <v>4068</v>
      </c>
      <c r="CR214" s="0" t="s">
        <v>86</v>
      </c>
      <c r="CS214" s="0" t="s">
        <v>290</v>
      </c>
      <c r="CT214" s="0" t="s">
        <v>289</v>
      </c>
      <c r="CU214" s="0" t="s">
        <v>81</v>
      </c>
      <c r="CV214" s="0" t="s">
        <v>289</v>
      </c>
      <c r="CW214" s="0" t="n">
        <v>0</v>
      </c>
      <c r="DB214" s="0" t="n">
        <v>420</v>
      </c>
      <c r="DC214" s="0" t="n">
        <v>460</v>
      </c>
      <c r="DD214" s="0" t="n">
        <v>500</v>
      </c>
      <c r="DE214" s="0" t="n">
        <v>500</v>
      </c>
      <c r="DG214" s="0" t="s">
        <v>4069</v>
      </c>
      <c r="DH214" s="0" t="s">
        <v>82</v>
      </c>
      <c r="DJ214" s="0" t="s">
        <v>1136</v>
      </c>
      <c r="DK214" s="0" t="s">
        <v>705</v>
      </c>
      <c r="DL214" s="0" t="n">
        <v>11.54</v>
      </c>
      <c r="DM214" s="0" t="s">
        <v>675</v>
      </c>
      <c r="DN214" s="0" t="s">
        <v>675</v>
      </c>
      <c r="DO214" s="0" t="n">
        <v>0</v>
      </c>
      <c r="DP214" s="0" t="n">
        <v>0</v>
      </c>
      <c r="DQ214" s="0" t="n">
        <v>0</v>
      </c>
      <c r="DR214" s="0" t="s">
        <v>3469</v>
      </c>
      <c r="EB214" s="0" t="s">
        <v>4070</v>
      </c>
      <c r="EC214" s="0" t="s">
        <v>2609</v>
      </c>
      <c r="ED214" s="0" t="s">
        <v>2610</v>
      </c>
      <c r="EE214" s="0" t="s">
        <v>286</v>
      </c>
      <c r="EF214" s="0" t="s">
        <v>284</v>
      </c>
      <c r="EG214" s="0" t="n">
        <v>380</v>
      </c>
      <c r="EH214" s="0" t="n">
        <v>420</v>
      </c>
      <c r="EI214" s="0" t="n">
        <v>420</v>
      </c>
      <c r="EJ214" s="0" t="n">
        <v>485</v>
      </c>
      <c r="EL214" s="0" t="s">
        <v>4071</v>
      </c>
      <c r="EM214" s="0" t="s">
        <v>2644</v>
      </c>
      <c r="EN214" s="0" t="s">
        <v>2645</v>
      </c>
      <c r="EO214" s="0" t="n">
        <v>5.5</v>
      </c>
      <c r="EP214" s="0" t="s">
        <v>2528</v>
      </c>
      <c r="EQ214" s="0" t="s">
        <v>2848</v>
      </c>
      <c r="ER214" s="0" t="s">
        <v>2849</v>
      </c>
      <c r="ES214" s="0" t="n">
        <v>83160</v>
      </c>
      <c r="ET214" s="0" t="n">
        <v>83160</v>
      </c>
      <c r="EU214" s="0" t="n">
        <v>83160</v>
      </c>
      <c r="EV214" s="0" t="n">
        <v>83160</v>
      </c>
    </row>
    <row r="215" customFormat="false" ht="15" hidden="false" customHeight="false" outlineLevel="0" collapsed="false">
      <c r="CQ215" s="0" t="s">
        <v>4072</v>
      </c>
      <c r="CR215" s="0" t="s">
        <v>86</v>
      </c>
      <c r="CS215" s="0" t="s">
        <v>275</v>
      </c>
      <c r="CT215" s="0" t="s">
        <v>273</v>
      </c>
      <c r="CU215" s="0" t="s">
        <v>81</v>
      </c>
      <c r="CV215" s="0" t="s">
        <v>274</v>
      </c>
      <c r="CW215" s="0" t="n">
        <v>0</v>
      </c>
      <c r="DB215" s="0" t="n">
        <v>1000</v>
      </c>
      <c r="DC215" s="0" t="n">
        <v>1110</v>
      </c>
      <c r="DD215" s="0" t="n">
        <v>1200</v>
      </c>
      <c r="DE215" s="0" t="n">
        <v>1200</v>
      </c>
      <c r="DG215" s="0" t="s">
        <v>4073</v>
      </c>
      <c r="DH215" s="0" t="s">
        <v>82</v>
      </c>
      <c r="DJ215" s="0" t="s">
        <v>1070</v>
      </c>
      <c r="DK215" s="0" t="s">
        <v>705</v>
      </c>
      <c r="DL215" s="0" t="n">
        <v>11.54</v>
      </c>
      <c r="DM215" s="0" t="s">
        <v>675</v>
      </c>
      <c r="DN215" s="0" t="s">
        <v>675</v>
      </c>
      <c r="DO215" s="0" t="n">
        <v>0</v>
      </c>
      <c r="DP215" s="0" t="n">
        <v>0</v>
      </c>
      <c r="DQ215" s="0" t="n">
        <v>0</v>
      </c>
      <c r="DR215" s="0" t="s">
        <v>3349</v>
      </c>
      <c r="EB215" s="0" t="s">
        <v>4074</v>
      </c>
      <c r="EC215" s="0" t="s">
        <v>2609</v>
      </c>
      <c r="ED215" s="0" t="s">
        <v>2610</v>
      </c>
      <c r="EE215" s="0" t="s">
        <v>272</v>
      </c>
      <c r="EF215" s="0" t="s">
        <v>270</v>
      </c>
      <c r="EG215" s="0" t="n">
        <v>1230</v>
      </c>
      <c r="EH215" s="0" t="n">
        <v>1355</v>
      </c>
      <c r="EI215" s="0" t="n">
        <v>1355</v>
      </c>
      <c r="EJ215" s="0" t="n">
        <v>1560</v>
      </c>
      <c r="EL215" s="0" t="s">
        <v>4075</v>
      </c>
      <c r="EM215" s="0" t="s">
        <v>2644</v>
      </c>
      <c r="EN215" s="0" t="s">
        <v>2645</v>
      </c>
      <c r="EO215" s="0" t="n">
        <v>5.5</v>
      </c>
      <c r="EP215" s="0" t="s">
        <v>2552</v>
      </c>
      <c r="EQ215" s="0" t="s">
        <v>2862</v>
      </c>
      <c r="ER215" s="0" t="s">
        <v>2863</v>
      </c>
      <c r="ES215" s="0" t="n">
        <v>124740</v>
      </c>
      <c r="ET215" s="0" t="n">
        <v>124740</v>
      </c>
      <c r="EU215" s="0" t="n">
        <v>124740</v>
      </c>
      <c r="EV215" s="0" t="n">
        <v>124740</v>
      </c>
    </row>
    <row r="216" customFormat="false" ht="15" hidden="false" customHeight="false" outlineLevel="0" collapsed="false">
      <c r="CQ216" s="0" t="s">
        <v>4076</v>
      </c>
      <c r="CR216" s="0" t="s">
        <v>86</v>
      </c>
      <c r="CS216" s="0" t="s">
        <v>557</v>
      </c>
      <c r="CT216" s="0" t="s">
        <v>554</v>
      </c>
      <c r="CU216" s="0" t="s">
        <v>81</v>
      </c>
      <c r="CV216" s="0" t="s">
        <v>274</v>
      </c>
      <c r="CW216" s="0" t="n">
        <v>0</v>
      </c>
      <c r="DB216" s="0" t="n">
        <v>1670</v>
      </c>
      <c r="DC216" s="0" t="n">
        <v>1850</v>
      </c>
      <c r="DD216" s="0" t="n">
        <v>1990</v>
      </c>
      <c r="DE216" s="0" t="n">
        <v>1990</v>
      </c>
      <c r="DG216" s="0" t="s">
        <v>4077</v>
      </c>
      <c r="DH216" s="0" t="s">
        <v>82</v>
      </c>
      <c r="DI216" s="0" t="s">
        <v>1509</v>
      </c>
      <c r="DJ216" s="0" t="s">
        <v>1510</v>
      </c>
      <c r="DK216" s="0" t="s">
        <v>705</v>
      </c>
      <c r="DL216" s="0" t="n">
        <v>11.54</v>
      </c>
      <c r="DM216" s="0" t="s">
        <v>676</v>
      </c>
      <c r="DN216" s="0" t="s">
        <v>675</v>
      </c>
      <c r="DO216" s="0" t="n">
        <v>0</v>
      </c>
      <c r="DP216" s="0" t="n">
        <v>0</v>
      </c>
      <c r="DQ216" s="0" t="n">
        <v>971</v>
      </c>
      <c r="DR216" s="0" t="s">
        <v>4078</v>
      </c>
      <c r="EB216" s="0" t="s">
        <v>4079</v>
      </c>
      <c r="EC216" s="0" t="s">
        <v>2609</v>
      </c>
      <c r="ED216" s="0" t="s">
        <v>2610</v>
      </c>
      <c r="EE216" s="0" t="s">
        <v>283</v>
      </c>
      <c r="EF216" s="0" t="s">
        <v>281</v>
      </c>
      <c r="EG216" s="0" t="n">
        <v>180</v>
      </c>
      <c r="EH216" s="0" t="n">
        <v>200</v>
      </c>
      <c r="EI216" s="0" t="n">
        <v>200</v>
      </c>
      <c r="EJ216" s="0" t="n">
        <v>230</v>
      </c>
      <c r="EL216" s="0" t="s">
        <v>4080</v>
      </c>
      <c r="EM216" s="0" t="s">
        <v>2644</v>
      </c>
      <c r="EN216" s="0" t="s">
        <v>2645</v>
      </c>
      <c r="EO216" s="0" t="n">
        <v>6</v>
      </c>
      <c r="EP216" s="0" t="s">
        <v>2528</v>
      </c>
      <c r="EQ216" s="0" t="s">
        <v>2877</v>
      </c>
      <c r="ER216" s="0" t="s">
        <v>2878</v>
      </c>
      <c r="ES216" s="0" t="n">
        <v>90880</v>
      </c>
      <c r="ET216" s="0" t="n">
        <v>90880</v>
      </c>
      <c r="EU216" s="0" t="n">
        <v>90880</v>
      </c>
      <c r="EV216" s="0" t="n">
        <v>90880</v>
      </c>
    </row>
    <row r="217" customFormat="false" ht="15" hidden="false" customHeight="false" outlineLevel="0" collapsed="false">
      <c r="CQ217" s="0" t="s">
        <v>4081</v>
      </c>
      <c r="CR217" s="0" t="s">
        <v>86</v>
      </c>
      <c r="CS217" s="0" t="s">
        <v>298</v>
      </c>
      <c r="CT217" s="0" t="s">
        <v>297</v>
      </c>
      <c r="CU217" s="0" t="s">
        <v>81</v>
      </c>
      <c r="CV217" s="0" t="s">
        <v>274</v>
      </c>
      <c r="CW217" s="0" t="n">
        <v>0</v>
      </c>
      <c r="DB217" s="0" t="n">
        <v>1</v>
      </c>
      <c r="DC217" s="0" t="n">
        <v>1</v>
      </c>
      <c r="DD217" s="0" t="n">
        <v>1</v>
      </c>
      <c r="DE217" s="0" t="n">
        <v>1</v>
      </c>
      <c r="DG217" s="0" t="s">
        <v>4082</v>
      </c>
      <c r="DH217" s="0" t="s">
        <v>82</v>
      </c>
      <c r="DI217" s="0" t="s">
        <v>1512</v>
      </c>
      <c r="DJ217" s="0" t="s">
        <v>1513</v>
      </c>
      <c r="DK217" s="0" t="s">
        <v>705</v>
      </c>
      <c r="DL217" s="0" t="n">
        <v>11.54</v>
      </c>
      <c r="DM217" s="0" t="s">
        <v>675</v>
      </c>
      <c r="DN217" s="0" t="s">
        <v>676</v>
      </c>
      <c r="DO217" s="0" t="n">
        <v>1</v>
      </c>
      <c r="DP217" s="0" t="n">
        <v>1817.81</v>
      </c>
      <c r="DQ217" s="0" t="n">
        <v>1817.81</v>
      </c>
      <c r="DR217" s="0" t="s">
        <v>4083</v>
      </c>
      <c r="EB217" s="0" t="s">
        <v>4084</v>
      </c>
      <c r="EC217" s="0" t="s">
        <v>2609</v>
      </c>
      <c r="ED217" s="0" t="s">
        <v>2610</v>
      </c>
      <c r="EE217" s="0" t="s">
        <v>267</v>
      </c>
      <c r="EF217" s="0" t="s">
        <v>265</v>
      </c>
      <c r="EG217" s="0" t="n">
        <v>1160</v>
      </c>
      <c r="EH217" s="0" t="n">
        <v>1275</v>
      </c>
      <c r="EI217" s="0" t="n">
        <v>1275</v>
      </c>
      <c r="EJ217" s="0" t="n">
        <v>1465</v>
      </c>
      <c r="EL217" s="0" t="s">
        <v>4085</v>
      </c>
      <c r="EM217" s="0" t="s">
        <v>2644</v>
      </c>
      <c r="EN217" s="0" t="s">
        <v>2645</v>
      </c>
      <c r="EO217" s="0" t="n">
        <v>6</v>
      </c>
      <c r="EP217" s="0" t="s">
        <v>2552</v>
      </c>
      <c r="EQ217" s="0" t="s">
        <v>2891</v>
      </c>
      <c r="ER217" s="0" t="s">
        <v>2892</v>
      </c>
      <c r="ES217" s="0" t="n">
        <v>136320</v>
      </c>
      <c r="ET217" s="0" t="n">
        <v>136320</v>
      </c>
      <c r="EU217" s="0" t="n">
        <v>136320</v>
      </c>
      <c r="EV217" s="0" t="n">
        <v>136320</v>
      </c>
    </row>
    <row r="218" customFormat="false" ht="15" hidden="false" customHeight="false" outlineLevel="0" collapsed="false">
      <c r="CQ218" s="0" t="s">
        <v>4086</v>
      </c>
      <c r="CR218" s="0" t="s">
        <v>86</v>
      </c>
      <c r="CS218" s="0" t="s">
        <v>626</v>
      </c>
      <c r="CT218" s="0" t="s">
        <v>2526</v>
      </c>
      <c r="CU218" s="0" t="s">
        <v>81</v>
      </c>
      <c r="CV218" s="0" t="s">
        <v>285</v>
      </c>
      <c r="CW218" s="0" t="n">
        <v>0</v>
      </c>
      <c r="DB218" s="0" t="n">
        <v>360</v>
      </c>
      <c r="DC218" s="0" t="n">
        <v>400</v>
      </c>
      <c r="DD218" s="0" t="n">
        <v>430</v>
      </c>
      <c r="DE218" s="0" t="n">
        <v>430</v>
      </c>
      <c r="DG218" s="0" t="s">
        <v>4087</v>
      </c>
      <c r="DH218" s="0" t="s">
        <v>82</v>
      </c>
      <c r="DI218" s="0" t="s">
        <v>1517</v>
      </c>
      <c r="DJ218" s="0" t="s">
        <v>1518</v>
      </c>
      <c r="DK218" s="0" t="s">
        <v>705</v>
      </c>
      <c r="DL218" s="0" t="n">
        <v>11.54</v>
      </c>
      <c r="DM218" s="0" t="s">
        <v>676</v>
      </c>
      <c r="DN218" s="0" t="s">
        <v>675</v>
      </c>
      <c r="DO218" s="0" t="n">
        <v>0</v>
      </c>
      <c r="DP218" s="0" t="n">
        <v>0</v>
      </c>
      <c r="DQ218" s="0" t="n">
        <v>617</v>
      </c>
      <c r="DR218" s="0" t="s">
        <v>4088</v>
      </c>
      <c r="EB218" s="0" t="s">
        <v>4089</v>
      </c>
      <c r="EC218" s="0" t="s">
        <v>2609</v>
      </c>
      <c r="ED218" s="0" t="s">
        <v>2610</v>
      </c>
      <c r="EE218" s="0" t="s">
        <v>258</v>
      </c>
      <c r="EF218" s="0" t="s">
        <v>256</v>
      </c>
      <c r="EG218" s="0" t="n">
        <v>2175</v>
      </c>
      <c r="EH218" s="0" t="n">
        <v>2395</v>
      </c>
      <c r="EI218" s="0" t="n">
        <v>2395</v>
      </c>
      <c r="EJ218" s="0" t="n">
        <v>2755</v>
      </c>
      <c r="EL218" s="0" t="s">
        <v>4090</v>
      </c>
      <c r="EM218" s="0" t="s">
        <v>2644</v>
      </c>
      <c r="EN218" s="0" t="s">
        <v>2645</v>
      </c>
      <c r="EO218" s="0" t="n">
        <v>6.5</v>
      </c>
      <c r="EP218" s="0" t="s">
        <v>2528</v>
      </c>
      <c r="EQ218" s="0" t="s">
        <v>2904</v>
      </c>
      <c r="ER218" s="0" t="s">
        <v>2905</v>
      </c>
      <c r="ES218" s="0" t="n">
        <v>98010</v>
      </c>
      <c r="ET218" s="0" t="n">
        <v>98010</v>
      </c>
      <c r="EU218" s="0" t="n">
        <v>98010</v>
      </c>
      <c r="EV218" s="0" t="n">
        <v>98010</v>
      </c>
    </row>
    <row r="219" customFormat="false" ht="15" hidden="false" customHeight="false" outlineLevel="0" collapsed="false">
      <c r="CQ219" s="0" t="s">
        <v>4091</v>
      </c>
      <c r="CR219" s="0" t="s">
        <v>86</v>
      </c>
      <c r="CS219" s="0" t="s">
        <v>624</v>
      </c>
      <c r="CT219" s="0" t="s">
        <v>2550</v>
      </c>
      <c r="CU219" s="0" t="s">
        <v>81</v>
      </c>
      <c r="CV219" s="0" t="s">
        <v>285</v>
      </c>
      <c r="CW219" s="0" t="n">
        <v>0</v>
      </c>
      <c r="DB219" s="0" t="n">
        <v>580</v>
      </c>
      <c r="DC219" s="0" t="n">
        <v>660</v>
      </c>
      <c r="DD219" s="0" t="n">
        <v>760</v>
      </c>
      <c r="DE219" s="0" t="n">
        <v>800</v>
      </c>
      <c r="DG219" s="0" t="s">
        <v>4092</v>
      </c>
      <c r="DH219" s="0" t="s">
        <v>82</v>
      </c>
      <c r="DI219" s="0" t="s">
        <v>1520</v>
      </c>
      <c r="DJ219" s="0" t="s">
        <v>1521</v>
      </c>
      <c r="DK219" s="0" t="s">
        <v>705</v>
      </c>
      <c r="DL219" s="0" t="n">
        <v>11.54</v>
      </c>
      <c r="DM219" s="0" t="s">
        <v>675</v>
      </c>
      <c r="DN219" s="0" t="s">
        <v>676</v>
      </c>
      <c r="DO219" s="0" t="n">
        <v>1</v>
      </c>
      <c r="DP219" s="0" t="n">
        <v>210</v>
      </c>
      <c r="DQ219" s="0" t="n">
        <v>210</v>
      </c>
      <c r="DR219" s="0" t="s">
        <v>4093</v>
      </c>
      <c r="EB219" s="0" t="s">
        <v>4094</v>
      </c>
      <c r="EC219" s="0" t="s">
        <v>2609</v>
      </c>
      <c r="ED219" s="0" t="s">
        <v>2610</v>
      </c>
      <c r="EE219" s="0" t="s">
        <v>222</v>
      </c>
      <c r="EF219" s="0" t="s">
        <v>220</v>
      </c>
      <c r="EG219" s="0" t="n">
        <v>1450</v>
      </c>
      <c r="EH219" s="0" t="n">
        <v>1595</v>
      </c>
      <c r="EI219" s="0" t="n">
        <v>1595</v>
      </c>
      <c r="EJ219" s="0" t="n">
        <v>1835</v>
      </c>
      <c r="EL219" s="0" t="s">
        <v>4095</v>
      </c>
      <c r="EM219" s="0" t="s">
        <v>2644</v>
      </c>
      <c r="EN219" s="0" t="s">
        <v>2645</v>
      </c>
      <c r="EO219" s="0" t="n">
        <v>6.5</v>
      </c>
      <c r="EP219" s="0" t="s">
        <v>2552</v>
      </c>
      <c r="EQ219" s="0" t="s">
        <v>2920</v>
      </c>
      <c r="ER219" s="0" t="s">
        <v>2921</v>
      </c>
      <c r="ES219" s="0" t="n">
        <v>147015</v>
      </c>
      <c r="ET219" s="0" t="n">
        <v>147015</v>
      </c>
      <c r="EU219" s="0" t="n">
        <v>147015</v>
      </c>
      <c r="EV219" s="0" t="n">
        <v>147015</v>
      </c>
    </row>
    <row r="220" customFormat="false" ht="15" hidden="false" customHeight="false" outlineLevel="0" collapsed="false">
      <c r="CQ220" s="0" t="s">
        <v>4096</v>
      </c>
      <c r="CR220" s="0" t="s">
        <v>86</v>
      </c>
      <c r="CS220" s="0" t="s">
        <v>622</v>
      </c>
      <c r="CT220" s="0" t="s">
        <v>2567</v>
      </c>
      <c r="CU220" s="0" t="s">
        <v>81</v>
      </c>
      <c r="CV220" s="0" t="s">
        <v>285</v>
      </c>
      <c r="CW220" s="0" t="n">
        <v>0</v>
      </c>
      <c r="DB220" s="0" t="n">
        <v>1230</v>
      </c>
      <c r="DC220" s="0" t="n">
        <v>1360</v>
      </c>
      <c r="DD220" s="0" t="n">
        <v>1470</v>
      </c>
      <c r="DE220" s="0" t="n">
        <v>1470</v>
      </c>
      <c r="DG220" s="0" t="s">
        <v>4097</v>
      </c>
      <c r="DH220" s="0" t="s">
        <v>82</v>
      </c>
      <c r="DI220" s="0" t="s">
        <v>1522</v>
      </c>
      <c r="DJ220" s="0" t="s">
        <v>1523</v>
      </c>
      <c r="DK220" s="0" t="s">
        <v>705</v>
      </c>
      <c r="DL220" s="0" t="n">
        <v>11.54</v>
      </c>
      <c r="DM220" s="0" t="s">
        <v>676</v>
      </c>
      <c r="DN220" s="0" t="s">
        <v>675</v>
      </c>
      <c r="DO220" s="0" t="n">
        <v>0</v>
      </c>
      <c r="DP220" s="0" t="n">
        <v>0</v>
      </c>
      <c r="DQ220" s="0" t="n">
        <v>768</v>
      </c>
      <c r="DR220" s="0" t="s">
        <v>4098</v>
      </c>
      <c r="EB220" s="0" t="s">
        <v>4099</v>
      </c>
      <c r="EC220" s="0" t="s">
        <v>2609</v>
      </c>
      <c r="ED220" s="0" t="s">
        <v>2610</v>
      </c>
      <c r="EE220" s="0" t="s">
        <v>233</v>
      </c>
      <c r="EF220" s="0" t="s">
        <v>231</v>
      </c>
      <c r="EG220" s="0" t="n">
        <v>725</v>
      </c>
      <c r="EH220" s="0" t="n">
        <v>800</v>
      </c>
      <c r="EI220" s="0" t="n">
        <v>800</v>
      </c>
      <c r="EJ220" s="0" t="n">
        <v>920</v>
      </c>
      <c r="EL220" s="0" t="s">
        <v>4100</v>
      </c>
      <c r="EM220" s="0" t="s">
        <v>2644</v>
      </c>
      <c r="EN220" s="0" t="s">
        <v>2645</v>
      </c>
      <c r="EO220" s="0" t="n">
        <v>7</v>
      </c>
      <c r="EP220" s="0" t="s">
        <v>2528</v>
      </c>
      <c r="EQ220" s="0" t="s">
        <v>2935</v>
      </c>
      <c r="ER220" s="0" t="s">
        <v>2936</v>
      </c>
      <c r="ES220" s="0" t="n">
        <v>106330</v>
      </c>
      <c r="ET220" s="0" t="n">
        <v>106330</v>
      </c>
      <c r="EU220" s="0" t="n">
        <v>106330</v>
      </c>
      <c r="EV220" s="0" t="n">
        <v>106330</v>
      </c>
    </row>
    <row r="221" customFormat="false" ht="15" hidden="false" customHeight="false" outlineLevel="0" collapsed="false">
      <c r="CQ221" s="0" t="s">
        <v>4101</v>
      </c>
      <c r="CR221" s="0" t="s">
        <v>86</v>
      </c>
      <c r="CS221" s="0" t="s">
        <v>620</v>
      </c>
      <c r="CT221" s="0" t="s">
        <v>2580</v>
      </c>
      <c r="CU221" s="0" t="s">
        <v>81</v>
      </c>
      <c r="CV221" s="0" t="s">
        <v>285</v>
      </c>
      <c r="CW221" s="0" t="n">
        <v>0</v>
      </c>
      <c r="DB221" s="0" t="n">
        <v>730</v>
      </c>
      <c r="DC221" s="0" t="n">
        <v>800</v>
      </c>
      <c r="DD221" s="0" t="n">
        <v>870</v>
      </c>
      <c r="DE221" s="0" t="n">
        <v>870</v>
      </c>
      <c r="DG221" s="0" t="s">
        <v>4102</v>
      </c>
      <c r="DH221" s="0" t="s">
        <v>82</v>
      </c>
      <c r="DI221" s="0" t="s">
        <v>1525</v>
      </c>
      <c r="DJ221" s="0" t="s">
        <v>200</v>
      </c>
      <c r="DK221" s="0" t="s">
        <v>705</v>
      </c>
      <c r="DL221" s="0" t="n">
        <v>11.54</v>
      </c>
      <c r="DM221" s="0" t="s">
        <v>675</v>
      </c>
      <c r="DN221" s="0" t="s">
        <v>676</v>
      </c>
      <c r="DO221" s="0" t="n">
        <v>1</v>
      </c>
      <c r="DP221" s="0" t="n">
        <v>30093</v>
      </c>
      <c r="DQ221" s="0" t="n">
        <v>30093</v>
      </c>
      <c r="DR221" s="0" t="s">
        <v>4103</v>
      </c>
      <c r="EB221" s="0" t="s">
        <v>4104</v>
      </c>
      <c r="EC221" s="0" t="s">
        <v>2609</v>
      </c>
      <c r="ED221" s="0" t="s">
        <v>2610</v>
      </c>
      <c r="EE221" s="0" t="s">
        <v>225</v>
      </c>
      <c r="EF221" s="0" t="s">
        <v>223</v>
      </c>
      <c r="EG221" s="0" t="n">
        <v>1445</v>
      </c>
      <c r="EH221" s="0" t="n">
        <v>1590</v>
      </c>
      <c r="EI221" s="0" t="n">
        <v>1590</v>
      </c>
      <c r="EJ221" s="0" t="n">
        <v>1830</v>
      </c>
      <c r="EL221" s="0" t="s">
        <v>4105</v>
      </c>
      <c r="EM221" s="0" t="s">
        <v>2644</v>
      </c>
      <c r="EN221" s="0" t="s">
        <v>2645</v>
      </c>
      <c r="EO221" s="0" t="n">
        <v>7</v>
      </c>
      <c r="EP221" s="0" t="s">
        <v>2552</v>
      </c>
      <c r="EQ221" s="0" t="s">
        <v>2949</v>
      </c>
      <c r="ER221" s="0" t="s">
        <v>2950</v>
      </c>
      <c r="ES221" s="0" t="n">
        <v>159495</v>
      </c>
      <c r="ET221" s="0" t="n">
        <v>159495</v>
      </c>
      <c r="EU221" s="0" t="n">
        <v>159495</v>
      </c>
      <c r="EV221" s="0" t="n">
        <v>159495</v>
      </c>
    </row>
    <row r="222" customFormat="false" ht="15" hidden="false" customHeight="false" outlineLevel="0" collapsed="false">
      <c r="CQ222" s="0" t="s">
        <v>4106</v>
      </c>
      <c r="CR222" s="0" t="s">
        <v>86</v>
      </c>
      <c r="CS222" s="0" t="s">
        <v>286</v>
      </c>
      <c r="CT222" s="0" t="s">
        <v>284</v>
      </c>
      <c r="CU222" s="0" t="s">
        <v>81</v>
      </c>
      <c r="CV222" s="0" t="s">
        <v>285</v>
      </c>
      <c r="CW222" s="0" t="n">
        <v>0</v>
      </c>
      <c r="DB222" s="0" t="n">
        <v>680</v>
      </c>
      <c r="DC222" s="0" t="n">
        <v>750</v>
      </c>
      <c r="DD222" s="0" t="n">
        <v>810</v>
      </c>
      <c r="DE222" s="0" t="n">
        <v>810</v>
      </c>
      <c r="DG222" s="0" t="s">
        <v>4107</v>
      </c>
      <c r="DH222" s="0" t="s">
        <v>82</v>
      </c>
      <c r="DI222" s="0" t="s">
        <v>1527</v>
      </c>
      <c r="DJ222" s="0" t="s">
        <v>1528</v>
      </c>
      <c r="DK222" s="0" t="s">
        <v>705</v>
      </c>
      <c r="DL222" s="0" t="n">
        <v>11.54</v>
      </c>
      <c r="DM222" s="0" t="s">
        <v>675</v>
      </c>
      <c r="DN222" s="0" t="s">
        <v>676</v>
      </c>
      <c r="DO222" s="0" t="n">
        <v>1</v>
      </c>
      <c r="DP222" s="0" t="n">
        <v>460</v>
      </c>
      <c r="DQ222" s="0" t="n">
        <v>460</v>
      </c>
      <c r="DR222" s="0" t="s">
        <v>4108</v>
      </c>
      <c r="EB222" s="0" t="s">
        <v>4109</v>
      </c>
      <c r="EC222" s="0" t="s">
        <v>2609</v>
      </c>
      <c r="EE222" s="0" t="s">
        <v>288</v>
      </c>
      <c r="EL222" s="0" t="s">
        <v>4110</v>
      </c>
      <c r="EM222" s="0" t="s">
        <v>2644</v>
      </c>
      <c r="EN222" s="0" t="s">
        <v>2645</v>
      </c>
      <c r="EO222" s="0" t="n">
        <v>7.5</v>
      </c>
      <c r="EP222" s="0" t="s">
        <v>2528</v>
      </c>
      <c r="EQ222" s="0" t="s">
        <v>2961</v>
      </c>
      <c r="ER222" s="0" t="s">
        <v>3797</v>
      </c>
      <c r="ES222" s="0" t="n">
        <v>112860</v>
      </c>
      <c r="ET222" s="0" t="n">
        <v>112860</v>
      </c>
      <c r="EU222" s="0" t="n">
        <v>112860</v>
      </c>
      <c r="EV222" s="0" t="n">
        <v>112860</v>
      </c>
    </row>
    <row r="223" customFormat="false" ht="15" hidden="false" customHeight="false" outlineLevel="0" collapsed="false">
      <c r="CQ223" s="0" t="s">
        <v>4111</v>
      </c>
      <c r="CR223" s="0" t="s">
        <v>86</v>
      </c>
      <c r="CS223" s="0" t="s">
        <v>272</v>
      </c>
      <c r="CT223" s="0" t="s">
        <v>270</v>
      </c>
      <c r="CU223" s="0" t="s">
        <v>81</v>
      </c>
      <c r="CV223" s="0" t="s">
        <v>271</v>
      </c>
      <c r="CW223" s="0" t="n">
        <v>0</v>
      </c>
      <c r="DB223" s="0" t="n">
        <v>1430</v>
      </c>
      <c r="DC223" s="0" t="n">
        <v>1580</v>
      </c>
      <c r="DD223" s="0" t="n">
        <v>1710</v>
      </c>
      <c r="DE223" s="0" t="n">
        <v>1710</v>
      </c>
      <c r="DG223" s="0" t="s">
        <v>4112</v>
      </c>
      <c r="DH223" s="0" t="s">
        <v>82</v>
      </c>
      <c r="DI223" s="0" t="s">
        <v>1529</v>
      </c>
      <c r="DJ223" s="0" t="s">
        <v>1530</v>
      </c>
      <c r="DK223" s="0" t="s">
        <v>705</v>
      </c>
      <c r="DL223" s="0" t="n">
        <v>11.54</v>
      </c>
      <c r="DM223" s="0" t="s">
        <v>675</v>
      </c>
      <c r="DN223" s="0" t="s">
        <v>676</v>
      </c>
      <c r="DO223" s="0" t="n">
        <v>1</v>
      </c>
      <c r="DP223" s="0" t="n">
        <v>327</v>
      </c>
      <c r="DQ223" s="0" t="n">
        <v>327</v>
      </c>
      <c r="DR223" s="0" t="s">
        <v>4113</v>
      </c>
      <c r="EB223" s="0" t="s">
        <v>4114</v>
      </c>
      <c r="EC223" s="0" t="s">
        <v>2609</v>
      </c>
      <c r="ED223" s="0" t="s">
        <v>2610</v>
      </c>
      <c r="EE223" s="0" t="s">
        <v>269</v>
      </c>
      <c r="EF223" s="0" t="s">
        <v>3489</v>
      </c>
      <c r="EG223" s="0" t="n">
        <v>695</v>
      </c>
      <c r="EH223" s="0" t="n">
        <v>765</v>
      </c>
      <c r="EI223" s="0" t="n">
        <v>765</v>
      </c>
      <c r="EJ223" s="0" t="n">
        <v>880</v>
      </c>
      <c r="EL223" s="0" t="s">
        <v>4115</v>
      </c>
      <c r="EM223" s="0" t="s">
        <v>2644</v>
      </c>
      <c r="EN223" s="0" t="s">
        <v>2645</v>
      </c>
      <c r="EO223" s="0" t="n">
        <v>7.5</v>
      </c>
      <c r="EP223" s="0" t="s">
        <v>2552</v>
      </c>
      <c r="EQ223" s="0" t="s">
        <v>2975</v>
      </c>
      <c r="ER223" s="0" t="s">
        <v>2976</v>
      </c>
      <c r="ES223" s="0" t="n">
        <v>169290</v>
      </c>
      <c r="ET223" s="0" t="n">
        <v>169290</v>
      </c>
      <c r="EU223" s="0" t="n">
        <v>169290</v>
      </c>
      <c r="EV223" s="0" t="n">
        <v>169290</v>
      </c>
    </row>
    <row r="224" customFormat="false" ht="15" hidden="false" customHeight="false" outlineLevel="0" collapsed="false">
      <c r="CQ224" s="0" t="s">
        <v>4116</v>
      </c>
      <c r="CR224" s="0" t="s">
        <v>86</v>
      </c>
      <c r="CS224" s="0" t="s">
        <v>283</v>
      </c>
      <c r="CT224" s="0" t="s">
        <v>281</v>
      </c>
      <c r="CU224" s="0" t="s">
        <v>81</v>
      </c>
      <c r="CV224" s="0" t="s">
        <v>282</v>
      </c>
      <c r="CW224" s="0" t="n">
        <v>0</v>
      </c>
      <c r="DB224" s="0" t="n">
        <v>360</v>
      </c>
      <c r="DC224" s="0" t="n">
        <v>400</v>
      </c>
      <c r="DD224" s="0" t="n">
        <v>430</v>
      </c>
      <c r="DE224" s="0" t="n">
        <v>430</v>
      </c>
      <c r="DG224" s="0" t="s">
        <v>4117</v>
      </c>
      <c r="DH224" s="0" t="s">
        <v>82</v>
      </c>
      <c r="DI224" s="0" t="s">
        <v>1531</v>
      </c>
      <c r="DJ224" s="0" t="s">
        <v>1532</v>
      </c>
      <c r="DK224" s="0" t="s">
        <v>705</v>
      </c>
      <c r="DL224" s="0" t="n">
        <v>11.54</v>
      </c>
      <c r="DM224" s="0" t="s">
        <v>675</v>
      </c>
      <c r="DN224" s="0" t="s">
        <v>676</v>
      </c>
      <c r="DO224" s="0" t="n">
        <v>1</v>
      </c>
      <c r="DP224" s="0" t="n">
        <v>4285</v>
      </c>
      <c r="DQ224" s="0" t="n">
        <v>4285</v>
      </c>
      <c r="DR224" s="0" t="s">
        <v>4118</v>
      </c>
      <c r="EB224" s="0" t="s">
        <v>4119</v>
      </c>
      <c r="EC224" s="0" t="s">
        <v>2609</v>
      </c>
      <c r="ED224" s="0" t="s">
        <v>2610</v>
      </c>
      <c r="EE224" s="0" t="s">
        <v>237</v>
      </c>
      <c r="EF224" s="0" t="s">
        <v>235</v>
      </c>
      <c r="EG224" s="0" t="n">
        <v>1850</v>
      </c>
      <c r="EH224" s="0" t="n">
        <v>1850</v>
      </c>
      <c r="EI224" s="0" t="n">
        <v>1850</v>
      </c>
      <c r="EJ224" s="0" t="n">
        <v>1850</v>
      </c>
      <c r="EL224" s="0" t="s">
        <v>4120</v>
      </c>
      <c r="EM224" s="0" t="s">
        <v>2644</v>
      </c>
      <c r="EN224" s="0" t="s">
        <v>2645</v>
      </c>
      <c r="EO224" s="0" t="n">
        <v>8</v>
      </c>
      <c r="EP224" s="0" t="s">
        <v>2528</v>
      </c>
      <c r="EQ224" s="0" t="s">
        <v>2988</v>
      </c>
      <c r="ER224" s="0" t="s">
        <v>2989</v>
      </c>
      <c r="ES224" s="0" t="n">
        <v>118210</v>
      </c>
      <c r="ET224" s="0" t="n">
        <v>118210</v>
      </c>
      <c r="EU224" s="0" t="n">
        <v>118210</v>
      </c>
      <c r="EV224" s="0" t="n">
        <v>118210</v>
      </c>
    </row>
    <row r="225" customFormat="false" ht="15" hidden="false" customHeight="false" outlineLevel="0" collapsed="false">
      <c r="CQ225" s="0" t="s">
        <v>4121</v>
      </c>
      <c r="CR225" s="0" t="s">
        <v>86</v>
      </c>
      <c r="CS225" s="0" t="s">
        <v>267</v>
      </c>
      <c r="CT225" s="0" t="s">
        <v>265</v>
      </c>
      <c r="CU225" s="0" t="s">
        <v>81</v>
      </c>
      <c r="CV225" s="0" t="s">
        <v>266</v>
      </c>
      <c r="CW225" s="0" t="n">
        <v>0</v>
      </c>
      <c r="DB225" s="0" t="n">
        <v>1920</v>
      </c>
      <c r="DC225" s="0" t="n">
        <v>2120</v>
      </c>
      <c r="DD225" s="0" t="n">
        <v>2290</v>
      </c>
      <c r="DE225" s="0" t="n">
        <v>2290</v>
      </c>
      <c r="DG225" s="0" t="s">
        <v>4122</v>
      </c>
      <c r="DH225" s="0" t="s">
        <v>82</v>
      </c>
      <c r="DI225" s="0" t="s">
        <v>1534</v>
      </c>
      <c r="DJ225" s="0" t="s">
        <v>1535</v>
      </c>
      <c r="DK225" s="0" t="s">
        <v>705</v>
      </c>
      <c r="DL225" s="0" t="n">
        <v>11.54</v>
      </c>
      <c r="DM225" s="0" t="s">
        <v>676</v>
      </c>
      <c r="DN225" s="0" t="s">
        <v>676</v>
      </c>
      <c r="DO225" s="0" t="n">
        <v>1</v>
      </c>
      <c r="DP225" s="0" t="n">
        <v>2.58</v>
      </c>
      <c r="DQ225" s="0" t="n">
        <v>5.24</v>
      </c>
      <c r="DR225" s="0" t="s">
        <v>4123</v>
      </c>
      <c r="EB225" s="0" t="s">
        <v>4124</v>
      </c>
      <c r="EC225" s="0" t="s">
        <v>2609</v>
      </c>
      <c r="ED225" s="0" t="s">
        <v>2610</v>
      </c>
      <c r="EE225" s="0" t="s">
        <v>249</v>
      </c>
      <c r="EF225" s="0" t="s">
        <v>247</v>
      </c>
      <c r="EG225" s="0" t="n">
        <v>240</v>
      </c>
      <c r="EH225" s="0" t="n">
        <v>265</v>
      </c>
      <c r="EI225" s="0" t="n">
        <v>265</v>
      </c>
      <c r="EJ225" s="0" t="n">
        <v>305</v>
      </c>
      <c r="EL225" s="0" t="s">
        <v>4125</v>
      </c>
      <c r="EM225" s="0" t="s">
        <v>2644</v>
      </c>
      <c r="EN225" s="0" t="s">
        <v>2645</v>
      </c>
      <c r="EO225" s="0" t="n">
        <v>8</v>
      </c>
      <c r="EP225" s="0" t="s">
        <v>2552</v>
      </c>
      <c r="EQ225" s="0" t="s">
        <v>3000</v>
      </c>
      <c r="ER225" s="0" t="s">
        <v>3001</v>
      </c>
      <c r="ES225" s="0" t="n">
        <v>177315</v>
      </c>
      <c r="ET225" s="0" t="n">
        <v>177315</v>
      </c>
      <c r="EU225" s="0" t="n">
        <v>177315</v>
      </c>
      <c r="EV225" s="0" t="n">
        <v>177315</v>
      </c>
    </row>
    <row r="226" customFormat="false" ht="15" hidden="false" customHeight="false" outlineLevel="0" collapsed="false">
      <c r="CQ226" s="0" t="s">
        <v>4126</v>
      </c>
      <c r="CR226" s="0" t="s">
        <v>86</v>
      </c>
      <c r="CS226" s="0" t="s">
        <v>258</v>
      </c>
      <c r="CT226" s="0" t="s">
        <v>256</v>
      </c>
      <c r="CU226" s="0" t="s">
        <v>81</v>
      </c>
      <c r="CV226" s="0" t="s">
        <v>257</v>
      </c>
      <c r="CW226" s="0" t="n">
        <v>0</v>
      </c>
      <c r="DB226" s="0" t="n">
        <v>2910</v>
      </c>
      <c r="DC226" s="0" t="n">
        <v>3220</v>
      </c>
      <c r="DD226" s="0" t="n">
        <v>3470</v>
      </c>
      <c r="DE226" s="0" t="n">
        <v>3470</v>
      </c>
      <c r="DG226" s="0" t="s">
        <v>4127</v>
      </c>
      <c r="DH226" s="0" t="s">
        <v>82</v>
      </c>
      <c r="DI226" s="0" t="s">
        <v>1540</v>
      </c>
      <c r="DJ226" s="0" t="s">
        <v>1541</v>
      </c>
      <c r="DK226" s="0" t="s">
        <v>705</v>
      </c>
      <c r="DL226" s="0" t="n">
        <v>11.54</v>
      </c>
      <c r="DM226" s="0" t="s">
        <v>675</v>
      </c>
      <c r="DN226" s="0" t="s">
        <v>676</v>
      </c>
      <c r="DO226" s="0" t="n">
        <v>10</v>
      </c>
      <c r="DP226" s="0" t="n">
        <v>1020</v>
      </c>
      <c r="DQ226" s="0" t="n">
        <v>1020</v>
      </c>
      <c r="DR226" s="0" t="s">
        <v>4128</v>
      </c>
      <c r="EB226" s="0" t="s">
        <v>4129</v>
      </c>
      <c r="EC226" s="0" t="s">
        <v>2609</v>
      </c>
      <c r="ED226" s="0" t="s">
        <v>2610</v>
      </c>
      <c r="EE226" s="0" t="s">
        <v>293</v>
      </c>
      <c r="EF226" s="0" t="s">
        <v>291</v>
      </c>
      <c r="EG226" s="0" t="n">
        <v>270</v>
      </c>
      <c r="EH226" s="0" t="n">
        <v>295</v>
      </c>
      <c r="EI226" s="0" t="n">
        <v>295</v>
      </c>
      <c r="EJ226" s="0" t="n">
        <v>370</v>
      </c>
      <c r="EL226" s="0" t="s">
        <v>4130</v>
      </c>
      <c r="EM226" s="0" t="s">
        <v>2710</v>
      </c>
      <c r="EN226" s="0" t="s">
        <v>2711</v>
      </c>
      <c r="EO226" s="0" t="n">
        <v>0.5</v>
      </c>
      <c r="EP226" s="0" t="s">
        <v>2528</v>
      </c>
      <c r="EQ226" s="0" t="s">
        <v>2529</v>
      </c>
      <c r="ER226" s="0" t="s">
        <v>2530</v>
      </c>
      <c r="ES226" s="0" t="n">
        <v>8000</v>
      </c>
      <c r="ET226" s="0" t="n">
        <v>8000</v>
      </c>
      <c r="EU226" s="0" t="n">
        <v>8000</v>
      </c>
      <c r="EV226" s="0" t="n">
        <v>8000</v>
      </c>
    </row>
    <row r="227" customFormat="false" ht="15" hidden="false" customHeight="false" outlineLevel="0" collapsed="false">
      <c r="CQ227" s="0" t="s">
        <v>4131</v>
      </c>
      <c r="CR227" s="0" t="s">
        <v>86</v>
      </c>
      <c r="CS227" s="0" t="s">
        <v>222</v>
      </c>
      <c r="CT227" s="0" t="s">
        <v>220</v>
      </c>
      <c r="CU227" s="0" t="s">
        <v>81</v>
      </c>
      <c r="CV227" s="0" t="s">
        <v>221</v>
      </c>
      <c r="CW227" s="0" t="n">
        <v>0</v>
      </c>
      <c r="DB227" s="0" t="n">
        <v>2430</v>
      </c>
      <c r="DC227" s="0" t="n">
        <v>2690</v>
      </c>
      <c r="DD227" s="0" t="n">
        <v>2900</v>
      </c>
      <c r="DE227" s="0" t="n">
        <v>2900</v>
      </c>
      <c r="DG227" s="0" t="s">
        <v>4132</v>
      </c>
      <c r="DH227" s="0" t="s">
        <v>82</v>
      </c>
      <c r="DI227" s="0" t="s">
        <v>1542</v>
      </c>
      <c r="DJ227" s="0" t="s">
        <v>1543</v>
      </c>
      <c r="DK227" s="0" t="s">
        <v>705</v>
      </c>
      <c r="DL227" s="0" t="n">
        <v>11.54</v>
      </c>
      <c r="DM227" s="0" t="s">
        <v>675</v>
      </c>
      <c r="DN227" s="0" t="s">
        <v>676</v>
      </c>
      <c r="DO227" s="0" t="n">
        <v>4</v>
      </c>
      <c r="DP227" s="0" t="n">
        <v>2920</v>
      </c>
      <c r="DQ227" s="0" t="n">
        <v>2920</v>
      </c>
      <c r="DR227" s="0" t="s">
        <v>4133</v>
      </c>
      <c r="EB227" s="0" t="s">
        <v>4134</v>
      </c>
      <c r="EC227" s="0" t="s">
        <v>2609</v>
      </c>
      <c r="ED227" s="0" t="s">
        <v>2610</v>
      </c>
      <c r="EE227" s="0" t="s">
        <v>280</v>
      </c>
      <c r="EF227" s="0" t="s">
        <v>279</v>
      </c>
      <c r="EG227" s="0" t="n">
        <v>475</v>
      </c>
      <c r="EH227" s="0" t="n">
        <v>525</v>
      </c>
      <c r="EI227" s="0" t="n">
        <v>525</v>
      </c>
      <c r="EJ227" s="0" t="n">
        <v>605</v>
      </c>
      <c r="EL227" s="0" t="s">
        <v>4135</v>
      </c>
      <c r="EM227" s="0" t="s">
        <v>2710</v>
      </c>
      <c r="EN227" s="0" t="s">
        <v>2711</v>
      </c>
      <c r="EO227" s="0" t="n">
        <v>0.5</v>
      </c>
      <c r="EP227" s="0" t="s">
        <v>2552</v>
      </c>
      <c r="EQ227" s="0" t="s">
        <v>2553</v>
      </c>
      <c r="ER227" s="0" t="s">
        <v>2554</v>
      </c>
      <c r="ES227" s="0" t="n">
        <v>12000</v>
      </c>
      <c r="ET227" s="0" t="n">
        <v>12000</v>
      </c>
      <c r="EU227" s="0" t="n">
        <v>12000</v>
      </c>
      <c r="EV227" s="0" t="n">
        <v>12000</v>
      </c>
    </row>
    <row r="228" customFormat="false" ht="15" hidden="false" customHeight="false" outlineLevel="0" collapsed="false">
      <c r="CQ228" s="0" t="s">
        <v>4136</v>
      </c>
      <c r="CR228" s="0" t="s">
        <v>86</v>
      </c>
      <c r="CS228" s="0" t="s">
        <v>233</v>
      </c>
      <c r="CT228" s="0" t="s">
        <v>231</v>
      </c>
      <c r="CU228" s="0" t="s">
        <v>81</v>
      </c>
      <c r="CV228" s="0" t="s">
        <v>232</v>
      </c>
      <c r="CW228" s="0" t="n">
        <v>0</v>
      </c>
      <c r="DB228" s="0" t="n">
        <v>1110</v>
      </c>
      <c r="DC228" s="0" t="n">
        <v>1220</v>
      </c>
      <c r="DD228" s="0" t="n">
        <v>1320</v>
      </c>
      <c r="DE228" s="0" t="n">
        <v>1320</v>
      </c>
      <c r="DG228" s="0" t="s">
        <v>4137</v>
      </c>
      <c r="DH228" s="0" t="s">
        <v>82</v>
      </c>
      <c r="DI228" s="0" t="s">
        <v>1546</v>
      </c>
      <c r="DJ228" s="0" t="s">
        <v>1547</v>
      </c>
      <c r="DK228" s="0" t="s">
        <v>705</v>
      </c>
      <c r="DL228" s="0" t="n">
        <v>11.54</v>
      </c>
      <c r="DM228" s="0" t="s">
        <v>676</v>
      </c>
      <c r="DN228" s="0" t="s">
        <v>676</v>
      </c>
      <c r="DO228" s="0" t="n">
        <v>0</v>
      </c>
      <c r="DP228" s="0" t="n">
        <v>0</v>
      </c>
      <c r="DQ228" s="0" t="n">
        <v>264</v>
      </c>
      <c r="DR228" s="0" t="s">
        <v>4138</v>
      </c>
      <c r="EB228" s="0" t="s">
        <v>4139</v>
      </c>
      <c r="EC228" s="0" t="s">
        <v>2609</v>
      </c>
      <c r="ED228" s="0" t="s">
        <v>2610</v>
      </c>
      <c r="EE228" s="0" t="s">
        <v>264</v>
      </c>
      <c r="EF228" s="0" t="s">
        <v>262</v>
      </c>
      <c r="EG228" s="0" t="n">
        <v>580</v>
      </c>
      <c r="EH228" s="0" t="n">
        <v>640</v>
      </c>
      <c r="EI228" s="0" t="n">
        <v>640</v>
      </c>
      <c r="EJ228" s="0" t="n">
        <v>735</v>
      </c>
      <c r="EL228" s="0" t="s">
        <v>4140</v>
      </c>
      <c r="EM228" s="0" t="s">
        <v>2710</v>
      </c>
      <c r="EN228" s="0" t="s">
        <v>2711</v>
      </c>
      <c r="EO228" s="0" t="n">
        <v>1</v>
      </c>
      <c r="EP228" s="0" t="s">
        <v>2528</v>
      </c>
      <c r="EQ228" s="0" t="s">
        <v>2569</v>
      </c>
      <c r="ER228" s="0" t="s">
        <v>2570</v>
      </c>
      <c r="ES228" s="0" t="n">
        <v>14850</v>
      </c>
      <c r="ET228" s="0" t="n">
        <v>14850</v>
      </c>
      <c r="EU228" s="0" t="n">
        <v>14850</v>
      </c>
      <c r="EV228" s="0" t="n">
        <v>14850</v>
      </c>
    </row>
    <row r="229" customFormat="false" ht="15" hidden="false" customHeight="false" outlineLevel="0" collapsed="false">
      <c r="CQ229" s="0" t="s">
        <v>4141</v>
      </c>
      <c r="CR229" s="0" t="s">
        <v>86</v>
      </c>
      <c r="CS229" s="0" t="s">
        <v>618</v>
      </c>
      <c r="CT229" s="0" t="s">
        <v>2596</v>
      </c>
      <c r="CU229" s="0" t="s">
        <v>81</v>
      </c>
      <c r="CV229" s="0" t="s">
        <v>2766</v>
      </c>
      <c r="CW229" s="0" t="n">
        <v>0</v>
      </c>
      <c r="DB229" s="0" t="n">
        <v>360</v>
      </c>
      <c r="DC229" s="0" t="n">
        <v>400</v>
      </c>
      <c r="DD229" s="0" t="n">
        <v>430</v>
      </c>
      <c r="DE229" s="0" t="n">
        <v>430</v>
      </c>
      <c r="DG229" s="0" t="s">
        <v>4142</v>
      </c>
      <c r="DH229" s="0" t="s">
        <v>82</v>
      </c>
      <c r="DI229" s="0" t="s">
        <v>1550</v>
      </c>
      <c r="DJ229" s="0" t="s">
        <v>1551</v>
      </c>
      <c r="DK229" s="0" t="s">
        <v>705</v>
      </c>
      <c r="DL229" s="0" t="n">
        <v>11.54</v>
      </c>
      <c r="DM229" s="0" t="s">
        <v>676</v>
      </c>
      <c r="DN229" s="0" t="s">
        <v>675</v>
      </c>
      <c r="DO229" s="0" t="n">
        <v>0</v>
      </c>
      <c r="DP229" s="0" t="n">
        <v>0</v>
      </c>
      <c r="DQ229" s="0" t="n">
        <v>393.86</v>
      </c>
      <c r="DR229" s="0" t="s">
        <v>4143</v>
      </c>
      <c r="EB229" s="0" t="s">
        <v>4144</v>
      </c>
      <c r="EC229" s="0" t="s">
        <v>2609</v>
      </c>
      <c r="EE229" s="0" t="s">
        <v>278</v>
      </c>
      <c r="EL229" s="0" t="s">
        <v>4145</v>
      </c>
      <c r="EM229" s="0" t="s">
        <v>2710</v>
      </c>
      <c r="EN229" s="0" t="s">
        <v>2711</v>
      </c>
      <c r="EO229" s="0" t="n">
        <v>1</v>
      </c>
      <c r="EP229" s="0" t="s">
        <v>2552</v>
      </c>
      <c r="EQ229" s="0" t="s">
        <v>2582</v>
      </c>
      <c r="ER229" s="0" t="s">
        <v>2583</v>
      </c>
      <c r="ES229" s="0" t="n">
        <v>22275</v>
      </c>
      <c r="ET229" s="0" t="n">
        <v>22275</v>
      </c>
      <c r="EU229" s="0" t="n">
        <v>22275</v>
      </c>
      <c r="EV229" s="0" t="n">
        <v>22275</v>
      </c>
    </row>
    <row r="230" customFormat="false" ht="15" hidden="false" customHeight="false" outlineLevel="0" collapsed="false">
      <c r="CQ230" s="0" t="s">
        <v>4146</v>
      </c>
      <c r="CR230" s="0" t="s">
        <v>86</v>
      </c>
      <c r="CS230" s="0" t="s">
        <v>225</v>
      </c>
      <c r="CT230" s="0" t="s">
        <v>223</v>
      </c>
      <c r="CU230" s="0" t="s">
        <v>81</v>
      </c>
      <c r="CV230" s="0" t="s">
        <v>224</v>
      </c>
      <c r="CW230" s="0" t="n">
        <v>0</v>
      </c>
      <c r="DB230" s="0" t="n">
        <v>2730</v>
      </c>
      <c r="DC230" s="0" t="n">
        <v>3020</v>
      </c>
      <c r="DD230" s="0" t="n">
        <v>3260</v>
      </c>
      <c r="DE230" s="0" t="n">
        <v>3260</v>
      </c>
      <c r="DG230" s="0" t="s">
        <v>4147</v>
      </c>
      <c r="DH230" s="0" t="s">
        <v>82</v>
      </c>
      <c r="DI230" s="0" t="s">
        <v>1553</v>
      </c>
      <c r="DJ230" s="0" t="s">
        <v>1554</v>
      </c>
      <c r="DK230" s="0" t="s">
        <v>705</v>
      </c>
      <c r="DL230" s="0" t="n">
        <v>11.54</v>
      </c>
      <c r="DM230" s="0" t="s">
        <v>676</v>
      </c>
      <c r="DN230" s="0" t="s">
        <v>675</v>
      </c>
      <c r="DO230" s="0" t="n">
        <v>0</v>
      </c>
      <c r="DP230" s="0" t="n">
        <v>0</v>
      </c>
      <c r="DQ230" s="0" t="n">
        <v>292.03</v>
      </c>
      <c r="DR230" s="0" t="s">
        <v>4148</v>
      </c>
      <c r="EB230" s="0" t="s">
        <v>4149</v>
      </c>
      <c r="EC230" s="0" t="s">
        <v>2609</v>
      </c>
      <c r="ED230" s="0" t="s">
        <v>2610</v>
      </c>
      <c r="EE230" s="0" t="s">
        <v>240</v>
      </c>
      <c r="EF230" s="0" t="s">
        <v>238</v>
      </c>
      <c r="EG230" s="0" t="n">
        <v>4335</v>
      </c>
      <c r="EH230" s="0" t="n">
        <v>4335</v>
      </c>
      <c r="EI230" s="0" t="n">
        <v>4335</v>
      </c>
      <c r="EJ230" s="0" t="n">
        <v>4335</v>
      </c>
      <c r="EL230" s="0" t="s">
        <v>4150</v>
      </c>
      <c r="EM230" s="0" t="s">
        <v>2710</v>
      </c>
      <c r="EN230" s="0" t="s">
        <v>2711</v>
      </c>
      <c r="EO230" s="0" t="n">
        <v>1.5</v>
      </c>
      <c r="EP230" s="0" t="s">
        <v>2528</v>
      </c>
      <c r="EQ230" s="0" t="s">
        <v>2598</v>
      </c>
      <c r="ER230" s="0" t="s">
        <v>2599</v>
      </c>
      <c r="ES230" s="0" t="n">
        <v>22300</v>
      </c>
      <c r="ET230" s="0" t="n">
        <v>22300</v>
      </c>
      <c r="EU230" s="0" t="n">
        <v>22300</v>
      </c>
      <c r="EV230" s="0" t="n">
        <v>22300</v>
      </c>
    </row>
    <row r="231" customFormat="false" ht="15" hidden="false" customHeight="false" outlineLevel="0" collapsed="false">
      <c r="CQ231" s="0" t="s">
        <v>4151</v>
      </c>
      <c r="CR231" s="0" t="s">
        <v>86</v>
      </c>
      <c r="CS231" s="0" t="s">
        <v>288</v>
      </c>
      <c r="CT231" s="0" t="s">
        <v>287</v>
      </c>
      <c r="CU231" s="0" t="s">
        <v>81</v>
      </c>
      <c r="CV231" s="0" t="s">
        <v>236</v>
      </c>
      <c r="CW231" s="0" t="n">
        <v>0</v>
      </c>
      <c r="DB231" s="0" t="n">
        <v>450</v>
      </c>
      <c r="DC231" s="0" t="n">
        <v>530</v>
      </c>
      <c r="DD231" s="0" t="n">
        <v>580</v>
      </c>
      <c r="DE231" s="0" t="n">
        <v>580</v>
      </c>
      <c r="DG231" s="0" t="s">
        <v>4152</v>
      </c>
      <c r="DH231" s="0" t="s">
        <v>82</v>
      </c>
      <c r="DJ231" s="0" t="s">
        <v>1213</v>
      </c>
      <c r="DK231" s="0" t="s">
        <v>674</v>
      </c>
      <c r="DL231" s="0" t="n">
        <v>7.69</v>
      </c>
      <c r="DM231" s="0" t="s">
        <v>675</v>
      </c>
      <c r="DN231" s="0" t="s">
        <v>675</v>
      </c>
      <c r="DO231" s="0" t="n">
        <v>0</v>
      </c>
      <c r="DP231" s="0" t="n">
        <v>0</v>
      </c>
      <c r="DQ231" s="0" t="n">
        <v>0</v>
      </c>
      <c r="DR231" s="0" t="s">
        <v>3605</v>
      </c>
      <c r="EB231" s="0" t="s">
        <v>4153</v>
      </c>
      <c r="EC231" s="0" t="s">
        <v>2609</v>
      </c>
      <c r="ED231" s="0" t="s">
        <v>2610</v>
      </c>
      <c r="EE231" s="0" t="s">
        <v>252</v>
      </c>
      <c r="EF231" s="0" t="s">
        <v>250</v>
      </c>
      <c r="EG231" s="0" t="n">
        <v>750</v>
      </c>
      <c r="EH231" s="0" t="n">
        <v>750</v>
      </c>
      <c r="EI231" s="0" t="n">
        <v>750</v>
      </c>
      <c r="EJ231" s="0" t="n">
        <v>750</v>
      </c>
      <c r="EL231" s="0" t="s">
        <v>4154</v>
      </c>
      <c r="EM231" s="0" t="s">
        <v>2710</v>
      </c>
      <c r="EN231" s="0" t="s">
        <v>2711</v>
      </c>
      <c r="EO231" s="0" t="n">
        <v>1.5</v>
      </c>
      <c r="EP231" s="0" t="s">
        <v>2552</v>
      </c>
      <c r="EQ231" s="0" t="s">
        <v>2614</v>
      </c>
      <c r="ER231" s="0" t="s">
        <v>2615</v>
      </c>
      <c r="ES231" s="0" t="n">
        <v>33450</v>
      </c>
      <c r="ET231" s="0" t="n">
        <v>33450</v>
      </c>
      <c r="EU231" s="0" t="n">
        <v>33450</v>
      </c>
      <c r="EV231" s="0" t="n">
        <v>33450</v>
      </c>
    </row>
    <row r="232" customFormat="false" ht="15" hidden="false" customHeight="false" outlineLevel="0" collapsed="false">
      <c r="CQ232" s="0" t="s">
        <v>4155</v>
      </c>
      <c r="CR232" s="0" t="s">
        <v>86</v>
      </c>
      <c r="CS232" s="0" t="s">
        <v>269</v>
      </c>
      <c r="CT232" s="0" t="s">
        <v>268</v>
      </c>
      <c r="CU232" s="0" t="s">
        <v>81</v>
      </c>
      <c r="CV232" s="0" t="s">
        <v>236</v>
      </c>
      <c r="CW232" s="0" t="n">
        <v>0</v>
      </c>
      <c r="DB232" s="0" t="n">
        <v>280</v>
      </c>
      <c r="DC232" s="0" t="n">
        <v>280</v>
      </c>
      <c r="DD232" s="0" t="n">
        <v>280</v>
      </c>
      <c r="DE232" s="0" t="n">
        <v>280</v>
      </c>
      <c r="DG232" s="0" t="s">
        <v>4156</v>
      </c>
      <c r="DH232" s="0" t="s">
        <v>82</v>
      </c>
      <c r="DJ232" s="0" t="s">
        <v>1177</v>
      </c>
      <c r="DK232" s="0" t="s">
        <v>674</v>
      </c>
      <c r="DL232" s="0" t="n">
        <v>7.69</v>
      </c>
      <c r="DM232" s="0" t="s">
        <v>675</v>
      </c>
      <c r="DN232" s="0" t="s">
        <v>675</v>
      </c>
      <c r="DO232" s="0" t="n">
        <v>0</v>
      </c>
      <c r="DP232" s="0" t="n">
        <v>0</v>
      </c>
      <c r="DQ232" s="0" t="n">
        <v>0</v>
      </c>
      <c r="DR232" s="0" t="s">
        <v>3529</v>
      </c>
      <c r="EB232" s="0" t="s">
        <v>4157</v>
      </c>
      <c r="EC232" s="0" t="s">
        <v>2609</v>
      </c>
      <c r="ED232" s="0" t="s">
        <v>2610</v>
      </c>
      <c r="EE232" s="0" t="s">
        <v>229</v>
      </c>
      <c r="EF232" s="0" t="s">
        <v>227</v>
      </c>
      <c r="EG232" s="0" t="n">
        <v>85</v>
      </c>
      <c r="EH232" s="0" t="n">
        <v>95</v>
      </c>
      <c r="EI232" s="0" t="n">
        <v>95</v>
      </c>
      <c r="EJ232" s="0" t="n">
        <v>110</v>
      </c>
      <c r="EL232" s="0" t="s">
        <v>4158</v>
      </c>
      <c r="EM232" s="0" t="s">
        <v>2710</v>
      </c>
      <c r="EN232" s="0" t="s">
        <v>2711</v>
      </c>
      <c r="EO232" s="0" t="n">
        <v>2</v>
      </c>
      <c r="EP232" s="0" t="s">
        <v>2528</v>
      </c>
      <c r="EQ232" s="0" t="s">
        <v>2630</v>
      </c>
      <c r="ER232" s="0" t="s">
        <v>2631</v>
      </c>
      <c r="ES232" s="0" t="n">
        <v>29700</v>
      </c>
      <c r="ET232" s="0" t="n">
        <v>29700</v>
      </c>
      <c r="EU232" s="0" t="n">
        <v>29700</v>
      </c>
      <c r="EV232" s="0" t="n">
        <v>29700</v>
      </c>
    </row>
    <row r="233" customFormat="false" ht="15" hidden="false" customHeight="false" outlineLevel="0" collapsed="false">
      <c r="CQ233" s="0" t="s">
        <v>4159</v>
      </c>
      <c r="CR233" s="0" t="s">
        <v>86</v>
      </c>
      <c r="CS233" s="0" t="s">
        <v>237</v>
      </c>
      <c r="CT233" s="0" t="s">
        <v>235</v>
      </c>
      <c r="CU233" s="0" t="s">
        <v>81</v>
      </c>
      <c r="CV233" s="0" t="s">
        <v>236</v>
      </c>
      <c r="CW233" s="0" t="n">
        <v>0</v>
      </c>
      <c r="DB233" s="0" t="n">
        <v>2650</v>
      </c>
      <c r="DC233" s="0" t="n">
        <v>2650</v>
      </c>
      <c r="DD233" s="0" t="n">
        <v>2650</v>
      </c>
      <c r="DE233" s="0" t="n">
        <v>2650</v>
      </c>
      <c r="DG233" s="0" t="s">
        <v>4160</v>
      </c>
      <c r="DH233" s="0" t="s">
        <v>82</v>
      </c>
      <c r="DJ233" s="0" t="s">
        <v>1489</v>
      </c>
      <c r="DK233" s="0" t="s">
        <v>674</v>
      </c>
      <c r="DL233" s="0" t="n">
        <v>7.69</v>
      </c>
      <c r="DM233" s="0" t="s">
        <v>675</v>
      </c>
      <c r="DN233" s="0" t="s">
        <v>675</v>
      </c>
      <c r="DO233" s="0" t="n">
        <v>0</v>
      </c>
      <c r="DP233" s="0" t="n">
        <v>0</v>
      </c>
      <c r="DQ233" s="0" t="n">
        <v>0</v>
      </c>
      <c r="DR233" s="0" t="s">
        <v>4031</v>
      </c>
      <c r="EB233" s="0" t="s">
        <v>4161</v>
      </c>
      <c r="EC233" s="0" t="s">
        <v>2609</v>
      </c>
      <c r="ED233" s="0" t="s">
        <v>2610</v>
      </c>
      <c r="EE233" s="0" t="s">
        <v>246</v>
      </c>
      <c r="EF233" s="0" t="s">
        <v>244</v>
      </c>
      <c r="EG233" s="0" t="n">
        <v>180</v>
      </c>
      <c r="EH233" s="0" t="n">
        <v>180</v>
      </c>
      <c r="EI233" s="0" t="n">
        <v>180</v>
      </c>
      <c r="EJ233" s="0" t="n">
        <v>180</v>
      </c>
      <c r="EL233" s="0" t="s">
        <v>4162</v>
      </c>
      <c r="EM233" s="0" t="s">
        <v>2710</v>
      </c>
      <c r="EN233" s="0" t="s">
        <v>2711</v>
      </c>
      <c r="EO233" s="0" t="n">
        <v>2</v>
      </c>
      <c r="EP233" s="0" t="s">
        <v>2552</v>
      </c>
      <c r="EQ233" s="0" t="s">
        <v>2649</v>
      </c>
      <c r="ER233" s="0" t="s">
        <v>2650</v>
      </c>
      <c r="ES233" s="0" t="n">
        <v>44550</v>
      </c>
      <c r="ET233" s="0" t="n">
        <v>44550</v>
      </c>
      <c r="EU233" s="0" t="n">
        <v>44550</v>
      </c>
      <c r="EV233" s="0" t="n">
        <v>44550</v>
      </c>
    </row>
    <row r="234" customFormat="false" ht="15" hidden="false" customHeight="false" outlineLevel="0" collapsed="false">
      <c r="CQ234" s="0" t="s">
        <v>4163</v>
      </c>
      <c r="CR234" s="0" t="s">
        <v>86</v>
      </c>
      <c r="CS234" s="0" t="s">
        <v>249</v>
      </c>
      <c r="CT234" s="0" t="s">
        <v>247</v>
      </c>
      <c r="CU234" s="0" t="s">
        <v>81</v>
      </c>
      <c r="CV234" s="0" t="s">
        <v>248</v>
      </c>
      <c r="CW234" s="0" t="n">
        <v>0</v>
      </c>
      <c r="DB234" s="0" t="n">
        <v>310</v>
      </c>
      <c r="DC234" s="0" t="n">
        <v>340</v>
      </c>
      <c r="DD234" s="0" t="n">
        <v>370</v>
      </c>
      <c r="DE234" s="0" t="n">
        <v>370</v>
      </c>
      <c r="DG234" s="0" t="s">
        <v>4164</v>
      </c>
      <c r="DH234" s="0" t="s">
        <v>82</v>
      </c>
      <c r="DJ234" s="0" t="s">
        <v>1243</v>
      </c>
      <c r="DK234" s="0" t="s">
        <v>674</v>
      </c>
      <c r="DL234" s="0" t="n">
        <v>7.69</v>
      </c>
      <c r="DM234" s="0" t="s">
        <v>675</v>
      </c>
      <c r="DN234" s="0" t="s">
        <v>675</v>
      </c>
      <c r="DO234" s="0" t="n">
        <v>0</v>
      </c>
      <c r="DP234" s="0" t="n">
        <v>0</v>
      </c>
      <c r="DQ234" s="0" t="n">
        <v>0</v>
      </c>
      <c r="DR234" s="0" t="s">
        <v>3647</v>
      </c>
      <c r="EB234" s="0" t="s">
        <v>4165</v>
      </c>
      <c r="EC234" s="0" t="s">
        <v>2609</v>
      </c>
      <c r="EE234" s="0" t="s">
        <v>255</v>
      </c>
      <c r="EL234" s="0" t="s">
        <v>4166</v>
      </c>
      <c r="EM234" s="0" t="s">
        <v>2710</v>
      </c>
      <c r="EN234" s="0" t="s">
        <v>2711</v>
      </c>
      <c r="EO234" s="0" t="n">
        <v>2.5</v>
      </c>
      <c r="EP234" s="0" t="s">
        <v>2528</v>
      </c>
      <c r="EQ234" s="0" t="s">
        <v>2665</v>
      </c>
      <c r="ER234" s="0" t="s">
        <v>2666</v>
      </c>
      <c r="ES234" s="0" t="n">
        <v>38950</v>
      </c>
      <c r="ET234" s="0" t="n">
        <v>38950</v>
      </c>
      <c r="EU234" s="0" t="n">
        <v>38950</v>
      </c>
      <c r="EV234" s="0" t="n">
        <v>38950</v>
      </c>
    </row>
    <row r="235" customFormat="false" ht="15" hidden="false" customHeight="false" outlineLevel="0" collapsed="false">
      <c r="CQ235" s="0" t="s">
        <v>4167</v>
      </c>
      <c r="CR235" s="0" t="s">
        <v>86</v>
      </c>
      <c r="CS235" s="0" t="s">
        <v>293</v>
      </c>
      <c r="CT235" s="0" t="s">
        <v>291</v>
      </c>
      <c r="CU235" s="0" t="s">
        <v>81</v>
      </c>
      <c r="CV235" s="0" t="s">
        <v>292</v>
      </c>
      <c r="CW235" s="0" t="n">
        <v>0</v>
      </c>
      <c r="DB235" s="0" t="n">
        <v>330</v>
      </c>
      <c r="DC235" s="0" t="n">
        <v>370</v>
      </c>
      <c r="DD235" s="0" t="n">
        <v>400</v>
      </c>
      <c r="DE235" s="0" t="n">
        <v>400</v>
      </c>
      <c r="DG235" s="0" t="s">
        <v>4168</v>
      </c>
      <c r="DH235" s="0" t="s">
        <v>82</v>
      </c>
      <c r="DI235" s="0" t="s">
        <v>1558</v>
      </c>
      <c r="DJ235" s="0" t="s">
        <v>1559</v>
      </c>
      <c r="DK235" s="0" t="s">
        <v>674</v>
      </c>
      <c r="DL235" s="0" t="n">
        <v>7.69</v>
      </c>
      <c r="DM235" s="0" t="s">
        <v>675</v>
      </c>
      <c r="DN235" s="0" t="s">
        <v>676</v>
      </c>
      <c r="DO235" s="0" t="n">
        <v>2</v>
      </c>
      <c r="DP235" s="0" t="n">
        <v>118.3</v>
      </c>
      <c r="DQ235" s="0" t="n">
        <v>118.3</v>
      </c>
      <c r="DR235" s="0" t="s">
        <v>4169</v>
      </c>
      <c r="EB235" s="0" t="s">
        <v>4170</v>
      </c>
      <c r="EC235" s="0" t="s">
        <v>2609</v>
      </c>
      <c r="EE235" s="0" t="s">
        <v>243</v>
      </c>
      <c r="EL235" s="0" t="s">
        <v>4171</v>
      </c>
      <c r="EM235" s="0" t="s">
        <v>2710</v>
      </c>
      <c r="EN235" s="0" t="s">
        <v>2711</v>
      </c>
      <c r="EO235" s="0" t="n">
        <v>2.5</v>
      </c>
      <c r="EP235" s="0" t="s">
        <v>2552</v>
      </c>
      <c r="EQ235" s="0" t="s">
        <v>2682</v>
      </c>
      <c r="ER235" s="0" t="s">
        <v>2683</v>
      </c>
      <c r="ES235" s="0" t="n">
        <v>58425</v>
      </c>
      <c r="ET235" s="0" t="n">
        <v>58425</v>
      </c>
      <c r="EU235" s="0" t="n">
        <v>58425</v>
      </c>
      <c r="EV235" s="0" t="n">
        <v>58425</v>
      </c>
    </row>
    <row r="236" customFormat="false" ht="15" hidden="false" customHeight="false" outlineLevel="0" collapsed="false">
      <c r="CQ236" s="0" t="s">
        <v>4172</v>
      </c>
      <c r="CR236" s="0" t="s">
        <v>86</v>
      </c>
      <c r="CS236" s="0" t="s">
        <v>330</v>
      </c>
      <c r="CT236" s="0" t="s">
        <v>331</v>
      </c>
      <c r="CU236" s="0" t="s">
        <v>81</v>
      </c>
      <c r="CV236" s="0" t="s">
        <v>248</v>
      </c>
      <c r="CW236" s="0" t="n">
        <v>0</v>
      </c>
      <c r="DB236" s="0" t="n">
        <v>1050</v>
      </c>
      <c r="DC236" s="0" t="n">
        <v>1160</v>
      </c>
      <c r="DD236" s="0" t="n">
        <v>1250</v>
      </c>
      <c r="DE236" s="0" t="n">
        <v>1250</v>
      </c>
      <c r="DG236" s="0" t="s">
        <v>4173</v>
      </c>
      <c r="DH236" s="0" t="s">
        <v>82</v>
      </c>
      <c r="DI236" s="0" t="s">
        <v>1562</v>
      </c>
      <c r="DJ236" s="0" t="s">
        <v>1563</v>
      </c>
      <c r="DK236" s="0" t="s">
        <v>674</v>
      </c>
      <c r="DL236" s="0" t="n">
        <v>7.69</v>
      </c>
      <c r="DM236" s="0" t="s">
        <v>676</v>
      </c>
      <c r="DN236" s="0" t="s">
        <v>675</v>
      </c>
      <c r="DO236" s="0" t="n">
        <v>0</v>
      </c>
      <c r="DP236" s="0" t="n">
        <v>0</v>
      </c>
      <c r="DQ236" s="0" t="n">
        <v>1.35</v>
      </c>
      <c r="DR236" s="0" t="s">
        <v>4174</v>
      </c>
      <c r="EB236" s="0" t="s">
        <v>4175</v>
      </c>
      <c r="EC236" s="0" t="s">
        <v>2609</v>
      </c>
      <c r="ED236" s="0" t="s">
        <v>2610</v>
      </c>
      <c r="EE236" s="0" t="s">
        <v>261</v>
      </c>
      <c r="EF236" s="0" t="s">
        <v>259</v>
      </c>
      <c r="EG236" s="0" t="n">
        <v>1</v>
      </c>
      <c r="EH236" s="0" t="n">
        <v>1</v>
      </c>
      <c r="EI236" s="0" t="n">
        <v>1</v>
      </c>
      <c r="EJ236" s="0" t="n">
        <v>1</v>
      </c>
      <c r="EL236" s="0" t="s">
        <v>4176</v>
      </c>
      <c r="EM236" s="0" t="s">
        <v>2710</v>
      </c>
      <c r="EN236" s="0" t="s">
        <v>2711</v>
      </c>
      <c r="EO236" s="0" t="n">
        <v>3</v>
      </c>
      <c r="EP236" s="0" t="s">
        <v>2528</v>
      </c>
      <c r="EQ236" s="0" t="s">
        <v>2699</v>
      </c>
      <c r="ER236" s="0" t="s">
        <v>2700</v>
      </c>
      <c r="ES236" s="0" t="n">
        <v>45900</v>
      </c>
      <c r="ET236" s="0" t="n">
        <v>45900</v>
      </c>
      <c r="EU236" s="0" t="n">
        <v>45900</v>
      </c>
      <c r="EV236" s="0" t="n">
        <v>45900</v>
      </c>
    </row>
    <row r="237" customFormat="false" ht="15" hidden="false" customHeight="false" outlineLevel="0" collapsed="false">
      <c r="CQ237" s="0" t="s">
        <v>4177</v>
      </c>
      <c r="CR237" s="0" t="s">
        <v>86</v>
      </c>
      <c r="CS237" s="0" t="s">
        <v>334</v>
      </c>
      <c r="CT237" s="0" t="s">
        <v>335</v>
      </c>
      <c r="CU237" s="0" t="s">
        <v>81</v>
      </c>
      <c r="CV237" s="0" t="s">
        <v>248</v>
      </c>
      <c r="CW237" s="0" t="n">
        <v>0</v>
      </c>
      <c r="DB237" s="0" t="n">
        <v>380</v>
      </c>
      <c r="DC237" s="0" t="n">
        <v>420</v>
      </c>
      <c r="DD237" s="0" t="n">
        <v>460</v>
      </c>
      <c r="DE237" s="0" t="n">
        <v>460</v>
      </c>
      <c r="DG237" s="0" t="s">
        <v>4178</v>
      </c>
      <c r="DH237" s="0" t="s">
        <v>82</v>
      </c>
      <c r="DI237" s="0" t="s">
        <v>1565</v>
      </c>
      <c r="DJ237" s="0" t="s">
        <v>1566</v>
      </c>
      <c r="DK237" s="0" t="s">
        <v>674</v>
      </c>
      <c r="DL237" s="0" t="n">
        <v>7.69</v>
      </c>
      <c r="DM237" s="0" t="s">
        <v>676</v>
      </c>
      <c r="DN237" s="0" t="s">
        <v>675</v>
      </c>
      <c r="DO237" s="0" t="n">
        <v>0</v>
      </c>
      <c r="DP237" s="0" t="n">
        <v>0</v>
      </c>
      <c r="DQ237" s="0" t="n">
        <v>8</v>
      </c>
      <c r="DR237" s="0" t="s">
        <v>4179</v>
      </c>
      <c r="EB237" s="0" t="s">
        <v>4180</v>
      </c>
      <c r="EC237" s="0" t="s">
        <v>2609</v>
      </c>
      <c r="EE237" s="0" t="s">
        <v>296</v>
      </c>
      <c r="EL237" s="0" t="s">
        <v>4181</v>
      </c>
      <c r="EM237" s="0" t="s">
        <v>2710</v>
      </c>
      <c r="EN237" s="0" t="s">
        <v>2711</v>
      </c>
      <c r="EO237" s="0" t="n">
        <v>3</v>
      </c>
      <c r="EP237" s="0" t="s">
        <v>2552</v>
      </c>
      <c r="EQ237" s="0" t="s">
        <v>2715</v>
      </c>
      <c r="ER237" s="0" t="s">
        <v>2716</v>
      </c>
      <c r="ES237" s="0" t="n">
        <v>68850</v>
      </c>
      <c r="ET237" s="0" t="n">
        <v>68850</v>
      </c>
      <c r="EU237" s="0" t="n">
        <v>68850</v>
      </c>
      <c r="EV237" s="0" t="n">
        <v>68850</v>
      </c>
    </row>
    <row r="238" customFormat="false" ht="15" hidden="false" customHeight="false" outlineLevel="0" collapsed="false">
      <c r="CQ238" s="0" t="s">
        <v>4182</v>
      </c>
      <c r="CR238" s="0" t="s">
        <v>86</v>
      </c>
      <c r="CS238" s="0" t="s">
        <v>280</v>
      </c>
      <c r="CT238" s="0" t="s">
        <v>279</v>
      </c>
      <c r="CU238" s="0" t="s">
        <v>81</v>
      </c>
      <c r="CV238" s="0" t="s">
        <v>248</v>
      </c>
      <c r="CW238" s="0" t="n">
        <v>0</v>
      </c>
      <c r="DB238" s="0" t="n">
        <v>860</v>
      </c>
      <c r="DC238" s="0" t="n">
        <v>950</v>
      </c>
      <c r="DD238" s="0" t="n">
        <v>1020</v>
      </c>
      <c r="DE238" s="0" t="n">
        <v>1020</v>
      </c>
      <c r="DG238" s="0" t="s">
        <v>4183</v>
      </c>
      <c r="DH238" s="0" t="s">
        <v>82</v>
      </c>
      <c r="DI238" s="0" t="s">
        <v>1567</v>
      </c>
      <c r="DJ238" s="0" t="s">
        <v>1568</v>
      </c>
      <c r="DK238" s="0" t="s">
        <v>674</v>
      </c>
      <c r="DL238" s="0" t="n">
        <v>7.69</v>
      </c>
      <c r="DM238" s="0" t="s">
        <v>676</v>
      </c>
      <c r="DN238" s="0" t="s">
        <v>675</v>
      </c>
      <c r="DO238" s="0" t="n">
        <v>0</v>
      </c>
      <c r="DP238" s="0" t="n">
        <v>0</v>
      </c>
      <c r="DQ238" s="0" t="n">
        <v>13.6</v>
      </c>
      <c r="DR238" s="0" t="s">
        <v>4184</v>
      </c>
      <c r="EB238" s="0" t="s">
        <v>4185</v>
      </c>
      <c r="EC238" s="0" t="s">
        <v>2625</v>
      </c>
      <c r="ED238" s="0" t="s">
        <v>2626</v>
      </c>
      <c r="EE238" s="0" t="s">
        <v>626</v>
      </c>
      <c r="EF238" s="0" t="s">
        <v>2526</v>
      </c>
      <c r="EG238" s="0" t="n">
        <v>290</v>
      </c>
      <c r="EH238" s="0" t="n">
        <v>335</v>
      </c>
      <c r="EI238" s="0" t="n">
        <v>335</v>
      </c>
      <c r="EJ238" s="0" t="n">
        <v>385</v>
      </c>
      <c r="EL238" s="0" t="s">
        <v>4186</v>
      </c>
      <c r="EM238" s="0" t="s">
        <v>2710</v>
      </c>
      <c r="EN238" s="0" t="s">
        <v>2711</v>
      </c>
      <c r="EO238" s="0" t="n">
        <v>3.5</v>
      </c>
      <c r="EP238" s="0" t="s">
        <v>2528</v>
      </c>
      <c r="EQ238" s="0" t="s">
        <v>2730</v>
      </c>
      <c r="ER238" s="0" t="s">
        <v>2731</v>
      </c>
      <c r="ES238" s="0" t="n">
        <v>54000</v>
      </c>
      <c r="ET238" s="0" t="n">
        <v>54000</v>
      </c>
      <c r="EU238" s="0" t="n">
        <v>54000</v>
      </c>
      <c r="EV238" s="0" t="n">
        <v>54000</v>
      </c>
    </row>
    <row r="239" customFormat="false" ht="15" hidden="false" customHeight="false" outlineLevel="0" collapsed="false">
      <c r="CQ239" s="0" t="s">
        <v>4187</v>
      </c>
      <c r="CR239" s="0" t="s">
        <v>86</v>
      </c>
      <c r="CS239" s="0" t="s">
        <v>582</v>
      </c>
      <c r="CT239" s="0" t="s">
        <v>580</v>
      </c>
      <c r="CU239" s="0" t="s">
        <v>581</v>
      </c>
      <c r="CV239" s="0" t="s">
        <v>581</v>
      </c>
      <c r="CW239" s="0" t="n">
        <v>0</v>
      </c>
      <c r="DB239" s="0" t="n">
        <v>2030</v>
      </c>
      <c r="DC239" s="0" t="n">
        <v>2210</v>
      </c>
      <c r="DD239" s="0" t="n">
        <v>2380</v>
      </c>
      <c r="DE239" s="0" t="n">
        <v>2560</v>
      </c>
      <c r="DG239" s="0" t="s">
        <v>4188</v>
      </c>
      <c r="DH239" s="0" t="s">
        <v>82</v>
      </c>
      <c r="DI239" s="0" t="s">
        <v>1573</v>
      </c>
      <c r="DJ239" s="0" t="s">
        <v>1574</v>
      </c>
      <c r="DK239" s="0" t="s">
        <v>674</v>
      </c>
      <c r="DL239" s="0" t="n">
        <v>7.69</v>
      </c>
      <c r="DM239" s="0" t="s">
        <v>675</v>
      </c>
      <c r="DN239" s="0" t="s">
        <v>676</v>
      </c>
      <c r="DO239" s="0" t="n">
        <v>1</v>
      </c>
      <c r="DP239" s="0" t="n">
        <v>53.88</v>
      </c>
      <c r="DQ239" s="0" t="n">
        <v>53.88</v>
      </c>
      <c r="DR239" s="0" t="s">
        <v>4189</v>
      </c>
      <c r="EB239" s="0" t="s">
        <v>4190</v>
      </c>
      <c r="EC239" s="0" t="s">
        <v>2625</v>
      </c>
      <c r="ED239" s="0" t="s">
        <v>2626</v>
      </c>
      <c r="EE239" s="0" t="s">
        <v>624</v>
      </c>
      <c r="EF239" s="0" t="s">
        <v>2550</v>
      </c>
      <c r="EG239" s="0" t="n">
        <v>250</v>
      </c>
      <c r="EH239" s="0" t="n">
        <v>290</v>
      </c>
      <c r="EI239" s="0" t="n">
        <v>290</v>
      </c>
      <c r="EJ239" s="0" t="n">
        <v>335</v>
      </c>
      <c r="EL239" s="0" t="s">
        <v>4191</v>
      </c>
      <c r="EM239" s="0" t="s">
        <v>2710</v>
      </c>
      <c r="EN239" s="0" t="s">
        <v>2711</v>
      </c>
      <c r="EO239" s="0" t="n">
        <v>3.5</v>
      </c>
      <c r="EP239" s="0" t="s">
        <v>2552</v>
      </c>
      <c r="EQ239" s="0" t="s">
        <v>2747</v>
      </c>
      <c r="ER239" s="0" t="s">
        <v>2748</v>
      </c>
      <c r="ES239" s="0" t="n">
        <v>81000</v>
      </c>
      <c r="ET239" s="0" t="n">
        <v>81000</v>
      </c>
      <c r="EU239" s="0" t="n">
        <v>81000</v>
      </c>
      <c r="EV239" s="0" t="n">
        <v>81000</v>
      </c>
    </row>
    <row r="240" customFormat="false" ht="15" hidden="false" customHeight="false" outlineLevel="0" collapsed="false">
      <c r="CQ240" s="0" t="s">
        <v>4192</v>
      </c>
      <c r="CR240" s="0" t="s">
        <v>86</v>
      </c>
      <c r="CS240" s="0" t="s">
        <v>264</v>
      </c>
      <c r="CT240" s="0" t="s">
        <v>262</v>
      </c>
      <c r="CU240" s="0" t="s">
        <v>2252</v>
      </c>
      <c r="CV240" s="0" t="s">
        <v>263</v>
      </c>
      <c r="CW240" s="0" t="n">
        <v>0</v>
      </c>
      <c r="DB240" s="0" t="n">
        <v>680</v>
      </c>
      <c r="DC240" s="0" t="n">
        <v>750</v>
      </c>
      <c r="DD240" s="0" t="n">
        <v>810</v>
      </c>
      <c r="DE240" s="0" t="n">
        <v>810</v>
      </c>
      <c r="DG240" s="0" t="s">
        <v>4193</v>
      </c>
      <c r="DH240" s="0" t="s">
        <v>82</v>
      </c>
      <c r="DI240" s="0" t="s">
        <v>1576</v>
      </c>
      <c r="DJ240" s="0" t="s">
        <v>1577</v>
      </c>
      <c r="DK240" s="0" t="s">
        <v>674</v>
      </c>
      <c r="DL240" s="0" t="n">
        <v>7.69</v>
      </c>
      <c r="DM240" s="0" t="s">
        <v>676</v>
      </c>
      <c r="DN240" s="0" t="s">
        <v>675</v>
      </c>
      <c r="DO240" s="0" t="n">
        <v>0</v>
      </c>
      <c r="DP240" s="0" t="n">
        <v>0</v>
      </c>
      <c r="DQ240" s="0" t="n">
        <v>1499</v>
      </c>
      <c r="DR240" s="0" t="s">
        <v>4194</v>
      </c>
      <c r="EB240" s="0" t="s">
        <v>4195</v>
      </c>
      <c r="EC240" s="0" t="s">
        <v>2625</v>
      </c>
      <c r="ED240" s="0" t="s">
        <v>2626</v>
      </c>
      <c r="EE240" s="0" t="s">
        <v>622</v>
      </c>
      <c r="EF240" s="0" t="s">
        <v>2567</v>
      </c>
      <c r="EG240" s="0" t="n">
        <v>820</v>
      </c>
      <c r="EH240" s="0" t="n">
        <v>945</v>
      </c>
      <c r="EI240" s="0" t="n">
        <v>945</v>
      </c>
      <c r="EJ240" s="0" t="n">
        <v>1085</v>
      </c>
      <c r="EL240" s="0" t="s">
        <v>4196</v>
      </c>
      <c r="EM240" s="0" t="s">
        <v>2710</v>
      </c>
      <c r="EN240" s="0" t="s">
        <v>2711</v>
      </c>
      <c r="EO240" s="0" t="n">
        <v>4</v>
      </c>
      <c r="EP240" s="0" t="s">
        <v>2528</v>
      </c>
      <c r="EQ240" s="0" t="s">
        <v>2761</v>
      </c>
      <c r="ER240" s="0" t="s">
        <v>2762</v>
      </c>
      <c r="ES240" s="0" t="n">
        <v>60900</v>
      </c>
      <c r="ET240" s="0" t="n">
        <v>60900</v>
      </c>
      <c r="EU240" s="0" t="n">
        <v>60900</v>
      </c>
      <c r="EV240" s="0" t="n">
        <v>60900</v>
      </c>
    </row>
    <row r="241" customFormat="false" ht="15" hidden="false" customHeight="false" outlineLevel="0" collapsed="false">
      <c r="CQ241" s="0" t="s">
        <v>4197</v>
      </c>
      <c r="CR241" s="0" t="s">
        <v>86</v>
      </c>
      <c r="CS241" s="0" t="s">
        <v>612</v>
      </c>
      <c r="CT241" s="0" t="s">
        <v>2647</v>
      </c>
      <c r="CU241" s="0" t="s">
        <v>2939</v>
      </c>
      <c r="CV241" s="0" t="s">
        <v>277</v>
      </c>
      <c r="CW241" s="0" t="n">
        <v>0</v>
      </c>
      <c r="DB241" s="0" t="n">
        <v>740</v>
      </c>
      <c r="DC241" s="0" t="n">
        <v>820</v>
      </c>
      <c r="DD241" s="0" t="n">
        <v>880</v>
      </c>
      <c r="DE241" s="0" t="n">
        <v>880</v>
      </c>
      <c r="DG241" s="0" t="s">
        <v>4198</v>
      </c>
      <c r="DH241" s="0" t="s">
        <v>82</v>
      </c>
      <c r="DI241" s="0" t="s">
        <v>1579</v>
      </c>
      <c r="DJ241" s="0" t="s">
        <v>1580</v>
      </c>
      <c r="DK241" s="0" t="s">
        <v>674</v>
      </c>
      <c r="DL241" s="0" t="n">
        <v>7.69</v>
      </c>
      <c r="DM241" s="0" t="s">
        <v>676</v>
      </c>
      <c r="DN241" s="0" t="s">
        <v>676</v>
      </c>
      <c r="DO241" s="0" t="n">
        <v>1</v>
      </c>
      <c r="DP241" s="0" t="n">
        <v>7.13</v>
      </c>
      <c r="DQ241" s="0" t="n">
        <v>10.7</v>
      </c>
      <c r="DR241" s="0" t="s">
        <v>4199</v>
      </c>
      <c r="EB241" s="0" t="s">
        <v>4200</v>
      </c>
      <c r="EC241" s="0" t="s">
        <v>2625</v>
      </c>
      <c r="ED241" s="0" t="s">
        <v>2626</v>
      </c>
      <c r="EE241" s="0" t="s">
        <v>620</v>
      </c>
      <c r="EF241" s="0" t="s">
        <v>2580</v>
      </c>
      <c r="EG241" s="0" t="n">
        <v>330</v>
      </c>
      <c r="EH241" s="0" t="n">
        <v>380</v>
      </c>
      <c r="EI241" s="0" t="n">
        <v>380</v>
      </c>
      <c r="EJ241" s="0" t="n">
        <v>435</v>
      </c>
      <c r="EL241" s="0" t="s">
        <v>4201</v>
      </c>
      <c r="EM241" s="0" t="s">
        <v>2710</v>
      </c>
      <c r="EN241" s="0" t="s">
        <v>2711</v>
      </c>
      <c r="EO241" s="0" t="n">
        <v>4</v>
      </c>
      <c r="EP241" s="0" t="s">
        <v>2552</v>
      </c>
      <c r="EQ241" s="0" t="s">
        <v>2774</v>
      </c>
      <c r="ER241" s="0" t="s">
        <v>2775</v>
      </c>
      <c r="ES241" s="0" t="n">
        <v>91350</v>
      </c>
      <c r="ET241" s="0" t="n">
        <v>91350</v>
      </c>
      <c r="EU241" s="0" t="n">
        <v>91350</v>
      </c>
      <c r="EV241" s="0" t="n">
        <v>91350</v>
      </c>
    </row>
    <row r="242" customFormat="false" ht="15" hidden="false" customHeight="false" outlineLevel="0" collapsed="false">
      <c r="CQ242" s="0" t="s">
        <v>4202</v>
      </c>
      <c r="CR242" s="0" t="s">
        <v>86</v>
      </c>
      <c r="CS242" s="0" t="s">
        <v>278</v>
      </c>
      <c r="CT242" s="0" t="s">
        <v>276</v>
      </c>
      <c r="CU242" s="0" t="s">
        <v>581</v>
      </c>
      <c r="CV242" s="0" t="s">
        <v>277</v>
      </c>
      <c r="CW242" s="0" t="n">
        <v>0</v>
      </c>
      <c r="DB242" s="0" t="n">
        <v>930</v>
      </c>
      <c r="DC242" s="0" t="n">
        <v>1030</v>
      </c>
      <c r="DD242" s="0" t="n">
        <v>1110</v>
      </c>
      <c r="DE242" s="0" t="n">
        <v>1110</v>
      </c>
      <c r="DG242" s="0" t="s">
        <v>4203</v>
      </c>
      <c r="DH242" s="0" t="s">
        <v>82</v>
      </c>
      <c r="DI242" s="0" t="s">
        <v>1584</v>
      </c>
      <c r="DJ242" s="0" t="s">
        <v>1585</v>
      </c>
      <c r="DK242" s="0" t="s">
        <v>674</v>
      </c>
      <c r="DL242" s="0" t="n">
        <v>7.69</v>
      </c>
      <c r="DM242" s="0" t="s">
        <v>676</v>
      </c>
      <c r="DN242" s="0" t="s">
        <v>676</v>
      </c>
      <c r="DO242" s="0" t="n">
        <v>1</v>
      </c>
      <c r="DP242" s="0" t="n">
        <v>47.7</v>
      </c>
      <c r="DQ242" s="0" t="n">
        <v>71.55</v>
      </c>
      <c r="DR242" s="0" t="s">
        <v>4204</v>
      </c>
      <c r="EB242" s="0" t="s">
        <v>4205</v>
      </c>
      <c r="EC242" s="0" t="s">
        <v>2625</v>
      </c>
      <c r="ED242" s="0" t="s">
        <v>2626</v>
      </c>
      <c r="EE242" s="0" t="s">
        <v>618</v>
      </c>
      <c r="EF242" s="0" t="s">
        <v>2596</v>
      </c>
      <c r="EG242" s="0" t="n">
        <v>175</v>
      </c>
      <c r="EH242" s="0" t="n">
        <v>200</v>
      </c>
      <c r="EI242" s="0" t="n">
        <v>200</v>
      </c>
      <c r="EJ242" s="0" t="n">
        <v>230</v>
      </c>
      <c r="EL242" s="0" t="s">
        <v>4206</v>
      </c>
      <c r="EM242" s="0" t="s">
        <v>2710</v>
      </c>
      <c r="EN242" s="0" t="s">
        <v>2711</v>
      </c>
      <c r="EO242" s="0" t="n">
        <v>4.5</v>
      </c>
      <c r="EP242" s="0" t="s">
        <v>2528</v>
      </c>
      <c r="EQ242" s="0" t="s">
        <v>2788</v>
      </c>
      <c r="ER242" s="0" t="s">
        <v>2789</v>
      </c>
      <c r="ES242" s="0" t="n">
        <v>68400</v>
      </c>
      <c r="ET242" s="0" t="n">
        <v>68400</v>
      </c>
      <c r="EU242" s="0" t="n">
        <v>68400</v>
      </c>
      <c r="EV242" s="0" t="n">
        <v>68400</v>
      </c>
    </row>
    <row r="243" customFormat="false" ht="15" hidden="false" customHeight="false" outlineLevel="0" collapsed="false">
      <c r="CQ243" s="0" t="s">
        <v>4207</v>
      </c>
      <c r="CR243" s="0" t="s">
        <v>86</v>
      </c>
      <c r="CS243" s="0" t="s">
        <v>616</v>
      </c>
      <c r="CT243" s="0" t="s">
        <v>2612</v>
      </c>
      <c r="CU243" s="0" t="s">
        <v>90</v>
      </c>
      <c r="CV243" s="0" t="s">
        <v>289</v>
      </c>
      <c r="CW243" s="0" t="n">
        <v>0</v>
      </c>
      <c r="DB243" s="0" t="n">
        <v>480</v>
      </c>
      <c r="DC243" s="0" t="n">
        <v>530</v>
      </c>
      <c r="DD243" s="0" t="n">
        <v>570</v>
      </c>
      <c r="DE243" s="0" t="n">
        <v>570</v>
      </c>
      <c r="DG243" s="0" t="s">
        <v>4208</v>
      </c>
      <c r="DH243" s="0" t="s">
        <v>82</v>
      </c>
      <c r="DI243" s="0" t="s">
        <v>1589</v>
      </c>
      <c r="DJ243" s="0" t="s">
        <v>1590</v>
      </c>
      <c r="DK243" s="0" t="s">
        <v>674</v>
      </c>
      <c r="DL243" s="0" t="n">
        <v>7.69</v>
      </c>
      <c r="DM243" s="0" t="s">
        <v>676</v>
      </c>
      <c r="DN243" s="0" t="s">
        <v>675</v>
      </c>
      <c r="DO243" s="0" t="n">
        <v>0</v>
      </c>
      <c r="DP243" s="0" t="n">
        <v>0</v>
      </c>
      <c r="DQ243" s="0" t="n">
        <v>261.6</v>
      </c>
      <c r="DR243" s="0" t="s">
        <v>4209</v>
      </c>
      <c r="EB243" s="0" t="s">
        <v>4210</v>
      </c>
      <c r="EC243" s="0" t="s">
        <v>2625</v>
      </c>
      <c r="ED243" s="0" t="s">
        <v>2626</v>
      </c>
      <c r="EE243" s="0" t="s">
        <v>616</v>
      </c>
      <c r="EF243" s="0" t="s">
        <v>2612</v>
      </c>
      <c r="EG243" s="0" t="n">
        <v>415</v>
      </c>
      <c r="EH243" s="0" t="n">
        <v>475</v>
      </c>
      <c r="EI243" s="0" t="n">
        <v>475</v>
      </c>
      <c r="EJ243" s="0" t="n">
        <v>545</v>
      </c>
      <c r="EL243" s="0" t="s">
        <v>4211</v>
      </c>
      <c r="EM243" s="0" t="s">
        <v>2710</v>
      </c>
      <c r="EN243" s="0" t="s">
        <v>2711</v>
      </c>
      <c r="EO243" s="0" t="n">
        <v>4.5</v>
      </c>
      <c r="EP243" s="0" t="s">
        <v>2552</v>
      </c>
      <c r="EQ243" s="0" t="s">
        <v>2803</v>
      </c>
      <c r="ER243" s="0" t="s">
        <v>2804</v>
      </c>
      <c r="ES243" s="0" t="n">
        <v>102600</v>
      </c>
      <c r="ET243" s="0" t="n">
        <v>102600</v>
      </c>
      <c r="EU243" s="0" t="n">
        <v>102600</v>
      </c>
      <c r="EV243" s="0" t="n">
        <v>102600</v>
      </c>
    </row>
    <row r="244" customFormat="false" ht="15" hidden="false" customHeight="false" outlineLevel="0" collapsed="false">
      <c r="CQ244" s="0" t="s">
        <v>4212</v>
      </c>
      <c r="CR244" s="0" t="s">
        <v>86</v>
      </c>
      <c r="CS244" s="0" t="s">
        <v>614</v>
      </c>
      <c r="CT244" s="0" t="s">
        <v>2628</v>
      </c>
      <c r="CU244" s="0" t="s">
        <v>90</v>
      </c>
      <c r="CV244" s="0" t="s">
        <v>2979</v>
      </c>
      <c r="CW244" s="0" t="n">
        <v>0</v>
      </c>
      <c r="DB244" s="0" t="n">
        <v>980</v>
      </c>
      <c r="DC244" s="0" t="n">
        <v>1080</v>
      </c>
      <c r="DD244" s="0" t="n">
        <v>1170</v>
      </c>
      <c r="DE244" s="0" t="n">
        <v>1170</v>
      </c>
      <c r="DG244" s="0" t="s">
        <v>4213</v>
      </c>
      <c r="DH244" s="0" t="s">
        <v>82</v>
      </c>
      <c r="DI244" s="0" t="s">
        <v>1593</v>
      </c>
      <c r="DJ244" s="0" t="s">
        <v>1594</v>
      </c>
      <c r="DK244" s="0" t="s">
        <v>674</v>
      </c>
      <c r="DL244" s="0" t="n">
        <v>7.69</v>
      </c>
      <c r="DM244" s="0" t="s">
        <v>676</v>
      </c>
      <c r="DN244" s="0" t="s">
        <v>675</v>
      </c>
      <c r="DO244" s="0" t="n">
        <v>0</v>
      </c>
      <c r="DP244" s="0" t="n">
        <v>0</v>
      </c>
      <c r="DQ244" s="0" t="n">
        <v>78.4</v>
      </c>
      <c r="DR244" s="0" t="s">
        <v>4214</v>
      </c>
      <c r="EB244" s="0" t="s">
        <v>4215</v>
      </c>
      <c r="EC244" s="0" t="s">
        <v>2625</v>
      </c>
      <c r="EE244" s="0" t="s">
        <v>614</v>
      </c>
      <c r="EL244" s="0" t="s">
        <v>4216</v>
      </c>
      <c r="EM244" s="0" t="s">
        <v>2710</v>
      </c>
      <c r="EN244" s="0" t="s">
        <v>2711</v>
      </c>
      <c r="EO244" s="0" t="n">
        <v>5</v>
      </c>
      <c r="EP244" s="0" t="s">
        <v>2528</v>
      </c>
      <c r="EQ244" s="0" t="s">
        <v>2817</v>
      </c>
      <c r="ER244" s="0" t="s">
        <v>2818</v>
      </c>
      <c r="ES244" s="0" t="n">
        <v>75750</v>
      </c>
      <c r="ET244" s="0" t="n">
        <v>75750</v>
      </c>
      <c r="EU244" s="0" t="n">
        <v>75750</v>
      </c>
      <c r="EV244" s="0" t="n">
        <v>75750</v>
      </c>
    </row>
    <row r="245" customFormat="false" ht="15" hidden="false" customHeight="false" outlineLevel="0" collapsed="false">
      <c r="CQ245" s="0" t="s">
        <v>4217</v>
      </c>
      <c r="CR245" s="0" t="s">
        <v>86</v>
      </c>
      <c r="CS245" s="0" t="s">
        <v>240</v>
      </c>
      <c r="CT245" s="0" t="s">
        <v>238</v>
      </c>
      <c r="CU245" s="0" t="s">
        <v>90</v>
      </c>
      <c r="CV245" s="0" t="s">
        <v>239</v>
      </c>
      <c r="CW245" s="0" t="n">
        <v>0</v>
      </c>
      <c r="DB245" s="0" t="n">
        <v>3620</v>
      </c>
      <c r="DC245" s="0" t="n">
        <v>3620</v>
      </c>
      <c r="DD245" s="0" t="n">
        <v>3620</v>
      </c>
      <c r="DE245" s="0" t="n">
        <v>3620</v>
      </c>
      <c r="DG245" s="0" t="s">
        <v>4218</v>
      </c>
      <c r="DH245" s="0" t="s">
        <v>82</v>
      </c>
      <c r="DI245" s="0" t="s">
        <v>1597</v>
      </c>
      <c r="DJ245" s="0" t="s">
        <v>1598</v>
      </c>
      <c r="DK245" s="0" t="s">
        <v>674</v>
      </c>
      <c r="DL245" s="0" t="n">
        <v>7.69</v>
      </c>
      <c r="DM245" s="0" t="s">
        <v>676</v>
      </c>
      <c r="DN245" s="0" t="s">
        <v>675</v>
      </c>
      <c r="DO245" s="0" t="n">
        <v>0</v>
      </c>
      <c r="DP245" s="0" t="n">
        <v>0</v>
      </c>
      <c r="DQ245" s="0" t="n">
        <v>277.93</v>
      </c>
      <c r="DR245" s="0" t="s">
        <v>4219</v>
      </c>
      <c r="EB245" s="0" t="s">
        <v>4220</v>
      </c>
      <c r="EC245" s="0" t="s">
        <v>2625</v>
      </c>
      <c r="EE245" s="0" t="s">
        <v>612</v>
      </c>
      <c r="EL245" s="0" t="s">
        <v>4221</v>
      </c>
      <c r="EM245" s="0" t="s">
        <v>2710</v>
      </c>
      <c r="EN245" s="0" t="s">
        <v>2711</v>
      </c>
      <c r="EO245" s="0" t="n">
        <v>5</v>
      </c>
      <c r="EP245" s="0" t="s">
        <v>2552</v>
      </c>
      <c r="EQ245" s="0" t="s">
        <v>2835</v>
      </c>
      <c r="ER245" s="0" t="s">
        <v>2836</v>
      </c>
      <c r="ES245" s="0" t="n">
        <v>113625</v>
      </c>
      <c r="ET245" s="0" t="n">
        <v>113625</v>
      </c>
      <c r="EU245" s="0" t="n">
        <v>113625</v>
      </c>
      <c r="EV245" s="0" t="n">
        <v>113625</v>
      </c>
    </row>
    <row r="246" customFormat="false" ht="15" hidden="false" customHeight="false" outlineLevel="0" collapsed="false">
      <c r="CQ246" s="0" t="s">
        <v>4222</v>
      </c>
      <c r="CR246" s="0" t="s">
        <v>86</v>
      </c>
      <c r="CS246" s="0" t="s">
        <v>609</v>
      </c>
      <c r="CT246" s="0" t="s">
        <v>2663</v>
      </c>
      <c r="CU246" s="0" t="s">
        <v>90</v>
      </c>
      <c r="CV246" s="0" t="s">
        <v>239</v>
      </c>
      <c r="CW246" s="0" t="n">
        <v>0</v>
      </c>
      <c r="DB246" s="0" t="n">
        <v>350</v>
      </c>
      <c r="DC246" s="0" t="n">
        <v>350</v>
      </c>
      <c r="DD246" s="0" t="n">
        <v>350</v>
      </c>
      <c r="DE246" s="0" t="n">
        <v>350</v>
      </c>
      <c r="DG246" s="0" t="s">
        <v>4223</v>
      </c>
      <c r="DH246" s="0" t="s">
        <v>82</v>
      </c>
      <c r="DI246" s="0" t="s">
        <v>1603</v>
      </c>
      <c r="DJ246" s="0" t="s">
        <v>1604</v>
      </c>
      <c r="DK246" s="0" t="s">
        <v>674</v>
      </c>
      <c r="DL246" s="0" t="n">
        <v>7.69</v>
      </c>
      <c r="DM246" s="0" t="s">
        <v>676</v>
      </c>
      <c r="DN246" s="0" t="s">
        <v>675</v>
      </c>
      <c r="DO246" s="0" t="n">
        <v>0</v>
      </c>
      <c r="DP246" s="0" t="n">
        <v>0</v>
      </c>
      <c r="DQ246" s="0" t="n">
        <v>11.19</v>
      </c>
      <c r="DR246" s="0" t="s">
        <v>4224</v>
      </c>
      <c r="EB246" s="0" t="s">
        <v>4225</v>
      </c>
      <c r="EC246" s="0" t="s">
        <v>2625</v>
      </c>
      <c r="ED246" s="0" t="s">
        <v>2626</v>
      </c>
      <c r="EE246" s="0" t="s">
        <v>609</v>
      </c>
      <c r="EF246" s="0" t="s">
        <v>2663</v>
      </c>
      <c r="EG246" s="0" t="n">
        <v>280</v>
      </c>
      <c r="EH246" s="0" t="n">
        <v>280</v>
      </c>
      <c r="EI246" s="0" t="n">
        <v>280</v>
      </c>
      <c r="EJ246" s="0" t="n">
        <v>280</v>
      </c>
      <c r="EL246" s="0" t="s">
        <v>4226</v>
      </c>
      <c r="EM246" s="0" t="s">
        <v>2710</v>
      </c>
      <c r="EN246" s="0" t="s">
        <v>2711</v>
      </c>
      <c r="EO246" s="0" t="n">
        <v>5.5</v>
      </c>
      <c r="EP246" s="0" t="s">
        <v>2528</v>
      </c>
      <c r="EQ246" s="0" t="s">
        <v>2848</v>
      </c>
      <c r="ER246" s="0" t="s">
        <v>2849</v>
      </c>
      <c r="ES246" s="0" t="n">
        <v>82850</v>
      </c>
      <c r="ET246" s="0" t="n">
        <v>82850</v>
      </c>
      <c r="EU246" s="0" t="n">
        <v>82850</v>
      </c>
      <c r="EV246" s="0" t="n">
        <v>82850</v>
      </c>
    </row>
    <row r="247" customFormat="false" ht="15" hidden="false" customHeight="false" outlineLevel="0" collapsed="false">
      <c r="CQ247" s="0" t="s">
        <v>4227</v>
      </c>
      <c r="CR247" s="0" t="s">
        <v>86</v>
      </c>
      <c r="CS247" s="0" t="s">
        <v>252</v>
      </c>
      <c r="CT247" s="0" t="s">
        <v>250</v>
      </c>
      <c r="CU247" s="0" t="s">
        <v>90</v>
      </c>
      <c r="CV247" s="0" t="s">
        <v>251</v>
      </c>
      <c r="CW247" s="0" t="n">
        <v>0</v>
      </c>
      <c r="DB247" s="0" t="n">
        <v>890</v>
      </c>
      <c r="DC247" s="0" t="n">
        <v>890</v>
      </c>
      <c r="DD247" s="0" t="n">
        <v>890</v>
      </c>
      <c r="DE247" s="0" t="n">
        <v>890</v>
      </c>
      <c r="DG247" s="0" t="s">
        <v>4228</v>
      </c>
      <c r="DH247" s="0" t="s">
        <v>82</v>
      </c>
      <c r="DI247" s="0" t="s">
        <v>1606</v>
      </c>
      <c r="DJ247" s="0" t="s">
        <v>1607</v>
      </c>
      <c r="DK247" s="0" t="s">
        <v>674</v>
      </c>
      <c r="DL247" s="0" t="n">
        <v>7.69</v>
      </c>
      <c r="DM247" s="0" t="s">
        <v>676</v>
      </c>
      <c r="DN247" s="0" t="s">
        <v>675</v>
      </c>
      <c r="DO247" s="0" t="n">
        <v>0</v>
      </c>
      <c r="DP247" s="0" t="n">
        <v>0</v>
      </c>
      <c r="DQ247" s="0" t="n">
        <v>47.81</v>
      </c>
      <c r="DR247" s="0" t="s">
        <v>4229</v>
      </c>
      <c r="EB247" s="0" t="s">
        <v>4230</v>
      </c>
      <c r="EC247" s="0" t="s">
        <v>2625</v>
      </c>
      <c r="ED247" s="0" t="s">
        <v>2626</v>
      </c>
      <c r="EE247" s="0" t="s">
        <v>607</v>
      </c>
      <c r="EF247" s="0" t="s">
        <v>2680</v>
      </c>
      <c r="EG247" s="0" t="n">
        <v>1</v>
      </c>
      <c r="EH247" s="0" t="n">
        <v>1</v>
      </c>
      <c r="EI247" s="0" t="n">
        <v>1</v>
      </c>
      <c r="EJ247" s="0" t="n">
        <v>1</v>
      </c>
      <c r="EL247" s="0" t="s">
        <v>4231</v>
      </c>
      <c r="EM247" s="0" t="s">
        <v>2710</v>
      </c>
      <c r="EN247" s="0" t="s">
        <v>2711</v>
      </c>
      <c r="EO247" s="0" t="n">
        <v>5.5</v>
      </c>
      <c r="EP247" s="0" t="s">
        <v>2552</v>
      </c>
      <c r="EQ247" s="0" t="s">
        <v>2862</v>
      </c>
      <c r="ER247" s="0" t="s">
        <v>2863</v>
      </c>
      <c r="ES247" s="0" t="n">
        <v>124275</v>
      </c>
      <c r="ET247" s="0" t="n">
        <v>124275</v>
      </c>
      <c r="EU247" s="0" t="n">
        <v>124275</v>
      </c>
      <c r="EV247" s="0" t="n">
        <v>124275</v>
      </c>
    </row>
    <row r="248" customFormat="false" ht="15" hidden="false" customHeight="false" outlineLevel="0" collapsed="false">
      <c r="CQ248" s="0" t="s">
        <v>4232</v>
      </c>
      <c r="CR248" s="0" t="s">
        <v>86</v>
      </c>
      <c r="CS248" s="0" t="s">
        <v>607</v>
      </c>
      <c r="CT248" s="0" t="s">
        <v>2680</v>
      </c>
      <c r="CU248" s="0" t="s">
        <v>90</v>
      </c>
      <c r="CV248" s="0" t="s">
        <v>242</v>
      </c>
      <c r="CW248" s="0" t="n">
        <v>0</v>
      </c>
      <c r="DB248" s="0" t="n">
        <v>850</v>
      </c>
      <c r="DC248" s="0" t="n">
        <v>850</v>
      </c>
      <c r="DD248" s="0" t="n">
        <v>850</v>
      </c>
      <c r="DE248" s="0" t="n">
        <v>850</v>
      </c>
      <c r="DG248" s="0" t="s">
        <v>4233</v>
      </c>
      <c r="DH248" s="0" t="s">
        <v>82</v>
      </c>
      <c r="DI248" s="0" t="s">
        <v>1609</v>
      </c>
      <c r="DJ248" s="0" t="s">
        <v>1610</v>
      </c>
      <c r="DK248" s="0" t="s">
        <v>674</v>
      </c>
      <c r="DL248" s="0" t="n">
        <v>7.69</v>
      </c>
      <c r="DM248" s="0" t="s">
        <v>675</v>
      </c>
      <c r="DN248" s="0" t="s">
        <v>676</v>
      </c>
      <c r="DO248" s="0" t="n">
        <v>1</v>
      </c>
      <c r="DP248" s="0" t="n">
        <v>32.8</v>
      </c>
      <c r="DQ248" s="0" t="n">
        <v>32.8</v>
      </c>
      <c r="DR248" s="0" t="s">
        <v>4234</v>
      </c>
      <c r="EB248" s="0" t="s">
        <v>4235</v>
      </c>
      <c r="EC248" s="0" t="s">
        <v>2625</v>
      </c>
      <c r="EE248" s="0" t="s">
        <v>605</v>
      </c>
      <c r="EL248" s="0" t="s">
        <v>4236</v>
      </c>
      <c r="EM248" s="0" t="s">
        <v>2710</v>
      </c>
      <c r="EN248" s="0" t="s">
        <v>2711</v>
      </c>
      <c r="EO248" s="0" t="n">
        <v>6</v>
      </c>
      <c r="EP248" s="0" t="s">
        <v>2528</v>
      </c>
      <c r="EQ248" s="0" t="s">
        <v>2877</v>
      </c>
      <c r="ER248" s="0" t="s">
        <v>2878</v>
      </c>
      <c r="ES248" s="0" t="n">
        <v>90350</v>
      </c>
      <c r="ET248" s="0" t="n">
        <v>90350</v>
      </c>
      <c r="EU248" s="0" t="n">
        <v>90350</v>
      </c>
      <c r="EV248" s="0" t="n">
        <v>90350</v>
      </c>
    </row>
    <row r="249" customFormat="false" ht="15" hidden="false" customHeight="false" outlineLevel="0" collapsed="false">
      <c r="CQ249" s="0" t="s">
        <v>4237</v>
      </c>
      <c r="CR249" s="0" t="s">
        <v>86</v>
      </c>
      <c r="CS249" s="0" t="s">
        <v>229</v>
      </c>
      <c r="CT249" s="0" t="s">
        <v>227</v>
      </c>
      <c r="CU249" s="0" t="s">
        <v>90</v>
      </c>
      <c r="CV249" s="0" t="s">
        <v>228</v>
      </c>
      <c r="CW249" s="0" t="n">
        <v>0</v>
      </c>
      <c r="DB249" s="0" t="n">
        <v>270</v>
      </c>
      <c r="DC249" s="0" t="n">
        <v>300</v>
      </c>
      <c r="DD249" s="0" t="n">
        <v>330</v>
      </c>
      <c r="DE249" s="0" t="n">
        <v>350</v>
      </c>
      <c r="DG249" s="0" t="s">
        <v>4238</v>
      </c>
      <c r="DH249" s="0" t="s">
        <v>82</v>
      </c>
      <c r="DI249" s="0" t="s">
        <v>1611</v>
      </c>
      <c r="DJ249" s="0" t="s">
        <v>1612</v>
      </c>
      <c r="DK249" s="0" t="s">
        <v>674</v>
      </c>
      <c r="DL249" s="0" t="n">
        <v>7.69</v>
      </c>
      <c r="DM249" s="0" t="s">
        <v>675</v>
      </c>
      <c r="DN249" s="0" t="s">
        <v>676</v>
      </c>
      <c r="DO249" s="0" t="n">
        <v>2</v>
      </c>
      <c r="DP249" s="0" t="n">
        <v>67.2</v>
      </c>
      <c r="DQ249" s="0" t="n">
        <v>67.2</v>
      </c>
      <c r="DR249" s="0" t="s">
        <v>4239</v>
      </c>
      <c r="EB249" s="0" t="s">
        <v>4240</v>
      </c>
      <c r="EC249" s="0" t="s">
        <v>2625</v>
      </c>
      <c r="EE249" s="0" t="s">
        <v>629</v>
      </c>
      <c r="EL249" s="0" t="s">
        <v>4241</v>
      </c>
      <c r="EM249" s="0" t="s">
        <v>2710</v>
      </c>
      <c r="EN249" s="0" t="s">
        <v>2711</v>
      </c>
      <c r="EO249" s="0" t="n">
        <v>6</v>
      </c>
      <c r="EP249" s="0" t="s">
        <v>2552</v>
      </c>
      <c r="EQ249" s="0" t="s">
        <v>2891</v>
      </c>
      <c r="ER249" s="0" t="s">
        <v>2892</v>
      </c>
      <c r="ES249" s="0" t="n">
        <v>135525</v>
      </c>
      <c r="ET249" s="0" t="n">
        <v>135525</v>
      </c>
      <c r="EU249" s="0" t="n">
        <v>135525</v>
      </c>
      <c r="EV249" s="0" t="n">
        <v>135525</v>
      </c>
    </row>
    <row r="250" customFormat="false" ht="15" hidden="false" customHeight="false" outlineLevel="0" collapsed="false">
      <c r="CQ250" s="0" t="s">
        <v>4242</v>
      </c>
      <c r="CR250" s="0" t="s">
        <v>86</v>
      </c>
      <c r="CS250" s="0" t="s">
        <v>246</v>
      </c>
      <c r="CT250" s="0" t="s">
        <v>244</v>
      </c>
      <c r="CU250" s="0" t="s">
        <v>90</v>
      </c>
      <c r="CV250" s="0" t="s">
        <v>245</v>
      </c>
      <c r="CW250" s="0" t="n">
        <v>0</v>
      </c>
      <c r="DB250" s="0" t="n">
        <v>730</v>
      </c>
      <c r="DC250" s="0" t="n">
        <v>800</v>
      </c>
      <c r="DD250" s="0" t="n">
        <v>870</v>
      </c>
      <c r="DE250" s="0" t="n">
        <v>870</v>
      </c>
      <c r="DG250" s="0" t="s">
        <v>4243</v>
      </c>
      <c r="DH250" s="0" t="s">
        <v>82</v>
      </c>
      <c r="DI250" s="0" t="s">
        <v>1615</v>
      </c>
      <c r="DJ250" s="0" t="s">
        <v>1616</v>
      </c>
      <c r="DK250" s="0" t="s">
        <v>674</v>
      </c>
      <c r="DL250" s="0" t="n">
        <v>7.69</v>
      </c>
      <c r="DM250" s="0" t="s">
        <v>676</v>
      </c>
      <c r="DN250" s="0" t="s">
        <v>675</v>
      </c>
      <c r="DO250" s="0" t="n">
        <v>0</v>
      </c>
      <c r="DP250" s="0" t="n">
        <v>0</v>
      </c>
      <c r="DQ250" s="0" t="n">
        <v>47.65</v>
      </c>
      <c r="DR250" s="0" t="s">
        <v>4244</v>
      </c>
      <c r="EB250" s="0" t="s">
        <v>4245</v>
      </c>
      <c r="EC250" s="0" t="s">
        <v>2625</v>
      </c>
      <c r="EE250" s="0" t="s">
        <v>602</v>
      </c>
      <c r="EL250" s="0" t="s">
        <v>4246</v>
      </c>
      <c r="EM250" s="0" t="s">
        <v>2710</v>
      </c>
      <c r="EN250" s="0" t="s">
        <v>2711</v>
      </c>
      <c r="EO250" s="0" t="n">
        <v>6.5</v>
      </c>
      <c r="EP250" s="0" t="s">
        <v>2528</v>
      </c>
      <c r="EQ250" s="0" t="s">
        <v>2904</v>
      </c>
      <c r="ER250" s="0" t="s">
        <v>2905</v>
      </c>
      <c r="ES250" s="0" t="n">
        <v>97300</v>
      </c>
      <c r="ET250" s="0" t="n">
        <v>97300</v>
      </c>
      <c r="EU250" s="0" t="n">
        <v>97300</v>
      </c>
      <c r="EV250" s="0" t="n">
        <v>97300</v>
      </c>
    </row>
    <row r="251" customFormat="false" ht="15" hidden="false" customHeight="false" outlineLevel="0" collapsed="false">
      <c r="CQ251" s="0" t="s">
        <v>4247</v>
      </c>
      <c r="CR251" s="0" t="s">
        <v>86</v>
      </c>
      <c r="CS251" s="0" t="s">
        <v>255</v>
      </c>
      <c r="CT251" s="0" t="s">
        <v>253</v>
      </c>
      <c r="CU251" s="0" t="s">
        <v>90</v>
      </c>
      <c r="CV251" s="0" t="s">
        <v>254</v>
      </c>
      <c r="CW251" s="0" t="n">
        <v>0</v>
      </c>
      <c r="DB251" s="0" t="n">
        <v>980</v>
      </c>
      <c r="DC251" s="0" t="n">
        <v>1080</v>
      </c>
      <c r="DD251" s="0" t="n">
        <v>1170</v>
      </c>
      <c r="DE251" s="0" t="n">
        <v>1170</v>
      </c>
      <c r="DG251" s="0" t="s">
        <v>4248</v>
      </c>
      <c r="DH251" s="0" t="s">
        <v>82</v>
      </c>
      <c r="DI251" s="0" t="s">
        <v>1618</v>
      </c>
      <c r="DJ251" s="0" t="s">
        <v>1619</v>
      </c>
      <c r="DK251" s="0" t="s">
        <v>674</v>
      </c>
      <c r="DL251" s="0" t="n">
        <v>7.69</v>
      </c>
      <c r="DM251" s="0" t="s">
        <v>675</v>
      </c>
      <c r="DN251" s="0" t="s">
        <v>676</v>
      </c>
      <c r="DO251" s="0" t="n">
        <v>3.5</v>
      </c>
      <c r="DP251" s="0" t="n">
        <v>36.33</v>
      </c>
      <c r="DQ251" s="0" t="n">
        <v>36.33</v>
      </c>
      <c r="DR251" s="0" t="s">
        <v>4249</v>
      </c>
      <c r="EB251" s="0" t="s">
        <v>4250</v>
      </c>
      <c r="EC251" s="0" t="s">
        <v>2625</v>
      </c>
      <c r="ED251" s="0" t="s">
        <v>2626</v>
      </c>
      <c r="EE251" s="0" t="s">
        <v>599</v>
      </c>
      <c r="EF251" s="0" t="s">
        <v>2745</v>
      </c>
      <c r="EG251" s="0" t="n">
        <v>1</v>
      </c>
      <c r="EH251" s="0" t="n">
        <v>1</v>
      </c>
      <c r="EI251" s="0" t="n">
        <v>1</v>
      </c>
      <c r="EJ251" s="0" t="n">
        <v>1</v>
      </c>
      <c r="EL251" s="0" t="s">
        <v>4251</v>
      </c>
      <c r="EM251" s="0" t="s">
        <v>2710</v>
      </c>
      <c r="EN251" s="0" t="s">
        <v>2711</v>
      </c>
      <c r="EO251" s="0" t="n">
        <v>6.5</v>
      </c>
      <c r="EP251" s="0" t="s">
        <v>2552</v>
      </c>
      <c r="EQ251" s="0" t="s">
        <v>2920</v>
      </c>
      <c r="ER251" s="0" t="s">
        <v>2921</v>
      </c>
      <c r="ES251" s="0" t="n">
        <v>145950</v>
      </c>
      <c r="ET251" s="0" t="n">
        <v>145950</v>
      </c>
      <c r="EU251" s="0" t="n">
        <v>145950</v>
      </c>
      <c r="EV251" s="0" t="n">
        <v>145950</v>
      </c>
    </row>
    <row r="252" customFormat="false" ht="15" hidden="false" customHeight="false" outlineLevel="0" collapsed="false">
      <c r="CQ252" s="0" t="s">
        <v>4252</v>
      </c>
      <c r="CR252" s="0" t="s">
        <v>86</v>
      </c>
      <c r="CS252" s="0" t="s">
        <v>605</v>
      </c>
      <c r="CT252" s="0" t="s">
        <v>2697</v>
      </c>
      <c r="CU252" s="0" t="s">
        <v>90</v>
      </c>
      <c r="CV252" s="0" t="s">
        <v>3062</v>
      </c>
      <c r="CW252" s="0" t="n">
        <v>0</v>
      </c>
      <c r="DB252" s="0" t="n">
        <v>930</v>
      </c>
      <c r="DC252" s="0" t="n">
        <v>930</v>
      </c>
      <c r="DD252" s="0" t="n">
        <v>930</v>
      </c>
      <c r="DE252" s="0" t="n">
        <v>930</v>
      </c>
      <c r="DG252" s="0" t="s">
        <v>4253</v>
      </c>
      <c r="DH252" s="0" t="s">
        <v>82</v>
      </c>
      <c r="DI252" s="0" t="s">
        <v>1622</v>
      </c>
      <c r="DJ252" s="0" t="s">
        <v>1623</v>
      </c>
      <c r="DK252" s="0" t="s">
        <v>674</v>
      </c>
      <c r="DL252" s="0" t="n">
        <v>7.69</v>
      </c>
      <c r="DM252" s="0" t="s">
        <v>676</v>
      </c>
      <c r="DN252" s="0" t="s">
        <v>675</v>
      </c>
      <c r="DO252" s="0" t="n">
        <v>0</v>
      </c>
      <c r="DP252" s="0" t="n">
        <v>0</v>
      </c>
      <c r="DQ252" s="0" t="n">
        <v>41.34</v>
      </c>
      <c r="DR252" s="0" t="s">
        <v>4254</v>
      </c>
      <c r="EB252" s="0" t="s">
        <v>4255</v>
      </c>
      <c r="EC252" s="0" t="s">
        <v>2625</v>
      </c>
      <c r="ED252" s="0" t="s">
        <v>2626</v>
      </c>
      <c r="EE252" s="0" t="s">
        <v>597</v>
      </c>
      <c r="EF252" s="0" t="s">
        <v>3308</v>
      </c>
      <c r="EG252" s="0" t="n">
        <v>1000</v>
      </c>
      <c r="EH252" s="0" t="n">
        <v>1000</v>
      </c>
      <c r="EI252" s="0" t="n">
        <v>1000</v>
      </c>
      <c r="EJ252" s="0" t="n">
        <v>1000</v>
      </c>
      <c r="EL252" s="0" t="s">
        <v>4256</v>
      </c>
      <c r="EM252" s="0" t="s">
        <v>2710</v>
      </c>
      <c r="EN252" s="0" t="s">
        <v>2711</v>
      </c>
      <c r="EO252" s="0" t="n">
        <v>7</v>
      </c>
      <c r="EP252" s="0" t="s">
        <v>2528</v>
      </c>
      <c r="EQ252" s="0" t="s">
        <v>2935</v>
      </c>
      <c r="ER252" s="0" t="s">
        <v>2936</v>
      </c>
      <c r="ES252" s="0" t="n">
        <v>103350</v>
      </c>
      <c r="ET252" s="0" t="n">
        <v>103350</v>
      </c>
      <c r="EU252" s="0" t="n">
        <v>103350</v>
      </c>
      <c r="EV252" s="0" t="n">
        <v>103350</v>
      </c>
    </row>
    <row r="253" customFormat="false" ht="15" hidden="false" customHeight="false" outlineLevel="0" collapsed="false">
      <c r="CQ253" s="0" t="s">
        <v>4257</v>
      </c>
      <c r="CR253" s="0" t="s">
        <v>86</v>
      </c>
      <c r="CS253" s="0" t="s">
        <v>243</v>
      </c>
      <c r="CT253" s="0" t="s">
        <v>241</v>
      </c>
      <c r="CU253" s="0" t="s">
        <v>90</v>
      </c>
      <c r="CV253" s="0" t="s">
        <v>242</v>
      </c>
      <c r="CW253" s="0" t="n">
        <v>0</v>
      </c>
      <c r="DB253" s="0" t="n">
        <v>1250</v>
      </c>
      <c r="DC253" s="0" t="n">
        <v>1250</v>
      </c>
      <c r="DD253" s="0" t="n">
        <v>1250</v>
      </c>
      <c r="DE253" s="0" t="n">
        <v>1250</v>
      </c>
      <c r="DG253" s="0" t="s">
        <v>4258</v>
      </c>
      <c r="DH253" s="0" t="s">
        <v>82</v>
      </c>
      <c r="DI253" s="0" t="s">
        <v>1627</v>
      </c>
      <c r="DJ253" s="0" t="s">
        <v>1628</v>
      </c>
      <c r="DK253" s="0" t="s">
        <v>674</v>
      </c>
      <c r="DL253" s="0" t="n">
        <v>7.69</v>
      </c>
      <c r="DM253" s="0" t="s">
        <v>676</v>
      </c>
      <c r="DN253" s="0" t="s">
        <v>675</v>
      </c>
      <c r="DO253" s="0" t="n">
        <v>0</v>
      </c>
      <c r="DP253" s="0" t="n">
        <v>0</v>
      </c>
      <c r="DQ253" s="0" t="n">
        <v>4.54</v>
      </c>
      <c r="DR253" s="0" t="s">
        <v>4259</v>
      </c>
      <c r="EB253" s="0" t="s">
        <v>4260</v>
      </c>
      <c r="EC253" s="0" t="s">
        <v>2625</v>
      </c>
      <c r="ED253" s="0" t="s">
        <v>2626</v>
      </c>
      <c r="EE253" s="0" t="s">
        <v>2699</v>
      </c>
      <c r="EF253" s="0" t="s">
        <v>2700</v>
      </c>
      <c r="EG253" s="0" t="n">
        <v>22000</v>
      </c>
      <c r="EH253" s="0" t="n">
        <v>22000</v>
      </c>
      <c r="EI253" s="0" t="n">
        <v>22000</v>
      </c>
      <c r="EJ253" s="0" t="n">
        <v>22000</v>
      </c>
      <c r="EL253" s="0" t="s">
        <v>4261</v>
      </c>
      <c r="EM253" s="0" t="s">
        <v>2710</v>
      </c>
      <c r="EN253" s="0" t="s">
        <v>2711</v>
      </c>
      <c r="EO253" s="0" t="n">
        <v>7</v>
      </c>
      <c r="EP253" s="0" t="s">
        <v>2552</v>
      </c>
      <c r="EQ253" s="0" t="s">
        <v>2949</v>
      </c>
      <c r="ER253" s="0" t="s">
        <v>2950</v>
      </c>
      <c r="ES253" s="0" t="n">
        <v>155025</v>
      </c>
      <c r="ET253" s="0" t="n">
        <v>155025</v>
      </c>
      <c r="EU253" s="0" t="n">
        <v>155025</v>
      </c>
      <c r="EV253" s="0" t="n">
        <v>155025</v>
      </c>
    </row>
    <row r="254" customFormat="false" ht="15" hidden="false" customHeight="false" outlineLevel="0" collapsed="false">
      <c r="CQ254" s="0" t="s">
        <v>4262</v>
      </c>
      <c r="CR254" s="0" t="s">
        <v>86</v>
      </c>
      <c r="CS254" s="0" t="s">
        <v>599</v>
      </c>
      <c r="CT254" s="0" t="s">
        <v>2745</v>
      </c>
      <c r="CU254" s="0" t="s">
        <v>79</v>
      </c>
      <c r="CV254" s="0" t="s">
        <v>3081</v>
      </c>
      <c r="CW254" s="0" t="n">
        <v>0</v>
      </c>
      <c r="DB254" s="0" t="n">
        <v>1500</v>
      </c>
      <c r="DC254" s="0" t="n">
        <v>1500</v>
      </c>
      <c r="DD254" s="0" t="n">
        <v>1500</v>
      </c>
      <c r="DE254" s="0" t="n">
        <v>1500</v>
      </c>
      <c r="DG254" s="0" t="s">
        <v>4263</v>
      </c>
      <c r="DH254" s="0" t="s">
        <v>82</v>
      </c>
      <c r="DI254" s="0" t="s">
        <v>1633</v>
      </c>
      <c r="DJ254" s="0" t="s">
        <v>1634</v>
      </c>
      <c r="DK254" s="0" t="s">
        <v>674</v>
      </c>
      <c r="DL254" s="0" t="n">
        <v>7.69</v>
      </c>
      <c r="DM254" s="0" t="s">
        <v>676</v>
      </c>
      <c r="DN254" s="0" t="s">
        <v>675</v>
      </c>
      <c r="DO254" s="0" t="n">
        <v>0</v>
      </c>
      <c r="DP254" s="0" t="n">
        <v>0</v>
      </c>
      <c r="DQ254" s="0" t="n">
        <v>30.18</v>
      </c>
      <c r="DR254" s="0" t="s">
        <v>4264</v>
      </c>
      <c r="EB254" s="0" t="s">
        <v>4265</v>
      </c>
      <c r="EC254" s="0" t="s">
        <v>2625</v>
      </c>
      <c r="EE254" s="0" t="s">
        <v>590</v>
      </c>
      <c r="EL254" s="0" t="s">
        <v>4266</v>
      </c>
      <c r="EM254" s="0" t="s">
        <v>2710</v>
      </c>
      <c r="EN254" s="0" t="s">
        <v>2711</v>
      </c>
      <c r="EO254" s="0" t="n">
        <v>7.5</v>
      </c>
      <c r="EP254" s="0" t="s">
        <v>2528</v>
      </c>
      <c r="EQ254" s="0" t="s">
        <v>2961</v>
      </c>
      <c r="ER254" s="0" t="s">
        <v>3797</v>
      </c>
      <c r="ES254" s="0" t="n">
        <v>109750</v>
      </c>
      <c r="ET254" s="0" t="n">
        <v>109750</v>
      </c>
      <c r="EU254" s="0" t="n">
        <v>109750</v>
      </c>
      <c r="EV254" s="0" t="n">
        <v>109750</v>
      </c>
    </row>
    <row r="255" customFormat="false" ht="15" hidden="false" customHeight="false" outlineLevel="0" collapsed="false">
      <c r="CQ255" s="0" t="s">
        <v>4267</v>
      </c>
      <c r="CR255" s="0" t="s">
        <v>86</v>
      </c>
      <c r="CS255" s="0" t="s">
        <v>597</v>
      </c>
      <c r="CT255" s="0" t="s">
        <v>2759</v>
      </c>
      <c r="CU255" s="0" t="s">
        <v>79</v>
      </c>
      <c r="CV255" s="0" t="s">
        <v>3081</v>
      </c>
      <c r="CW255" s="0" t="n">
        <v>0</v>
      </c>
      <c r="DB255" s="0" t="n">
        <v>3000</v>
      </c>
      <c r="DC255" s="0" t="n">
        <v>3000</v>
      </c>
      <c r="DD255" s="0" t="n">
        <v>3000</v>
      </c>
      <c r="DE255" s="0" t="n">
        <v>3000</v>
      </c>
      <c r="DG255" s="0" t="s">
        <v>4268</v>
      </c>
      <c r="DH255" s="0" t="s">
        <v>82</v>
      </c>
      <c r="DI255" s="0" t="s">
        <v>1636</v>
      </c>
      <c r="DJ255" s="0" t="s">
        <v>1637</v>
      </c>
      <c r="DK255" s="0" t="s">
        <v>674</v>
      </c>
      <c r="DL255" s="0" t="n">
        <v>7.69</v>
      </c>
      <c r="DM255" s="0" t="s">
        <v>675</v>
      </c>
      <c r="DN255" s="0" t="s">
        <v>676</v>
      </c>
      <c r="DO255" s="0" t="n">
        <v>3.5</v>
      </c>
      <c r="DP255" s="0" t="n">
        <v>286.86</v>
      </c>
      <c r="DQ255" s="0" t="n">
        <v>286.86</v>
      </c>
      <c r="DR255" s="0" t="s">
        <v>4269</v>
      </c>
      <c r="EB255" s="0" t="s">
        <v>4270</v>
      </c>
      <c r="EC255" s="0" t="s">
        <v>2625</v>
      </c>
      <c r="ED255" s="0" t="s">
        <v>2626</v>
      </c>
      <c r="EE255" s="0" t="s">
        <v>588</v>
      </c>
      <c r="EF255" s="0" t="s">
        <v>2801</v>
      </c>
      <c r="EG255" s="0" t="n">
        <v>1</v>
      </c>
      <c r="EH255" s="0" t="n">
        <v>1</v>
      </c>
      <c r="EI255" s="0" t="n">
        <v>1</v>
      </c>
      <c r="EJ255" s="0" t="n">
        <v>1</v>
      </c>
      <c r="EL255" s="0" t="s">
        <v>4271</v>
      </c>
      <c r="EM255" s="0" t="s">
        <v>2710</v>
      </c>
      <c r="EN255" s="0" t="s">
        <v>2711</v>
      </c>
      <c r="EO255" s="0" t="n">
        <v>7.5</v>
      </c>
      <c r="EP255" s="0" t="s">
        <v>2552</v>
      </c>
      <c r="EQ255" s="0" t="s">
        <v>2975</v>
      </c>
      <c r="ER255" s="0" t="s">
        <v>2976</v>
      </c>
      <c r="ES255" s="0" t="n">
        <v>164625</v>
      </c>
      <c r="ET255" s="0" t="n">
        <v>164625</v>
      </c>
      <c r="EU255" s="0" t="n">
        <v>164625</v>
      </c>
      <c r="EV255" s="0" t="n">
        <v>164625</v>
      </c>
    </row>
    <row r="256" customFormat="false" ht="15" hidden="false" customHeight="false" outlineLevel="0" collapsed="false">
      <c r="CQ256" s="0" t="s">
        <v>4272</v>
      </c>
      <c r="CR256" s="0" t="s">
        <v>86</v>
      </c>
      <c r="CS256" s="0" t="s">
        <v>261</v>
      </c>
      <c r="CT256" s="0" t="s">
        <v>259</v>
      </c>
      <c r="CU256" s="0" t="s">
        <v>2266</v>
      </c>
      <c r="CV256" s="0" t="s">
        <v>260</v>
      </c>
      <c r="CW256" s="0" t="n">
        <v>0</v>
      </c>
      <c r="DB256" s="0" t="n">
        <v>860</v>
      </c>
      <c r="DC256" s="0" t="n">
        <v>950</v>
      </c>
      <c r="DD256" s="0" t="n">
        <v>1020</v>
      </c>
      <c r="DE256" s="0" t="n">
        <v>1020</v>
      </c>
      <c r="DG256" s="0" t="s">
        <v>4273</v>
      </c>
      <c r="DH256" s="0" t="s">
        <v>82</v>
      </c>
      <c r="DI256" s="0" t="s">
        <v>1640</v>
      </c>
      <c r="DJ256" s="0" t="s">
        <v>1641</v>
      </c>
      <c r="DK256" s="0" t="s">
        <v>674</v>
      </c>
      <c r="DL256" s="0" t="n">
        <v>7.69</v>
      </c>
      <c r="DM256" s="0" t="s">
        <v>675</v>
      </c>
      <c r="DN256" s="0" t="s">
        <v>676</v>
      </c>
      <c r="DO256" s="0" t="n">
        <v>1.5</v>
      </c>
      <c r="DP256" s="0" t="n">
        <v>469.68</v>
      </c>
      <c r="DQ256" s="0" t="n">
        <v>469.68</v>
      </c>
      <c r="DR256" s="0" t="s">
        <v>4274</v>
      </c>
      <c r="EB256" s="0" t="s">
        <v>4275</v>
      </c>
      <c r="EC256" s="0" t="s">
        <v>2625</v>
      </c>
      <c r="ED256" s="0" t="s">
        <v>2626</v>
      </c>
      <c r="EE256" s="0" t="s">
        <v>586</v>
      </c>
      <c r="EF256" s="0" t="s">
        <v>2815</v>
      </c>
      <c r="EG256" s="0" t="n">
        <v>1</v>
      </c>
      <c r="EH256" s="0" t="n">
        <v>1</v>
      </c>
      <c r="EI256" s="0" t="n">
        <v>1</v>
      </c>
      <c r="EJ256" s="0" t="n">
        <v>1</v>
      </c>
      <c r="EL256" s="0" t="s">
        <v>4276</v>
      </c>
      <c r="EM256" s="0" t="s">
        <v>2710</v>
      </c>
      <c r="EN256" s="0" t="s">
        <v>2711</v>
      </c>
      <c r="EO256" s="0" t="n">
        <v>8</v>
      </c>
      <c r="EP256" s="0" t="s">
        <v>2528</v>
      </c>
      <c r="EQ256" s="0" t="s">
        <v>2988</v>
      </c>
      <c r="ER256" s="0" t="s">
        <v>2989</v>
      </c>
      <c r="ES256" s="0" t="n">
        <v>114900</v>
      </c>
      <c r="ET256" s="0" t="n">
        <v>114900</v>
      </c>
      <c r="EU256" s="0" t="n">
        <v>114900</v>
      </c>
      <c r="EV256" s="0" t="n">
        <v>114900</v>
      </c>
    </row>
    <row r="257" customFormat="false" ht="15" hidden="false" customHeight="false" outlineLevel="0" collapsed="false">
      <c r="CQ257" s="0" t="s">
        <v>4277</v>
      </c>
      <c r="CR257" s="0" t="s">
        <v>86</v>
      </c>
      <c r="CS257" s="0" t="s">
        <v>584</v>
      </c>
      <c r="CT257" s="0" t="s">
        <v>583</v>
      </c>
      <c r="CU257" s="0" t="s">
        <v>3111</v>
      </c>
      <c r="CV257" s="0" t="s">
        <v>3112</v>
      </c>
      <c r="CW257" s="0" t="n">
        <v>0</v>
      </c>
      <c r="DB257" s="0" t="n">
        <v>100000</v>
      </c>
      <c r="DC257" s="0" t="n">
        <v>100000</v>
      </c>
      <c r="DD257" s="0" t="n">
        <v>100000</v>
      </c>
      <c r="DE257" s="0" t="n">
        <v>100000</v>
      </c>
      <c r="DG257" s="0" t="s">
        <v>4278</v>
      </c>
      <c r="DH257" s="0" t="s">
        <v>82</v>
      </c>
      <c r="DI257" s="0" t="s">
        <v>1643</v>
      </c>
      <c r="DJ257" s="0" t="s">
        <v>1644</v>
      </c>
      <c r="DK257" s="0" t="s">
        <v>674</v>
      </c>
      <c r="DL257" s="0" t="n">
        <v>7.69</v>
      </c>
      <c r="DM257" s="0" t="s">
        <v>676</v>
      </c>
      <c r="DN257" s="0" t="s">
        <v>675</v>
      </c>
      <c r="DO257" s="0" t="n">
        <v>0</v>
      </c>
      <c r="DP257" s="0" t="n">
        <v>0</v>
      </c>
      <c r="DQ257" s="0" t="n">
        <v>23.88</v>
      </c>
      <c r="DR257" s="0" t="s">
        <v>4279</v>
      </c>
      <c r="EB257" s="0" t="s">
        <v>4280</v>
      </c>
      <c r="EC257" s="0" t="s">
        <v>2625</v>
      </c>
      <c r="EE257" s="0" t="s">
        <v>584</v>
      </c>
      <c r="EL257" s="0" t="s">
        <v>4281</v>
      </c>
      <c r="EM257" s="0" t="s">
        <v>2710</v>
      </c>
      <c r="EN257" s="0" t="s">
        <v>2711</v>
      </c>
      <c r="EO257" s="0" t="n">
        <v>8</v>
      </c>
      <c r="EP257" s="0" t="s">
        <v>2552</v>
      </c>
      <c r="EQ257" s="0" t="s">
        <v>3000</v>
      </c>
      <c r="ER257" s="0" t="s">
        <v>3001</v>
      </c>
      <c r="ES257" s="0" t="n">
        <v>172350</v>
      </c>
      <c r="ET257" s="0" t="n">
        <v>172350</v>
      </c>
      <c r="EU257" s="0" t="n">
        <v>172350</v>
      </c>
      <c r="EV257" s="0" t="n">
        <v>172350</v>
      </c>
    </row>
    <row r="258" customFormat="false" ht="15" hidden="false" customHeight="false" outlineLevel="0" collapsed="false">
      <c r="CQ258" s="0" t="s">
        <v>4282</v>
      </c>
      <c r="CR258" s="0" t="s">
        <v>86</v>
      </c>
      <c r="CS258" s="0" t="s">
        <v>575</v>
      </c>
      <c r="CT258" s="0" t="s">
        <v>573</v>
      </c>
      <c r="CU258" s="0" t="s">
        <v>3111</v>
      </c>
      <c r="CV258" s="0" t="s">
        <v>3119</v>
      </c>
      <c r="CW258" s="0" t="n">
        <v>0</v>
      </c>
      <c r="DB258" s="0" t="n">
        <v>2000</v>
      </c>
      <c r="DC258" s="0" t="n">
        <v>2000</v>
      </c>
      <c r="DD258" s="0" t="n">
        <v>2000</v>
      </c>
      <c r="DE258" s="0" t="n">
        <v>2000</v>
      </c>
      <c r="DG258" s="0" t="s">
        <v>4283</v>
      </c>
      <c r="DH258" s="0" t="s">
        <v>82</v>
      </c>
      <c r="DI258" s="0" t="s">
        <v>1647</v>
      </c>
      <c r="DJ258" s="0" t="s">
        <v>1648</v>
      </c>
      <c r="DK258" s="0" t="s">
        <v>674</v>
      </c>
      <c r="DL258" s="0" t="n">
        <v>7.69</v>
      </c>
      <c r="DM258" s="0" t="s">
        <v>676</v>
      </c>
      <c r="DN258" s="0" t="s">
        <v>675</v>
      </c>
      <c r="DO258" s="0" t="n">
        <v>0</v>
      </c>
      <c r="DP258" s="0" t="n">
        <v>0</v>
      </c>
      <c r="DQ258" s="0" t="n">
        <v>5.32</v>
      </c>
      <c r="DR258" s="0" t="s">
        <v>4284</v>
      </c>
      <c r="EB258" s="0" t="s">
        <v>4285</v>
      </c>
      <c r="EC258" s="0" t="s">
        <v>2625</v>
      </c>
      <c r="ED258" s="0" t="s">
        <v>2626</v>
      </c>
      <c r="EE258" s="0" t="s">
        <v>330</v>
      </c>
      <c r="EF258" s="0" t="s">
        <v>331</v>
      </c>
      <c r="EG258" s="0" t="n">
        <v>415</v>
      </c>
      <c r="EH258" s="0" t="n">
        <v>475</v>
      </c>
      <c r="EI258" s="0" t="n">
        <v>475</v>
      </c>
      <c r="EJ258" s="0" t="n">
        <v>545</v>
      </c>
      <c r="EL258" s="0" t="s">
        <v>4286</v>
      </c>
      <c r="EM258" s="0" t="s">
        <v>2522</v>
      </c>
      <c r="EN258" s="0" t="s">
        <v>2523</v>
      </c>
      <c r="EO258" s="0" t="n">
        <v>1</v>
      </c>
      <c r="EP258" s="0" t="s">
        <v>2528</v>
      </c>
      <c r="EQ258" s="0" t="s">
        <v>2529</v>
      </c>
      <c r="ER258" s="0" t="s">
        <v>2570</v>
      </c>
      <c r="ES258" s="0" t="n">
        <v>10000</v>
      </c>
      <c r="ET258" s="0" t="n">
        <v>10000</v>
      </c>
      <c r="EU258" s="0" t="n">
        <v>10000</v>
      </c>
      <c r="EV258" s="0" t="n">
        <v>10000</v>
      </c>
    </row>
    <row r="259" customFormat="false" ht="15" hidden="false" customHeight="false" outlineLevel="0" collapsed="false">
      <c r="CQ259" s="0" t="s">
        <v>4287</v>
      </c>
      <c r="CR259" s="0" t="s">
        <v>86</v>
      </c>
      <c r="CS259" s="0" t="s">
        <v>562</v>
      </c>
      <c r="CT259" s="0" t="s">
        <v>2986</v>
      </c>
      <c r="CU259" s="0" t="s">
        <v>79</v>
      </c>
      <c r="CV259" s="0" t="s">
        <v>3126</v>
      </c>
      <c r="CW259" s="0" t="n">
        <v>0</v>
      </c>
      <c r="DB259" s="0" t="n">
        <v>550</v>
      </c>
      <c r="DC259" s="0" t="n">
        <v>850</v>
      </c>
      <c r="DD259" s="0" t="n">
        <v>1200</v>
      </c>
      <c r="DE259" s="0" t="n">
        <v>1200</v>
      </c>
      <c r="DG259" s="0" t="s">
        <v>4288</v>
      </c>
      <c r="DH259" s="0" t="s">
        <v>82</v>
      </c>
      <c r="DI259" s="0" t="s">
        <v>1650</v>
      </c>
      <c r="DJ259" s="0" t="s">
        <v>1651</v>
      </c>
      <c r="DK259" s="0" t="s">
        <v>674</v>
      </c>
      <c r="DL259" s="0" t="n">
        <v>7.69</v>
      </c>
      <c r="DM259" s="0" t="s">
        <v>675</v>
      </c>
      <c r="DN259" s="0" t="s">
        <v>676</v>
      </c>
      <c r="DO259" s="0" t="n">
        <v>2</v>
      </c>
      <c r="DP259" s="0" t="n">
        <v>280</v>
      </c>
      <c r="DQ259" s="0" t="n">
        <v>280</v>
      </c>
      <c r="DR259" s="0" t="s">
        <v>4289</v>
      </c>
      <c r="EB259" s="0" t="s">
        <v>4290</v>
      </c>
      <c r="EC259" s="0" t="s">
        <v>2625</v>
      </c>
      <c r="ED259" s="0" t="s">
        <v>2626</v>
      </c>
      <c r="EE259" s="0" t="s">
        <v>334</v>
      </c>
      <c r="EF259" s="0" t="s">
        <v>335</v>
      </c>
      <c r="EG259" s="0" t="n">
        <v>210</v>
      </c>
      <c r="EH259" s="0" t="n">
        <v>240</v>
      </c>
      <c r="EI259" s="0" t="n">
        <v>240</v>
      </c>
      <c r="EJ259" s="0" t="n">
        <v>275</v>
      </c>
      <c r="EL259" s="0" t="s">
        <v>4286</v>
      </c>
      <c r="EM259" s="0" t="s">
        <v>2522</v>
      </c>
      <c r="EN259" s="0" t="s">
        <v>2523</v>
      </c>
      <c r="EO259" s="0" t="n">
        <v>1</v>
      </c>
      <c r="EP259" s="0" t="s">
        <v>2528</v>
      </c>
      <c r="EQ259" s="0" t="s">
        <v>2569</v>
      </c>
      <c r="ER259" s="0" t="s">
        <v>2570</v>
      </c>
      <c r="ES259" s="0" t="n">
        <v>10000</v>
      </c>
      <c r="ET259" s="0" t="n">
        <v>10000</v>
      </c>
      <c r="EU259" s="0" t="n">
        <v>10000</v>
      </c>
      <c r="EV259" s="0" t="n">
        <v>10000</v>
      </c>
    </row>
    <row r="260" customFormat="false" ht="15" hidden="false" customHeight="false" outlineLevel="0" collapsed="false">
      <c r="CQ260" s="0" t="s">
        <v>4291</v>
      </c>
      <c r="CR260" s="0" t="s">
        <v>86</v>
      </c>
      <c r="CS260" s="0" t="s">
        <v>602</v>
      </c>
      <c r="CT260" s="0" t="s">
        <v>2728</v>
      </c>
      <c r="CU260" s="0" t="s">
        <v>79</v>
      </c>
      <c r="CV260" s="0" t="s">
        <v>600</v>
      </c>
      <c r="CW260" s="0" t="n">
        <v>0</v>
      </c>
      <c r="DB260" s="0" t="n">
        <v>350</v>
      </c>
      <c r="DC260" s="0" t="n">
        <v>350</v>
      </c>
      <c r="DD260" s="0" t="n">
        <v>350</v>
      </c>
      <c r="DE260" s="0" t="n">
        <v>350</v>
      </c>
      <c r="DG260" s="0" t="s">
        <v>4292</v>
      </c>
      <c r="DH260" s="0" t="s">
        <v>82</v>
      </c>
      <c r="DI260" s="0" t="s">
        <v>1653</v>
      </c>
      <c r="DJ260" s="0" t="s">
        <v>1654</v>
      </c>
      <c r="DK260" s="0" t="s">
        <v>674</v>
      </c>
      <c r="DL260" s="0" t="n">
        <v>7.69</v>
      </c>
      <c r="DM260" s="0" t="s">
        <v>676</v>
      </c>
      <c r="DN260" s="0" t="s">
        <v>675</v>
      </c>
      <c r="DO260" s="0" t="n">
        <v>0</v>
      </c>
      <c r="DP260" s="0" t="n">
        <v>0</v>
      </c>
      <c r="DQ260" s="0" t="n">
        <v>4.26</v>
      </c>
      <c r="DR260" s="0" t="s">
        <v>4293</v>
      </c>
      <c r="EB260" s="0" t="s">
        <v>4294</v>
      </c>
      <c r="EC260" s="0" t="s">
        <v>2625</v>
      </c>
      <c r="EE260" s="0" t="s">
        <v>582</v>
      </c>
      <c r="EL260" s="0" t="s">
        <v>4295</v>
      </c>
      <c r="EM260" s="0" t="s">
        <v>2522</v>
      </c>
      <c r="EN260" s="0" t="s">
        <v>2523</v>
      </c>
      <c r="EO260" s="0" t="n">
        <v>1</v>
      </c>
      <c r="EP260" s="0" t="s">
        <v>2552</v>
      </c>
      <c r="EQ260" s="0" t="s">
        <v>2553</v>
      </c>
      <c r="ER260" s="0" t="s">
        <v>2583</v>
      </c>
      <c r="ES260" s="0" t="n">
        <v>14850</v>
      </c>
      <c r="ET260" s="0" t="n">
        <v>14850</v>
      </c>
      <c r="EU260" s="0" t="n">
        <v>14850</v>
      </c>
      <c r="EV260" s="0" t="n">
        <v>14850</v>
      </c>
    </row>
    <row r="261" customFormat="false" ht="15" hidden="false" customHeight="false" outlineLevel="0" collapsed="false">
      <c r="CQ261" s="0" t="s">
        <v>4296</v>
      </c>
      <c r="CR261" s="0" t="s">
        <v>86</v>
      </c>
      <c r="CS261" s="0" t="s">
        <v>567</v>
      </c>
      <c r="CT261" s="0" t="s">
        <v>2959</v>
      </c>
      <c r="CU261" s="0" t="s">
        <v>79</v>
      </c>
      <c r="CV261" s="0" t="s">
        <v>3139</v>
      </c>
      <c r="CW261" s="0" t="n">
        <v>0</v>
      </c>
      <c r="DB261" s="0" t="n">
        <v>1250</v>
      </c>
      <c r="DC261" s="0" t="n">
        <v>1250</v>
      </c>
      <c r="DD261" s="0" t="n">
        <v>1250</v>
      </c>
      <c r="DE261" s="0" t="n">
        <v>1250</v>
      </c>
      <c r="DG261" s="0" t="s">
        <v>4297</v>
      </c>
      <c r="DH261" s="0" t="s">
        <v>82</v>
      </c>
      <c r="DI261" s="0" t="s">
        <v>1657</v>
      </c>
      <c r="DJ261" s="0" t="s">
        <v>1658</v>
      </c>
      <c r="DK261" s="0" t="s">
        <v>674</v>
      </c>
      <c r="DL261" s="0" t="n">
        <v>7.69</v>
      </c>
      <c r="DM261" s="0" t="s">
        <v>676</v>
      </c>
      <c r="DN261" s="0" t="s">
        <v>675</v>
      </c>
      <c r="DO261" s="0" t="n">
        <v>0</v>
      </c>
      <c r="DP261" s="0" t="n">
        <v>0</v>
      </c>
      <c r="DQ261" s="0" t="n">
        <v>2.2</v>
      </c>
      <c r="DR261" s="0" t="s">
        <v>4298</v>
      </c>
      <c r="EB261" s="0" t="s">
        <v>4299</v>
      </c>
      <c r="EC261" s="0" t="s">
        <v>2625</v>
      </c>
      <c r="ED261" s="0" t="s">
        <v>2626</v>
      </c>
      <c r="EE261" s="0" t="s">
        <v>579</v>
      </c>
      <c r="EF261" s="0" t="s">
        <v>2889</v>
      </c>
      <c r="EG261" s="0" t="n">
        <v>1510</v>
      </c>
      <c r="EH261" s="0" t="n">
        <v>1510</v>
      </c>
      <c r="EI261" s="0" t="n">
        <v>1510</v>
      </c>
      <c r="EJ261" s="0" t="n">
        <v>1510</v>
      </c>
      <c r="EL261" s="0" t="s">
        <v>4295</v>
      </c>
      <c r="EM261" s="0" t="s">
        <v>2522</v>
      </c>
      <c r="EN261" s="0" t="s">
        <v>2523</v>
      </c>
      <c r="EO261" s="0" t="n">
        <v>1</v>
      </c>
      <c r="EP261" s="0" t="s">
        <v>2552</v>
      </c>
      <c r="EQ261" s="0" t="s">
        <v>2582</v>
      </c>
      <c r="ER261" s="0" t="s">
        <v>2583</v>
      </c>
      <c r="ES261" s="0" t="n">
        <v>14850</v>
      </c>
      <c r="ET261" s="0" t="n">
        <v>14850</v>
      </c>
      <c r="EU261" s="0" t="n">
        <v>14850</v>
      </c>
      <c r="EV261" s="0" t="n">
        <v>14850</v>
      </c>
    </row>
    <row r="262" customFormat="false" ht="15" hidden="false" customHeight="false" outlineLevel="0" collapsed="false">
      <c r="CQ262" s="0" t="s">
        <v>4300</v>
      </c>
      <c r="CR262" s="0" t="s">
        <v>86</v>
      </c>
      <c r="CS262" s="0" t="s">
        <v>590</v>
      </c>
      <c r="CT262" s="0" t="s">
        <v>2786</v>
      </c>
      <c r="CU262" s="0" t="s">
        <v>3111</v>
      </c>
      <c r="CV262" s="0" t="s">
        <v>3146</v>
      </c>
      <c r="CW262" s="0" t="n">
        <v>0</v>
      </c>
      <c r="DB262" s="0" t="n">
        <v>3020</v>
      </c>
      <c r="DC262" s="0" t="n">
        <v>3020</v>
      </c>
      <c r="DD262" s="0" t="n">
        <v>3020</v>
      </c>
      <c r="DE262" s="0" t="n">
        <v>3020</v>
      </c>
      <c r="DG262" s="0" t="s">
        <v>4301</v>
      </c>
      <c r="DH262" s="0" t="s">
        <v>82</v>
      </c>
      <c r="DI262" s="0" t="s">
        <v>1661</v>
      </c>
      <c r="DJ262" s="0" t="s">
        <v>1662</v>
      </c>
      <c r="DK262" s="0" t="s">
        <v>674</v>
      </c>
      <c r="DL262" s="0" t="n">
        <v>7.69</v>
      </c>
      <c r="DM262" s="0" t="s">
        <v>676</v>
      </c>
      <c r="DN262" s="0" t="s">
        <v>675</v>
      </c>
      <c r="DO262" s="0" t="n">
        <v>0</v>
      </c>
      <c r="DP262" s="0" t="n">
        <v>0</v>
      </c>
      <c r="DQ262" s="0" t="n">
        <v>7.02</v>
      </c>
      <c r="DR262" s="0" t="s">
        <v>4302</v>
      </c>
      <c r="EB262" s="0" t="s">
        <v>4303</v>
      </c>
      <c r="EC262" s="0" t="s">
        <v>2625</v>
      </c>
      <c r="ED262" s="0" t="s">
        <v>2626</v>
      </c>
      <c r="EE262" s="0" t="s">
        <v>575</v>
      </c>
      <c r="EF262" s="0" t="s">
        <v>573</v>
      </c>
      <c r="EG262" s="0" t="n">
        <v>1</v>
      </c>
      <c r="EH262" s="0" t="n">
        <v>1</v>
      </c>
      <c r="EI262" s="0" t="n">
        <v>1</v>
      </c>
      <c r="EJ262" s="0" t="n">
        <v>1</v>
      </c>
      <c r="EL262" s="0" t="s">
        <v>4304</v>
      </c>
      <c r="EM262" s="0" t="s">
        <v>2522</v>
      </c>
      <c r="EN262" s="0" t="s">
        <v>2523</v>
      </c>
      <c r="EO262" s="0" t="n">
        <v>2</v>
      </c>
      <c r="EP262" s="0" t="s">
        <v>2528</v>
      </c>
      <c r="EQ262" s="0" t="s">
        <v>2598</v>
      </c>
      <c r="ER262" s="0" t="s">
        <v>2631</v>
      </c>
      <c r="ES262" s="0" t="n">
        <v>20000</v>
      </c>
      <c r="ET262" s="0" t="n">
        <v>20000</v>
      </c>
      <c r="EU262" s="0" t="n">
        <v>20000</v>
      </c>
      <c r="EV262" s="0" t="n">
        <v>20000</v>
      </c>
    </row>
    <row r="263" customFormat="false" ht="15" hidden="false" customHeight="false" outlineLevel="0" collapsed="false">
      <c r="CQ263" s="0" t="s">
        <v>4305</v>
      </c>
      <c r="CR263" s="0" t="s">
        <v>86</v>
      </c>
      <c r="CS263" s="0" t="s">
        <v>588</v>
      </c>
      <c r="CT263" s="0" t="s">
        <v>2801</v>
      </c>
      <c r="CU263" s="0" t="s">
        <v>3111</v>
      </c>
      <c r="CV263" s="0" t="s">
        <v>587</v>
      </c>
      <c r="CW263" s="0" t="n">
        <v>0</v>
      </c>
      <c r="DB263" s="0" t="n">
        <v>2470</v>
      </c>
      <c r="DC263" s="0" t="n">
        <v>2470</v>
      </c>
      <c r="DD263" s="0" t="n">
        <v>2470</v>
      </c>
      <c r="DE263" s="0" t="n">
        <v>2470</v>
      </c>
      <c r="DG263" s="0" t="s">
        <v>4306</v>
      </c>
      <c r="DH263" s="0" t="s">
        <v>82</v>
      </c>
      <c r="DI263" s="0" t="s">
        <v>1667</v>
      </c>
      <c r="DJ263" s="0" t="s">
        <v>1668</v>
      </c>
      <c r="DK263" s="0" t="s">
        <v>674</v>
      </c>
      <c r="DL263" s="0" t="n">
        <v>7.69</v>
      </c>
      <c r="DM263" s="0" t="s">
        <v>676</v>
      </c>
      <c r="DN263" s="0" t="s">
        <v>675</v>
      </c>
      <c r="DO263" s="0" t="n">
        <v>0</v>
      </c>
      <c r="DP263" s="0" t="n">
        <v>0</v>
      </c>
      <c r="DQ263" s="0" t="n">
        <v>1729.7</v>
      </c>
      <c r="DR263" s="0" t="s">
        <v>4307</v>
      </c>
      <c r="EB263" s="0" t="s">
        <v>4308</v>
      </c>
      <c r="EC263" s="0" t="s">
        <v>2625</v>
      </c>
      <c r="ED263" s="0" t="s">
        <v>2626</v>
      </c>
      <c r="EE263" s="0" t="s">
        <v>2917</v>
      </c>
      <c r="EF263" s="0" t="s">
        <v>2918</v>
      </c>
      <c r="EG263" s="0" t="n">
        <v>1750</v>
      </c>
      <c r="EH263" s="0" t="n">
        <v>1750</v>
      </c>
      <c r="EI263" s="0" t="n">
        <v>1750</v>
      </c>
      <c r="EJ263" s="0" t="n">
        <v>1750</v>
      </c>
      <c r="EL263" s="0" t="s">
        <v>4304</v>
      </c>
      <c r="EM263" s="0" t="s">
        <v>2522</v>
      </c>
      <c r="EN263" s="0" t="s">
        <v>2523</v>
      </c>
      <c r="EO263" s="0" t="n">
        <v>2</v>
      </c>
      <c r="EP263" s="0" t="s">
        <v>2528</v>
      </c>
      <c r="EQ263" s="0" t="s">
        <v>2630</v>
      </c>
      <c r="ER263" s="0" t="s">
        <v>2631</v>
      </c>
      <c r="ES263" s="0" t="n">
        <v>20000</v>
      </c>
      <c r="ET263" s="0" t="n">
        <v>20000</v>
      </c>
      <c r="EU263" s="0" t="n">
        <v>20000</v>
      </c>
      <c r="EV263" s="0" t="n">
        <v>20000</v>
      </c>
    </row>
    <row r="264" customFormat="false" ht="15" hidden="false" customHeight="false" outlineLevel="0" collapsed="false">
      <c r="CQ264" s="0" t="s">
        <v>4309</v>
      </c>
      <c r="CR264" s="0" t="s">
        <v>86</v>
      </c>
      <c r="CS264" s="0" t="s">
        <v>586</v>
      </c>
      <c r="CT264" s="0" t="s">
        <v>2815</v>
      </c>
      <c r="CU264" s="0" t="s">
        <v>3111</v>
      </c>
      <c r="CV264" s="0" t="s">
        <v>3161</v>
      </c>
      <c r="CW264" s="0" t="n">
        <v>0</v>
      </c>
      <c r="DB264" s="0" t="n">
        <v>10480</v>
      </c>
      <c r="DC264" s="0" t="n">
        <v>10480</v>
      </c>
      <c r="DD264" s="0" t="n">
        <v>10480</v>
      </c>
      <c r="DE264" s="0" t="n">
        <v>10480</v>
      </c>
      <c r="DG264" s="0" t="s">
        <v>4310</v>
      </c>
      <c r="DH264" s="0" t="s">
        <v>82</v>
      </c>
      <c r="DI264" s="0" t="s">
        <v>356</v>
      </c>
      <c r="DJ264" s="0" t="s">
        <v>1671</v>
      </c>
      <c r="DK264" s="0" t="s">
        <v>1181</v>
      </c>
      <c r="DL264" s="0" t="n">
        <v>7.69</v>
      </c>
      <c r="DM264" s="0" t="s">
        <v>675</v>
      </c>
      <c r="DN264" s="0" t="s">
        <v>676</v>
      </c>
      <c r="DO264" s="0" t="n">
        <v>1</v>
      </c>
      <c r="DP264" s="0" t="n">
        <v>36136</v>
      </c>
      <c r="DQ264" s="0" t="n">
        <v>36136</v>
      </c>
      <c r="DR264" s="0" t="s">
        <v>4311</v>
      </c>
      <c r="EB264" s="0" t="s">
        <v>4312</v>
      </c>
      <c r="EC264" s="0" t="s">
        <v>2625</v>
      </c>
      <c r="ED264" s="0" t="s">
        <v>2626</v>
      </c>
      <c r="EE264" s="0" t="s">
        <v>2932</v>
      </c>
      <c r="EF264" s="0" t="s">
        <v>2933</v>
      </c>
      <c r="EG264" s="0" t="n">
        <v>3000</v>
      </c>
      <c r="EH264" s="0" t="n">
        <v>3000</v>
      </c>
      <c r="EI264" s="0" t="n">
        <v>3000</v>
      </c>
      <c r="EJ264" s="0" t="n">
        <v>3000</v>
      </c>
      <c r="EL264" s="0" t="s">
        <v>4313</v>
      </c>
      <c r="EM264" s="0" t="s">
        <v>2522</v>
      </c>
      <c r="EN264" s="0" t="s">
        <v>2523</v>
      </c>
      <c r="EO264" s="0" t="n">
        <v>2</v>
      </c>
      <c r="EP264" s="0" t="s">
        <v>2552</v>
      </c>
      <c r="EQ264" s="0" t="s">
        <v>2614</v>
      </c>
      <c r="ER264" s="0" t="s">
        <v>2650</v>
      </c>
      <c r="ES264" s="0" t="n">
        <v>38600</v>
      </c>
      <c r="ET264" s="0" t="n">
        <v>38600</v>
      </c>
      <c r="EU264" s="0" t="n">
        <v>38600</v>
      </c>
      <c r="EV264" s="0" t="n">
        <v>38600</v>
      </c>
    </row>
    <row r="265" customFormat="false" ht="15" hidden="false" customHeight="false" outlineLevel="0" collapsed="false">
      <c r="CQ265" s="0" t="s">
        <v>4314</v>
      </c>
      <c r="CR265" s="0" t="s">
        <v>86</v>
      </c>
      <c r="CS265" s="0" t="s">
        <v>296</v>
      </c>
      <c r="CT265" s="0" t="s">
        <v>294</v>
      </c>
      <c r="CU265" s="0" t="s">
        <v>2267</v>
      </c>
      <c r="CV265" s="0" t="s">
        <v>295</v>
      </c>
      <c r="CW265" s="0" t="n">
        <v>0</v>
      </c>
      <c r="DB265" s="0" t="n">
        <v>150</v>
      </c>
      <c r="DC265" s="0" t="n">
        <v>150</v>
      </c>
      <c r="DD265" s="0" t="n">
        <v>150</v>
      </c>
      <c r="DE265" s="0" t="n">
        <v>150</v>
      </c>
      <c r="DG265" s="0" t="s">
        <v>4315</v>
      </c>
      <c r="DH265" s="0" t="s">
        <v>82</v>
      </c>
      <c r="DI265" s="0" t="s">
        <v>376</v>
      </c>
      <c r="DJ265" s="0" t="s">
        <v>377</v>
      </c>
      <c r="DK265" s="0" t="s">
        <v>1181</v>
      </c>
      <c r="DL265" s="0" t="n">
        <v>7.69</v>
      </c>
      <c r="DM265" s="0" t="s">
        <v>675</v>
      </c>
      <c r="DN265" s="0" t="s">
        <v>676</v>
      </c>
      <c r="DO265" s="0" t="n">
        <v>1</v>
      </c>
      <c r="DP265" s="0" t="n">
        <v>36136</v>
      </c>
      <c r="DQ265" s="0" t="n">
        <v>36136</v>
      </c>
      <c r="DR265" s="0" t="s">
        <v>4316</v>
      </c>
      <c r="EB265" s="0" t="s">
        <v>4317</v>
      </c>
      <c r="EC265" s="0" t="s">
        <v>2625</v>
      </c>
      <c r="ED265" s="0" t="s">
        <v>2626</v>
      </c>
      <c r="EE265" s="0" t="s">
        <v>2946</v>
      </c>
      <c r="EF265" s="0" t="s">
        <v>2947</v>
      </c>
      <c r="EG265" s="0" t="n">
        <v>5000</v>
      </c>
      <c r="EH265" s="0" t="n">
        <v>5000</v>
      </c>
      <c r="EI265" s="0" t="n">
        <v>5000</v>
      </c>
      <c r="EJ265" s="0" t="n">
        <v>5000</v>
      </c>
      <c r="EL265" s="0" t="s">
        <v>4313</v>
      </c>
      <c r="EM265" s="0" t="s">
        <v>2522</v>
      </c>
      <c r="EN265" s="0" t="s">
        <v>2523</v>
      </c>
      <c r="EO265" s="0" t="n">
        <v>2</v>
      </c>
      <c r="EP265" s="0" t="s">
        <v>2552</v>
      </c>
      <c r="EQ265" s="0" t="s">
        <v>2649</v>
      </c>
      <c r="ER265" s="0" t="s">
        <v>2650</v>
      </c>
      <c r="ES265" s="0" t="n">
        <v>38600</v>
      </c>
      <c r="ET265" s="0" t="n">
        <v>38600</v>
      </c>
      <c r="EU265" s="0" t="n">
        <v>38600</v>
      </c>
      <c r="EV265" s="0" t="n">
        <v>38600</v>
      </c>
    </row>
    <row r="266" customFormat="false" ht="15" hidden="false" customHeight="false" outlineLevel="0" collapsed="false">
      <c r="CQ266" s="0" t="s">
        <v>4287</v>
      </c>
      <c r="CR266" s="0" t="s">
        <v>86</v>
      </c>
      <c r="CS266" s="0" t="s">
        <v>562</v>
      </c>
      <c r="CT266" s="0" t="s">
        <v>2986</v>
      </c>
      <c r="CU266" s="0" t="s">
        <v>79</v>
      </c>
      <c r="CV266" s="0" t="s">
        <v>3126</v>
      </c>
      <c r="CW266" s="0" t="n">
        <v>0</v>
      </c>
      <c r="DB266" s="0" t="n">
        <v>550</v>
      </c>
      <c r="DC266" s="0" t="n">
        <v>850</v>
      </c>
      <c r="DD266" s="0" t="n">
        <v>1200</v>
      </c>
      <c r="DE266" s="0" t="n">
        <v>1200</v>
      </c>
      <c r="DG266" s="0" t="s">
        <v>4318</v>
      </c>
      <c r="DH266" s="0" t="s">
        <v>82</v>
      </c>
      <c r="DI266" s="0" t="s">
        <v>382</v>
      </c>
      <c r="DJ266" s="0" t="s">
        <v>383</v>
      </c>
      <c r="DK266" s="0" t="s">
        <v>1181</v>
      </c>
      <c r="DL266" s="0" t="n">
        <v>7.69</v>
      </c>
      <c r="DM266" s="0" t="s">
        <v>675</v>
      </c>
      <c r="DN266" s="0" t="s">
        <v>676</v>
      </c>
      <c r="DO266" s="0" t="n">
        <v>1</v>
      </c>
      <c r="DP266" s="0" t="n">
        <v>36136</v>
      </c>
      <c r="DQ266" s="0" t="n">
        <v>36136</v>
      </c>
      <c r="DR266" s="0" t="s">
        <v>4319</v>
      </c>
      <c r="EB266" s="0" t="s">
        <v>4320</v>
      </c>
      <c r="EC266" s="0" t="s">
        <v>2625</v>
      </c>
      <c r="ED266" s="0" t="s">
        <v>2626</v>
      </c>
      <c r="EE266" s="0" t="s">
        <v>567</v>
      </c>
      <c r="EF266" s="0" t="s">
        <v>2959</v>
      </c>
      <c r="EG266" s="0" t="n">
        <v>1</v>
      </c>
      <c r="EH266" s="0" t="n">
        <v>1</v>
      </c>
      <c r="EI266" s="0" t="n">
        <v>1</v>
      </c>
      <c r="EJ266" s="0" t="n">
        <v>1</v>
      </c>
      <c r="EL266" s="0" t="s">
        <v>4321</v>
      </c>
      <c r="EM266" s="0" t="s">
        <v>2522</v>
      </c>
      <c r="EN266" s="0" t="s">
        <v>2523</v>
      </c>
      <c r="EO266" s="0" t="n">
        <v>3</v>
      </c>
      <c r="EP266" s="0" t="s">
        <v>2528</v>
      </c>
      <c r="EQ266" s="0" t="s">
        <v>2665</v>
      </c>
      <c r="ER266" s="0" t="s">
        <v>2700</v>
      </c>
      <c r="ES266" s="0" t="n">
        <v>30000</v>
      </c>
      <c r="ET266" s="0" t="n">
        <v>30000</v>
      </c>
      <c r="EU266" s="0" t="n">
        <v>30000</v>
      </c>
      <c r="EV266" s="0" t="n">
        <v>30000</v>
      </c>
    </row>
    <row r="267" customFormat="false" ht="15" hidden="false" customHeight="false" outlineLevel="0" collapsed="false">
      <c r="CQ267" s="0" t="s">
        <v>4322</v>
      </c>
      <c r="CR267" s="0" t="s">
        <v>87</v>
      </c>
      <c r="CS267" s="0" t="s">
        <v>290</v>
      </c>
      <c r="CT267" s="0" t="s">
        <v>289</v>
      </c>
      <c r="CU267" s="0" t="s">
        <v>81</v>
      </c>
      <c r="CV267" s="0" t="s">
        <v>289</v>
      </c>
      <c r="CW267" s="0" t="n">
        <v>3.85</v>
      </c>
      <c r="CX267" s="0" t="n">
        <v>1</v>
      </c>
      <c r="CY267" s="0" t="n">
        <v>1</v>
      </c>
      <c r="CZ267" s="0" t="n">
        <v>1</v>
      </c>
      <c r="DA267" s="0" t="n">
        <v>500</v>
      </c>
      <c r="DB267" s="0" t="n">
        <v>420</v>
      </c>
      <c r="DC267" s="0" t="n">
        <v>460</v>
      </c>
      <c r="DD267" s="0" t="n">
        <v>500</v>
      </c>
      <c r="DE267" s="0" t="n">
        <v>500</v>
      </c>
      <c r="DG267" s="0" t="s">
        <v>4323</v>
      </c>
      <c r="DH267" s="0" t="s">
        <v>82</v>
      </c>
      <c r="DI267" s="0" t="s">
        <v>421</v>
      </c>
      <c r="DJ267" s="0" t="s">
        <v>422</v>
      </c>
      <c r="DK267" s="0" t="s">
        <v>1181</v>
      </c>
      <c r="DL267" s="0" t="n">
        <v>7.69</v>
      </c>
      <c r="DM267" s="0" t="s">
        <v>675</v>
      </c>
      <c r="DN267" s="0" t="s">
        <v>676</v>
      </c>
      <c r="DO267" s="0" t="n">
        <v>1</v>
      </c>
      <c r="DP267" s="0" t="n">
        <v>36130</v>
      </c>
      <c r="DQ267" s="0" t="n">
        <v>36130</v>
      </c>
      <c r="DR267" s="0" t="s">
        <v>4324</v>
      </c>
      <c r="EB267" s="0" t="s">
        <v>4325</v>
      </c>
      <c r="EC267" s="0" t="s">
        <v>2625</v>
      </c>
      <c r="ED267" s="0" t="s">
        <v>2626</v>
      </c>
      <c r="EE267" s="0" t="s">
        <v>569</v>
      </c>
      <c r="EF267" s="0" t="s">
        <v>2973</v>
      </c>
      <c r="EG267" s="0" t="n">
        <v>8000</v>
      </c>
      <c r="EH267" s="0" t="n">
        <v>8000</v>
      </c>
      <c r="EI267" s="0" t="n">
        <v>8000</v>
      </c>
      <c r="EJ267" s="0" t="n">
        <v>8000</v>
      </c>
      <c r="EL267" s="0" t="s">
        <v>4321</v>
      </c>
      <c r="EM267" s="0" t="s">
        <v>2522</v>
      </c>
      <c r="EN267" s="0" t="s">
        <v>2523</v>
      </c>
      <c r="EO267" s="0" t="n">
        <v>3</v>
      </c>
      <c r="EP267" s="0" t="s">
        <v>2528</v>
      </c>
      <c r="EQ267" s="0" t="s">
        <v>2699</v>
      </c>
      <c r="ER267" s="0" t="s">
        <v>2700</v>
      </c>
      <c r="ES267" s="0" t="n">
        <v>30000</v>
      </c>
      <c r="ET267" s="0" t="n">
        <v>30000</v>
      </c>
      <c r="EU267" s="0" t="n">
        <v>30000</v>
      </c>
      <c r="EV267" s="0" t="n">
        <v>30000</v>
      </c>
    </row>
    <row r="268" customFormat="false" ht="15" hidden="false" customHeight="false" outlineLevel="0" collapsed="false">
      <c r="CQ268" s="0" t="s">
        <v>4326</v>
      </c>
      <c r="CR268" s="0" t="s">
        <v>87</v>
      </c>
      <c r="CS268" s="0" t="s">
        <v>275</v>
      </c>
      <c r="CT268" s="0" t="s">
        <v>273</v>
      </c>
      <c r="CU268" s="0" t="s">
        <v>81</v>
      </c>
      <c r="CV268" s="0" t="s">
        <v>274</v>
      </c>
      <c r="CW268" s="0" t="n">
        <v>3.85</v>
      </c>
      <c r="CX268" s="0" t="n">
        <v>1</v>
      </c>
      <c r="CY268" s="0" t="n">
        <v>1</v>
      </c>
      <c r="CZ268" s="0" t="n">
        <v>1</v>
      </c>
      <c r="DA268" s="0" t="n">
        <v>1200</v>
      </c>
      <c r="DB268" s="0" t="n">
        <v>1000</v>
      </c>
      <c r="DC268" s="0" t="n">
        <v>1110</v>
      </c>
      <c r="DD268" s="0" t="n">
        <v>1200</v>
      </c>
      <c r="DE268" s="0" t="n">
        <v>1200</v>
      </c>
      <c r="DG268" s="0" t="s">
        <v>4327</v>
      </c>
      <c r="DH268" s="0" t="s">
        <v>82</v>
      </c>
      <c r="DI268" s="0" t="s">
        <v>409</v>
      </c>
      <c r="DJ268" s="0" t="s">
        <v>410</v>
      </c>
      <c r="DK268" s="0" t="s">
        <v>1181</v>
      </c>
      <c r="DL268" s="0" t="n">
        <v>7.69</v>
      </c>
      <c r="DM268" s="0" t="s">
        <v>675</v>
      </c>
      <c r="DN268" s="0" t="s">
        <v>676</v>
      </c>
      <c r="DO268" s="0" t="n">
        <v>1</v>
      </c>
      <c r="DP268" s="0" t="n">
        <v>36130</v>
      </c>
      <c r="DQ268" s="0" t="n">
        <v>36130</v>
      </c>
      <c r="DR268" s="0" t="s">
        <v>4328</v>
      </c>
      <c r="EB268" s="0" t="s">
        <v>4329</v>
      </c>
      <c r="EC268" s="0" t="s">
        <v>2625</v>
      </c>
      <c r="ED268" s="0" t="s">
        <v>2626</v>
      </c>
      <c r="EE268" s="0" t="s">
        <v>562</v>
      </c>
      <c r="EF268" s="0" t="s">
        <v>2986</v>
      </c>
      <c r="EG268" s="0" t="n">
        <v>1</v>
      </c>
      <c r="EH268" s="0" t="n">
        <v>1</v>
      </c>
      <c r="EI268" s="0" t="n">
        <v>1</v>
      </c>
      <c r="EJ268" s="0" t="n">
        <v>1</v>
      </c>
      <c r="EL268" s="0" t="s">
        <v>4330</v>
      </c>
      <c r="EM268" s="0" t="s">
        <v>2522</v>
      </c>
      <c r="EN268" s="0" t="s">
        <v>2523</v>
      </c>
      <c r="EO268" s="0" t="n">
        <v>3</v>
      </c>
      <c r="EP268" s="0" t="s">
        <v>2552</v>
      </c>
      <c r="EQ268" s="0" t="s">
        <v>2682</v>
      </c>
      <c r="ER268" s="0" t="s">
        <v>2716</v>
      </c>
      <c r="ES268" s="0" t="n">
        <v>59650</v>
      </c>
      <c r="ET268" s="0" t="n">
        <v>59650</v>
      </c>
      <c r="EU268" s="0" t="n">
        <v>59650</v>
      </c>
      <c r="EV268" s="0" t="n">
        <v>59650</v>
      </c>
    </row>
    <row r="269" customFormat="false" ht="15" hidden="false" customHeight="false" outlineLevel="0" collapsed="false">
      <c r="CQ269" s="0" t="s">
        <v>4331</v>
      </c>
      <c r="CR269" s="0" t="s">
        <v>87</v>
      </c>
      <c r="CS269" s="0" t="s">
        <v>557</v>
      </c>
      <c r="CT269" s="0" t="s">
        <v>554</v>
      </c>
      <c r="CU269" s="0" t="s">
        <v>81</v>
      </c>
      <c r="CV269" s="0" t="s">
        <v>274</v>
      </c>
      <c r="CW269" s="0" t="n">
        <v>100</v>
      </c>
      <c r="CX269" s="0" t="n">
        <v>1</v>
      </c>
      <c r="CY269" s="0" t="n">
        <v>1</v>
      </c>
      <c r="CZ269" s="0" t="n">
        <v>1</v>
      </c>
      <c r="DA269" s="0" t="n">
        <v>1990</v>
      </c>
      <c r="DB269" s="0" t="n">
        <v>1670</v>
      </c>
      <c r="DC269" s="0" t="n">
        <v>1850</v>
      </c>
      <c r="DD269" s="0" t="n">
        <v>1990</v>
      </c>
      <c r="DE269" s="0" t="n">
        <v>1990</v>
      </c>
      <c r="DG269" s="0" t="s">
        <v>4332</v>
      </c>
      <c r="DH269" s="0" t="s">
        <v>82</v>
      </c>
      <c r="DI269" s="0" t="s">
        <v>409</v>
      </c>
      <c r="DJ269" s="0" t="s">
        <v>1673</v>
      </c>
      <c r="DK269" s="0" t="s">
        <v>1181</v>
      </c>
      <c r="DL269" s="0" t="n">
        <v>7.69</v>
      </c>
      <c r="DM269" s="0" t="s">
        <v>675</v>
      </c>
      <c r="DN269" s="0" t="s">
        <v>676</v>
      </c>
      <c r="DO269" s="0" t="n">
        <v>1</v>
      </c>
      <c r="DP269" s="0" t="n">
        <v>36130</v>
      </c>
      <c r="DQ269" s="0" t="n">
        <v>36130</v>
      </c>
      <c r="DR269" s="0" t="s">
        <v>4333</v>
      </c>
      <c r="EB269" s="0" t="s">
        <v>4334</v>
      </c>
      <c r="EC269" s="0" t="s">
        <v>2625</v>
      </c>
      <c r="ED269" s="0" t="s">
        <v>2626</v>
      </c>
      <c r="EE269" s="0" t="s">
        <v>557</v>
      </c>
      <c r="EF269" s="0" t="s">
        <v>554</v>
      </c>
      <c r="EG269" s="0" t="n">
        <v>910</v>
      </c>
      <c r="EH269" s="0" t="n">
        <v>1045</v>
      </c>
      <c r="EI269" s="0" t="n">
        <v>1045</v>
      </c>
      <c r="EJ269" s="0" t="n">
        <v>1200</v>
      </c>
      <c r="EL269" s="0" t="s">
        <v>4330</v>
      </c>
      <c r="EM269" s="0" t="s">
        <v>2522</v>
      </c>
      <c r="EN269" s="0" t="s">
        <v>2523</v>
      </c>
      <c r="EO269" s="0" t="n">
        <v>3</v>
      </c>
      <c r="EP269" s="0" t="s">
        <v>2552</v>
      </c>
      <c r="EQ269" s="0" t="s">
        <v>2715</v>
      </c>
      <c r="ER269" s="0" t="s">
        <v>2716</v>
      </c>
      <c r="ES269" s="0" t="n">
        <v>59650</v>
      </c>
      <c r="ET269" s="0" t="n">
        <v>59650</v>
      </c>
      <c r="EU269" s="0" t="n">
        <v>59650</v>
      </c>
      <c r="EV269" s="0" t="n">
        <v>59650</v>
      </c>
    </row>
    <row r="270" customFormat="false" ht="15" hidden="false" customHeight="false" outlineLevel="0" collapsed="false">
      <c r="CQ270" s="0" t="s">
        <v>4335</v>
      </c>
      <c r="CR270" s="0" t="s">
        <v>87</v>
      </c>
      <c r="CS270" s="0" t="s">
        <v>298</v>
      </c>
      <c r="CT270" s="0" t="s">
        <v>297</v>
      </c>
      <c r="CU270" s="0" t="s">
        <v>81</v>
      </c>
      <c r="CV270" s="0" t="s">
        <v>274</v>
      </c>
      <c r="CW270" s="0" t="n">
        <v>7.69</v>
      </c>
      <c r="CX270" s="0" t="n">
        <v>1</v>
      </c>
      <c r="CY270" s="0" t="n">
        <v>1</v>
      </c>
      <c r="CZ270" s="0" t="n">
        <v>1</v>
      </c>
      <c r="DA270" s="0" t="n">
        <v>410.5</v>
      </c>
      <c r="DB270" s="0" t="n">
        <v>1</v>
      </c>
      <c r="DC270" s="0" t="n">
        <v>1</v>
      </c>
      <c r="DD270" s="0" t="n">
        <v>1</v>
      </c>
      <c r="DE270" s="0" t="n">
        <v>1</v>
      </c>
      <c r="DG270" s="0" t="s">
        <v>4336</v>
      </c>
      <c r="DH270" s="0" t="s">
        <v>82</v>
      </c>
      <c r="DI270" s="0" t="s">
        <v>456</v>
      </c>
      <c r="DJ270" s="0" t="s">
        <v>1674</v>
      </c>
      <c r="DK270" s="0" t="s">
        <v>1181</v>
      </c>
      <c r="DL270" s="0" t="n">
        <v>7.69</v>
      </c>
      <c r="DM270" s="0" t="s">
        <v>675</v>
      </c>
      <c r="DN270" s="0" t="s">
        <v>676</v>
      </c>
      <c r="DO270" s="0" t="n">
        <v>1</v>
      </c>
      <c r="DP270" s="0" t="n">
        <v>13340.05</v>
      </c>
      <c r="DQ270" s="0" t="n">
        <v>13340.05</v>
      </c>
      <c r="DR270" s="0" t="s">
        <v>4337</v>
      </c>
      <c r="EB270" s="0" t="s">
        <v>4338</v>
      </c>
      <c r="EC270" s="0" t="s">
        <v>2625</v>
      </c>
      <c r="ED270" s="0" t="s">
        <v>2626</v>
      </c>
      <c r="EE270" s="0" t="s">
        <v>290</v>
      </c>
      <c r="EF270" s="0" t="s">
        <v>289</v>
      </c>
      <c r="EG270" s="0" t="n">
        <v>220</v>
      </c>
      <c r="EH270" s="0" t="n">
        <v>255</v>
      </c>
      <c r="EI270" s="0" t="n">
        <v>255</v>
      </c>
      <c r="EJ270" s="0" t="n">
        <v>295</v>
      </c>
      <c r="EL270" s="0" t="s">
        <v>4339</v>
      </c>
      <c r="EM270" s="0" t="s">
        <v>2522</v>
      </c>
      <c r="EN270" s="0" t="s">
        <v>2523</v>
      </c>
      <c r="EO270" s="0" t="n">
        <v>4</v>
      </c>
      <c r="EP270" s="0" t="s">
        <v>2528</v>
      </c>
      <c r="EQ270" s="0" t="s">
        <v>2730</v>
      </c>
      <c r="ER270" s="0" t="s">
        <v>2762</v>
      </c>
      <c r="ES270" s="0" t="n">
        <v>40000</v>
      </c>
      <c r="ET270" s="0" t="n">
        <v>40000</v>
      </c>
      <c r="EU270" s="0" t="n">
        <v>40000</v>
      </c>
      <c r="EV270" s="0" t="n">
        <v>40000</v>
      </c>
    </row>
    <row r="271" customFormat="false" ht="15" hidden="false" customHeight="false" outlineLevel="0" collapsed="false">
      <c r="CQ271" s="0" t="s">
        <v>4340</v>
      </c>
      <c r="CR271" s="0" t="s">
        <v>87</v>
      </c>
      <c r="CS271" s="0" t="s">
        <v>626</v>
      </c>
      <c r="CT271" s="0" t="s">
        <v>2526</v>
      </c>
      <c r="CU271" s="0" t="s">
        <v>81</v>
      </c>
      <c r="CV271" s="0" t="s">
        <v>285</v>
      </c>
      <c r="CW271" s="0" t="n">
        <v>96.15</v>
      </c>
      <c r="CX271" s="0" t="n">
        <v>1</v>
      </c>
      <c r="CY271" s="0" t="n">
        <v>1</v>
      </c>
      <c r="CZ271" s="0" t="n">
        <v>1</v>
      </c>
      <c r="DA271" s="0" t="n">
        <v>430</v>
      </c>
      <c r="DB271" s="0" t="n">
        <v>360</v>
      </c>
      <c r="DC271" s="0" t="n">
        <v>400</v>
      </c>
      <c r="DD271" s="0" t="n">
        <v>430</v>
      </c>
      <c r="DE271" s="0" t="n">
        <v>430</v>
      </c>
      <c r="DG271" s="0" t="s">
        <v>4341</v>
      </c>
      <c r="DH271" s="0" t="s">
        <v>82</v>
      </c>
      <c r="DI271" s="0" t="s">
        <v>510</v>
      </c>
      <c r="DJ271" s="0" t="s">
        <v>511</v>
      </c>
      <c r="DK271" s="0" t="s">
        <v>1181</v>
      </c>
      <c r="DL271" s="0" t="n">
        <v>7.69</v>
      </c>
      <c r="DM271" s="0" t="s">
        <v>675</v>
      </c>
      <c r="DN271" s="0" t="s">
        <v>676</v>
      </c>
      <c r="DO271" s="0" t="n">
        <v>1</v>
      </c>
      <c r="DP271" s="0" t="n">
        <v>0.06</v>
      </c>
      <c r="DQ271" s="0" t="n">
        <v>0.06</v>
      </c>
      <c r="DR271" s="0" t="s">
        <v>4342</v>
      </c>
      <c r="EB271" s="0" t="s">
        <v>4343</v>
      </c>
      <c r="EC271" s="0" t="s">
        <v>2625</v>
      </c>
      <c r="ED271" s="0" t="s">
        <v>2626</v>
      </c>
      <c r="EE271" s="0" t="s">
        <v>275</v>
      </c>
      <c r="EF271" s="0" t="s">
        <v>273</v>
      </c>
      <c r="EG271" s="0" t="n">
        <v>380</v>
      </c>
      <c r="EH271" s="0" t="n">
        <v>435</v>
      </c>
      <c r="EI271" s="0" t="n">
        <v>435</v>
      </c>
      <c r="EJ271" s="0" t="n">
        <v>500</v>
      </c>
      <c r="EL271" s="0" t="s">
        <v>4339</v>
      </c>
      <c r="EM271" s="0" t="s">
        <v>2522</v>
      </c>
      <c r="EN271" s="0" t="s">
        <v>2523</v>
      </c>
      <c r="EO271" s="0" t="n">
        <v>4</v>
      </c>
      <c r="EP271" s="0" t="s">
        <v>2528</v>
      </c>
      <c r="EQ271" s="0" t="s">
        <v>2761</v>
      </c>
      <c r="ER271" s="0" t="s">
        <v>2762</v>
      </c>
      <c r="ES271" s="0" t="n">
        <v>40000</v>
      </c>
      <c r="ET271" s="0" t="n">
        <v>40000</v>
      </c>
      <c r="EU271" s="0" t="n">
        <v>40000</v>
      </c>
      <c r="EV271" s="0" t="n">
        <v>40000</v>
      </c>
    </row>
    <row r="272" customFormat="false" ht="15" hidden="false" customHeight="false" outlineLevel="0" collapsed="false">
      <c r="CQ272" s="0" t="s">
        <v>4344</v>
      </c>
      <c r="CR272" s="0" t="s">
        <v>87</v>
      </c>
      <c r="CS272" s="0" t="s">
        <v>624</v>
      </c>
      <c r="CT272" s="0" t="s">
        <v>2550</v>
      </c>
      <c r="CU272" s="0" t="s">
        <v>81</v>
      </c>
      <c r="CV272" s="0" t="s">
        <v>285</v>
      </c>
      <c r="CW272" s="0" t="n">
        <v>96.15</v>
      </c>
      <c r="CX272" s="0" t="n">
        <v>1</v>
      </c>
      <c r="CY272" s="0" t="n">
        <v>1</v>
      </c>
      <c r="CZ272" s="0" t="n">
        <v>1</v>
      </c>
      <c r="DA272" s="0" t="n">
        <v>800</v>
      </c>
      <c r="DB272" s="0" t="n">
        <v>580</v>
      </c>
      <c r="DC272" s="0" t="n">
        <v>660</v>
      </c>
      <c r="DD272" s="0" t="n">
        <v>760</v>
      </c>
      <c r="DE272" s="0" t="n">
        <v>800</v>
      </c>
      <c r="DG272" s="0" t="s">
        <v>4345</v>
      </c>
      <c r="DH272" s="0" t="s">
        <v>82</v>
      </c>
      <c r="DJ272" s="0" t="s">
        <v>1056</v>
      </c>
      <c r="DK272" s="0" t="s">
        <v>705</v>
      </c>
      <c r="DL272" s="0" t="n">
        <v>7.69</v>
      </c>
      <c r="DM272" s="0" t="s">
        <v>675</v>
      </c>
      <c r="DN272" s="0" t="s">
        <v>675</v>
      </c>
      <c r="DO272" s="0" t="n">
        <v>0</v>
      </c>
      <c r="DP272" s="0" t="n">
        <v>0</v>
      </c>
      <c r="DQ272" s="0" t="n">
        <v>0</v>
      </c>
      <c r="DR272" s="0" t="s">
        <v>3325</v>
      </c>
      <c r="EB272" s="0" t="s">
        <v>4346</v>
      </c>
      <c r="EC272" s="0" t="s">
        <v>2625</v>
      </c>
      <c r="ED272" s="0" t="s">
        <v>2626</v>
      </c>
      <c r="EE272" s="0" t="s">
        <v>298</v>
      </c>
      <c r="EF272" s="0" t="s">
        <v>297</v>
      </c>
      <c r="EG272" s="0" t="n">
        <v>820</v>
      </c>
      <c r="EH272" s="0" t="n">
        <v>820</v>
      </c>
      <c r="EI272" s="0" t="n">
        <v>820</v>
      </c>
      <c r="EJ272" s="0" t="n">
        <v>820</v>
      </c>
      <c r="EL272" s="0" t="s">
        <v>4347</v>
      </c>
      <c r="EM272" s="0" t="s">
        <v>2522</v>
      </c>
      <c r="EN272" s="0" t="s">
        <v>2523</v>
      </c>
      <c r="EO272" s="0" t="n">
        <v>4</v>
      </c>
      <c r="EP272" s="0" t="s">
        <v>2552</v>
      </c>
      <c r="EQ272" s="0" t="s">
        <v>2747</v>
      </c>
      <c r="ER272" s="0" t="s">
        <v>2775</v>
      </c>
      <c r="ES272" s="0" t="n">
        <v>79150</v>
      </c>
      <c r="ET272" s="0" t="n">
        <v>79150</v>
      </c>
      <c r="EU272" s="0" t="n">
        <v>79150</v>
      </c>
      <c r="EV272" s="0" t="n">
        <v>79150</v>
      </c>
    </row>
    <row r="273" customFormat="false" ht="15" hidden="false" customHeight="false" outlineLevel="0" collapsed="false">
      <c r="CQ273" s="0" t="s">
        <v>4348</v>
      </c>
      <c r="CR273" s="0" t="s">
        <v>87</v>
      </c>
      <c r="CS273" s="0" t="s">
        <v>622</v>
      </c>
      <c r="CT273" s="0" t="s">
        <v>2567</v>
      </c>
      <c r="CU273" s="0" t="s">
        <v>81</v>
      </c>
      <c r="CV273" s="0" t="s">
        <v>285</v>
      </c>
      <c r="CW273" s="0" t="n">
        <v>100</v>
      </c>
      <c r="CX273" s="0" t="n">
        <v>1</v>
      </c>
      <c r="CY273" s="0" t="n">
        <v>1</v>
      </c>
      <c r="CZ273" s="0" t="n">
        <v>1</v>
      </c>
      <c r="DA273" s="0" t="n">
        <v>1470</v>
      </c>
      <c r="DB273" s="0" t="n">
        <v>1230</v>
      </c>
      <c r="DC273" s="0" t="n">
        <v>1360</v>
      </c>
      <c r="DD273" s="0" t="n">
        <v>1470</v>
      </c>
      <c r="DE273" s="0" t="n">
        <v>1470</v>
      </c>
      <c r="DG273" s="0" t="s">
        <v>4349</v>
      </c>
      <c r="DH273" s="0" t="s">
        <v>82</v>
      </c>
      <c r="DJ273" s="0" t="s">
        <v>1159</v>
      </c>
      <c r="DK273" s="0" t="s">
        <v>705</v>
      </c>
      <c r="DL273" s="0" t="n">
        <v>7.69</v>
      </c>
      <c r="DM273" s="0" t="s">
        <v>675</v>
      </c>
      <c r="DN273" s="0" t="s">
        <v>675</v>
      </c>
      <c r="DO273" s="0" t="n">
        <v>0</v>
      </c>
      <c r="DP273" s="0" t="n">
        <v>0</v>
      </c>
      <c r="DQ273" s="0" t="n">
        <v>0</v>
      </c>
      <c r="DR273" s="0" t="s">
        <v>3506</v>
      </c>
      <c r="EB273" s="0" t="s">
        <v>4350</v>
      </c>
      <c r="EC273" s="0" t="s">
        <v>2625</v>
      </c>
      <c r="ED273" s="0" t="s">
        <v>2626</v>
      </c>
      <c r="EE273" s="0" t="s">
        <v>286</v>
      </c>
      <c r="EF273" s="0" t="s">
        <v>284</v>
      </c>
      <c r="EG273" s="0" t="n">
        <v>330</v>
      </c>
      <c r="EH273" s="0" t="n">
        <v>380</v>
      </c>
      <c r="EI273" s="0" t="n">
        <v>380</v>
      </c>
      <c r="EJ273" s="0" t="n">
        <v>435</v>
      </c>
      <c r="EL273" s="0" t="s">
        <v>4347</v>
      </c>
      <c r="EM273" s="0" t="s">
        <v>2522</v>
      </c>
      <c r="EN273" s="0" t="s">
        <v>2523</v>
      </c>
      <c r="EO273" s="0" t="n">
        <v>4</v>
      </c>
      <c r="EP273" s="0" t="s">
        <v>2552</v>
      </c>
      <c r="EQ273" s="0" t="s">
        <v>2774</v>
      </c>
      <c r="ER273" s="0" t="s">
        <v>2775</v>
      </c>
      <c r="ES273" s="0" t="n">
        <v>79150</v>
      </c>
      <c r="ET273" s="0" t="n">
        <v>79150</v>
      </c>
      <c r="EU273" s="0" t="n">
        <v>79150</v>
      </c>
      <c r="EV273" s="0" t="n">
        <v>79150</v>
      </c>
    </row>
    <row r="274" customFormat="false" ht="15" hidden="false" customHeight="false" outlineLevel="0" collapsed="false">
      <c r="CQ274" s="0" t="s">
        <v>4351</v>
      </c>
      <c r="CR274" s="0" t="s">
        <v>87</v>
      </c>
      <c r="CS274" s="0" t="s">
        <v>620</v>
      </c>
      <c r="CT274" s="0" t="s">
        <v>2580</v>
      </c>
      <c r="CU274" s="0" t="s">
        <v>81</v>
      </c>
      <c r="CV274" s="0" t="s">
        <v>285</v>
      </c>
      <c r="CW274" s="0" t="n">
        <v>76.92</v>
      </c>
      <c r="CX274" s="0" t="n">
        <v>1</v>
      </c>
      <c r="CY274" s="0" t="n">
        <v>1</v>
      </c>
      <c r="CZ274" s="0" t="n">
        <v>1</v>
      </c>
      <c r="DA274" s="0" t="n">
        <v>870</v>
      </c>
      <c r="DB274" s="0" t="n">
        <v>730</v>
      </c>
      <c r="DC274" s="0" t="n">
        <v>800</v>
      </c>
      <c r="DD274" s="0" t="n">
        <v>870</v>
      </c>
      <c r="DE274" s="0" t="n">
        <v>870</v>
      </c>
      <c r="DG274" s="0" t="s">
        <v>4352</v>
      </c>
      <c r="DH274" s="0" t="s">
        <v>82</v>
      </c>
      <c r="DJ274" s="0" t="s">
        <v>1676</v>
      </c>
      <c r="DK274" s="0" t="s">
        <v>705</v>
      </c>
      <c r="DL274" s="0" t="n">
        <v>7.69</v>
      </c>
      <c r="DM274" s="0" t="s">
        <v>675</v>
      </c>
      <c r="DN274" s="0" t="s">
        <v>675</v>
      </c>
      <c r="DO274" s="0" t="n">
        <v>0</v>
      </c>
      <c r="DP274" s="0" t="n">
        <v>0</v>
      </c>
      <c r="DQ274" s="0" t="n">
        <v>0</v>
      </c>
      <c r="DR274" s="0" t="s">
        <v>4353</v>
      </c>
      <c r="EB274" s="0" t="s">
        <v>4354</v>
      </c>
      <c r="EC274" s="0" t="s">
        <v>2625</v>
      </c>
      <c r="ED274" s="0" t="s">
        <v>2626</v>
      </c>
      <c r="EE274" s="0" t="s">
        <v>272</v>
      </c>
      <c r="EF274" s="0" t="s">
        <v>270</v>
      </c>
      <c r="EG274" s="0" t="n">
        <v>1070</v>
      </c>
      <c r="EH274" s="0" t="n">
        <v>1230</v>
      </c>
      <c r="EI274" s="0" t="n">
        <v>1230</v>
      </c>
      <c r="EJ274" s="0" t="n">
        <v>1415</v>
      </c>
      <c r="EL274" s="0" t="s">
        <v>4355</v>
      </c>
      <c r="EM274" s="0" t="s">
        <v>2522</v>
      </c>
      <c r="EN274" s="0" t="s">
        <v>2523</v>
      </c>
      <c r="EO274" s="0" t="n">
        <v>5</v>
      </c>
      <c r="EP274" s="0" t="s">
        <v>2528</v>
      </c>
      <c r="EQ274" s="0" t="s">
        <v>2788</v>
      </c>
      <c r="ER274" s="0" t="s">
        <v>2818</v>
      </c>
      <c r="ES274" s="0" t="n">
        <v>50000</v>
      </c>
      <c r="ET274" s="0" t="n">
        <v>50000</v>
      </c>
      <c r="EU274" s="0" t="n">
        <v>50000</v>
      </c>
      <c r="EV274" s="0" t="n">
        <v>50000</v>
      </c>
    </row>
    <row r="275" customFormat="false" ht="15" hidden="false" customHeight="false" outlineLevel="0" collapsed="false">
      <c r="CQ275" s="0" t="s">
        <v>4356</v>
      </c>
      <c r="CR275" s="0" t="s">
        <v>87</v>
      </c>
      <c r="CS275" s="0" t="s">
        <v>286</v>
      </c>
      <c r="CT275" s="0" t="s">
        <v>284</v>
      </c>
      <c r="CU275" s="0" t="s">
        <v>81</v>
      </c>
      <c r="CV275" s="0" t="s">
        <v>285</v>
      </c>
      <c r="CW275" s="0" t="n">
        <v>3.85</v>
      </c>
      <c r="CX275" s="0" t="n">
        <v>1</v>
      </c>
      <c r="CY275" s="0" t="n">
        <v>1</v>
      </c>
      <c r="CZ275" s="0" t="n">
        <v>1</v>
      </c>
      <c r="DA275" s="0" t="n">
        <v>940</v>
      </c>
      <c r="DB275" s="0" t="n">
        <v>680</v>
      </c>
      <c r="DC275" s="0" t="n">
        <v>750</v>
      </c>
      <c r="DD275" s="0" t="n">
        <v>810</v>
      </c>
      <c r="DE275" s="0" t="n">
        <v>810</v>
      </c>
      <c r="DG275" s="0" t="s">
        <v>4357</v>
      </c>
      <c r="DH275" s="0" t="s">
        <v>82</v>
      </c>
      <c r="DJ275" s="0" t="s">
        <v>1547</v>
      </c>
      <c r="DK275" s="0" t="s">
        <v>705</v>
      </c>
      <c r="DL275" s="0" t="n">
        <v>7.69</v>
      </c>
      <c r="DM275" s="0" t="s">
        <v>675</v>
      </c>
      <c r="DN275" s="0" t="s">
        <v>675</v>
      </c>
      <c r="DO275" s="0" t="n">
        <v>0</v>
      </c>
      <c r="DP275" s="0" t="n">
        <v>0</v>
      </c>
      <c r="DQ275" s="0" t="n">
        <v>0</v>
      </c>
      <c r="DR275" s="0" t="s">
        <v>4138</v>
      </c>
      <c r="EB275" s="0" t="s">
        <v>4358</v>
      </c>
      <c r="EC275" s="0" t="s">
        <v>2625</v>
      </c>
      <c r="ED275" s="0" t="s">
        <v>2626</v>
      </c>
      <c r="EE275" s="0" t="s">
        <v>283</v>
      </c>
      <c r="EF275" s="0" t="s">
        <v>281</v>
      </c>
      <c r="EG275" s="0" t="n">
        <v>165</v>
      </c>
      <c r="EH275" s="0" t="n">
        <v>190</v>
      </c>
      <c r="EI275" s="0" t="n">
        <v>190</v>
      </c>
      <c r="EJ275" s="0" t="n">
        <v>220</v>
      </c>
      <c r="EL275" s="0" t="s">
        <v>4355</v>
      </c>
      <c r="EM275" s="0" t="s">
        <v>2522</v>
      </c>
      <c r="EN275" s="0" t="s">
        <v>2523</v>
      </c>
      <c r="EO275" s="0" t="n">
        <v>5</v>
      </c>
      <c r="EP275" s="0" t="s">
        <v>2528</v>
      </c>
      <c r="EQ275" s="0" t="s">
        <v>2817</v>
      </c>
      <c r="ER275" s="0" t="s">
        <v>2818</v>
      </c>
      <c r="ES275" s="0" t="n">
        <v>50000</v>
      </c>
      <c r="ET275" s="0" t="n">
        <v>50000</v>
      </c>
      <c r="EU275" s="0" t="n">
        <v>50000</v>
      </c>
      <c r="EV275" s="0" t="n">
        <v>50000</v>
      </c>
    </row>
    <row r="276" customFormat="false" ht="15" hidden="false" customHeight="false" outlineLevel="0" collapsed="false">
      <c r="CQ276" s="0" t="s">
        <v>4359</v>
      </c>
      <c r="CR276" s="0" t="s">
        <v>87</v>
      </c>
      <c r="CS276" s="0" t="s">
        <v>272</v>
      </c>
      <c r="CT276" s="0" t="s">
        <v>270</v>
      </c>
      <c r="CU276" s="0" t="s">
        <v>81</v>
      </c>
      <c r="CV276" s="0" t="s">
        <v>271</v>
      </c>
      <c r="CW276" s="0" t="n">
        <v>3.85</v>
      </c>
      <c r="CX276" s="0" t="n">
        <v>1</v>
      </c>
      <c r="CY276" s="0" t="n">
        <v>1</v>
      </c>
      <c r="CZ276" s="0" t="n">
        <v>1</v>
      </c>
      <c r="DA276" s="0" t="n">
        <v>1710</v>
      </c>
      <c r="DB276" s="0" t="n">
        <v>1430</v>
      </c>
      <c r="DC276" s="0" t="n">
        <v>1580</v>
      </c>
      <c r="DD276" s="0" t="n">
        <v>1710</v>
      </c>
      <c r="DE276" s="0" t="n">
        <v>1710</v>
      </c>
      <c r="DG276" s="0" t="s">
        <v>4360</v>
      </c>
      <c r="DH276" s="0" t="s">
        <v>82</v>
      </c>
      <c r="DJ276" s="0" t="s">
        <v>1369</v>
      </c>
      <c r="DK276" s="0" t="s">
        <v>705</v>
      </c>
      <c r="DL276" s="0" t="n">
        <v>7.69</v>
      </c>
      <c r="DM276" s="0" t="s">
        <v>675</v>
      </c>
      <c r="DN276" s="0" t="s">
        <v>675</v>
      </c>
      <c r="DO276" s="0" t="n">
        <v>0</v>
      </c>
      <c r="DP276" s="0" t="n">
        <v>0</v>
      </c>
      <c r="DQ276" s="0" t="n">
        <v>0</v>
      </c>
      <c r="DR276" s="0" t="s">
        <v>3841</v>
      </c>
      <c r="EB276" s="0" t="s">
        <v>4361</v>
      </c>
      <c r="EC276" s="0" t="s">
        <v>2625</v>
      </c>
      <c r="EE276" s="0" t="s">
        <v>267</v>
      </c>
      <c r="EL276" s="0" t="s">
        <v>4362</v>
      </c>
      <c r="EM276" s="0" t="s">
        <v>2522</v>
      </c>
      <c r="EN276" s="0" t="s">
        <v>2523</v>
      </c>
      <c r="EO276" s="0" t="n">
        <v>5</v>
      </c>
      <c r="EP276" s="0" t="s">
        <v>2552</v>
      </c>
      <c r="EQ276" s="0" t="s">
        <v>2803</v>
      </c>
      <c r="ER276" s="0" t="s">
        <v>2836</v>
      </c>
      <c r="ES276" s="0" t="n">
        <v>98500</v>
      </c>
      <c r="ET276" s="0" t="n">
        <v>98500</v>
      </c>
      <c r="EU276" s="0" t="n">
        <v>98500</v>
      </c>
      <c r="EV276" s="0" t="n">
        <v>98500</v>
      </c>
    </row>
    <row r="277" customFormat="false" ht="15" hidden="false" customHeight="false" outlineLevel="0" collapsed="false">
      <c r="CQ277" s="0" t="s">
        <v>4363</v>
      </c>
      <c r="CR277" s="0" t="s">
        <v>87</v>
      </c>
      <c r="CS277" s="0" t="s">
        <v>283</v>
      </c>
      <c r="CT277" s="0" t="s">
        <v>281</v>
      </c>
      <c r="CU277" s="0" t="s">
        <v>81</v>
      </c>
      <c r="CV277" s="0" t="s">
        <v>282</v>
      </c>
      <c r="CW277" s="0" t="n">
        <v>7.69</v>
      </c>
      <c r="CX277" s="0" t="n">
        <v>1</v>
      </c>
      <c r="CY277" s="0" t="n">
        <v>1</v>
      </c>
      <c r="CZ277" s="0" t="n">
        <v>1</v>
      </c>
      <c r="DA277" s="0" t="n">
        <v>415</v>
      </c>
      <c r="DB277" s="0" t="n">
        <v>360</v>
      </c>
      <c r="DC277" s="0" t="n">
        <v>400</v>
      </c>
      <c r="DD277" s="0" t="n">
        <v>430</v>
      </c>
      <c r="DE277" s="0" t="n">
        <v>430</v>
      </c>
      <c r="DG277" s="0" t="s">
        <v>4364</v>
      </c>
      <c r="DH277" s="0" t="s">
        <v>82</v>
      </c>
      <c r="DJ277" s="0" t="s">
        <v>1677</v>
      </c>
      <c r="DK277" s="0" t="s">
        <v>705</v>
      </c>
      <c r="DL277" s="0" t="n">
        <v>7.69</v>
      </c>
      <c r="DM277" s="0" t="s">
        <v>675</v>
      </c>
      <c r="DN277" s="0" t="s">
        <v>675</v>
      </c>
      <c r="DO277" s="0" t="n">
        <v>0</v>
      </c>
      <c r="DP277" s="0" t="n">
        <v>0</v>
      </c>
      <c r="DQ277" s="0" t="n">
        <v>0</v>
      </c>
      <c r="DR277" s="0" t="s">
        <v>4365</v>
      </c>
      <c r="EB277" s="0" t="s">
        <v>4366</v>
      </c>
      <c r="EC277" s="0" t="s">
        <v>2625</v>
      </c>
      <c r="ED277" s="0" t="s">
        <v>2626</v>
      </c>
      <c r="EE277" s="0" t="s">
        <v>258</v>
      </c>
      <c r="EF277" s="0" t="s">
        <v>256</v>
      </c>
      <c r="EG277" s="0" t="n">
        <v>1890</v>
      </c>
      <c r="EH277" s="0" t="n">
        <v>2175</v>
      </c>
      <c r="EI277" s="0" t="n">
        <v>2175</v>
      </c>
      <c r="EJ277" s="0" t="n">
        <v>2500</v>
      </c>
      <c r="EL277" s="0" t="s">
        <v>4362</v>
      </c>
      <c r="EM277" s="0" t="s">
        <v>2522</v>
      </c>
      <c r="EN277" s="0" t="s">
        <v>2523</v>
      </c>
      <c r="EO277" s="0" t="n">
        <v>5</v>
      </c>
      <c r="EP277" s="0" t="s">
        <v>2552</v>
      </c>
      <c r="EQ277" s="0" t="s">
        <v>2835</v>
      </c>
      <c r="ER277" s="0" t="s">
        <v>2836</v>
      </c>
      <c r="ES277" s="0" t="n">
        <v>98500</v>
      </c>
      <c r="ET277" s="0" t="n">
        <v>98500</v>
      </c>
      <c r="EU277" s="0" t="n">
        <v>98500</v>
      </c>
      <c r="EV277" s="0" t="n">
        <v>98500</v>
      </c>
    </row>
    <row r="278" customFormat="false" ht="15" hidden="false" customHeight="false" outlineLevel="0" collapsed="false">
      <c r="CQ278" s="0" t="s">
        <v>4367</v>
      </c>
      <c r="CR278" s="0" t="s">
        <v>87</v>
      </c>
      <c r="CS278" s="0" t="s">
        <v>267</v>
      </c>
      <c r="CT278" s="0" t="s">
        <v>265</v>
      </c>
      <c r="CU278" s="0" t="s">
        <v>81</v>
      </c>
      <c r="CV278" s="0" t="s">
        <v>266</v>
      </c>
      <c r="CW278" s="0" t="n">
        <v>3.85</v>
      </c>
      <c r="CX278" s="0" t="n">
        <v>1</v>
      </c>
      <c r="CY278" s="0" t="n">
        <v>1</v>
      </c>
      <c r="CZ278" s="0" t="n">
        <v>1</v>
      </c>
      <c r="DA278" s="0" t="n">
        <v>2290</v>
      </c>
      <c r="DB278" s="0" t="n">
        <v>1920</v>
      </c>
      <c r="DC278" s="0" t="n">
        <v>2120</v>
      </c>
      <c r="DD278" s="0" t="n">
        <v>2290</v>
      </c>
      <c r="DE278" s="0" t="n">
        <v>2290</v>
      </c>
      <c r="DG278" s="0" t="s">
        <v>4368</v>
      </c>
      <c r="DH278" s="0" t="s">
        <v>82</v>
      </c>
      <c r="DJ278" s="0" t="s">
        <v>1460</v>
      </c>
      <c r="DK278" s="0" t="s">
        <v>705</v>
      </c>
      <c r="DL278" s="0" t="n">
        <v>7.69</v>
      </c>
      <c r="DM278" s="0" t="s">
        <v>675</v>
      </c>
      <c r="DN278" s="0" t="s">
        <v>675</v>
      </c>
      <c r="DO278" s="0" t="n">
        <v>0</v>
      </c>
      <c r="DP278" s="0" t="n">
        <v>0</v>
      </c>
      <c r="DQ278" s="0" t="n">
        <v>0</v>
      </c>
      <c r="DR278" s="0" t="s">
        <v>3983</v>
      </c>
      <c r="EB278" s="0" t="s">
        <v>4369</v>
      </c>
      <c r="EC278" s="0" t="s">
        <v>2625</v>
      </c>
      <c r="ED278" s="0" t="s">
        <v>2626</v>
      </c>
      <c r="EE278" s="0" t="s">
        <v>222</v>
      </c>
      <c r="EF278" s="0" t="s">
        <v>220</v>
      </c>
      <c r="EG278" s="0" t="n">
        <v>1320</v>
      </c>
      <c r="EH278" s="0" t="n">
        <v>1520</v>
      </c>
      <c r="EI278" s="0" t="n">
        <v>1520</v>
      </c>
      <c r="EJ278" s="0" t="n">
        <v>1750</v>
      </c>
      <c r="EL278" s="0" t="s">
        <v>4370</v>
      </c>
      <c r="EM278" s="0" t="s">
        <v>2522</v>
      </c>
      <c r="EN278" s="0" t="s">
        <v>2523</v>
      </c>
      <c r="EO278" s="0" t="n">
        <v>6</v>
      </c>
      <c r="EP278" s="0" t="s">
        <v>2528</v>
      </c>
      <c r="EQ278" s="0" t="s">
        <v>2848</v>
      </c>
      <c r="ER278" s="0" t="s">
        <v>2878</v>
      </c>
      <c r="ES278" s="0" t="n">
        <v>60000</v>
      </c>
      <c r="ET278" s="0" t="n">
        <v>60000</v>
      </c>
      <c r="EU278" s="0" t="n">
        <v>60000</v>
      </c>
      <c r="EV278" s="0" t="n">
        <v>60000</v>
      </c>
    </row>
    <row r="279" customFormat="false" ht="15" hidden="false" customHeight="false" outlineLevel="0" collapsed="false">
      <c r="CQ279" s="0" t="s">
        <v>4371</v>
      </c>
      <c r="CR279" s="0" t="s">
        <v>87</v>
      </c>
      <c r="CS279" s="0" t="s">
        <v>258</v>
      </c>
      <c r="CT279" s="0" t="s">
        <v>256</v>
      </c>
      <c r="CU279" s="0" t="s">
        <v>81</v>
      </c>
      <c r="CV279" s="0" t="s">
        <v>257</v>
      </c>
      <c r="CW279" s="0" t="n">
        <v>3.85</v>
      </c>
      <c r="CX279" s="0" t="n">
        <v>1</v>
      </c>
      <c r="CY279" s="0" t="n">
        <v>1</v>
      </c>
      <c r="CZ279" s="0" t="n">
        <v>1</v>
      </c>
      <c r="DA279" s="0" t="n">
        <v>3470</v>
      </c>
      <c r="DB279" s="0" t="n">
        <v>2910</v>
      </c>
      <c r="DC279" s="0" t="n">
        <v>3220</v>
      </c>
      <c r="DD279" s="0" t="n">
        <v>3470</v>
      </c>
      <c r="DE279" s="0" t="n">
        <v>3470</v>
      </c>
      <c r="DG279" s="0" t="s">
        <v>4372</v>
      </c>
      <c r="DH279" s="0" t="s">
        <v>82</v>
      </c>
      <c r="DJ279" s="0" t="s">
        <v>1410</v>
      </c>
      <c r="DK279" s="0" t="s">
        <v>705</v>
      </c>
      <c r="DL279" s="0" t="n">
        <v>7.69</v>
      </c>
      <c r="DM279" s="0" t="s">
        <v>675</v>
      </c>
      <c r="DN279" s="0" t="s">
        <v>675</v>
      </c>
      <c r="DO279" s="0" t="n">
        <v>0</v>
      </c>
      <c r="DP279" s="0" t="n">
        <v>0</v>
      </c>
      <c r="DQ279" s="0" t="n">
        <v>0</v>
      </c>
      <c r="DR279" s="0" t="s">
        <v>3900</v>
      </c>
      <c r="EB279" s="0" t="s">
        <v>4373</v>
      </c>
      <c r="EC279" s="0" t="s">
        <v>2625</v>
      </c>
      <c r="ED279" s="0" t="s">
        <v>2626</v>
      </c>
      <c r="EE279" s="0" t="s">
        <v>233</v>
      </c>
      <c r="EF279" s="0" t="s">
        <v>231</v>
      </c>
      <c r="EG279" s="0" t="n">
        <v>630</v>
      </c>
      <c r="EH279" s="0" t="n">
        <v>725</v>
      </c>
      <c r="EI279" s="0" t="n">
        <v>725</v>
      </c>
      <c r="EJ279" s="0" t="n">
        <v>835</v>
      </c>
      <c r="EL279" s="0" t="s">
        <v>4370</v>
      </c>
      <c r="EM279" s="0" t="s">
        <v>2522</v>
      </c>
      <c r="EN279" s="0" t="s">
        <v>2523</v>
      </c>
      <c r="EO279" s="0" t="n">
        <v>6</v>
      </c>
      <c r="EP279" s="0" t="s">
        <v>2528</v>
      </c>
      <c r="EQ279" s="0" t="s">
        <v>2877</v>
      </c>
      <c r="ER279" s="0" t="s">
        <v>2878</v>
      </c>
      <c r="ES279" s="0" t="n">
        <v>60000</v>
      </c>
      <c r="ET279" s="0" t="n">
        <v>60000</v>
      </c>
      <c r="EU279" s="0" t="n">
        <v>60000</v>
      </c>
      <c r="EV279" s="0" t="n">
        <v>60000</v>
      </c>
    </row>
    <row r="280" customFormat="false" ht="15" hidden="false" customHeight="false" outlineLevel="0" collapsed="false">
      <c r="CQ280" s="0" t="s">
        <v>4374</v>
      </c>
      <c r="CR280" s="0" t="s">
        <v>87</v>
      </c>
      <c r="CS280" s="0" t="s">
        <v>222</v>
      </c>
      <c r="CT280" s="0" t="s">
        <v>220</v>
      </c>
      <c r="CU280" s="0" t="s">
        <v>81</v>
      </c>
      <c r="CV280" s="0" t="s">
        <v>221</v>
      </c>
      <c r="CW280" s="0" t="n">
        <v>61.54</v>
      </c>
      <c r="CX280" s="0" t="n">
        <v>1.75</v>
      </c>
      <c r="CY280" s="0" t="n">
        <v>2</v>
      </c>
      <c r="CZ280" s="0" t="n">
        <v>2</v>
      </c>
      <c r="DA280" s="0" t="n">
        <v>5590</v>
      </c>
      <c r="DB280" s="0" t="n">
        <v>2430</v>
      </c>
      <c r="DC280" s="0" t="n">
        <v>2690</v>
      </c>
      <c r="DD280" s="0" t="n">
        <v>2900</v>
      </c>
      <c r="DE280" s="0" t="n">
        <v>2900</v>
      </c>
      <c r="DG280" s="0" t="s">
        <v>4375</v>
      </c>
      <c r="DH280" s="0" t="s">
        <v>82</v>
      </c>
      <c r="DI280" s="0" t="s">
        <v>1678</v>
      </c>
      <c r="DJ280" s="0" t="s">
        <v>1679</v>
      </c>
      <c r="DK280" s="0" t="s">
        <v>705</v>
      </c>
      <c r="DL280" s="0" t="n">
        <v>7.69</v>
      </c>
      <c r="DM280" s="0" t="s">
        <v>675</v>
      </c>
      <c r="DN280" s="0" t="s">
        <v>676</v>
      </c>
      <c r="DO280" s="0" t="n">
        <v>1</v>
      </c>
      <c r="DP280" s="0" t="n">
        <v>12985.31</v>
      </c>
      <c r="DQ280" s="0" t="n">
        <v>12985.31</v>
      </c>
      <c r="DR280" s="0" t="s">
        <v>4376</v>
      </c>
      <c r="EB280" s="0" t="s">
        <v>4377</v>
      </c>
      <c r="EC280" s="0" t="s">
        <v>2625</v>
      </c>
      <c r="ED280" s="0" t="s">
        <v>2626</v>
      </c>
      <c r="EE280" s="0" t="s">
        <v>225</v>
      </c>
      <c r="EF280" s="0" t="s">
        <v>223</v>
      </c>
      <c r="EG280" s="0" t="n">
        <v>1315</v>
      </c>
      <c r="EH280" s="0" t="n">
        <v>1510</v>
      </c>
      <c r="EI280" s="0" t="n">
        <v>1510</v>
      </c>
      <c r="EJ280" s="0" t="n">
        <v>1735</v>
      </c>
      <c r="EL280" s="0" t="s">
        <v>4378</v>
      </c>
      <c r="EM280" s="0" t="s">
        <v>2522</v>
      </c>
      <c r="EN280" s="0" t="s">
        <v>2523</v>
      </c>
      <c r="EO280" s="0" t="n">
        <v>6</v>
      </c>
      <c r="EP280" s="0" t="s">
        <v>2552</v>
      </c>
      <c r="EQ280" s="0" t="s">
        <v>2862</v>
      </c>
      <c r="ER280" s="0" t="s">
        <v>2892</v>
      </c>
      <c r="ES280" s="0" t="n">
        <v>117450</v>
      </c>
      <c r="ET280" s="0" t="n">
        <v>117450</v>
      </c>
      <c r="EU280" s="0" t="n">
        <v>117450</v>
      </c>
      <c r="EV280" s="0" t="n">
        <v>117450</v>
      </c>
    </row>
    <row r="281" customFormat="false" ht="15" hidden="false" customHeight="false" outlineLevel="0" collapsed="false">
      <c r="CQ281" s="0" t="s">
        <v>4379</v>
      </c>
      <c r="CR281" s="0" t="s">
        <v>87</v>
      </c>
      <c r="CS281" s="0" t="s">
        <v>233</v>
      </c>
      <c r="CT281" s="0" t="s">
        <v>231</v>
      </c>
      <c r="CU281" s="0" t="s">
        <v>81</v>
      </c>
      <c r="CV281" s="0" t="s">
        <v>232</v>
      </c>
      <c r="CW281" s="0" t="n">
        <v>53.85</v>
      </c>
      <c r="CX281" s="0" t="n">
        <v>1</v>
      </c>
      <c r="CY281" s="0" t="n">
        <v>1</v>
      </c>
      <c r="CZ281" s="0" t="n">
        <v>1</v>
      </c>
      <c r="DA281" s="0" t="n">
        <v>1320</v>
      </c>
      <c r="DB281" s="0" t="n">
        <v>1110</v>
      </c>
      <c r="DC281" s="0" t="n">
        <v>1220</v>
      </c>
      <c r="DD281" s="0" t="n">
        <v>1320</v>
      </c>
      <c r="DE281" s="0" t="n">
        <v>1320</v>
      </c>
      <c r="DG281" s="0" t="s">
        <v>4380</v>
      </c>
      <c r="DH281" s="0" t="s">
        <v>82</v>
      </c>
      <c r="DI281" s="0" t="s">
        <v>1681</v>
      </c>
      <c r="DJ281" s="0" t="s">
        <v>1682</v>
      </c>
      <c r="DK281" s="0" t="s">
        <v>705</v>
      </c>
      <c r="DL281" s="0" t="n">
        <v>7.69</v>
      </c>
      <c r="DM281" s="0" t="s">
        <v>675</v>
      </c>
      <c r="DN281" s="0" t="s">
        <v>676</v>
      </c>
      <c r="DO281" s="0" t="n">
        <v>5</v>
      </c>
      <c r="DP281" s="0" t="n">
        <v>93.75</v>
      </c>
      <c r="DQ281" s="0" t="n">
        <v>93.75</v>
      </c>
      <c r="DR281" s="0" t="s">
        <v>4381</v>
      </c>
      <c r="EB281" s="0" t="s">
        <v>4382</v>
      </c>
      <c r="EC281" s="0" t="s">
        <v>2625</v>
      </c>
      <c r="ED281" s="0" t="s">
        <v>2626</v>
      </c>
      <c r="EE281" s="0" t="s">
        <v>288</v>
      </c>
      <c r="EF281" s="0" t="s">
        <v>287</v>
      </c>
      <c r="EG281" s="0" t="n">
        <v>250</v>
      </c>
      <c r="EH281" s="0" t="n">
        <v>290</v>
      </c>
      <c r="EI281" s="0" t="n">
        <v>290</v>
      </c>
      <c r="EJ281" s="0" t="n">
        <v>335</v>
      </c>
      <c r="EL281" s="0" t="s">
        <v>4378</v>
      </c>
      <c r="EM281" s="0" t="s">
        <v>2522</v>
      </c>
      <c r="EN281" s="0" t="s">
        <v>2523</v>
      </c>
      <c r="EO281" s="0" t="n">
        <v>6</v>
      </c>
      <c r="EP281" s="0" t="s">
        <v>2552</v>
      </c>
      <c r="EQ281" s="0" t="s">
        <v>2891</v>
      </c>
      <c r="ER281" s="0" t="s">
        <v>2892</v>
      </c>
      <c r="ES281" s="0" t="n">
        <v>117450</v>
      </c>
      <c r="ET281" s="0" t="n">
        <v>117450</v>
      </c>
      <c r="EU281" s="0" t="n">
        <v>117450</v>
      </c>
      <c r="EV281" s="0" t="n">
        <v>117450</v>
      </c>
    </row>
    <row r="282" customFormat="false" ht="15" hidden="false" customHeight="false" outlineLevel="0" collapsed="false">
      <c r="CQ282" s="0" t="s">
        <v>4383</v>
      </c>
      <c r="CR282" s="0" t="s">
        <v>87</v>
      </c>
      <c r="CS282" s="0" t="s">
        <v>618</v>
      </c>
      <c r="CT282" s="0" t="s">
        <v>2596</v>
      </c>
      <c r="CU282" s="0" t="s">
        <v>81</v>
      </c>
      <c r="CV282" s="0" t="s">
        <v>2766</v>
      </c>
      <c r="CW282" s="0" t="n">
        <v>76.92</v>
      </c>
      <c r="CX282" s="0" t="n">
        <v>1</v>
      </c>
      <c r="CY282" s="0" t="n">
        <v>1</v>
      </c>
      <c r="CZ282" s="0" t="n">
        <v>1</v>
      </c>
      <c r="DA282" s="0" t="n">
        <v>430</v>
      </c>
      <c r="DB282" s="0" t="n">
        <v>360</v>
      </c>
      <c r="DC282" s="0" t="n">
        <v>400</v>
      </c>
      <c r="DD282" s="0" t="n">
        <v>430</v>
      </c>
      <c r="DE282" s="0" t="n">
        <v>430</v>
      </c>
      <c r="DG282" s="0" t="s">
        <v>4384</v>
      </c>
      <c r="DH282" s="0" t="s">
        <v>82</v>
      </c>
      <c r="DI282" s="0" t="s">
        <v>1685</v>
      </c>
      <c r="DJ282" s="0" t="s">
        <v>1686</v>
      </c>
      <c r="DK282" s="0" t="s">
        <v>705</v>
      </c>
      <c r="DL282" s="0" t="n">
        <v>7.69</v>
      </c>
      <c r="DM282" s="0" t="s">
        <v>676</v>
      </c>
      <c r="DN282" s="0" t="s">
        <v>675</v>
      </c>
      <c r="DO282" s="0" t="n">
        <v>0</v>
      </c>
      <c r="DP282" s="0" t="n">
        <v>0</v>
      </c>
      <c r="DQ282" s="0" t="n">
        <v>270.94</v>
      </c>
      <c r="DR282" s="0" t="s">
        <v>4385</v>
      </c>
      <c r="EB282" s="0" t="s">
        <v>4386</v>
      </c>
      <c r="EC282" s="0" t="s">
        <v>2625</v>
      </c>
      <c r="EE282" s="0" t="s">
        <v>269</v>
      </c>
      <c r="EL282" s="0" t="s">
        <v>4387</v>
      </c>
      <c r="EM282" s="0" t="s">
        <v>2522</v>
      </c>
      <c r="EN282" s="0" t="s">
        <v>2523</v>
      </c>
      <c r="EO282" s="0" t="n">
        <v>7</v>
      </c>
      <c r="EP282" s="0" t="s">
        <v>2528</v>
      </c>
      <c r="EQ282" s="0" t="s">
        <v>2904</v>
      </c>
      <c r="ER282" s="0" t="s">
        <v>2936</v>
      </c>
      <c r="ES282" s="0" t="n">
        <v>70000</v>
      </c>
      <c r="ET282" s="0" t="n">
        <v>70000</v>
      </c>
      <c r="EU282" s="0" t="n">
        <v>70000</v>
      </c>
      <c r="EV282" s="0" t="n">
        <v>70000</v>
      </c>
    </row>
    <row r="283" customFormat="false" ht="15" hidden="false" customHeight="false" outlineLevel="0" collapsed="false">
      <c r="CQ283" s="0" t="s">
        <v>4388</v>
      </c>
      <c r="CR283" s="0" t="s">
        <v>87</v>
      </c>
      <c r="CS283" s="0" t="s">
        <v>225</v>
      </c>
      <c r="CT283" s="0" t="s">
        <v>223</v>
      </c>
      <c r="CU283" s="0" t="s">
        <v>81</v>
      </c>
      <c r="CV283" s="0" t="s">
        <v>224</v>
      </c>
      <c r="CW283" s="0" t="n">
        <v>38.46</v>
      </c>
      <c r="CX283" s="0" t="n">
        <v>1</v>
      </c>
      <c r="CY283" s="0" t="n">
        <v>1</v>
      </c>
      <c r="CZ283" s="0" t="n">
        <v>2.75</v>
      </c>
      <c r="DA283" s="0" t="n">
        <v>3260</v>
      </c>
      <c r="DB283" s="0" t="n">
        <v>2730</v>
      </c>
      <c r="DC283" s="0" t="n">
        <v>3020</v>
      </c>
      <c r="DD283" s="0" t="n">
        <v>3260</v>
      </c>
      <c r="DE283" s="0" t="n">
        <v>3260</v>
      </c>
      <c r="DG283" s="0" t="s">
        <v>4389</v>
      </c>
      <c r="DH283" s="0" t="s">
        <v>82</v>
      </c>
      <c r="DI283" s="0" t="s">
        <v>1690</v>
      </c>
      <c r="DJ283" s="0" t="s">
        <v>1691</v>
      </c>
      <c r="DK283" s="0" t="s">
        <v>705</v>
      </c>
      <c r="DL283" s="0" t="n">
        <v>7.69</v>
      </c>
      <c r="DM283" s="0" t="s">
        <v>675</v>
      </c>
      <c r="DN283" s="0" t="s">
        <v>676</v>
      </c>
      <c r="DO283" s="0" t="n">
        <v>1</v>
      </c>
      <c r="DP283" s="0" t="n">
        <v>12946.87</v>
      </c>
      <c r="DQ283" s="0" t="n">
        <v>12946.87</v>
      </c>
      <c r="DR283" s="0" t="s">
        <v>4390</v>
      </c>
      <c r="EB283" s="0" t="s">
        <v>4391</v>
      </c>
      <c r="EC283" s="0" t="s">
        <v>2625</v>
      </c>
      <c r="EE283" s="0" t="s">
        <v>237</v>
      </c>
      <c r="EL283" s="0" t="s">
        <v>4387</v>
      </c>
      <c r="EM283" s="0" t="s">
        <v>2522</v>
      </c>
      <c r="EN283" s="0" t="s">
        <v>2523</v>
      </c>
      <c r="EO283" s="0" t="n">
        <v>7</v>
      </c>
      <c r="EP283" s="0" t="s">
        <v>2528</v>
      </c>
      <c r="EQ283" s="0" t="s">
        <v>2935</v>
      </c>
      <c r="ER283" s="0" t="s">
        <v>2936</v>
      </c>
      <c r="ES283" s="0" t="n">
        <v>70000</v>
      </c>
      <c r="ET283" s="0" t="n">
        <v>70000</v>
      </c>
      <c r="EU283" s="0" t="n">
        <v>70000</v>
      </c>
      <c r="EV283" s="0" t="n">
        <v>70000</v>
      </c>
    </row>
    <row r="284" customFormat="false" ht="15" hidden="false" customHeight="false" outlineLevel="0" collapsed="false">
      <c r="CQ284" s="0" t="s">
        <v>4392</v>
      </c>
      <c r="CR284" s="0" t="s">
        <v>87</v>
      </c>
      <c r="CS284" s="0" t="s">
        <v>288</v>
      </c>
      <c r="CT284" s="0" t="s">
        <v>287</v>
      </c>
      <c r="CU284" s="0" t="s">
        <v>81</v>
      </c>
      <c r="CV284" s="0" t="s">
        <v>236</v>
      </c>
      <c r="CW284" s="0" t="n">
        <v>3.85</v>
      </c>
      <c r="CX284" s="0" t="n">
        <v>1</v>
      </c>
      <c r="CY284" s="0" t="n">
        <v>1</v>
      </c>
      <c r="CZ284" s="0" t="n">
        <v>1</v>
      </c>
      <c r="DA284" s="0" t="n">
        <v>580</v>
      </c>
      <c r="DB284" s="0" t="n">
        <v>450</v>
      </c>
      <c r="DC284" s="0" t="n">
        <v>530</v>
      </c>
      <c r="DD284" s="0" t="n">
        <v>580</v>
      </c>
      <c r="DE284" s="0" t="n">
        <v>580</v>
      </c>
      <c r="DG284" s="0" t="s">
        <v>4393</v>
      </c>
      <c r="DH284" s="0" t="s">
        <v>82</v>
      </c>
      <c r="DI284" s="0" t="s">
        <v>1693</v>
      </c>
      <c r="DJ284" s="0" t="s">
        <v>1694</v>
      </c>
      <c r="DK284" s="0" t="s">
        <v>705</v>
      </c>
      <c r="DL284" s="0" t="n">
        <v>7.69</v>
      </c>
      <c r="DM284" s="0" t="s">
        <v>675</v>
      </c>
      <c r="DN284" s="0" t="s">
        <v>676</v>
      </c>
      <c r="DO284" s="0" t="n">
        <v>2.5</v>
      </c>
      <c r="DP284" s="0" t="n">
        <v>1427.32</v>
      </c>
      <c r="DQ284" s="0" t="n">
        <v>1427.32</v>
      </c>
      <c r="DR284" s="0" t="s">
        <v>4394</v>
      </c>
      <c r="EB284" s="0" t="s">
        <v>4395</v>
      </c>
      <c r="EC284" s="0" t="s">
        <v>2625</v>
      </c>
      <c r="ED284" s="0" t="s">
        <v>2626</v>
      </c>
      <c r="EE284" s="0" t="s">
        <v>249</v>
      </c>
      <c r="EF284" s="0" t="s">
        <v>247</v>
      </c>
      <c r="EG284" s="0" t="n">
        <v>210</v>
      </c>
      <c r="EH284" s="0" t="n">
        <v>240</v>
      </c>
      <c r="EI284" s="0" t="n">
        <v>240</v>
      </c>
      <c r="EJ284" s="0" t="n">
        <v>275</v>
      </c>
      <c r="EL284" s="0" t="s">
        <v>4396</v>
      </c>
      <c r="EM284" s="0" t="s">
        <v>2522</v>
      </c>
      <c r="EN284" s="0" t="s">
        <v>2523</v>
      </c>
      <c r="EO284" s="0" t="n">
        <v>7</v>
      </c>
      <c r="EP284" s="0" t="s">
        <v>2552</v>
      </c>
      <c r="EQ284" s="0" t="s">
        <v>2920</v>
      </c>
      <c r="ER284" s="0" t="s">
        <v>2950</v>
      </c>
      <c r="ES284" s="0" t="n">
        <v>134350</v>
      </c>
      <c r="ET284" s="0" t="n">
        <v>134350</v>
      </c>
      <c r="EU284" s="0" t="n">
        <v>134350</v>
      </c>
      <c r="EV284" s="0" t="n">
        <v>134350</v>
      </c>
    </row>
    <row r="285" customFormat="false" ht="15" hidden="false" customHeight="false" outlineLevel="0" collapsed="false">
      <c r="CQ285" s="0" t="s">
        <v>4397</v>
      </c>
      <c r="CR285" s="0" t="s">
        <v>87</v>
      </c>
      <c r="CS285" s="0" t="s">
        <v>269</v>
      </c>
      <c r="CT285" s="0" t="s">
        <v>268</v>
      </c>
      <c r="CU285" s="0" t="s">
        <v>81</v>
      </c>
      <c r="CV285" s="0" t="s">
        <v>236</v>
      </c>
      <c r="CW285" s="0" t="n">
        <v>26.92</v>
      </c>
      <c r="CX285" s="0" t="n">
        <v>1</v>
      </c>
      <c r="CY285" s="0" t="n">
        <v>1</v>
      </c>
      <c r="CZ285" s="0" t="n">
        <v>1</v>
      </c>
      <c r="DA285" s="0" t="n">
        <v>280</v>
      </c>
      <c r="DB285" s="0" t="n">
        <v>280</v>
      </c>
      <c r="DC285" s="0" t="n">
        <v>280</v>
      </c>
      <c r="DD285" s="0" t="n">
        <v>280</v>
      </c>
      <c r="DE285" s="0" t="n">
        <v>280</v>
      </c>
      <c r="DG285" s="0" t="s">
        <v>4398</v>
      </c>
      <c r="DH285" s="0" t="s">
        <v>82</v>
      </c>
      <c r="DI285" s="0" t="s">
        <v>1699</v>
      </c>
      <c r="DJ285" s="0" t="s">
        <v>1700</v>
      </c>
      <c r="DK285" s="0" t="s">
        <v>705</v>
      </c>
      <c r="DL285" s="0" t="n">
        <v>7.69</v>
      </c>
      <c r="DM285" s="0" t="s">
        <v>676</v>
      </c>
      <c r="DN285" s="0" t="s">
        <v>675</v>
      </c>
      <c r="DO285" s="0" t="n">
        <v>0</v>
      </c>
      <c r="DP285" s="0" t="n">
        <v>0</v>
      </c>
      <c r="DQ285" s="0" t="n">
        <v>246.38</v>
      </c>
      <c r="DR285" s="0" t="s">
        <v>4399</v>
      </c>
      <c r="EB285" s="0" t="s">
        <v>4400</v>
      </c>
      <c r="EC285" s="0" t="s">
        <v>2625</v>
      </c>
      <c r="ED285" s="0" t="s">
        <v>2626</v>
      </c>
      <c r="EE285" s="0" t="s">
        <v>293</v>
      </c>
      <c r="EF285" s="0" t="s">
        <v>291</v>
      </c>
      <c r="EG285" s="0" t="n">
        <v>235</v>
      </c>
      <c r="EH285" s="0" t="n">
        <v>270</v>
      </c>
      <c r="EI285" s="0" t="n">
        <v>270</v>
      </c>
      <c r="EJ285" s="0" t="n">
        <v>310</v>
      </c>
      <c r="EL285" s="0" t="s">
        <v>4396</v>
      </c>
      <c r="EM285" s="0" t="s">
        <v>2522</v>
      </c>
      <c r="EN285" s="0" t="s">
        <v>2523</v>
      </c>
      <c r="EO285" s="0" t="n">
        <v>7</v>
      </c>
      <c r="EP285" s="0" t="s">
        <v>2552</v>
      </c>
      <c r="EQ285" s="0" t="s">
        <v>2949</v>
      </c>
      <c r="ER285" s="0" t="s">
        <v>2950</v>
      </c>
      <c r="ES285" s="0" t="n">
        <v>134350</v>
      </c>
      <c r="ET285" s="0" t="n">
        <v>134350</v>
      </c>
      <c r="EU285" s="0" t="n">
        <v>134350</v>
      </c>
      <c r="EV285" s="0" t="n">
        <v>134350</v>
      </c>
    </row>
    <row r="286" customFormat="false" ht="15" hidden="false" customHeight="false" outlineLevel="0" collapsed="false">
      <c r="CQ286" s="0" t="s">
        <v>4401</v>
      </c>
      <c r="CR286" s="0" t="s">
        <v>87</v>
      </c>
      <c r="CS286" s="0" t="s">
        <v>237</v>
      </c>
      <c r="CT286" s="0" t="s">
        <v>235</v>
      </c>
      <c r="CU286" s="0" t="s">
        <v>81</v>
      </c>
      <c r="CV286" s="0" t="s">
        <v>236</v>
      </c>
      <c r="CW286" s="0" t="n">
        <v>19.23</v>
      </c>
      <c r="CX286" s="0" t="n">
        <v>1</v>
      </c>
      <c r="CY286" s="0" t="n">
        <v>1</v>
      </c>
      <c r="CZ286" s="0" t="n">
        <v>1</v>
      </c>
      <c r="DA286" s="0" t="n">
        <v>2650</v>
      </c>
      <c r="DB286" s="0" t="n">
        <v>2650</v>
      </c>
      <c r="DC286" s="0" t="n">
        <v>2650</v>
      </c>
      <c r="DD286" s="0" t="n">
        <v>2650</v>
      </c>
      <c r="DE286" s="0" t="n">
        <v>2650</v>
      </c>
      <c r="DG286" s="0" t="s">
        <v>4402</v>
      </c>
      <c r="DH286" s="0" t="s">
        <v>82</v>
      </c>
      <c r="DI286" s="0" t="s">
        <v>1705</v>
      </c>
      <c r="DJ286" s="0" t="s">
        <v>1706</v>
      </c>
      <c r="DK286" s="0" t="s">
        <v>705</v>
      </c>
      <c r="DL286" s="0" t="n">
        <v>7.69</v>
      </c>
      <c r="DM286" s="0" t="s">
        <v>675</v>
      </c>
      <c r="DN286" s="0" t="s">
        <v>676</v>
      </c>
      <c r="DO286" s="0" t="n">
        <v>6.5</v>
      </c>
      <c r="DP286" s="0" t="n">
        <v>1045</v>
      </c>
      <c r="DQ286" s="0" t="n">
        <v>1045</v>
      </c>
      <c r="DR286" s="0" t="s">
        <v>4403</v>
      </c>
      <c r="EB286" s="0" t="s">
        <v>4404</v>
      </c>
      <c r="EC286" s="0" t="s">
        <v>2625</v>
      </c>
      <c r="ED286" s="0" t="s">
        <v>2626</v>
      </c>
      <c r="EE286" s="0" t="s">
        <v>280</v>
      </c>
      <c r="EF286" s="0" t="s">
        <v>279</v>
      </c>
      <c r="EG286" s="0" t="n">
        <v>415</v>
      </c>
      <c r="EH286" s="0" t="n">
        <v>475</v>
      </c>
      <c r="EI286" s="0" t="n">
        <v>475</v>
      </c>
      <c r="EJ286" s="0" t="n">
        <v>545</v>
      </c>
      <c r="EL286" s="0" t="s">
        <v>4405</v>
      </c>
      <c r="EM286" s="0" t="s">
        <v>2522</v>
      </c>
      <c r="EN286" s="0" t="s">
        <v>2523</v>
      </c>
      <c r="EO286" s="0" t="n">
        <v>8</v>
      </c>
      <c r="EP286" s="0" t="s">
        <v>2528</v>
      </c>
      <c r="EQ286" s="0" t="s">
        <v>2961</v>
      </c>
      <c r="ER286" s="0" t="s">
        <v>2989</v>
      </c>
      <c r="ES286" s="0" t="n">
        <v>80000</v>
      </c>
      <c r="ET286" s="0" t="n">
        <v>80000</v>
      </c>
      <c r="EU286" s="0" t="n">
        <v>80000</v>
      </c>
      <c r="EV286" s="0" t="n">
        <v>80000</v>
      </c>
    </row>
    <row r="287" customFormat="false" ht="15" hidden="false" customHeight="false" outlineLevel="0" collapsed="false">
      <c r="CQ287" s="0" t="s">
        <v>4406</v>
      </c>
      <c r="CR287" s="0" t="s">
        <v>87</v>
      </c>
      <c r="CS287" s="0" t="s">
        <v>249</v>
      </c>
      <c r="CT287" s="0" t="s">
        <v>247</v>
      </c>
      <c r="CU287" s="0" t="s">
        <v>81</v>
      </c>
      <c r="CV287" s="0" t="s">
        <v>248</v>
      </c>
      <c r="CW287" s="0" t="n">
        <v>53.85</v>
      </c>
      <c r="CX287" s="0" t="n">
        <v>1</v>
      </c>
      <c r="CY287" s="0" t="n">
        <v>1</v>
      </c>
      <c r="CZ287" s="0" t="n">
        <v>1</v>
      </c>
      <c r="DA287" s="0" t="n">
        <v>370</v>
      </c>
      <c r="DB287" s="0" t="n">
        <v>310</v>
      </c>
      <c r="DC287" s="0" t="n">
        <v>340</v>
      </c>
      <c r="DD287" s="0" t="n">
        <v>370</v>
      </c>
      <c r="DE287" s="0" t="n">
        <v>370</v>
      </c>
      <c r="DG287" s="0" t="s">
        <v>4407</v>
      </c>
      <c r="DH287" s="0" t="s">
        <v>82</v>
      </c>
      <c r="DI287" s="0" t="s">
        <v>1710</v>
      </c>
      <c r="DJ287" s="0" t="s">
        <v>1711</v>
      </c>
      <c r="DK287" s="0" t="s">
        <v>705</v>
      </c>
      <c r="DL287" s="0" t="n">
        <v>7.69</v>
      </c>
      <c r="DM287" s="0" t="s">
        <v>676</v>
      </c>
      <c r="DN287" s="0" t="s">
        <v>675</v>
      </c>
      <c r="DO287" s="0" t="n">
        <v>0</v>
      </c>
      <c r="DP287" s="0" t="n">
        <v>0</v>
      </c>
      <c r="DQ287" s="0" t="n">
        <v>63</v>
      </c>
      <c r="DR287" s="0" t="s">
        <v>4408</v>
      </c>
      <c r="EB287" s="0" t="s">
        <v>4409</v>
      </c>
      <c r="EC287" s="0" t="s">
        <v>2625</v>
      </c>
      <c r="EE287" s="0" t="s">
        <v>264</v>
      </c>
      <c r="EL287" s="0" t="s">
        <v>4405</v>
      </c>
      <c r="EM287" s="0" t="s">
        <v>2522</v>
      </c>
      <c r="EN287" s="0" t="s">
        <v>2523</v>
      </c>
      <c r="EO287" s="0" t="n">
        <v>8</v>
      </c>
      <c r="EP287" s="0" t="s">
        <v>2528</v>
      </c>
      <c r="EQ287" s="0" t="s">
        <v>2988</v>
      </c>
      <c r="ER287" s="0" t="s">
        <v>2989</v>
      </c>
      <c r="ES287" s="0" t="n">
        <v>80000</v>
      </c>
      <c r="ET287" s="0" t="n">
        <v>80000</v>
      </c>
      <c r="EU287" s="0" t="n">
        <v>80000</v>
      </c>
      <c r="EV287" s="0" t="n">
        <v>80000</v>
      </c>
    </row>
    <row r="288" customFormat="false" ht="15" hidden="false" customHeight="false" outlineLevel="0" collapsed="false">
      <c r="CQ288" s="0" t="s">
        <v>4410</v>
      </c>
      <c r="CR288" s="0" t="s">
        <v>87</v>
      </c>
      <c r="CS288" s="0" t="s">
        <v>293</v>
      </c>
      <c r="CT288" s="0" t="s">
        <v>291</v>
      </c>
      <c r="CU288" s="0" t="s">
        <v>81</v>
      </c>
      <c r="CV288" s="0" t="s">
        <v>292</v>
      </c>
      <c r="CW288" s="0" t="n">
        <v>3.85</v>
      </c>
      <c r="CX288" s="0" t="n">
        <v>1</v>
      </c>
      <c r="CY288" s="0" t="n">
        <v>1</v>
      </c>
      <c r="CZ288" s="0" t="n">
        <v>1</v>
      </c>
      <c r="DA288" s="0" t="n">
        <v>460</v>
      </c>
      <c r="DB288" s="0" t="n">
        <v>330</v>
      </c>
      <c r="DC288" s="0" t="n">
        <v>370</v>
      </c>
      <c r="DD288" s="0" t="n">
        <v>400</v>
      </c>
      <c r="DE288" s="0" t="n">
        <v>400</v>
      </c>
      <c r="DG288" s="0" t="s">
        <v>4411</v>
      </c>
      <c r="DH288" s="0" t="s">
        <v>82</v>
      </c>
      <c r="DI288" s="0" t="s">
        <v>1712</v>
      </c>
      <c r="DJ288" s="0" t="s">
        <v>1713</v>
      </c>
      <c r="DK288" s="0" t="s">
        <v>705</v>
      </c>
      <c r="DL288" s="0" t="n">
        <v>7.69</v>
      </c>
      <c r="DM288" s="0" t="s">
        <v>675</v>
      </c>
      <c r="DN288" s="0" t="s">
        <v>676</v>
      </c>
      <c r="DO288" s="0" t="n">
        <v>1</v>
      </c>
      <c r="DP288" s="0" t="n">
        <v>164</v>
      </c>
      <c r="DQ288" s="0" t="n">
        <v>164</v>
      </c>
      <c r="DR288" s="0" t="s">
        <v>4412</v>
      </c>
      <c r="EB288" s="0" t="s">
        <v>4413</v>
      </c>
      <c r="EC288" s="0" t="s">
        <v>2625</v>
      </c>
      <c r="EE288" s="0" t="s">
        <v>278</v>
      </c>
      <c r="EL288" s="0" t="s">
        <v>4414</v>
      </c>
      <c r="EM288" s="0" t="s">
        <v>2522</v>
      </c>
      <c r="EN288" s="0" t="s">
        <v>2523</v>
      </c>
      <c r="EO288" s="0" t="n">
        <v>8</v>
      </c>
      <c r="EP288" s="0" t="s">
        <v>2552</v>
      </c>
      <c r="EQ288" s="0" t="s">
        <v>2975</v>
      </c>
      <c r="ER288" s="0" t="s">
        <v>3001</v>
      </c>
      <c r="ES288" s="0" t="n">
        <v>149350</v>
      </c>
      <c r="ET288" s="0" t="n">
        <v>149350</v>
      </c>
      <c r="EU288" s="0" t="n">
        <v>149350</v>
      </c>
      <c r="EV288" s="0" t="n">
        <v>149350</v>
      </c>
    </row>
    <row r="289" customFormat="false" ht="15" hidden="false" customHeight="false" outlineLevel="0" collapsed="false">
      <c r="CQ289" s="0" t="s">
        <v>4415</v>
      </c>
      <c r="CR289" s="0" t="s">
        <v>87</v>
      </c>
      <c r="CS289" s="0" t="s">
        <v>330</v>
      </c>
      <c r="CT289" s="0" t="s">
        <v>331</v>
      </c>
      <c r="CU289" s="0" t="s">
        <v>81</v>
      </c>
      <c r="CV289" s="0" t="s">
        <v>248</v>
      </c>
      <c r="CW289" s="0" t="n">
        <v>96.15</v>
      </c>
      <c r="CX289" s="0" t="n">
        <v>1</v>
      </c>
      <c r="CY289" s="0" t="n">
        <v>1</v>
      </c>
      <c r="CZ289" s="0" t="n">
        <v>1</v>
      </c>
      <c r="DA289" s="0" t="n">
        <v>1250</v>
      </c>
      <c r="DB289" s="0" t="n">
        <v>1050</v>
      </c>
      <c r="DC289" s="0" t="n">
        <v>1160</v>
      </c>
      <c r="DD289" s="0" t="n">
        <v>1250</v>
      </c>
      <c r="DE289" s="0" t="n">
        <v>1250</v>
      </c>
      <c r="DG289" s="0" t="s">
        <v>4416</v>
      </c>
      <c r="DH289" s="0" t="s">
        <v>82</v>
      </c>
      <c r="DI289" s="0" t="s">
        <v>1715</v>
      </c>
      <c r="DJ289" s="0" t="s">
        <v>1716</v>
      </c>
      <c r="DK289" s="0" t="s">
        <v>705</v>
      </c>
      <c r="DL289" s="0" t="n">
        <v>7.69</v>
      </c>
      <c r="DM289" s="0" t="s">
        <v>675</v>
      </c>
      <c r="DN289" s="0" t="s">
        <v>676</v>
      </c>
      <c r="DO289" s="0" t="n">
        <v>1</v>
      </c>
      <c r="DP289" s="0" t="n">
        <v>210</v>
      </c>
      <c r="DQ289" s="0" t="n">
        <v>210</v>
      </c>
      <c r="DR289" s="0" t="s">
        <v>4417</v>
      </c>
      <c r="EB289" s="0" t="s">
        <v>4418</v>
      </c>
      <c r="EC289" s="0" t="s">
        <v>2625</v>
      </c>
      <c r="ED289" s="0" t="s">
        <v>2626</v>
      </c>
      <c r="EE289" s="0" t="s">
        <v>240</v>
      </c>
      <c r="EF289" s="0" t="s">
        <v>238</v>
      </c>
      <c r="EG289" s="0" t="n">
        <v>4130</v>
      </c>
      <c r="EH289" s="0" t="n">
        <v>4130</v>
      </c>
      <c r="EI289" s="0" t="n">
        <v>4130</v>
      </c>
      <c r="EJ289" s="0" t="n">
        <v>4130</v>
      </c>
      <c r="EL289" s="0" t="s">
        <v>4414</v>
      </c>
      <c r="EM289" s="0" t="s">
        <v>2522</v>
      </c>
      <c r="EN289" s="0" t="s">
        <v>2523</v>
      </c>
      <c r="EO289" s="0" t="n">
        <v>8</v>
      </c>
      <c r="EP289" s="0" t="s">
        <v>2552</v>
      </c>
      <c r="EQ289" s="0" t="s">
        <v>3000</v>
      </c>
      <c r="ER289" s="0" t="s">
        <v>3001</v>
      </c>
      <c r="ES289" s="0" t="n">
        <v>149350</v>
      </c>
      <c r="ET289" s="0" t="n">
        <v>149350</v>
      </c>
      <c r="EU289" s="0" t="n">
        <v>149350</v>
      </c>
      <c r="EV289" s="0" t="n">
        <v>149350</v>
      </c>
    </row>
    <row r="290" customFormat="false" ht="15" hidden="false" customHeight="false" outlineLevel="0" collapsed="false">
      <c r="CQ290" s="0" t="s">
        <v>4419</v>
      </c>
      <c r="CR290" s="0" t="s">
        <v>87</v>
      </c>
      <c r="CS290" s="0" t="s">
        <v>334</v>
      </c>
      <c r="CT290" s="0" t="s">
        <v>335</v>
      </c>
      <c r="CU290" s="0" t="s">
        <v>81</v>
      </c>
      <c r="CV290" s="0" t="s">
        <v>248</v>
      </c>
      <c r="CW290" s="0" t="n">
        <v>88.46</v>
      </c>
      <c r="CX290" s="0" t="n">
        <v>1</v>
      </c>
      <c r="CY290" s="0" t="n">
        <v>1</v>
      </c>
      <c r="CZ290" s="0" t="n">
        <v>1</v>
      </c>
      <c r="DA290" s="0" t="n">
        <v>460</v>
      </c>
      <c r="DB290" s="0" t="n">
        <v>380</v>
      </c>
      <c r="DC290" s="0" t="n">
        <v>420</v>
      </c>
      <c r="DD290" s="0" t="n">
        <v>460</v>
      </c>
      <c r="DE290" s="0" t="n">
        <v>460</v>
      </c>
      <c r="DG290" s="0" t="s">
        <v>4420</v>
      </c>
      <c r="DH290" s="0" t="s">
        <v>82</v>
      </c>
      <c r="DI290" s="0" t="s">
        <v>1717</v>
      </c>
      <c r="DJ290" s="0" t="s">
        <v>1718</v>
      </c>
      <c r="DK290" s="0" t="s">
        <v>705</v>
      </c>
      <c r="DL290" s="0" t="n">
        <v>7.69</v>
      </c>
      <c r="DM290" s="0" t="s">
        <v>676</v>
      </c>
      <c r="DN290" s="0" t="s">
        <v>676</v>
      </c>
      <c r="DO290" s="0" t="n">
        <v>0.5</v>
      </c>
      <c r="DP290" s="0" t="n">
        <v>235</v>
      </c>
      <c r="DQ290" s="0" t="n">
        <v>470</v>
      </c>
      <c r="DR290" s="0" t="s">
        <v>4421</v>
      </c>
      <c r="EB290" s="0" t="s">
        <v>4422</v>
      </c>
      <c r="EC290" s="0" t="s">
        <v>2625</v>
      </c>
      <c r="EE290" s="0" t="s">
        <v>252</v>
      </c>
      <c r="EL290" s="0" t="s">
        <v>4423</v>
      </c>
      <c r="EM290" s="0" t="s">
        <v>2522</v>
      </c>
      <c r="EN290" s="0" t="s">
        <v>2523</v>
      </c>
      <c r="EO290" s="0" t="n">
        <v>9</v>
      </c>
      <c r="EP290" s="0" t="s">
        <v>2528</v>
      </c>
      <c r="EQ290" s="0" t="s">
        <v>4424</v>
      </c>
      <c r="ER290" s="0" t="s">
        <v>4425</v>
      </c>
      <c r="ES290" s="0" t="n">
        <v>90000</v>
      </c>
      <c r="ET290" s="0" t="n">
        <v>90000</v>
      </c>
      <c r="EU290" s="0" t="n">
        <v>90000</v>
      </c>
      <c r="EV290" s="0" t="n">
        <v>90000</v>
      </c>
    </row>
    <row r="291" customFormat="false" ht="15" hidden="false" customHeight="false" outlineLevel="0" collapsed="false">
      <c r="CQ291" s="0" t="s">
        <v>4426</v>
      </c>
      <c r="CR291" s="0" t="s">
        <v>87</v>
      </c>
      <c r="CS291" s="0" t="s">
        <v>280</v>
      </c>
      <c r="CT291" s="0" t="s">
        <v>279</v>
      </c>
      <c r="CU291" s="0" t="s">
        <v>81</v>
      </c>
      <c r="CV291" s="0" t="s">
        <v>248</v>
      </c>
      <c r="CW291" s="0" t="n">
        <v>3.85</v>
      </c>
      <c r="CX291" s="0" t="n">
        <v>1</v>
      </c>
      <c r="CY291" s="0" t="n">
        <v>1</v>
      </c>
      <c r="CZ291" s="0" t="n">
        <v>1</v>
      </c>
      <c r="DA291" s="0" t="n">
        <v>545</v>
      </c>
      <c r="DB291" s="0" t="n">
        <v>860</v>
      </c>
      <c r="DC291" s="0" t="n">
        <v>950</v>
      </c>
      <c r="DD291" s="0" t="n">
        <v>1020</v>
      </c>
      <c r="DE291" s="0" t="n">
        <v>1020</v>
      </c>
      <c r="DG291" s="0" t="s">
        <v>4427</v>
      </c>
      <c r="DH291" s="0" t="s">
        <v>82</v>
      </c>
      <c r="DI291" s="0" t="s">
        <v>1721</v>
      </c>
      <c r="DJ291" s="0" t="s">
        <v>1722</v>
      </c>
      <c r="DK291" s="0" t="s">
        <v>705</v>
      </c>
      <c r="DL291" s="0" t="n">
        <v>7.69</v>
      </c>
      <c r="DM291" s="0" t="s">
        <v>676</v>
      </c>
      <c r="DN291" s="0" t="s">
        <v>675</v>
      </c>
      <c r="DO291" s="0" t="n">
        <v>0</v>
      </c>
      <c r="DP291" s="0" t="n">
        <v>0</v>
      </c>
      <c r="DQ291" s="0" t="n">
        <v>113.19</v>
      </c>
      <c r="DR291" s="0" t="s">
        <v>4428</v>
      </c>
      <c r="EB291" s="0" t="s">
        <v>4429</v>
      </c>
      <c r="EC291" s="0" t="s">
        <v>2625</v>
      </c>
      <c r="EE291" s="0" t="s">
        <v>229</v>
      </c>
      <c r="EL291" s="0" t="s">
        <v>4430</v>
      </c>
      <c r="EM291" s="0" t="s">
        <v>3045</v>
      </c>
      <c r="EN291" s="0" t="s">
        <v>3046</v>
      </c>
      <c r="EO291" s="0" t="n">
        <v>1</v>
      </c>
      <c r="EP291" s="0" t="s">
        <v>2528</v>
      </c>
      <c r="EQ291" s="0" t="s">
        <v>2529</v>
      </c>
      <c r="ER291" s="0" t="s">
        <v>2570</v>
      </c>
      <c r="ES291" s="0" t="n">
        <v>10000</v>
      </c>
      <c r="ET291" s="0" t="n">
        <v>10000</v>
      </c>
      <c r="EU291" s="0" t="n">
        <v>10000</v>
      </c>
      <c r="EV291" s="0" t="n">
        <v>10000</v>
      </c>
    </row>
    <row r="292" customFormat="false" ht="15" hidden="false" customHeight="false" outlineLevel="0" collapsed="false">
      <c r="CQ292" s="0" t="s">
        <v>4431</v>
      </c>
      <c r="CR292" s="0" t="s">
        <v>87</v>
      </c>
      <c r="CS292" s="0" t="s">
        <v>582</v>
      </c>
      <c r="CT292" s="0" t="s">
        <v>580</v>
      </c>
      <c r="CU292" s="0" t="s">
        <v>581</v>
      </c>
      <c r="CV292" s="0" t="s">
        <v>581</v>
      </c>
      <c r="CW292" s="0" t="n">
        <v>96.15</v>
      </c>
      <c r="CX292" s="0" t="n">
        <v>1</v>
      </c>
      <c r="CY292" s="0" t="n">
        <v>1</v>
      </c>
      <c r="CZ292" s="0" t="n">
        <v>1</v>
      </c>
      <c r="DA292" s="0" t="n">
        <v>2560</v>
      </c>
      <c r="DB292" s="0" t="n">
        <v>2030</v>
      </c>
      <c r="DC292" s="0" t="n">
        <v>2210</v>
      </c>
      <c r="DD292" s="0" t="n">
        <v>2380</v>
      </c>
      <c r="DE292" s="0" t="n">
        <v>2560</v>
      </c>
      <c r="DG292" s="0" t="s">
        <v>4432</v>
      </c>
      <c r="DH292" s="0" t="s">
        <v>82</v>
      </c>
      <c r="DI292" s="0" t="s">
        <v>1727</v>
      </c>
      <c r="DJ292" s="0" t="s">
        <v>1728</v>
      </c>
      <c r="DK292" s="0" t="s">
        <v>705</v>
      </c>
      <c r="DL292" s="0" t="n">
        <v>7.69</v>
      </c>
      <c r="DM292" s="0" t="s">
        <v>675</v>
      </c>
      <c r="DN292" s="0" t="s">
        <v>676</v>
      </c>
      <c r="DO292" s="0" t="n">
        <v>1</v>
      </c>
      <c r="DP292" s="0" t="n">
        <v>7734.18</v>
      </c>
      <c r="DQ292" s="0" t="n">
        <v>7734.18</v>
      </c>
      <c r="DR292" s="0" t="s">
        <v>4433</v>
      </c>
      <c r="EB292" s="0" t="s">
        <v>4434</v>
      </c>
      <c r="EC292" s="0" t="s">
        <v>2625</v>
      </c>
      <c r="ED292" s="0" t="s">
        <v>2626</v>
      </c>
      <c r="EE292" s="0" t="s">
        <v>246</v>
      </c>
      <c r="EF292" s="0" t="s">
        <v>244</v>
      </c>
      <c r="EG292" s="0" t="n">
        <v>170</v>
      </c>
      <c r="EH292" s="0" t="n">
        <v>195</v>
      </c>
      <c r="EI292" s="0" t="n">
        <v>195</v>
      </c>
      <c r="EJ292" s="0" t="n">
        <v>225</v>
      </c>
      <c r="EL292" s="0" t="s">
        <v>4430</v>
      </c>
      <c r="EM292" s="0" t="s">
        <v>3045</v>
      </c>
      <c r="EN292" s="0" t="s">
        <v>3046</v>
      </c>
      <c r="EO292" s="0" t="n">
        <v>1</v>
      </c>
      <c r="EP292" s="0" t="s">
        <v>2528</v>
      </c>
      <c r="EQ292" s="0" t="s">
        <v>2569</v>
      </c>
      <c r="ER292" s="0" t="s">
        <v>2570</v>
      </c>
      <c r="ES292" s="0" t="n">
        <v>10000</v>
      </c>
      <c r="ET292" s="0" t="n">
        <v>10000</v>
      </c>
      <c r="EU292" s="0" t="n">
        <v>10000</v>
      </c>
      <c r="EV292" s="0" t="n">
        <v>10000</v>
      </c>
    </row>
    <row r="293" customFormat="false" ht="15" hidden="false" customHeight="false" outlineLevel="0" collapsed="false">
      <c r="CQ293" s="0" t="s">
        <v>4435</v>
      </c>
      <c r="CR293" s="0" t="s">
        <v>87</v>
      </c>
      <c r="CS293" s="0" t="s">
        <v>264</v>
      </c>
      <c r="CT293" s="0" t="s">
        <v>262</v>
      </c>
      <c r="CU293" s="0" t="s">
        <v>2252</v>
      </c>
      <c r="CV293" s="0" t="s">
        <v>263</v>
      </c>
      <c r="CW293" s="0" t="n">
        <v>11.54</v>
      </c>
      <c r="CX293" s="0" t="n">
        <v>1</v>
      </c>
      <c r="CY293" s="0" t="n">
        <v>1</v>
      </c>
      <c r="CZ293" s="0" t="n">
        <v>1</v>
      </c>
      <c r="DA293" s="0" t="n">
        <v>810</v>
      </c>
      <c r="DB293" s="0" t="n">
        <v>680</v>
      </c>
      <c r="DC293" s="0" t="n">
        <v>750</v>
      </c>
      <c r="DD293" s="0" t="n">
        <v>810</v>
      </c>
      <c r="DE293" s="0" t="n">
        <v>810</v>
      </c>
      <c r="DG293" s="0" t="s">
        <v>4436</v>
      </c>
      <c r="DH293" s="0" t="s">
        <v>82</v>
      </c>
      <c r="DI293" s="0" t="s">
        <v>1733</v>
      </c>
      <c r="DJ293" s="0" t="s">
        <v>1734</v>
      </c>
      <c r="DK293" s="0" t="s">
        <v>705</v>
      </c>
      <c r="DL293" s="0" t="n">
        <v>7.69</v>
      </c>
      <c r="DM293" s="0" t="s">
        <v>676</v>
      </c>
      <c r="DN293" s="0" t="s">
        <v>675</v>
      </c>
      <c r="DO293" s="0" t="n">
        <v>0</v>
      </c>
      <c r="DP293" s="0" t="n">
        <v>0</v>
      </c>
      <c r="DQ293" s="0" t="n">
        <v>936.5</v>
      </c>
      <c r="DR293" s="0" t="s">
        <v>4437</v>
      </c>
      <c r="EB293" s="0" t="s">
        <v>4438</v>
      </c>
      <c r="EC293" s="0" t="s">
        <v>2625</v>
      </c>
      <c r="EE293" s="0" t="s">
        <v>255</v>
      </c>
      <c r="EL293" s="0" t="s">
        <v>4439</v>
      </c>
      <c r="EM293" s="0" t="s">
        <v>3045</v>
      </c>
      <c r="EN293" s="0" t="s">
        <v>3046</v>
      </c>
      <c r="EO293" s="0" t="n">
        <v>1</v>
      </c>
      <c r="EP293" s="0" t="s">
        <v>2552</v>
      </c>
      <c r="EQ293" s="0" t="s">
        <v>2553</v>
      </c>
      <c r="ER293" s="0" t="s">
        <v>2583</v>
      </c>
      <c r="ES293" s="0" t="n">
        <v>14850</v>
      </c>
      <c r="ET293" s="0" t="n">
        <v>14850</v>
      </c>
      <c r="EU293" s="0" t="n">
        <v>14850</v>
      </c>
      <c r="EV293" s="0" t="n">
        <v>14850</v>
      </c>
    </row>
    <row r="294" customFormat="false" ht="15" hidden="false" customHeight="false" outlineLevel="0" collapsed="false">
      <c r="CQ294" s="0" t="s">
        <v>4440</v>
      </c>
      <c r="CR294" s="0" t="s">
        <v>87</v>
      </c>
      <c r="CS294" s="0" t="s">
        <v>612</v>
      </c>
      <c r="CT294" s="0" t="s">
        <v>2647</v>
      </c>
      <c r="CU294" s="0" t="s">
        <v>2939</v>
      </c>
      <c r="CV294" s="0" t="s">
        <v>277</v>
      </c>
      <c r="CW294" s="0" t="n">
        <v>96.15</v>
      </c>
      <c r="CX294" s="0" t="n">
        <v>1</v>
      </c>
      <c r="CY294" s="0" t="n">
        <v>1</v>
      </c>
      <c r="CZ294" s="0" t="n">
        <v>1</v>
      </c>
      <c r="DA294" s="0" t="n">
        <v>880</v>
      </c>
      <c r="DB294" s="0" t="n">
        <v>740</v>
      </c>
      <c r="DC294" s="0" t="n">
        <v>820</v>
      </c>
      <c r="DD294" s="0" t="n">
        <v>880</v>
      </c>
      <c r="DE294" s="0" t="n">
        <v>880</v>
      </c>
      <c r="DG294" s="0" t="s">
        <v>4441</v>
      </c>
      <c r="DH294" s="0" t="s">
        <v>82</v>
      </c>
      <c r="DI294" s="0" t="s">
        <v>1736</v>
      </c>
      <c r="DJ294" s="0" t="s">
        <v>1737</v>
      </c>
      <c r="DK294" s="0" t="s">
        <v>705</v>
      </c>
      <c r="DL294" s="0" t="n">
        <v>7.69</v>
      </c>
      <c r="DM294" s="0" t="s">
        <v>675</v>
      </c>
      <c r="DN294" s="0" t="s">
        <v>676</v>
      </c>
      <c r="DO294" s="0" t="n">
        <v>9</v>
      </c>
      <c r="DP294" s="0" t="n">
        <v>918</v>
      </c>
      <c r="DQ294" s="0" t="n">
        <v>918</v>
      </c>
      <c r="DR294" s="0" t="s">
        <v>4442</v>
      </c>
      <c r="EB294" s="0" t="s">
        <v>4443</v>
      </c>
      <c r="EC294" s="0" t="s">
        <v>2625</v>
      </c>
      <c r="EE294" s="0" t="s">
        <v>243</v>
      </c>
      <c r="EL294" s="0" t="s">
        <v>4439</v>
      </c>
      <c r="EM294" s="0" t="s">
        <v>3045</v>
      </c>
      <c r="EN294" s="0" t="s">
        <v>3046</v>
      </c>
      <c r="EO294" s="0" t="n">
        <v>1</v>
      </c>
      <c r="EP294" s="0" t="s">
        <v>2552</v>
      </c>
      <c r="EQ294" s="0" t="s">
        <v>2582</v>
      </c>
      <c r="ER294" s="0" t="s">
        <v>2583</v>
      </c>
      <c r="ES294" s="0" t="n">
        <v>14850</v>
      </c>
      <c r="ET294" s="0" t="n">
        <v>14850</v>
      </c>
      <c r="EU294" s="0" t="n">
        <v>14850</v>
      </c>
      <c r="EV294" s="0" t="n">
        <v>14850</v>
      </c>
    </row>
    <row r="295" customFormat="false" ht="15" hidden="false" customHeight="false" outlineLevel="0" collapsed="false">
      <c r="CQ295" s="0" t="s">
        <v>4444</v>
      </c>
      <c r="CR295" s="0" t="s">
        <v>87</v>
      </c>
      <c r="CS295" s="0" t="s">
        <v>278</v>
      </c>
      <c r="CT295" s="0" t="s">
        <v>276</v>
      </c>
      <c r="CU295" s="0" t="s">
        <v>581</v>
      </c>
      <c r="CV295" s="0" t="s">
        <v>277</v>
      </c>
      <c r="CW295" s="0" t="n">
        <v>3.85</v>
      </c>
      <c r="CX295" s="0" t="n">
        <v>1</v>
      </c>
      <c r="CY295" s="0" t="n">
        <v>1</v>
      </c>
      <c r="CZ295" s="0" t="n">
        <v>1</v>
      </c>
      <c r="DA295" s="0" t="n">
        <v>1110</v>
      </c>
      <c r="DB295" s="0" t="n">
        <v>930</v>
      </c>
      <c r="DC295" s="0" t="n">
        <v>1030</v>
      </c>
      <c r="DD295" s="0" t="n">
        <v>1110</v>
      </c>
      <c r="DE295" s="0" t="n">
        <v>1110</v>
      </c>
      <c r="DG295" s="0" t="s">
        <v>4445</v>
      </c>
      <c r="DH295" s="0" t="s">
        <v>82</v>
      </c>
      <c r="DI295" s="0" t="s">
        <v>1739</v>
      </c>
      <c r="DJ295" s="0" t="s">
        <v>1677</v>
      </c>
      <c r="DK295" s="0" t="s">
        <v>705</v>
      </c>
      <c r="DL295" s="0" t="n">
        <v>7.69</v>
      </c>
      <c r="DM295" s="0" t="s">
        <v>676</v>
      </c>
      <c r="DN295" s="0" t="s">
        <v>676</v>
      </c>
      <c r="DO295" s="0" t="n">
        <v>1</v>
      </c>
      <c r="DP295" s="0" t="n">
        <v>30.2</v>
      </c>
      <c r="DQ295" s="0" t="n">
        <v>181.2</v>
      </c>
      <c r="DR295" s="0" t="s">
        <v>4365</v>
      </c>
      <c r="EB295" s="0" t="s">
        <v>4446</v>
      </c>
      <c r="EC295" s="0" t="s">
        <v>2625</v>
      </c>
      <c r="ED295" s="0" t="s">
        <v>2626</v>
      </c>
      <c r="EE295" s="0" t="s">
        <v>261</v>
      </c>
      <c r="EF295" s="0" t="s">
        <v>259</v>
      </c>
      <c r="EG295" s="0" t="n">
        <v>1</v>
      </c>
      <c r="EH295" s="0" t="n">
        <v>1</v>
      </c>
      <c r="EI295" s="0" t="n">
        <v>1</v>
      </c>
      <c r="EJ295" s="0" t="n">
        <v>1</v>
      </c>
      <c r="EL295" s="0" t="s">
        <v>4447</v>
      </c>
      <c r="EM295" s="0" t="s">
        <v>3045</v>
      </c>
      <c r="EN295" s="0" t="s">
        <v>3046</v>
      </c>
      <c r="EO295" s="0" t="n">
        <v>2</v>
      </c>
      <c r="EP295" s="0" t="s">
        <v>2528</v>
      </c>
      <c r="EQ295" s="0" t="s">
        <v>2598</v>
      </c>
      <c r="ER295" s="0" t="s">
        <v>2631</v>
      </c>
      <c r="ES295" s="0" t="n">
        <v>20000</v>
      </c>
      <c r="ET295" s="0" t="n">
        <v>20000</v>
      </c>
      <c r="EU295" s="0" t="n">
        <v>20000</v>
      </c>
      <c r="EV295" s="0" t="n">
        <v>20000</v>
      </c>
    </row>
    <row r="296" customFormat="false" ht="15" hidden="false" customHeight="false" outlineLevel="0" collapsed="false">
      <c r="CQ296" s="0" t="s">
        <v>4448</v>
      </c>
      <c r="CR296" s="0" t="s">
        <v>87</v>
      </c>
      <c r="CS296" s="0" t="s">
        <v>616</v>
      </c>
      <c r="CT296" s="0" t="s">
        <v>2612</v>
      </c>
      <c r="CU296" s="0" t="s">
        <v>90</v>
      </c>
      <c r="CV296" s="0" t="s">
        <v>289</v>
      </c>
      <c r="CW296" s="0" t="n">
        <v>96.15</v>
      </c>
      <c r="CX296" s="0" t="n">
        <v>1</v>
      </c>
      <c r="CY296" s="0" t="n">
        <v>1</v>
      </c>
      <c r="CZ296" s="0" t="n">
        <v>1</v>
      </c>
      <c r="DA296" s="0" t="n">
        <v>570</v>
      </c>
      <c r="DB296" s="0" t="n">
        <v>480</v>
      </c>
      <c r="DC296" s="0" t="n">
        <v>530</v>
      </c>
      <c r="DD296" s="0" t="n">
        <v>570</v>
      </c>
      <c r="DE296" s="0" t="n">
        <v>570</v>
      </c>
      <c r="DG296" s="0" t="s">
        <v>4449</v>
      </c>
      <c r="DH296" s="0" t="s">
        <v>82</v>
      </c>
      <c r="DI296" s="0" t="s">
        <v>1743</v>
      </c>
      <c r="DJ296" s="0" t="s">
        <v>1676</v>
      </c>
      <c r="DK296" s="0" t="s">
        <v>705</v>
      </c>
      <c r="DL296" s="0" t="n">
        <v>7.69</v>
      </c>
      <c r="DM296" s="0" t="s">
        <v>676</v>
      </c>
      <c r="DN296" s="0" t="s">
        <v>675</v>
      </c>
      <c r="DO296" s="0" t="n">
        <v>0</v>
      </c>
      <c r="DP296" s="0" t="n">
        <v>0</v>
      </c>
      <c r="DQ296" s="0" t="n">
        <v>313.3</v>
      </c>
      <c r="DR296" s="0" t="s">
        <v>4353</v>
      </c>
      <c r="EB296" s="0" t="s">
        <v>4450</v>
      </c>
      <c r="EC296" s="0" t="s">
        <v>2625</v>
      </c>
      <c r="EE296" s="0" t="s">
        <v>296</v>
      </c>
      <c r="EL296" s="0" t="s">
        <v>4447</v>
      </c>
      <c r="EM296" s="0" t="s">
        <v>3045</v>
      </c>
      <c r="EN296" s="0" t="s">
        <v>3046</v>
      </c>
      <c r="EO296" s="0" t="n">
        <v>2</v>
      </c>
      <c r="EP296" s="0" t="s">
        <v>2528</v>
      </c>
      <c r="EQ296" s="0" t="s">
        <v>2630</v>
      </c>
      <c r="ER296" s="0" t="s">
        <v>2631</v>
      </c>
      <c r="ES296" s="0" t="n">
        <v>20000</v>
      </c>
      <c r="ET296" s="0" t="n">
        <v>20000</v>
      </c>
      <c r="EU296" s="0" t="n">
        <v>20000</v>
      </c>
      <c r="EV296" s="0" t="n">
        <v>20000</v>
      </c>
    </row>
    <row r="297" customFormat="false" ht="15" hidden="false" customHeight="false" outlineLevel="0" collapsed="false">
      <c r="CQ297" s="0" t="s">
        <v>4451</v>
      </c>
      <c r="CR297" s="0" t="s">
        <v>87</v>
      </c>
      <c r="CS297" s="0" t="s">
        <v>614</v>
      </c>
      <c r="CT297" s="0" t="s">
        <v>2628</v>
      </c>
      <c r="CU297" s="0" t="s">
        <v>90</v>
      </c>
      <c r="CV297" s="0" t="s">
        <v>2979</v>
      </c>
      <c r="CW297" s="0" t="n">
        <v>96.15</v>
      </c>
      <c r="CX297" s="0" t="n">
        <v>1</v>
      </c>
      <c r="CY297" s="0" t="n">
        <v>1</v>
      </c>
      <c r="CZ297" s="0" t="n">
        <v>1</v>
      </c>
      <c r="DA297" s="0" t="n">
        <v>1170</v>
      </c>
      <c r="DB297" s="0" t="n">
        <v>980</v>
      </c>
      <c r="DC297" s="0" t="n">
        <v>1080</v>
      </c>
      <c r="DD297" s="0" t="n">
        <v>1170</v>
      </c>
      <c r="DE297" s="0" t="n">
        <v>1170</v>
      </c>
      <c r="DG297" s="0" t="s">
        <v>4452</v>
      </c>
      <c r="DH297" s="0" t="s">
        <v>82</v>
      </c>
      <c r="DI297" s="0" t="s">
        <v>1746</v>
      </c>
      <c r="DJ297" s="0" t="s">
        <v>1747</v>
      </c>
      <c r="DK297" s="0" t="s">
        <v>705</v>
      </c>
      <c r="DL297" s="0" t="n">
        <v>7.69</v>
      </c>
      <c r="DM297" s="0" t="s">
        <v>675</v>
      </c>
      <c r="DN297" s="0" t="s">
        <v>676</v>
      </c>
      <c r="DO297" s="0" t="n">
        <v>1</v>
      </c>
      <c r="DP297" s="0" t="n">
        <v>1066</v>
      </c>
      <c r="DQ297" s="0" t="n">
        <v>1066</v>
      </c>
      <c r="DR297" s="0" t="s">
        <v>4453</v>
      </c>
      <c r="EB297" s="0" t="s">
        <v>4454</v>
      </c>
      <c r="EC297" s="0" t="s">
        <v>2873</v>
      </c>
      <c r="ED297" s="0" t="s">
        <v>2874</v>
      </c>
      <c r="EE297" s="0" t="s">
        <v>626</v>
      </c>
      <c r="EF297" s="0" t="s">
        <v>2526</v>
      </c>
      <c r="EG297" s="0" t="n">
        <v>335</v>
      </c>
      <c r="EH297" s="0" t="n">
        <v>370</v>
      </c>
      <c r="EI297" s="0" t="n">
        <v>370</v>
      </c>
      <c r="EJ297" s="0" t="n">
        <v>425</v>
      </c>
      <c r="EL297" s="0" t="s">
        <v>4455</v>
      </c>
      <c r="EM297" s="0" t="s">
        <v>3045</v>
      </c>
      <c r="EN297" s="0" t="s">
        <v>3046</v>
      </c>
      <c r="EO297" s="0" t="n">
        <v>2</v>
      </c>
      <c r="EP297" s="0" t="s">
        <v>2552</v>
      </c>
      <c r="EQ297" s="0" t="s">
        <v>2614</v>
      </c>
      <c r="ER297" s="0" t="s">
        <v>2650</v>
      </c>
      <c r="ES297" s="0" t="n">
        <v>38600</v>
      </c>
      <c r="ET297" s="0" t="n">
        <v>38600</v>
      </c>
      <c r="EU297" s="0" t="n">
        <v>38600</v>
      </c>
      <c r="EV297" s="0" t="n">
        <v>38600</v>
      </c>
    </row>
    <row r="298" customFormat="false" ht="15" hidden="false" customHeight="false" outlineLevel="0" collapsed="false">
      <c r="J298" s="5" t="s">
        <v>4456</v>
      </c>
      <c r="CQ298" s="0" t="s">
        <v>4457</v>
      </c>
      <c r="CR298" s="0" t="s">
        <v>87</v>
      </c>
      <c r="CS298" s="0" t="s">
        <v>240</v>
      </c>
      <c r="CT298" s="0" t="s">
        <v>238</v>
      </c>
      <c r="CU298" s="0" t="s">
        <v>90</v>
      </c>
      <c r="CV298" s="0" t="s">
        <v>239</v>
      </c>
      <c r="CW298" s="0" t="n">
        <v>3.85</v>
      </c>
      <c r="CX298" s="0" t="n">
        <v>2</v>
      </c>
      <c r="CY298" s="0" t="n">
        <v>2</v>
      </c>
      <c r="CZ298" s="0" t="n">
        <v>2</v>
      </c>
      <c r="DA298" s="0" t="n">
        <v>7240</v>
      </c>
      <c r="DB298" s="0" t="n">
        <v>3620</v>
      </c>
      <c r="DC298" s="0" t="n">
        <v>3620</v>
      </c>
      <c r="DD298" s="0" t="n">
        <v>3620</v>
      </c>
      <c r="DE298" s="0" t="n">
        <v>3620</v>
      </c>
      <c r="DG298" s="0" t="s">
        <v>4458</v>
      </c>
      <c r="DH298" s="0" t="s">
        <v>82</v>
      </c>
      <c r="DI298" s="0" t="s">
        <v>1388</v>
      </c>
      <c r="DJ298" s="0" t="s">
        <v>1749</v>
      </c>
      <c r="DK298" s="0" t="s">
        <v>705</v>
      </c>
      <c r="DL298" s="0" t="n">
        <v>7.69</v>
      </c>
      <c r="DM298" s="0" t="s">
        <v>676</v>
      </c>
      <c r="DN298" s="0" t="s">
        <v>675</v>
      </c>
      <c r="DO298" s="0" t="n">
        <v>0</v>
      </c>
      <c r="DP298" s="0" t="n">
        <v>0</v>
      </c>
      <c r="DQ298" s="0" t="n">
        <v>245</v>
      </c>
      <c r="DR298" s="0" t="s">
        <v>4459</v>
      </c>
      <c r="EB298" s="0" t="s">
        <v>4460</v>
      </c>
      <c r="EC298" s="0" t="s">
        <v>2873</v>
      </c>
      <c r="ED298" s="0" t="s">
        <v>2874</v>
      </c>
      <c r="EE298" s="0" t="s">
        <v>624</v>
      </c>
      <c r="EF298" s="0" t="s">
        <v>2550</v>
      </c>
      <c r="EG298" s="0" t="n">
        <v>290</v>
      </c>
      <c r="EH298" s="0" t="n">
        <v>320</v>
      </c>
      <c r="EI298" s="0" t="n">
        <v>320</v>
      </c>
      <c r="EJ298" s="0" t="n">
        <v>370</v>
      </c>
      <c r="EL298" s="0" t="s">
        <v>4455</v>
      </c>
      <c r="EM298" s="0" t="s">
        <v>3045</v>
      </c>
      <c r="EN298" s="0" t="s">
        <v>3046</v>
      </c>
      <c r="EO298" s="0" t="n">
        <v>2</v>
      </c>
      <c r="EP298" s="0" t="s">
        <v>2552</v>
      </c>
      <c r="EQ298" s="0" t="s">
        <v>2649</v>
      </c>
      <c r="ER298" s="0" t="s">
        <v>2650</v>
      </c>
      <c r="ES298" s="0" t="n">
        <v>38600</v>
      </c>
      <c r="ET298" s="0" t="n">
        <v>38600</v>
      </c>
      <c r="EU298" s="0" t="n">
        <v>38600</v>
      </c>
      <c r="EV298" s="0" t="n">
        <v>38600</v>
      </c>
    </row>
    <row r="299" customFormat="false" ht="15" hidden="false" customHeight="false" outlineLevel="0" collapsed="false">
      <c r="J299" s="15" t="s">
        <v>2460</v>
      </c>
      <c r="K299" s="15" t="s">
        <v>2468</v>
      </c>
      <c r="L299" s="15" t="s">
        <v>2469</v>
      </c>
      <c r="M299" s="15" t="s">
        <v>2437</v>
      </c>
      <c r="N299" s="15" t="s">
        <v>2438</v>
      </c>
      <c r="O299" s="15" t="s">
        <v>2464</v>
      </c>
      <c r="P299" s="15" t="s">
        <v>2465</v>
      </c>
      <c r="Q299" s="15" t="s">
        <v>2466</v>
      </c>
      <c r="R299" s="15" t="s">
        <v>2467</v>
      </c>
      <c r="CQ299" s="0" t="s">
        <v>4461</v>
      </c>
      <c r="CR299" s="0" t="s">
        <v>87</v>
      </c>
      <c r="CS299" s="0" t="s">
        <v>609</v>
      </c>
      <c r="CT299" s="0" t="s">
        <v>2663</v>
      </c>
      <c r="CU299" s="0" t="s">
        <v>90</v>
      </c>
      <c r="CV299" s="0" t="s">
        <v>239</v>
      </c>
      <c r="CW299" s="0" t="n">
        <v>96.15</v>
      </c>
      <c r="CX299" s="0" t="n">
        <v>1</v>
      </c>
      <c r="CY299" s="0" t="n">
        <v>1</v>
      </c>
      <c r="CZ299" s="0" t="n">
        <v>1</v>
      </c>
      <c r="DA299" s="0" t="n">
        <v>350</v>
      </c>
      <c r="DB299" s="0" t="n">
        <v>350</v>
      </c>
      <c r="DC299" s="0" t="n">
        <v>350</v>
      </c>
      <c r="DD299" s="0" t="n">
        <v>350</v>
      </c>
      <c r="DE299" s="0" t="n">
        <v>350</v>
      </c>
      <c r="DG299" s="0" t="s">
        <v>4462</v>
      </c>
      <c r="DH299" s="0" t="s">
        <v>82</v>
      </c>
      <c r="DJ299" s="0" t="s">
        <v>1113</v>
      </c>
      <c r="DK299" s="0" t="s">
        <v>674</v>
      </c>
      <c r="DL299" s="0" t="n">
        <v>3.85</v>
      </c>
      <c r="DM299" s="0" t="s">
        <v>675</v>
      </c>
      <c r="DN299" s="0" t="s">
        <v>675</v>
      </c>
      <c r="DO299" s="0" t="n">
        <v>0</v>
      </c>
      <c r="DP299" s="0" t="n">
        <v>0</v>
      </c>
      <c r="DQ299" s="0" t="n">
        <v>0</v>
      </c>
      <c r="DR299" s="0" t="s">
        <v>3428</v>
      </c>
      <c r="EB299" s="0" t="s">
        <v>4463</v>
      </c>
      <c r="EC299" s="0" t="s">
        <v>2873</v>
      </c>
      <c r="ED299" s="0" t="s">
        <v>2874</v>
      </c>
      <c r="EE299" s="0" t="s">
        <v>622</v>
      </c>
      <c r="EF299" s="0" t="s">
        <v>2567</v>
      </c>
      <c r="EG299" s="0" t="n">
        <v>945</v>
      </c>
      <c r="EH299" s="0" t="n">
        <v>1040</v>
      </c>
      <c r="EI299" s="0" t="n">
        <v>1040</v>
      </c>
      <c r="EJ299" s="0" t="n">
        <v>1195</v>
      </c>
      <c r="EL299" s="0" t="s">
        <v>4464</v>
      </c>
      <c r="EM299" s="0" t="s">
        <v>3045</v>
      </c>
      <c r="EN299" s="0" t="s">
        <v>3046</v>
      </c>
      <c r="EO299" s="0" t="n">
        <v>3</v>
      </c>
      <c r="EP299" s="0" t="s">
        <v>2528</v>
      </c>
      <c r="EQ299" s="0" t="s">
        <v>2665</v>
      </c>
      <c r="ER299" s="0" t="s">
        <v>2700</v>
      </c>
      <c r="ES299" s="0" t="n">
        <v>30000</v>
      </c>
      <c r="ET299" s="0" t="n">
        <v>30000</v>
      </c>
      <c r="EU299" s="0" t="n">
        <v>30000</v>
      </c>
      <c r="EV299" s="0" t="n">
        <v>30000</v>
      </c>
    </row>
    <row r="300" customFormat="false" ht="15" hidden="false" customHeight="false" outlineLevel="0" collapsed="false">
      <c r="J300" s="0" t="s">
        <v>2216</v>
      </c>
      <c r="K300" s="0" t="n">
        <v>0.5</v>
      </c>
      <c r="L300" s="0" t="s">
        <v>2528</v>
      </c>
      <c r="M300" s="0" t="s">
        <v>2529</v>
      </c>
      <c r="N300" s="0" t="s">
        <v>2530</v>
      </c>
      <c r="O300" s="0" t="n">
        <v>5940</v>
      </c>
      <c r="P300" s="0" t="n">
        <v>6540</v>
      </c>
      <c r="Q300" s="0" t="n">
        <v>7090</v>
      </c>
      <c r="R300" s="0" t="n">
        <v>7090</v>
      </c>
      <c r="CQ300" s="0" t="s">
        <v>4465</v>
      </c>
      <c r="CR300" s="0" t="s">
        <v>87</v>
      </c>
      <c r="CS300" s="0" t="s">
        <v>252</v>
      </c>
      <c r="CT300" s="0" t="s">
        <v>250</v>
      </c>
      <c r="CU300" s="0" t="s">
        <v>90</v>
      </c>
      <c r="CV300" s="0" t="s">
        <v>251</v>
      </c>
      <c r="CW300" s="0" t="n">
        <v>15.38</v>
      </c>
      <c r="CX300" s="0" t="n">
        <v>1</v>
      </c>
      <c r="CY300" s="0" t="n">
        <v>1</v>
      </c>
      <c r="CZ300" s="0" t="n">
        <v>1</v>
      </c>
      <c r="DA300" s="0" t="n">
        <v>890</v>
      </c>
      <c r="DB300" s="0" t="n">
        <v>890</v>
      </c>
      <c r="DC300" s="0" t="n">
        <v>890</v>
      </c>
      <c r="DD300" s="0" t="n">
        <v>890</v>
      </c>
      <c r="DE300" s="0" t="n">
        <v>890</v>
      </c>
      <c r="DG300" s="0" t="s">
        <v>4466</v>
      </c>
      <c r="DH300" s="0" t="s">
        <v>82</v>
      </c>
      <c r="DJ300" s="0" t="s">
        <v>1261</v>
      </c>
      <c r="DK300" s="0" t="s">
        <v>674</v>
      </c>
      <c r="DL300" s="0" t="n">
        <v>3.85</v>
      </c>
      <c r="DM300" s="0" t="s">
        <v>675</v>
      </c>
      <c r="DN300" s="0" t="s">
        <v>675</v>
      </c>
      <c r="DO300" s="0" t="n">
        <v>0</v>
      </c>
      <c r="DP300" s="0" t="n">
        <v>0</v>
      </c>
      <c r="DQ300" s="0" t="n">
        <v>0</v>
      </c>
      <c r="DR300" s="0" t="s">
        <v>3687</v>
      </c>
      <c r="EB300" s="0" t="s">
        <v>4467</v>
      </c>
      <c r="EC300" s="0" t="s">
        <v>2873</v>
      </c>
      <c r="ED300" s="0" t="s">
        <v>2874</v>
      </c>
      <c r="EE300" s="0" t="s">
        <v>620</v>
      </c>
      <c r="EF300" s="0" t="s">
        <v>2580</v>
      </c>
      <c r="EG300" s="0" t="n">
        <v>380</v>
      </c>
      <c r="EH300" s="0" t="n">
        <v>420</v>
      </c>
      <c r="EI300" s="0" t="n">
        <v>420</v>
      </c>
      <c r="EJ300" s="0" t="n">
        <v>485</v>
      </c>
      <c r="EL300" s="0" t="s">
        <v>4464</v>
      </c>
      <c r="EM300" s="0" t="s">
        <v>3045</v>
      </c>
      <c r="EN300" s="0" t="s">
        <v>3046</v>
      </c>
      <c r="EO300" s="0" t="n">
        <v>3</v>
      </c>
      <c r="EP300" s="0" t="s">
        <v>2528</v>
      </c>
      <c r="EQ300" s="0" t="s">
        <v>2699</v>
      </c>
      <c r="ER300" s="0" t="s">
        <v>2700</v>
      </c>
      <c r="ES300" s="0" t="n">
        <v>30000</v>
      </c>
      <c r="ET300" s="0" t="n">
        <v>30000</v>
      </c>
      <c r="EU300" s="0" t="n">
        <v>30000</v>
      </c>
      <c r="EV300" s="0" t="n">
        <v>30000</v>
      </c>
    </row>
    <row r="301" customFormat="false" ht="15" hidden="false" customHeight="false" outlineLevel="0" collapsed="false">
      <c r="J301" s="0" t="s">
        <v>2216</v>
      </c>
      <c r="K301" s="0" t="n">
        <v>0.5</v>
      </c>
      <c r="L301" s="0" t="s">
        <v>2552</v>
      </c>
      <c r="M301" s="0" t="s">
        <v>2553</v>
      </c>
      <c r="N301" s="0" t="s">
        <v>2554</v>
      </c>
      <c r="O301" s="0" t="n">
        <v>6230</v>
      </c>
      <c r="P301" s="0" t="n">
        <v>8220</v>
      </c>
      <c r="Q301" s="0" t="n">
        <v>8970</v>
      </c>
      <c r="R301" s="0" t="n">
        <v>8970</v>
      </c>
      <c r="CQ301" s="0" t="s">
        <v>4468</v>
      </c>
      <c r="CR301" s="0" t="s">
        <v>87</v>
      </c>
      <c r="CS301" s="0" t="s">
        <v>607</v>
      </c>
      <c r="CT301" s="0" t="s">
        <v>2680</v>
      </c>
      <c r="CU301" s="0" t="s">
        <v>90</v>
      </c>
      <c r="CV301" s="0" t="s">
        <v>242</v>
      </c>
      <c r="CW301" s="0" t="n">
        <v>100</v>
      </c>
      <c r="CX301" s="0" t="n">
        <v>2</v>
      </c>
      <c r="CY301" s="0" t="n">
        <v>2</v>
      </c>
      <c r="CZ301" s="0" t="n">
        <v>2</v>
      </c>
      <c r="DA301" s="0" t="n">
        <v>1700</v>
      </c>
      <c r="DB301" s="0" t="n">
        <v>850</v>
      </c>
      <c r="DC301" s="0" t="n">
        <v>850</v>
      </c>
      <c r="DD301" s="0" t="n">
        <v>850</v>
      </c>
      <c r="DE301" s="0" t="n">
        <v>850</v>
      </c>
      <c r="DG301" s="0" t="s">
        <v>4469</v>
      </c>
      <c r="DH301" s="0" t="s">
        <v>82</v>
      </c>
      <c r="DJ301" s="0" t="s">
        <v>874</v>
      </c>
      <c r="DK301" s="0" t="s">
        <v>674</v>
      </c>
      <c r="DL301" s="0" t="n">
        <v>3.85</v>
      </c>
      <c r="DM301" s="0" t="s">
        <v>675</v>
      </c>
      <c r="DN301" s="0" t="s">
        <v>675</v>
      </c>
      <c r="DO301" s="0" t="n">
        <v>0</v>
      </c>
      <c r="DP301" s="0" t="n">
        <v>0</v>
      </c>
      <c r="DQ301" s="0" t="n">
        <v>0</v>
      </c>
      <c r="DR301" s="0" t="s">
        <v>3064</v>
      </c>
      <c r="EB301" s="0" t="s">
        <v>4470</v>
      </c>
      <c r="EC301" s="0" t="s">
        <v>2873</v>
      </c>
      <c r="ED301" s="0" t="s">
        <v>2874</v>
      </c>
      <c r="EE301" s="0" t="s">
        <v>618</v>
      </c>
      <c r="EF301" s="0" t="s">
        <v>2596</v>
      </c>
      <c r="EG301" s="0" t="n">
        <v>200</v>
      </c>
      <c r="EH301" s="0" t="n">
        <v>220</v>
      </c>
      <c r="EI301" s="0" t="n">
        <v>220</v>
      </c>
      <c r="EJ301" s="0" t="n">
        <v>255</v>
      </c>
      <c r="EL301" s="0" t="s">
        <v>4471</v>
      </c>
      <c r="EM301" s="0" t="s">
        <v>3045</v>
      </c>
      <c r="EN301" s="0" t="s">
        <v>3046</v>
      </c>
      <c r="EO301" s="0" t="n">
        <v>3</v>
      </c>
      <c r="EP301" s="0" t="s">
        <v>2552</v>
      </c>
      <c r="EQ301" s="0" t="s">
        <v>2682</v>
      </c>
      <c r="ER301" s="0" t="s">
        <v>2716</v>
      </c>
      <c r="ES301" s="0" t="n">
        <v>59650</v>
      </c>
      <c r="ET301" s="0" t="n">
        <v>59650</v>
      </c>
      <c r="EU301" s="0" t="n">
        <v>59650</v>
      </c>
      <c r="EV301" s="0" t="n">
        <v>59650</v>
      </c>
    </row>
    <row r="302" customFormat="false" ht="15" hidden="false" customHeight="false" outlineLevel="0" collapsed="false">
      <c r="J302" s="0" t="s">
        <v>2216</v>
      </c>
      <c r="K302" s="0" t="n">
        <v>1</v>
      </c>
      <c r="L302" s="0" t="s">
        <v>2528</v>
      </c>
      <c r="M302" s="0" t="s">
        <v>2569</v>
      </c>
      <c r="N302" s="0" t="s">
        <v>2570</v>
      </c>
      <c r="O302" s="0" t="n">
        <v>11880</v>
      </c>
      <c r="P302" s="0" t="n">
        <v>13130</v>
      </c>
      <c r="Q302" s="0" t="n">
        <v>14180</v>
      </c>
      <c r="R302" s="0" t="n">
        <v>14180</v>
      </c>
      <c r="CQ302" s="0" t="s">
        <v>4472</v>
      </c>
      <c r="CR302" s="0" t="s">
        <v>87</v>
      </c>
      <c r="CS302" s="0" t="s">
        <v>229</v>
      </c>
      <c r="CT302" s="0" t="s">
        <v>227</v>
      </c>
      <c r="CU302" s="0" t="s">
        <v>90</v>
      </c>
      <c r="CV302" s="0" t="s">
        <v>228</v>
      </c>
      <c r="CW302" s="0" t="n">
        <v>57.69</v>
      </c>
      <c r="CX302" s="0" t="n">
        <v>5</v>
      </c>
      <c r="CY302" s="0" t="n">
        <v>5</v>
      </c>
      <c r="CZ302" s="0" t="n">
        <v>7</v>
      </c>
      <c r="DA302" s="0" t="n">
        <v>1690</v>
      </c>
      <c r="DB302" s="0" t="n">
        <v>270</v>
      </c>
      <c r="DC302" s="0" t="n">
        <v>300</v>
      </c>
      <c r="DD302" s="0" t="n">
        <v>330</v>
      </c>
      <c r="DE302" s="0" t="n">
        <v>350</v>
      </c>
      <c r="DG302" s="0" t="s">
        <v>4473</v>
      </c>
      <c r="DH302" s="0" t="s">
        <v>82</v>
      </c>
      <c r="DJ302" s="0" t="s">
        <v>1414</v>
      </c>
      <c r="DK302" s="0" t="s">
        <v>674</v>
      </c>
      <c r="DL302" s="0" t="n">
        <v>3.85</v>
      </c>
      <c r="DM302" s="0" t="s">
        <v>675</v>
      </c>
      <c r="DN302" s="0" t="s">
        <v>675</v>
      </c>
      <c r="DO302" s="0" t="n">
        <v>0</v>
      </c>
      <c r="DP302" s="0" t="n">
        <v>0</v>
      </c>
      <c r="DQ302" s="0" t="n">
        <v>0</v>
      </c>
      <c r="DR302" s="0" t="s">
        <v>3905</v>
      </c>
      <c r="EB302" s="0" t="s">
        <v>4474</v>
      </c>
      <c r="EC302" s="0" t="s">
        <v>2873</v>
      </c>
      <c r="ED302" s="0" t="s">
        <v>2874</v>
      </c>
      <c r="EE302" s="0" t="s">
        <v>616</v>
      </c>
      <c r="EF302" s="0" t="s">
        <v>2612</v>
      </c>
      <c r="EG302" s="0" t="n">
        <v>475</v>
      </c>
      <c r="EH302" s="0" t="n">
        <v>525</v>
      </c>
      <c r="EI302" s="0" t="n">
        <v>525</v>
      </c>
      <c r="EJ302" s="0" t="n">
        <v>605</v>
      </c>
      <c r="EL302" s="0" t="s">
        <v>4471</v>
      </c>
      <c r="EM302" s="0" t="s">
        <v>3045</v>
      </c>
      <c r="EN302" s="0" t="s">
        <v>3046</v>
      </c>
      <c r="EO302" s="0" t="n">
        <v>3</v>
      </c>
      <c r="EP302" s="0" t="s">
        <v>2552</v>
      </c>
      <c r="EQ302" s="0" t="s">
        <v>2715</v>
      </c>
      <c r="ER302" s="0" t="s">
        <v>2716</v>
      </c>
      <c r="ES302" s="0" t="n">
        <v>59650</v>
      </c>
      <c r="ET302" s="0" t="n">
        <v>59650</v>
      </c>
      <c r="EU302" s="0" t="n">
        <v>59650</v>
      </c>
      <c r="EV302" s="0" t="n">
        <v>59650</v>
      </c>
    </row>
    <row r="303" customFormat="false" ht="15" hidden="false" customHeight="false" outlineLevel="0" collapsed="false">
      <c r="J303" s="0" t="s">
        <v>2216</v>
      </c>
      <c r="K303" s="0" t="n">
        <v>1</v>
      </c>
      <c r="L303" s="0" t="s">
        <v>2552</v>
      </c>
      <c r="M303" s="0" t="s">
        <v>2582</v>
      </c>
      <c r="N303" s="0" t="s">
        <v>2583</v>
      </c>
      <c r="O303" s="0" t="n">
        <v>12460</v>
      </c>
      <c r="P303" s="0" t="n">
        <v>16450</v>
      </c>
      <c r="Q303" s="0" t="n">
        <v>17940</v>
      </c>
      <c r="R303" s="0" t="n">
        <v>17940</v>
      </c>
      <c r="CQ303" s="0" t="s">
        <v>4475</v>
      </c>
      <c r="CR303" s="0" t="s">
        <v>87</v>
      </c>
      <c r="CS303" s="0" t="s">
        <v>246</v>
      </c>
      <c r="CT303" s="0" t="s">
        <v>244</v>
      </c>
      <c r="CU303" s="0" t="s">
        <v>90</v>
      </c>
      <c r="CV303" s="0" t="s">
        <v>245</v>
      </c>
      <c r="CW303" s="0" t="n">
        <v>15.38</v>
      </c>
      <c r="CX303" s="0" t="n">
        <v>1</v>
      </c>
      <c r="CY303" s="0" t="n">
        <v>1.5</v>
      </c>
      <c r="CZ303" s="0" t="n">
        <v>2.25</v>
      </c>
      <c r="DA303" s="0" t="n">
        <v>1305</v>
      </c>
      <c r="DB303" s="0" t="n">
        <v>730</v>
      </c>
      <c r="DC303" s="0" t="n">
        <v>800</v>
      </c>
      <c r="DD303" s="0" t="n">
        <v>870</v>
      </c>
      <c r="DE303" s="0" t="n">
        <v>870</v>
      </c>
      <c r="DG303" s="0" t="s">
        <v>4476</v>
      </c>
      <c r="DH303" s="0" t="s">
        <v>82</v>
      </c>
      <c r="DJ303" s="0" t="s">
        <v>1219</v>
      </c>
      <c r="DK303" s="0" t="s">
        <v>674</v>
      </c>
      <c r="DL303" s="0" t="n">
        <v>3.85</v>
      </c>
      <c r="DM303" s="0" t="s">
        <v>675</v>
      </c>
      <c r="DN303" s="0" t="s">
        <v>675</v>
      </c>
      <c r="DO303" s="0" t="n">
        <v>0</v>
      </c>
      <c r="DP303" s="0" t="n">
        <v>0</v>
      </c>
      <c r="DQ303" s="0" t="n">
        <v>0</v>
      </c>
      <c r="DR303" s="0" t="s">
        <v>3611</v>
      </c>
      <c r="EB303" s="0" t="s">
        <v>4477</v>
      </c>
      <c r="EC303" s="0" t="s">
        <v>2873</v>
      </c>
      <c r="EE303" s="0" t="s">
        <v>614</v>
      </c>
      <c r="EL303" s="0" t="s">
        <v>4478</v>
      </c>
      <c r="EM303" s="0" t="s">
        <v>3045</v>
      </c>
      <c r="EN303" s="0" t="s">
        <v>3046</v>
      </c>
      <c r="EO303" s="0" t="n">
        <v>4</v>
      </c>
      <c r="EP303" s="0" t="s">
        <v>2528</v>
      </c>
      <c r="EQ303" s="0" t="s">
        <v>2730</v>
      </c>
      <c r="ER303" s="0" t="s">
        <v>2762</v>
      </c>
      <c r="ES303" s="0" t="n">
        <v>40000</v>
      </c>
      <c r="ET303" s="0" t="n">
        <v>40000</v>
      </c>
      <c r="EU303" s="0" t="n">
        <v>40000</v>
      </c>
      <c r="EV303" s="0" t="n">
        <v>40000</v>
      </c>
    </row>
    <row r="304" customFormat="false" ht="15" hidden="false" customHeight="false" outlineLevel="0" collapsed="false">
      <c r="J304" s="0" t="s">
        <v>2216</v>
      </c>
      <c r="K304" s="0" t="n">
        <v>1.5</v>
      </c>
      <c r="L304" s="0" t="s">
        <v>2528</v>
      </c>
      <c r="M304" s="0" t="s">
        <v>2598</v>
      </c>
      <c r="N304" s="0" t="s">
        <v>2599</v>
      </c>
      <c r="O304" s="0" t="n">
        <v>17720</v>
      </c>
      <c r="P304" s="0" t="n">
        <v>19570</v>
      </c>
      <c r="Q304" s="0" t="n">
        <v>21150</v>
      </c>
      <c r="R304" s="0" t="n">
        <v>21150</v>
      </c>
      <c r="CQ304" s="0" t="s">
        <v>4479</v>
      </c>
      <c r="CR304" s="0" t="s">
        <v>87</v>
      </c>
      <c r="CS304" s="0" t="s">
        <v>255</v>
      </c>
      <c r="CT304" s="0" t="s">
        <v>253</v>
      </c>
      <c r="CU304" s="0" t="s">
        <v>90</v>
      </c>
      <c r="CV304" s="0" t="s">
        <v>254</v>
      </c>
      <c r="CW304" s="0" t="n">
        <v>11.54</v>
      </c>
      <c r="CX304" s="0" t="n">
        <v>1</v>
      </c>
      <c r="CY304" s="0" t="n">
        <v>1</v>
      </c>
      <c r="CZ304" s="0" t="n">
        <v>1</v>
      </c>
      <c r="DA304" s="0" t="n">
        <v>980</v>
      </c>
      <c r="DB304" s="0" t="n">
        <v>980</v>
      </c>
      <c r="DC304" s="0" t="n">
        <v>1080</v>
      </c>
      <c r="DD304" s="0" t="n">
        <v>1170</v>
      </c>
      <c r="DE304" s="0" t="n">
        <v>1170</v>
      </c>
      <c r="DG304" s="0" t="s">
        <v>4480</v>
      </c>
      <c r="DH304" s="0" t="s">
        <v>82</v>
      </c>
      <c r="DJ304" s="0" t="s">
        <v>1305</v>
      </c>
      <c r="DK304" s="0" t="s">
        <v>674</v>
      </c>
      <c r="DL304" s="0" t="n">
        <v>3.85</v>
      </c>
      <c r="DM304" s="0" t="s">
        <v>675</v>
      </c>
      <c r="DN304" s="0" t="s">
        <v>675</v>
      </c>
      <c r="DO304" s="0" t="n">
        <v>0</v>
      </c>
      <c r="DP304" s="0" t="n">
        <v>0</v>
      </c>
      <c r="DQ304" s="0" t="n">
        <v>0</v>
      </c>
      <c r="DR304" s="0" t="s">
        <v>3755</v>
      </c>
      <c r="EB304" s="0" t="s">
        <v>4481</v>
      </c>
      <c r="EC304" s="0" t="s">
        <v>2873</v>
      </c>
      <c r="EE304" s="0" t="s">
        <v>612</v>
      </c>
      <c r="EL304" s="0" t="s">
        <v>4478</v>
      </c>
      <c r="EM304" s="0" t="s">
        <v>3045</v>
      </c>
      <c r="EN304" s="0" t="s">
        <v>3046</v>
      </c>
      <c r="EO304" s="0" t="n">
        <v>4</v>
      </c>
      <c r="EP304" s="0" t="s">
        <v>2528</v>
      </c>
      <c r="EQ304" s="0" t="s">
        <v>2761</v>
      </c>
      <c r="ER304" s="0" t="s">
        <v>2762</v>
      </c>
      <c r="ES304" s="0" t="n">
        <v>40000</v>
      </c>
      <c r="ET304" s="0" t="n">
        <v>40000</v>
      </c>
      <c r="EU304" s="0" t="n">
        <v>40000</v>
      </c>
      <c r="EV304" s="0" t="n">
        <v>40000</v>
      </c>
    </row>
    <row r="305" customFormat="false" ht="15" hidden="false" customHeight="false" outlineLevel="0" collapsed="false">
      <c r="J305" s="0" t="s">
        <v>2216</v>
      </c>
      <c r="K305" s="0" t="n">
        <v>1.5</v>
      </c>
      <c r="L305" s="0" t="s">
        <v>2552</v>
      </c>
      <c r="M305" s="0" t="s">
        <v>2614</v>
      </c>
      <c r="N305" s="0" t="s">
        <v>2615</v>
      </c>
      <c r="O305" s="0" t="n">
        <v>18570</v>
      </c>
      <c r="P305" s="0" t="n">
        <v>24510</v>
      </c>
      <c r="Q305" s="0" t="n">
        <v>26740</v>
      </c>
      <c r="R305" s="0" t="n">
        <v>26740</v>
      </c>
      <c r="CQ305" s="0" t="s">
        <v>4482</v>
      </c>
      <c r="CR305" s="0" t="s">
        <v>87</v>
      </c>
      <c r="CS305" s="0" t="s">
        <v>605</v>
      </c>
      <c r="CT305" s="0" t="s">
        <v>2697</v>
      </c>
      <c r="CU305" s="0" t="s">
        <v>90</v>
      </c>
      <c r="CV305" s="0" t="s">
        <v>3062</v>
      </c>
      <c r="CW305" s="0" t="n">
        <v>100</v>
      </c>
      <c r="CX305" s="0" t="n">
        <v>1</v>
      </c>
      <c r="CY305" s="0" t="n">
        <v>1</v>
      </c>
      <c r="CZ305" s="0" t="n">
        <v>1</v>
      </c>
      <c r="DA305" s="0" t="n">
        <v>930</v>
      </c>
      <c r="DB305" s="0" t="n">
        <v>930</v>
      </c>
      <c r="DC305" s="0" t="n">
        <v>930</v>
      </c>
      <c r="DD305" s="0" t="n">
        <v>930</v>
      </c>
      <c r="DE305" s="0" t="n">
        <v>930</v>
      </c>
      <c r="DG305" s="0" t="s">
        <v>4483</v>
      </c>
      <c r="DH305" s="0" t="s">
        <v>82</v>
      </c>
      <c r="DJ305" s="0" t="s">
        <v>1751</v>
      </c>
      <c r="DK305" s="0" t="s">
        <v>674</v>
      </c>
      <c r="DL305" s="0" t="n">
        <v>3.85</v>
      </c>
      <c r="DM305" s="0" t="s">
        <v>675</v>
      </c>
      <c r="DN305" s="0" t="s">
        <v>675</v>
      </c>
      <c r="DO305" s="0" t="n">
        <v>0</v>
      </c>
      <c r="DP305" s="0" t="n">
        <v>0</v>
      </c>
      <c r="DQ305" s="0" t="n">
        <v>0</v>
      </c>
      <c r="DR305" s="0" t="s">
        <v>4484</v>
      </c>
      <c r="EB305" s="0" t="s">
        <v>4485</v>
      </c>
      <c r="EC305" s="0" t="s">
        <v>2873</v>
      </c>
      <c r="ED305" s="0" t="s">
        <v>2874</v>
      </c>
      <c r="EE305" s="0" t="s">
        <v>609</v>
      </c>
      <c r="EF305" s="0" t="s">
        <v>2663</v>
      </c>
      <c r="EG305" s="0" t="n">
        <v>295</v>
      </c>
      <c r="EH305" s="0" t="n">
        <v>295</v>
      </c>
      <c r="EI305" s="0" t="n">
        <v>295</v>
      </c>
      <c r="EJ305" s="0" t="n">
        <v>295</v>
      </c>
      <c r="EL305" s="0" t="s">
        <v>4486</v>
      </c>
      <c r="EM305" s="0" t="s">
        <v>3045</v>
      </c>
      <c r="EN305" s="0" t="s">
        <v>3046</v>
      </c>
      <c r="EO305" s="0" t="n">
        <v>4</v>
      </c>
      <c r="EP305" s="0" t="s">
        <v>2552</v>
      </c>
      <c r="EQ305" s="0" t="s">
        <v>2747</v>
      </c>
      <c r="ER305" s="0" t="s">
        <v>2775</v>
      </c>
      <c r="ES305" s="0" t="n">
        <v>79150</v>
      </c>
      <c r="ET305" s="0" t="n">
        <v>79150</v>
      </c>
      <c r="EU305" s="0" t="n">
        <v>79150</v>
      </c>
      <c r="EV305" s="0" t="n">
        <v>79150</v>
      </c>
    </row>
    <row r="306" customFormat="false" ht="15" hidden="false" customHeight="false" outlineLevel="0" collapsed="false">
      <c r="J306" s="0" t="s">
        <v>2216</v>
      </c>
      <c r="K306" s="0" t="n">
        <v>2</v>
      </c>
      <c r="L306" s="0" t="s">
        <v>2528</v>
      </c>
      <c r="M306" s="0" t="s">
        <v>2630</v>
      </c>
      <c r="N306" s="0" t="s">
        <v>2631</v>
      </c>
      <c r="O306" s="0" t="n">
        <v>22890</v>
      </c>
      <c r="P306" s="0" t="n">
        <v>25290</v>
      </c>
      <c r="Q306" s="0" t="n">
        <v>27320</v>
      </c>
      <c r="R306" s="0" t="n">
        <v>27320</v>
      </c>
      <c r="CQ306" s="0" t="s">
        <v>4487</v>
      </c>
      <c r="CR306" s="0" t="s">
        <v>87</v>
      </c>
      <c r="CS306" s="0" t="s">
        <v>243</v>
      </c>
      <c r="CT306" s="0" t="s">
        <v>241</v>
      </c>
      <c r="CU306" s="0" t="s">
        <v>90</v>
      </c>
      <c r="CV306" s="0" t="s">
        <v>242</v>
      </c>
      <c r="CW306" s="0" t="n">
        <v>19.23</v>
      </c>
      <c r="CX306" s="0" t="n">
        <v>1</v>
      </c>
      <c r="CY306" s="0" t="n">
        <v>1</v>
      </c>
      <c r="CZ306" s="0" t="n">
        <v>1</v>
      </c>
      <c r="DA306" s="0" t="n">
        <v>1250</v>
      </c>
      <c r="DB306" s="0" t="n">
        <v>1250</v>
      </c>
      <c r="DC306" s="0" t="n">
        <v>1250</v>
      </c>
      <c r="DD306" s="0" t="n">
        <v>1250</v>
      </c>
      <c r="DE306" s="0" t="n">
        <v>1250</v>
      </c>
      <c r="DG306" s="0" t="s">
        <v>4488</v>
      </c>
      <c r="DH306" s="0" t="s">
        <v>82</v>
      </c>
      <c r="DJ306" s="0" t="s">
        <v>1226</v>
      </c>
      <c r="DK306" s="0" t="s">
        <v>674</v>
      </c>
      <c r="DL306" s="0" t="n">
        <v>3.85</v>
      </c>
      <c r="DM306" s="0" t="s">
        <v>675</v>
      </c>
      <c r="DN306" s="0" t="s">
        <v>675</v>
      </c>
      <c r="DO306" s="0" t="n">
        <v>0</v>
      </c>
      <c r="DP306" s="0" t="n">
        <v>0</v>
      </c>
      <c r="DQ306" s="0" t="n">
        <v>0</v>
      </c>
      <c r="DR306" s="0" t="s">
        <v>3623</v>
      </c>
      <c r="EB306" s="0" t="s">
        <v>4489</v>
      </c>
      <c r="EC306" s="0" t="s">
        <v>2873</v>
      </c>
      <c r="ED306" s="0" t="s">
        <v>2874</v>
      </c>
      <c r="EE306" s="0" t="s">
        <v>607</v>
      </c>
      <c r="EF306" s="0" t="s">
        <v>2680</v>
      </c>
      <c r="EG306" s="0" t="n">
        <v>1</v>
      </c>
      <c r="EH306" s="0" t="n">
        <v>1</v>
      </c>
      <c r="EI306" s="0" t="n">
        <v>1</v>
      </c>
      <c r="EJ306" s="0" t="n">
        <v>1</v>
      </c>
      <c r="EL306" s="0" t="s">
        <v>4486</v>
      </c>
      <c r="EM306" s="0" t="s">
        <v>3045</v>
      </c>
      <c r="EN306" s="0" t="s">
        <v>3046</v>
      </c>
      <c r="EO306" s="0" t="n">
        <v>4</v>
      </c>
      <c r="EP306" s="0" t="s">
        <v>2552</v>
      </c>
      <c r="EQ306" s="0" t="s">
        <v>2774</v>
      </c>
      <c r="ER306" s="0" t="s">
        <v>2775</v>
      </c>
      <c r="ES306" s="0" t="n">
        <v>79150</v>
      </c>
      <c r="ET306" s="0" t="n">
        <v>79150</v>
      </c>
      <c r="EU306" s="0" t="n">
        <v>79150</v>
      </c>
      <c r="EV306" s="0" t="n">
        <v>79150</v>
      </c>
    </row>
    <row r="307" customFormat="false" ht="15" hidden="false" customHeight="false" outlineLevel="0" collapsed="false">
      <c r="J307" s="0" t="s">
        <v>2216</v>
      </c>
      <c r="K307" s="0" t="n">
        <v>2</v>
      </c>
      <c r="L307" s="0" t="s">
        <v>2552</v>
      </c>
      <c r="M307" s="0" t="s">
        <v>2649</v>
      </c>
      <c r="N307" s="0" t="s">
        <v>2650</v>
      </c>
      <c r="O307" s="0" t="n">
        <v>23980</v>
      </c>
      <c r="P307" s="0" t="n">
        <v>31650</v>
      </c>
      <c r="Q307" s="0" t="n">
        <v>34530</v>
      </c>
      <c r="R307" s="0" t="n">
        <v>34530</v>
      </c>
      <c r="CQ307" s="0" t="s">
        <v>4490</v>
      </c>
      <c r="CR307" s="0" t="s">
        <v>87</v>
      </c>
      <c r="CS307" s="0" t="s">
        <v>599</v>
      </c>
      <c r="CT307" s="0" t="s">
        <v>2745</v>
      </c>
      <c r="CU307" s="0" t="s">
        <v>79</v>
      </c>
      <c r="CV307" s="0" t="s">
        <v>3081</v>
      </c>
      <c r="CW307" s="0" t="n">
        <v>100</v>
      </c>
      <c r="CX307" s="0" t="n">
        <v>2</v>
      </c>
      <c r="CY307" s="0" t="n">
        <v>2</v>
      </c>
      <c r="CZ307" s="0" t="n">
        <v>2</v>
      </c>
      <c r="DA307" s="0" t="n">
        <v>3000</v>
      </c>
      <c r="DB307" s="0" t="n">
        <v>1500</v>
      </c>
      <c r="DC307" s="0" t="n">
        <v>1500</v>
      </c>
      <c r="DD307" s="0" t="n">
        <v>1500</v>
      </c>
      <c r="DE307" s="0" t="n">
        <v>1500</v>
      </c>
      <c r="DG307" s="0" t="s">
        <v>4491</v>
      </c>
      <c r="DH307" s="0" t="s">
        <v>82</v>
      </c>
      <c r="DJ307" s="0" t="s">
        <v>859</v>
      </c>
      <c r="DK307" s="0" t="s">
        <v>674</v>
      </c>
      <c r="DL307" s="0" t="n">
        <v>3.85</v>
      </c>
      <c r="DM307" s="0" t="s">
        <v>675</v>
      </c>
      <c r="DN307" s="0" t="s">
        <v>675</v>
      </c>
      <c r="DO307" s="0" t="n">
        <v>0</v>
      </c>
      <c r="DP307" s="0" t="n">
        <v>0</v>
      </c>
      <c r="DQ307" s="0" t="n">
        <v>0</v>
      </c>
      <c r="DR307" s="0" t="s">
        <v>3032</v>
      </c>
      <c r="EB307" s="0" t="s">
        <v>4492</v>
      </c>
      <c r="EC307" s="0" t="s">
        <v>2873</v>
      </c>
      <c r="ED307" s="0" t="s">
        <v>2874</v>
      </c>
      <c r="EE307" s="0" t="s">
        <v>605</v>
      </c>
      <c r="EF307" s="0" t="s">
        <v>2697</v>
      </c>
      <c r="EG307" s="0" t="n">
        <v>600</v>
      </c>
      <c r="EH307" s="0" t="n">
        <v>600</v>
      </c>
      <c r="EI307" s="0" t="n">
        <v>600</v>
      </c>
      <c r="EJ307" s="0" t="n">
        <v>600</v>
      </c>
      <c r="EL307" s="0" t="s">
        <v>4493</v>
      </c>
      <c r="EM307" s="0" t="s">
        <v>3045</v>
      </c>
      <c r="EN307" s="0" t="s">
        <v>3046</v>
      </c>
      <c r="EO307" s="0" t="n">
        <v>5</v>
      </c>
      <c r="EP307" s="0" t="s">
        <v>2528</v>
      </c>
      <c r="EQ307" s="0" t="s">
        <v>2788</v>
      </c>
      <c r="ER307" s="0" t="s">
        <v>2818</v>
      </c>
      <c r="ES307" s="0" t="n">
        <v>50000</v>
      </c>
      <c r="ET307" s="0" t="n">
        <v>50000</v>
      </c>
      <c r="EU307" s="0" t="n">
        <v>50000</v>
      </c>
      <c r="EV307" s="0" t="n">
        <v>50000</v>
      </c>
    </row>
    <row r="308" customFormat="false" ht="15" hidden="false" customHeight="false" outlineLevel="0" collapsed="false">
      <c r="J308" s="0" t="s">
        <v>2216</v>
      </c>
      <c r="K308" s="0" t="n">
        <v>2.5</v>
      </c>
      <c r="L308" s="0" t="s">
        <v>2528</v>
      </c>
      <c r="M308" s="0" t="s">
        <v>2665</v>
      </c>
      <c r="N308" s="0" t="s">
        <v>2666</v>
      </c>
      <c r="O308" s="0" t="n">
        <v>27690</v>
      </c>
      <c r="P308" s="0" t="n">
        <v>30590</v>
      </c>
      <c r="Q308" s="0" t="n">
        <v>33050</v>
      </c>
      <c r="R308" s="0" t="n">
        <v>33050</v>
      </c>
      <c r="CQ308" s="0" t="s">
        <v>4494</v>
      </c>
      <c r="CR308" s="0" t="s">
        <v>87</v>
      </c>
      <c r="CS308" s="0" t="s">
        <v>597</v>
      </c>
      <c r="CT308" s="0" t="s">
        <v>2759</v>
      </c>
      <c r="CU308" s="0" t="s">
        <v>79</v>
      </c>
      <c r="CV308" s="0" t="s">
        <v>3081</v>
      </c>
      <c r="CW308" s="0" t="n">
        <v>100</v>
      </c>
      <c r="CX308" s="0" t="n">
        <v>2</v>
      </c>
      <c r="CY308" s="0" t="n">
        <v>2</v>
      </c>
      <c r="CZ308" s="0" t="n">
        <v>2</v>
      </c>
      <c r="DA308" s="0" t="n">
        <v>6000</v>
      </c>
      <c r="DB308" s="0" t="n">
        <v>3000</v>
      </c>
      <c r="DC308" s="0" t="n">
        <v>3000</v>
      </c>
      <c r="DD308" s="0" t="n">
        <v>3000</v>
      </c>
      <c r="DE308" s="0" t="n">
        <v>3000</v>
      </c>
      <c r="DG308" s="0" t="s">
        <v>4495</v>
      </c>
      <c r="DH308" s="0" t="s">
        <v>82</v>
      </c>
      <c r="DJ308" s="0" t="s">
        <v>693</v>
      </c>
      <c r="DK308" s="0" t="s">
        <v>674</v>
      </c>
      <c r="DL308" s="0" t="n">
        <v>3.85</v>
      </c>
      <c r="DM308" s="0" t="s">
        <v>675</v>
      </c>
      <c r="DN308" s="0" t="s">
        <v>675</v>
      </c>
      <c r="DO308" s="0" t="n">
        <v>0</v>
      </c>
      <c r="DP308" s="0" t="n">
        <v>0</v>
      </c>
      <c r="DQ308" s="0" t="n">
        <v>0</v>
      </c>
      <c r="DR308" s="0" t="s">
        <v>2575</v>
      </c>
      <c r="EB308" s="0" t="s">
        <v>4496</v>
      </c>
      <c r="EC308" s="0" t="s">
        <v>2873</v>
      </c>
      <c r="EE308" s="0" t="s">
        <v>629</v>
      </c>
      <c r="EL308" s="0" t="s">
        <v>4493</v>
      </c>
      <c r="EM308" s="0" t="s">
        <v>3045</v>
      </c>
      <c r="EN308" s="0" t="s">
        <v>3046</v>
      </c>
      <c r="EO308" s="0" t="n">
        <v>5</v>
      </c>
      <c r="EP308" s="0" t="s">
        <v>2528</v>
      </c>
      <c r="EQ308" s="0" t="s">
        <v>2817</v>
      </c>
      <c r="ER308" s="0" t="s">
        <v>2818</v>
      </c>
      <c r="ES308" s="0" t="n">
        <v>50000</v>
      </c>
      <c r="ET308" s="0" t="n">
        <v>50000</v>
      </c>
      <c r="EU308" s="0" t="n">
        <v>50000</v>
      </c>
      <c r="EV308" s="0" t="n">
        <v>50000</v>
      </c>
    </row>
    <row r="309" customFormat="false" ht="15" hidden="false" customHeight="false" outlineLevel="0" collapsed="false">
      <c r="J309" s="0" t="s">
        <v>2216</v>
      </c>
      <c r="K309" s="0" t="n">
        <v>2.5</v>
      </c>
      <c r="L309" s="0" t="s">
        <v>2552</v>
      </c>
      <c r="M309" s="0" t="s">
        <v>2682</v>
      </c>
      <c r="N309" s="0" t="s">
        <v>2683</v>
      </c>
      <c r="O309" s="0" t="n">
        <v>29000</v>
      </c>
      <c r="P309" s="0" t="n">
        <v>38280</v>
      </c>
      <c r="Q309" s="0" t="n">
        <v>41760</v>
      </c>
      <c r="R309" s="0" t="n">
        <v>41760</v>
      </c>
      <c r="CQ309" s="0" t="s">
        <v>4497</v>
      </c>
      <c r="CR309" s="0" t="s">
        <v>87</v>
      </c>
      <c r="CS309" s="0" t="s">
        <v>261</v>
      </c>
      <c r="CT309" s="0" t="s">
        <v>259</v>
      </c>
      <c r="CU309" s="0" t="s">
        <v>2266</v>
      </c>
      <c r="CV309" s="0" t="s">
        <v>260</v>
      </c>
      <c r="CW309" s="0" t="n">
        <v>11.54</v>
      </c>
      <c r="CX309" s="0" t="n">
        <v>1</v>
      </c>
      <c r="CY309" s="0" t="n">
        <v>1</v>
      </c>
      <c r="CZ309" s="0" t="n">
        <v>1</v>
      </c>
      <c r="DA309" s="0" t="n">
        <v>1020</v>
      </c>
      <c r="DB309" s="0" t="n">
        <v>860</v>
      </c>
      <c r="DC309" s="0" t="n">
        <v>950</v>
      </c>
      <c r="DD309" s="0" t="n">
        <v>1020</v>
      </c>
      <c r="DE309" s="0" t="n">
        <v>1020</v>
      </c>
      <c r="DG309" s="0" t="s">
        <v>4498</v>
      </c>
      <c r="DH309" s="0" t="s">
        <v>82</v>
      </c>
      <c r="DJ309" s="0" t="s">
        <v>960</v>
      </c>
      <c r="DK309" s="0" t="s">
        <v>674</v>
      </c>
      <c r="DL309" s="0" t="n">
        <v>3.85</v>
      </c>
      <c r="DM309" s="0" t="s">
        <v>675</v>
      </c>
      <c r="DN309" s="0" t="s">
        <v>675</v>
      </c>
      <c r="DO309" s="0" t="n">
        <v>0</v>
      </c>
      <c r="DP309" s="0" t="n">
        <v>0</v>
      </c>
      <c r="DQ309" s="0" t="n">
        <v>0</v>
      </c>
      <c r="DR309" s="0" t="s">
        <v>3186</v>
      </c>
      <c r="EB309" s="0" t="s">
        <v>4499</v>
      </c>
      <c r="EC309" s="0" t="s">
        <v>2873</v>
      </c>
      <c r="EE309" s="0" t="s">
        <v>602</v>
      </c>
      <c r="EL309" s="0" t="s">
        <v>4500</v>
      </c>
      <c r="EM309" s="0" t="s">
        <v>3045</v>
      </c>
      <c r="EN309" s="0" t="s">
        <v>3046</v>
      </c>
      <c r="EO309" s="0" t="n">
        <v>5</v>
      </c>
      <c r="EP309" s="0" t="s">
        <v>2552</v>
      </c>
      <c r="EQ309" s="0" t="s">
        <v>2803</v>
      </c>
      <c r="ER309" s="0" t="s">
        <v>2836</v>
      </c>
      <c r="ES309" s="0" t="n">
        <v>98500</v>
      </c>
      <c r="ET309" s="0" t="n">
        <v>98500</v>
      </c>
      <c r="EU309" s="0" t="n">
        <v>98500</v>
      </c>
      <c r="EV309" s="0" t="n">
        <v>98500</v>
      </c>
    </row>
    <row r="310" customFormat="false" ht="15" hidden="false" customHeight="false" outlineLevel="0" collapsed="false">
      <c r="J310" s="0" t="s">
        <v>2216</v>
      </c>
      <c r="K310" s="0" t="n">
        <v>3</v>
      </c>
      <c r="L310" s="0" t="s">
        <v>2528</v>
      </c>
      <c r="M310" s="0" t="s">
        <v>2699</v>
      </c>
      <c r="N310" s="0" t="s">
        <v>2700</v>
      </c>
      <c r="O310" s="0" t="n">
        <v>32090</v>
      </c>
      <c r="P310" s="0" t="n">
        <v>35440</v>
      </c>
      <c r="Q310" s="0" t="n">
        <v>38310</v>
      </c>
      <c r="R310" s="0" t="n">
        <v>38310</v>
      </c>
      <c r="CQ310" s="0" t="s">
        <v>4501</v>
      </c>
      <c r="CR310" s="0" t="s">
        <v>87</v>
      </c>
      <c r="CS310" s="0" t="s">
        <v>584</v>
      </c>
      <c r="CT310" s="0" t="s">
        <v>583</v>
      </c>
      <c r="CU310" s="0" t="s">
        <v>3111</v>
      </c>
      <c r="CV310" s="0" t="s">
        <v>3112</v>
      </c>
      <c r="CW310" s="0" t="n">
        <v>100</v>
      </c>
      <c r="CX310" s="0" t="n">
        <v>1</v>
      </c>
      <c r="CY310" s="0" t="n">
        <v>1</v>
      </c>
      <c r="CZ310" s="0" t="n">
        <v>1</v>
      </c>
      <c r="DA310" s="0" t="n">
        <v>100000</v>
      </c>
      <c r="DB310" s="0" t="n">
        <v>100000</v>
      </c>
      <c r="DC310" s="0" t="n">
        <v>100000</v>
      </c>
      <c r="DD310" s="0" t="n">
        <v>100000</v>
      </c>
      <c r="DE310" s="0" t="n">
        <v>100000</v>
      </c>
      <c r="DG310" s="0" t="s">
        <v>4502</v>
      </c>
      <c r="DH310" s="0" t="s">
        <v>82</v>
      </c>
      <c r="DJ310" s="0" t="s">
        <v>1432</v>
      </c>
      <c r="DK310" s="0" t="s">
        <v>674</v>
      </c>
      <c r="DL310" s="0" t="n">
        <v>3.85</v>
      </c>
      <c r="DM310" s="0" t="s">
        <v>675</v>
      </c>
      <c r="DN310" s="0" t="s">
        <v>675</v>
      </c>
      <c r="DO310" s="0" t="n">
        <v>0</v>
      </c>
      <c r="DP310" s="0" t="n">
        <v>0</v>
      </c>
      <c r="DQ310" s="0" t="n">
        <v>0</v>
      </c>
      <c r="DR310" s="0" t="s">
        <v>3930</v>
      </c>
      <c r="EB310" s="0" t="s">
        <v>4503</v>
      </c>
      <c r="EC310" s="0" t="s">
        <v>2873</v>
      </c>
      <c r="ED310" s="0" t="s">
        <v>2874</v>
      </c>
      <c r="EE310" s="0" t="s">
        <v>599</v>
      </c>
      <c r="EF310" s="0" t="s">
        <v>2745</v>
      </c>
      <c r="EG310" s="0" t="n">
        <v>1</v>
      </c>
      <c r="EH310" s="0" t="n">
        <v>1</v>
      </c>
      <c r="EI310" s="0" t="n">
        <v>1</v>
      </c>
      <c r="EJ310" s="0" t="n">
        <v>1</v>
      </c>
      <c r="EL310" s="0" t="s">
        <v>4500</v>
      </c>
      <c r="EM310" s="0" t="s">
        <v>3045</v>
      </c>
      <c r="EN310" s="0" t="s">
        <v>3046</v>
      </c>
      <c r="EO310" s="0" t="n">
        <v>5</v>
      </c>
      <c r="EP310" s="0" t="s">
        <v>2552</v>
      </c>
      <c r="EQ310" s="0" t="s">
        <v>2835</v>
      </c>
      <c r="ER310" s="0" t="s">
        <v>2836</v>
      </c>
      <c r="ES310" s="0" t="n">
        <v>98500</v>
      </c>
      <c r="ET310" s="0" t="n">
        <v>98500</v>
      </c>
      <c r="EU310" s="0" t="n">
        <v>98500</v>
      </c>
      <c r="EV310" s="0" t="n">
        <v>98500</v>
      </c>
    </row>
    <row r="311" customFormat="false" ht="15" hidden="false" customHeight="false" outlineLevel="0" collapsed="false">
      <c r="J311" s="0" t="s">
        <v>2216</v>
      </c>
      <c r="K311" s="0" t="n">
        <v>3</v>
      </c>
      <c r="L311" s="0" t="s">
        <v>2552</v>
      </c>
      <c r="M311" s="0" t="s">
        <v>2715</v>
      </c>
      <c r="N311" s="0" t="s">
        <v>2716</v>
      </c>
      <c r="O311" s="0" t="n">
        <v>33630</v>
      </c>
      <c r="P311" s="0" t="n">
        <v>44390</v>
      </c>
      <c r="Q311" s="0" t="n">
        <v>48430</v>
      </c>
      <c r="R311" s="0" t="n">
        <v>48430</v>
      </c>
      <c r="CQ311" s="0" t="s">
        <v>4504</v>
      </c>
      <c r="CR311" s="0" t="s">
        <v>87</v>
      </c>
      <c r="CS311" s="0" t="s">
        <v>575</v>
      </c>
      <c r="CT311" s="0" t="s">
        <v>573</v>
      </c>
      <c r="CU311" s="0" t="s">
        <v>3111</v>
      </c>
      <c r="CV311" s="0" t="s">
        <v>3119</v>
      </c>
      <c r="CW311" s="0" t="n">
        <v>100</v>
      </c>
      <c r="CX311" s="0" t="n">
        <v>1</v>
      </c>
      <c r="CY311" s="0" t="n">
        <v>1</v>
      </c>
      <c r="CZ311" s="0" t="n">
        <v>1</v>
      </c>
      <c r="DA311" s="0" t="n">
        <v>2000</v>
      </c>
      <c r="DB311" s="0" t="n">
        <v>2000</v>
      </c>
      <c r="DC311" s="0" t="n">
        <v>2000</v>
      </c>
      <c r="DD311" s="0" t="n">
        <v>2000</v>
      </c>
      <c r="DE311" s="0" t="n">
        <v>2000</v>
      </c>
      <c r="DG311" s="0" t="s">
        <v>4505</v>
      </c>
      <c r="DH311" s="0" t="s">
        <v>82</v>
      </c>
      <c r="DJ311" s="0" t="s">
        <v>1752</v>
      </c>
      <c r="DK311" s="0" t="s">
        <v>674</v>
      </c>
      <c r="DL311" s="0" t="n">
        <v>3.85</v>
      </c>
      <c r="DM311" s="0" t="s">
        <v>675</v>
      </c>
      <c r="DN311" s="0" t="s">
        <v>675</v>
      </c>
      <c r="DO311" s="0" t="n">
        <v>0</v>
      </c>
      <c r="DP311" s="0" t="n">
        <v>0</v>
      </c>
      <c r="DQ311" s="0" t="n">
        <v>0</v>
      </c>
      <c r="DR311" s="0" t="s">
        <v>4506</v>
      </c>
      <c r="EB311" s="0" t="s">
        <v>4507</v>
      </c>
      <c r="EC311" s="0" t="s">
        <v>2873</v>
      </c>
      <c r="ED311" s="0" t="s">
        <v>2874</v>
      </c>
      <c r="EE311" s="0" t="s">
        <v>597</v>
      </c>
      <c r="EF311" s="0" t="s">
        <v>3308</v>
      </c>
      <c r="EG311" s="0" t="n">
        <v>1000</v>
      </c>
      <c r="EH311" s="0" t="n">
        <v>1000</v>
      </c>
      <c r="EI311" s="0" t="n">
        <v>1000</v>
      </c>
      <c r="EJ311" s="0" t="n">
        <v>1000</v>
      </c>
      <c r="EL311" s="0" t="s">
        <v>4508</v>
      </c>
      <c r="EM311" s="0" t="s">
        <v>3045</v>
      </c>
      <c r="EN311" s="0" t="s">
        <v>3046</v>
      </c>
      <c r="EO311" s="0" t="n">
        <v>6</v>
      </c>
      <c r="EP311" s="0" t="s">
        <v>2528</v>
      </c>
      <c r="EQ311" s="0" t="s">
        <v>2848</v>
      </c>
      <c r="ER311" s="0" t="s">
        <v>2878</v>
      </c>
      <c r="ES311" s="0" t="n">
        <v>60000</v>
      </c>
      <c r="ET311" s="0" t="n">
        <v>60000</v>
      </c>
      <c r="EU311" s="0" t="n">
        <v>60000</v>
      </c>
      <c r="EV311" s="0" t="n">
        <v>60000</v>
      </c>
    </row>
    <row r="312" customFormat="false" ht="15" hidden="false" customHeight="false" outlineLevel="0" collapsed="false">
      <c r="J312" s="0" t="s">
        <v>2216</v>
      </c>
      <c r="K312" s="0" t="n">
        <v>3.5</v>
      </c>
      <c r="L312" s="0" t="s">
        <v>2528</v>
      </c>
      <c r="M312" s="0" t="s">
        <v>2730</v>
      </c>
      <c r="N312" s="0" t="s">
        <v>2731</v>
      </c>
      <c r="O312" s="0" t="n">
        <v>36170</v>
      </c>
      <c r="P312" s="0" t="n">
        <v>39970</v>
      </c>
      <c r="Q312" s="0" t="n">
        <v>43170</v>
      </c>
      <c r="R312" s="0" t="n">
        <v>43170</v>
      </c>
      <c r="CQ312" s="0" t="s">
        <v>4509</v>
      </c>
      <c r="CR312" s="0" t="s">
        <v>87</v>
      </c>
      <c r="CS312" s="0" t="s">
        <v>562</v>
      </c>
      <c r="CT312" s="0" t="s">
        <v>2986</v>
      </c>
      <c r="CU312" s="0" t="s">
        <v>79</v>
      </c>
      <c r="CV312" s="0" t="s">
        <v>3126</v>
      </c>
      <c r="CW312" s="0" t="n">
        <v>100</v>
      </c>
      <c r="CX312" s="0" t="n">
        <v>3</v>
      </c>
      <c r="CY312" s="0" t="n">
        <v>3</v>
      </c>
      <c r="CZ312" s="0" t="n">
        <v>4</v>
      </c>
      <c r="DA312" s="0" t="n">
        <v>3600</v>
      </c>
      <c r="DB312" s="0" t="n">
        <v>550</v>
      </c>
      <c r="DC312" s="0" t="n">
        <v>850</v>
      </c>
      <c r="DD312" s="0" t="n">
        <v>1200</v>
      </c>
      <c r="DE312" s="0" t="n">
        <v>1200</v>
      </c>
      <c r="DG312" s="0" t="s">
        <v>4510</v>
      </c>
      <c r="DH312" s="0" t="s">
        <v>82</v>
      </c>
      <c r="DJ312" s="0" t="s">
        <v>1131</v>
      </c>
      <c r="DK312" s="0" t="s">
        <v>674</v>
      </c>
      <c r="DL312" s="0" t="n">
        <v>3.85</v>
      </c>
      <c r="DM312" s="0" t="s">
        <v>675</v>
      </c>
      <c r="DN312" s="0" t="s">
        <v>675</v>
      </c>
      <c r="DO312" s="0" t="n">
        <v>0</v>
      </c>
      <c r="DP312" s="0" t="n">
        <v>0</v>
      </c>
      <c r="DQ312" s="0" t="n">
        <v>0</v>
      </c>
      <c r="DR312" s="0" t="s">
        <v>3452</v>
      </c>
      <c r="EB312" s="0" t="s">
        <v>4511</v>
      </c>
      <c r="EC312" s="0" t="s">
        <v>2873</v>
      </c>
      <c r="ED312" s="0" t="s">
        <v>2874</v>
      </c>
      <c r="EE312" s="0" t="s">
        <v>2699</v>
      </c>
      <c r="EF312" s="0" t="s">
        <v>2700</v>
      </c>
      <c r="EG312" s="0" t="n">
        <v>24000</v>
      </c>
      <c r="EH312" s="0" t="n">
        <v>24000</v>
      </c>
      <c r="EI312" s="0" t="n">
        <v>24000</v>
      </c>
      <c r="EJ312" s="0" t="n">
        <v>24000</v>
      </c>
      <c r="EL312" s="0" t="s">
        <v>4508</v>
      </c>
      <c r="EM312" s="0" t="s">
        <v>3045</v>
      </c>
      <c r="EN312" s="0" t="s">
        <v>3046</v>
      </c>
      <c r="EO312" s="0" t="n">
        <v>6</v>
      </c>
      <c r="EP312" s="0" t="s">
        <v>2528</v>
      </c>
      <c r="EQ312" s="0" t="s">
        <v>2877</v>
      </c>
      <c r="ER312" s="0" t="s">
        <v>2878</v>
      </c>
      <c r="ES312" s="0" t="n">
        <v>60000</v>
      </c>
      <c r="ET312" s="0" t="n">
        <v>60000</v>
      </c>
      <c r="EU312" s="0" t="n">
        <v>60000</v>
      </c>
      <c r="EV312" s="0" t="n">
        <v>60000</v>
      </c>
    </row>
    <row r="313" customFormat="false" ht="15" hidden="false" customHeight="false" outlineLevel="0" collapsed="false">
      <c r="J313" s="0" t="s">
        <v>2216</v>
      </c>
      <c r="K313" s="0" t="n">
        <v>3.5</v>
      </c>
      <c r="L313" s="0" t="s">
        <v>2552</v>
      </c>
      <c r="M313" s="0" t="s">
        <v>2747</v>
      </c>
      <c r="N313" s="0" t="s">
        <v>2748</v>
      </c>
      <c r="O313" s="0" t="n">
        <v>37860</v>
      </c>
      <c r="P313" s="0" t="n">
        <v>49980</v>
      </c>
      <c r="Q313" s="0" t="n">
        <v>54520</v>
      </c>
      <c r="R313" s="0" t="n">
        <v>54520</v>
      </c>
      <c r="CQ313" s="0" t="s">
        <v>4512</v>
      </c>
      <c r="CR313" s="0" t="s">
        <v>87</v>
      </c>
      <c r="CS313" s="0" t="s">
        <v>602</v>
      </c>
      <c r="CT313" s="0" t="s">
        <v>2728</v>
      </c>
      <c r="CU313" s="0" t="s">
        <v>79</v>
      </c>
      <c r="CV313" s="0" t="s">
        <v>600</v>
      </c>
      <c r="CW313" s="0" t="n">
        <v>100</v>
      </c>
      <c r="CX313" s="0" t="n">
        <v>3</v>
      </c>
      <c r="CY313" s="0" t="n">
        <v>3</v>
      </c>
      <c r="CZ313" s="0" t="n">
        <v>4</v>
      </c>
      <c r="DA313" s="0" t="n">
        <v>1050</v>
      </c>
      <c r="DB313" s="0" t="n">
        <v>350</v>
      </c>
      <c r="DC313" s="0" t="n">
        <v>350</v>
      </c>
      <c r="DD313" s="0" t="n">
        <v>350</v>
      </c>
      <c r="DE313" s="0" t="n">
        <v>350</v>
      </c>
      <c r="DG313" s="0" t="s">
        <v>4513</v>
      </c>
      <c r="DH313" s="0" t="s">
        <v>82</v>
      </c>
      <c r="DI313" s="0" t="s">
        <v>1753</v>
      </c>
      <c r="DJ313" s="0" t="s">
        <v>1754</v>
      </c>
      <c r="DK313" s="0" t="s">
        <v>674</v>
      </c>
      <c r="DL313" s="0" t="n">
        <v>3.85</v>
      </c>
      <c r="DM313" s="0" t="s">
        <v>676</v>
      </c>
      <c r="DN313" s="0" t="s">
        <v>675</v>
      </c>
      <c r="DO313" s="0" t="n">
        <v>0</v>
      </c>
      <c r="DP313" s="0" t="n">
        <v>0</v>
      </c>
      <c r="DQ313" s="0" t="n">
        <v>2.66</v>
      </c>
      <c r="DR313" s="0" t="s">
        <v>4514</v>
      </c>
      <c r="EB313" s="0" t="s">
        <v>4515</v>
      </c>
      <c r="EC313" s="0" t="s">
        <v>2873</v>
      </c>
      <c r="EE313" s="0" t="s">
        <v>590</v>
      </c>
      <c r="EL313" s="0" t="s">
        <v>4516</v>
      </c>
      <c r="EM313" s="0" t="s">
        <v>3045</v>
      </c>
      <c r="EN313" s="0" t="s">
        <v>3046</v>
      </c>
      <c r="EO313" s="0" t="n">
        <v>6</v>
      </c>
      <c r="EP313" s="0" t="s">
        <v>2552</v>
      </c>
      <c r="EQ313" s="0" t="s">
        <v>2862</v>
      </c>
      <c r="ER313" s="0" t="s">
        <v>2892</v>
      </c>
      <c r="ES313" s="0" t="n">
        <v>117450</v>
      </c>
      <c r="ET313" s="0" t="n">
        <v>117450</v>
      </c>
      <c r="EU313" s="0" t="n">
        <v>117450</v>
      </c>
      <c r="EV313" s="0" t="n">
        <v>117450</v>
      </c>
    </row>
    <row r="314" customFormat="false" ht="15" hidden="false" customHeight="false" outlineLevel="0" collapsed="false">
      <c r="J314" s="0" t="s">
        <v>2216</v>
      </c>
      <c r="K314" s="0" t="n">
        <v>4</v>
      </c>
      <c r="L314" s="0" t="s">
        <v>2528</v>
      </c>
      <c r="M314" s="0" t="s">
        <v>2761</v>
      </c>
      <c r="N314" s="0" t="s">
        <v>2762</v>
      </c>
      <c r="O314" s="0" t="n">
        <v>39780</v>
      </c>
      <c r="P314" s="0" t="n">
        <v>43930</v>
      </c>
      <c r="Q314" s="0" t="n">
        <v>47480</v>
      </c>
      <c r="R314" s="0" t="n">
        <v>47480</v>
      </c>
      <c r="CQ314" s="0" t="s">
        <v>4517</v>
      </c>
      <c r="CR314" s="0" t="s">
        <v>87</v>
      </c>
      <c r="CS314" s="0" t="s">
        <v>567</v>
      </c>
      <c r="CT314" s="0" t="s">
        <v>2959</v>
      </c>
      <c r="CU314" s="0" t="s">
        <v>79</v>
      </c>
      <c r="CV314" s="0" t="s">
        <v>3139</v>
      </c>
      <c r="CW314" s="0" t="n">
        <v>100</v>
      </c>
      <c r="CX314" s="0" t="n">
        <v>1</v>
      </c>
      <c r="CY314" s="0" t="n">
        <v>2</v>
      </c>
      <c r="CZ314" s="0" t="n">
        <v>2</v>
      </c>
      <c r="DA314" s="0" t="n">
        <v>2500</v>
      </c>
      <c r="DB314" s="0" t="n">
        <v>1250</v>
      </c>
      <c r="DC314" s="0" t="n">
        <v>1250</v>
      </c>
      <c r="DD314" s="0" t="n">
        <v>1250</v>
      </c>
      <c r="DE314" s="0" t="n">
        <v>1250</v>
      </c>
      <c r="DG314" s="0" t="s">
        <v>4518</v>
      </c>
      <c r="DH314" s="0" t="s">
        <v>82</v>
      </c>
      <c r="DI314" s="0" t="s">
        <v>1755</v>
      </c>
      <c r="DJ314" s="0" t="s">
        <v>1756</v>
      </c>
      <c r="DK314" s="0" t="s">
        <v>674</v>
      </c>
      <c r="DL314" s="0" t="n">
        <v>3.85</v>
      </c>
      <c r="DM314" s="0" t="s">
        <v>676</v>
      </c>
      <c r="DN314" s="0" t="s">
        <v>675</v>
      </c>
      <c r="DO314" s="0" t="n">
        <v>0</v>
      </c>
      <c r="DP314" s="0" t="n">
        <v>0</v>
      </c>
      <c r="DQ314" s="0" t="n">
        <v>1.57</v>
      </c>
      <c r="DR314" s="0" t="s">
        <v>4519</v>
      </c>
      <c r="EB314" s="0" t="s">
        <v>4520</v>
      </c>
      <c r="EC314" s="0" t="s">
        <v>2873</v>
      </c>
      <c r="ED314" s="0" t="s">
        <v>2874</v>
      </c>
      <c r="EE314" s="0" t="s">
        <v>588</v>
      </c>
      <c r="EF314" s="0" t="s">
        <v>2801</v>
      </c>
      <c r="EG314" s="0" t="n">
        <v>1</v>
      </c>
      <c r="EH314" s="0" t="n">
        <v>1</v>
      </c>
      <c r="EI314" s="0" t="n">
        <v>1</v>
      </c>
      <c r="EJ314" s="0" t="n">
        <v>1</v>
      </c>
      <c r="EL314" s="0" t="s">
        <v>4516</v>
      </c>
      <c r="EM314" s="0" t="s">
        <v>3045</v>
      </c>
      <c r="EN314" s="0" t="s">
        <v>3046</v>
      </c>
      <c r="EO314" s="0" t="n">
        <v>6</v>
      </c>
      <c r="EP314" s="0" t="s">
        <v>2552</v>
      </c>
      <c r="EQ314" s="0" t="s">
        <v>2891</v>
      </c>
      <c r="ER314" s="0" t="s">
        <v>2892</v>
      </c>
      <c r="ES314" s="0" t="n">
        <v>117450</v>
      </c>
      <c r="ET314" s="0" t="n">
        <v>117450</v>
      </c>
      <c r="EU314" s="0" t="n">
        <v>117450</v>
      </c>
      <c r="EV314" s="0" t="n">
        <v>117450</v>
      </c>
    </row>
    <row r="315" customFormat="false" ht="15" hidden="false" customHeight="false" outlineLevel="0" collapsed="false">
      <c r="J315" s="0" t="s">
        <v>2216</v>
      </c>
      <c r="K315" s="0" t="n">
        <v>4</v>
      </c>
      <c r="L315" s="0" t="s">
        <v>2552</v>
      </c>
      <c r="M315" s="0" t="s">
        <v>2774</v>
      </c>
      <c r="N315" s="0" t="s">
        <v>2775</v>
      </c>
      <c r="O315" s="0" t="n">
        <v>41710</v>
      </c>
      <c r="P315" s="0" t="n">
        <v>55060</v>
      </c>
      <c r="Q315" s="0" t="n">
        <v>60060</v>
      </c>
      <c r="R315" s="0" t="n">
        <v>60060</v>
      </c>
      <c r="CQ315" s="0" t="s">
        <v>4521</v>
      </c>
      <c r="CR315" s="0" t="s">
        <v>87</v>
      </c>
      <c r="CS315" s="0" t="s">
        <v>590</v>
      </c>
      <c r="CT315" s="0" t="s">
        <v>2786</v>
      </c>
      <c r="CU315" s="0" t="s">
        <v>3111</v>
      </c>
      <c r="CV315" s="0" t="s">
        <v>3146</v>
      </c>
      <c r="CW315" s="0" t="n">
        <v>100</v>
      </c>
      <c r="CX315" s="0" t="n">
        <v>1</v>
      </c>
      <c r="CY315" s="0" t="n">
        <v>1</v>
      </c>
      <c r="CZ315" s="0" t="n">
        <v>1</v>
      </c>
      <c r="DA315" s="0" t="n">
        <v>3020</v>
      </c>
      <c r="DB315" s="0" t="n">
        <v>3020</v>
      </c>
      <c r="DC315" s="0" t="n">
        <v>3020</v>
      </c>
      <c r="DD315" s="0" t="n">
        <v>3020</v>
      </c>
      <c r="DE315" s="0" t="n">
        <v>3020</v>
      </c>
      <c r="DG315" s="0" t="s">
        <v>4522</v>
      </c>
      <c r="DH315" s="0" t="s">
        <v>82</v>
      </c>
      <c r="DI315" s="0" t="s">
        <v>1758</v>
      </c>
      <c r="DJ315" s="0" t="s">
        <v>1759</v>
      </c>
      <c r="DK315" s="0" t="s">
        <v>674</v>
      </c>
      <c r="DL315" s="0" t="n">
        <v>3.85</v>
      </c>
      <c r="DM315" s="0" t="s">
        <v>675</v>
      </c>
      <c r="DN315" s="0" t="s">
        <v>676</v>
      </c>
      <c r="DO315" s="0" t="n">
        <v>5</v>
      </c>
      <c r="DP315" s="0" t="n">
        <v>5445</v>
      </c>
      <c r="DQ315" s="0" t="n">
        <v>5445</v>
      </c>
      <c r="DR315" s="0" t="s">
        <v>4523</v>
      </c>
      <c r="EB315" s="0" t="s">
        <v>4524</v>
      </c>
      <c r="EC315" s="0" t="s">
        <v>2873</v>
      </c>
      <c r="ED315" s="0" t="s">
        <v>2874</v>
      </c>
      <c r="EE315" s="0" t="s">
        <v>586</v>
      </c>
      <c r="EF315" s="0" t="s">
        <v>2815</v>
      </c>
      <c r="EG315" s="0" t="n">
        <v>1</v>
      </c>
      <c r="EH315" s="0" t="n">
        <v>1</v>
      </c>
      <c r="EI315" s="0" t="n">
        <v>1</v>
      </c>
      <c r="EJ315" s="0" t="n">
        <v>1</v>
      </c>
      <c r="EL315" s="0" t="s">
        <v>4525</v>
      </c>
      <c r="EM315" s="0" t="s">
        <v>3045</v>
      </c>
      <c r="EN315" s="0" t="s">
        <v>3046</v>
      </c>
      <c r="EO315" s="0" t="n">
        <v>7</v>
      </c>
      <c r="EP315" s="0" t="s">
        <v>2528</v>
      </c>
      <c r="EQ315" s="0" t="s">
        <v>2904</v>
      </c>
      <c r="ER315" s="0" t="s">
        <v>2936</v>
      </c>
      <c r="ES315" s="0" t="n">
        <v>70000</v>
      </c>
      <c r="ET315" s="0" t="n">
        <v>70000</v>
      </c>
      <c r="EU315" s="0" t="n">
        <v>70000</v>
      </c>
      <c r="EV315" s="0" t="n">
        <v>70000</v>
      </c>
    </row>
    <row r="316" customFormat="false" ht="15" hidden="false" customHeight="false" outlineLevel="0" collapsed="false">
      <c r="J316" s="0" t="s">
        <v>2216</v>
      </c>
      <c r="K316" s="0" t="n">
        <v>4.5</v>
      </c>
      <c r="L316" s="0" t="s">
        <v>2528</v>
      </c>
      <c r="M316" s="0" t="s">
        <v>2788</v>
      </c>
      <c r="N316" s="0" t="s">
        <v>2789</v>
      </c>
      <c r="O316" s="0" t="n">
        <v>43090</v>
      </c>
      <c r="P316" s="0" t="n">
        <v>47590</v>
      </c>
      <c r="Q316" s="0" t="n">
        <v>51430</v>
      </c>
      <c r="R316" s="0" t="n">
        <v>51430</v>
      </c>
      <c r="CQ316" s="0" t="s">
        <v>4526</v>
      </c>
      <c r="CR316" s="0" t="s">
        <v>87</v>
      </c>
      <c r="CS316" s="0" t="s">
        <v>588</v>
      </c>
      <c r="CT316" s="0" t="s">
        <v>2801</v>
      </c>
      <c r="CU316" s="0" t="s">
        <v>3111</v>
      </c>
      <c r="CV316" s="0" t="s">
        <v>587</v>
      </c>
      <c r="CW316" s="0" t="n">
        <v>100</v>
      </c>
      <c r="CX316" s="0" t="n">
        <v>1</v>
      </c>
      <c r="CY316" s="0" t="n">
        <v>1</v>
      </c>
      <c r="CZ316" s="0" t="n">
        <v>1</v>
      </c>
      <c r="DA316" s="0" t="n">
        <v>2470</v>
      </c>
      <c r="DB316" s="0" t="n">
        <v>2470</v>
      </c>
      <c r="DC316" s="0" t="n">
        <v>2470</v>
      </c>
      <c r="DD316" s="0" t="n">
        <v>2470</v>
      </c>
      <c r="DE316" s="0" t="n">
        <v>2470</v>
      </c>
      <c r="DG316" s="0" t="s">
        <v>4527</v>
      </c>
      <c r="DH316" s="0" t="s">
        <v>82</v>
      </c>
      <c r="DI316" s="0" t="s">
        <v>1762</v>
      </c>
      <c r="DJ316" s="0" t="s">
        <v>1763</v>
      </c>
      <c r="DK316" s="0" t="s">
        <v>674</v>
      </c>
      <c r="DL316" s="0" t="n">
        <v>3.85</v>
      </c>
      <c r="DM316" s="0" t="s">
        <v>676</v>
      </c>
      <c r="DN316" s="0" t="s">
        <v>675</v>
      </c>
      <c r="DO316" s="0" t="n">
        <v>0</v>
      </c>
      <c r="DP316" s="0" t="n">
        <v>0</v>
      </c>
      <c r="DQ316" s="0" t="n">
        <v>20.6</v>
      </c>
      <c r="DR316" s="0" t="s">
        <v>4528</v>
      </c>
      <c r="EB316" s="0" t="s">
        <v>4529</v>
      </c>
      <c r="EC316" s="0" t="s">
        <v>2873</v>
      </c>
      <c r="EE316" s="0" t="s">
        <v>584</v>
      </c>
      <c r="EL316" s="0" t="s">
        <v>4525</v>
      </c>
      <c r="EM316" s="0" t="s">
        <v>3045</v>
      </c>
      <c r="EN316" s="0" t="s">
        <v>3046</v>
      </c>
      <c r="EO316" s="0" t="n">
        <v>7</v>
      </c>
      <c r="EP316" s="0" t="s">
        <v>2528</v>
      </c>
      <c r="EQ316" s="0" t="s">
        <v>2935</v>
      </c>
      <c r="ER316" s="0" t="s">
        <v>2936</v>
      </c>
      <c r="ES316" s="0" t="n">
        <v>70000</v>
      </c>
      <c r="ET316" s="0" t="n">
        <v>70000</v>
      </c>
      <c r="EU316" s="0" t="n">
        <v>70000</v>
      </c>
      <c r="EV316" s="0" t="n">
        <v>70000</v>
      </c>
    </row>
    <row r="317" customFormat="false" ht="15" hidden="false" customHeight="false" outlineLevel="0" collapsed="false">
      <c r="J317" s="0" t="s">
        <v>2216</v>
      </c>
      <c r="K317" s="0" t="n">
        <v>4.5</v>
      </c>
      <c r="L317" s="0" t="s">
        <v>2552</v>
      </c>
      <c r="M317" s="0" t="s">
        <v>2803</v>
      </c>
      <c r="N317" s="0" t="s">
        <v>2804</v>
      </c>
      <c r="O317" s="0" t="n">
        <v>45160</v>
      </c>
      <c r="P317" s="0" t="n">
        <v>59610</v>
      </c>
      <c r="Q317" s="0" t="n">
        <v>65030</v>
      </c>
      <c r="R317" s="0" t="n">
        <v>65030</v>
      </c>
      <c r="CQ317" s="0" t="s">
        <v>4530</v>
      </c>
      <c r="CR317" s="0" t="s">
        <v>87</v>
      </c>
      <c r="CS317" s="0" t="s">
        <v>586</v>
      </c>
      <c r="CT317" s="0" t="s">
        <v>2815</v>
      </c>
      <c r="CU317" s="0" t="s">
        <v>3111</v>
      </c>
      <c r="CV317" s="0" t="s">
        <v>3161</v>
      </c>
      <c r="CW317" s="0" t="n">
        <v>100</v>
      </c>
      <c r="CX317" s="0" t="n">
        <v>1</v>
      </c>
      <c r="CY317" s="0" t="n">
        <v>1</v>
      </c>
      <c r="CZ317" s="0" t="n">
        <v>1</v>
      </c>
      <c r="DA317" s="0" t="n">
        <v>10480</v>
      </c>
      <c r="DB317" s="0" t="n">
        <v>10480</v>
      </c>
      <c r="DC317" s="0" t="n">
        <v>10480</v>
      </c>
      <c r="DD317" s="0" t="n">
        <v>10480</v>
      </c>
      <c r="DE317" s="0" t="n">
        <v>10480</v>
      </c>
      <c r="DG317" s="0" t="s">
        <v>4531</v>
      </c>
      <c r="DH317" s="0" t="s">
        <v>82</v>
      </c>
      <c r="DI317" s="0" t="s">
        <v>1765</v>
      </c>
      <c r="DJ317" s="0" t="s">
        <v>1766</v>
      </c>
      <c r="DK317" s="0" t="s">
        <v>674</v>
      </c>
      <c r="DL317" s="0" t="n">
        <v>3.85</v>
      </c>
      <c r="DM317" s="0" t="s">
        <v>676</v>
      </c>
      <c r="DN317" s="0" t="s">
        <v>675</v>
      </c>
      <c r="DO317" s="0" t="n">
        <v>0</v>
      </c>
      <c r="DP317" s="0" t="n">
        <v>0</v>
      </c>
      <c r="DQ317" s="0" t="n">
        <v>113.29</v>
      </c>
      <c r="DR317" s="0" t="s">
        <v>4532</v>
      </c>
      <c r="EB317" s="0" t="s">
        <v>4533</v>
      </c>
      <c r="EC317" s="0" t="s">
        <v>2873</v>
      </c>
      <c r="ED317" s="0" t="s">
        <v>2874</v>
      </c>
      <c r="EE317" s="0" t="s">
        <v>330</v>
      </c>
      <c r="EF317" s="0" t="s">
        <v>331</v>
      </c>
      <c r="EG317" s="0" t="n">
        <v>475</v>
      </c>
      <c r="EH317" s="0" t="n">
        <v>525</v>
      </c>
      <c r="EI317" s="0" t="n">
        <v>525</v>
      </c>
      <c r="EJ317" s="0" t="n">
        <v>605</v>
      </c>
      <c r="EL317" s="0" t="s">
        <v>4534</v>
      </c>
      <c r="EM317" s="0" t="s">
        <v>3045</v>
      </c>
      <c r="EN317" s="0" t="s">
        <v>3046</v>
      </c>
      <c r="EO317" s="0" t="n">
        <v>7</v>
      </c>
      <c r="EP317" s="0" t="s">
        <v>2552</v>
      </c>
      <c r="EQ317" s="0" t="s">
        <v>2920</v>
      </c>
      <c r="ER317" s="0" t="s">
        <v>2950</v>
      </c>
      <c r="ES317" s="0" t="n">
        <v>134350</v>
      </c>
      <c r="ET317" s="0" t="n">
        <v>134350</v>
      </c>
      <c r="EU317" s="0" t="n">
        <v>134350</v>
      </c>
      <c r="EV317" s="0" t="n">
        <v>134350</v>
      </c>
    </row>
    <row r="318" customFormat="false" ht="15" hidden="false" customHeight="false" outlineLevel="0" collapsed="false">
      <c r="J318" s="0" t="s">
        <v>2216</v>
      </c>
      <c r="K318" s="0" t="n">
        <v>5</v>
      </c>
      <c r="L318" s="0" t="s">
        <v>2528</v>
      </c>
      <c r="M318" s="0" t="s">
        <v>2817</v>
      </c>
      <c r="N318" s="0" t="s">
        <v>2818</v>
      </c>
      <c r="O318" s="0" t="n">
        <v>46040</v>
      </c>
      <c r="P318" s="0" t="n">
        <v>50890</v>
      </c>
      <c r="Q318" s="0" t="n">
        <v>54960</v>
      </c>
      <c r="R318" s="0" t="n">
        <v>54960</v>
      </c>
      <c r="CQ318" s="0" t="s">
        <v>4535</v>
      </c>
      <c r="CR318" s="0" t="s">
        <v>87</v>
      </c>
      <c r="CS318" s="0" t="s">
        <v>296</v>
      </c>
      <c r="CT318" s="0" t="s">
        <v>294</v>
      </c>
      <c r="CU318" s="0" t="s">
        <v>2267</v>
      </c>
      <c r="CV318" s="0" t="s">
        <v>295</v>
      </c>
      <c r="CW318" s="0" t="n">
        <v>7.69</v>
      </c>
      <c r="CX318" s="0" t="n">
        <v>1</v>
      </c>
      <c r="CY318" s="0" t="n">
        <v>1</v>
      </c>
      <c r="CZ318" s="0" t="n">
        <v>1</v>
      </c>
      <c r="DA318" s="0" t="n">
        <v>150</v>
      </c>
      <c r="DB318" s="0" t="n">
        <v>150</v>
      </c>
      <c r="DC318" s="0" t="n">
        <v>150</v>
      </c>
      <c r="DD318" s="0" t="n">
        <v>150</v>
      </c>
      <c r="DE318" s="0" t="n">
        <v>150</v>
      </c>
      <c r="DG318" s="0" t="s">
        <v>4536</v>
      </c>
      <c r="DH318" s="0" t="s">
        <v>82</v>
      </c>
      <c r="DI318" s="0" t="s">
        <v>1768</v>
      </c>
      <c r="DJ318" s="0" t="s">
        <v>1769</v>
      </c>
      <c r="DK318" s="0" t="s">
        <v>674</v>
      </c>
      <c r="DL318" s="0" t="n">
        <v>3.85</v>
      </c>
      <c r="DM318" s="0" t="s">
        <v>676</v>
      </c>
      <c r="DN318" s="0" t="s">
        <v>675</v>
      </c>
      <c r="DO318" s="0" t="n">
        <v>0</v>
      </c>
      <c r="DP318" s="0" t="n">
        <v>0</v>
      </c>
      <c r="DQ318" s="0" t="n">
        <v>102.9</v>
      </c>
      <c r="DR318" s="0" t="s">
        <v>4537</v>
      </c>
      <c r="EB318" s="0" t="s">
        <v>4538</v>
      </c>
      <c r="EC318" s="0" t="s">
        <v>2873</v>
      </c>
      <c r="ED318" s="0" t="s">
        <v>2874</v>
      </c>
      <c r="EE318" s="0" t="s">
        <v>334</v>
      </c>
      <c r="EF318" s="0" t="s">
        <v>335</v>
      </c>
      <c r="EG318" s="0" t="n">
        <v>240</v>
      </c>
      <c r="EH318" s="0" t="n">
        <v>265</v>
      </c>
      <c r="EI318" s="0" t="n">
        <v>265</v>
      </c>
      <c r="EJ318" s="0" t="n">
        <v>305</v>
      </c>
      <c r="EL318" s="0" t="s">
        <v>4534</v>
      </c>
      <c r="EM318" s="0" t="s">
        <v>3045</v>
      </c>
      <c r="EN318" s="0" t="s">
        <v>3046</v>
      </c>
      <c r="EO318" s="0" t="n">
        <v>7</v>
      </c>
      <c r="EP318" s="0" t="s">
        <v>2552</v>
      </c>
      <c r="EQ318" s="0" t="s">
        <v>2949</v>
      </c>
      <c r="ER318" s="0" t="s">
        <v>2950</v>
      </c>
      <c r="ES318" s="0" t="n">
        <v>134350</v>
      </c>
      <c r="ET318" s="0" t="n">
        <v>134350</v>
      </c>
      <c r="EU318" s="0" t="n">
        <v>134350</v>
      </c>
      <c r="EV318" s="0" t="n">
        <v>134350</v>
      </c>
    </row>
    <row r="319" customFormat="false" ht="15" hidden="false" customHeight="false" outlineLevel="0" collapsed="false">
      <c r="J319" s="0" t="s">
        <v>2216</v>
      </c>
      <c r="K319" s="0" t="n">
        <v>5</v>
      </c>
      <c r="L319" s="0" t="s">
        <v>2552</v>
      </c>
      <c r="M319" s="0" t="s">
        <v>2835</v>
      </c>
      <c r="N319" s="0" t="s">
        <v>2836</v>
      </c>
      <c r="O319" s="0" t="n">
        <v>48230</v>
      </c>
      <c r="P319" s="0" t="n">
        <v>63660</v>
      </c>
      <c r="Q319" s="0" t="n">
        <v>69450</v>
      </c>
      <c r="R319" s="0" t="n">
        <v>69450</v>
      </c>
      <c r="CQ319" s="0" t="s">
        <v>4509</v>
      </c>
      <c r="CR319" s="0" t="s">
        <v>87</v>
      </c>
      <c r="CS319" s="0" t="s">
        <v>562</v>
      </c>
      <c r="CT319" s="0" t="s">
        <v>2986</v>
      </c>
      <c r="CU319" s="0" t="s">
        <v>79</v>
      </c>
      <c r="CV319" s="0" t="s">
        <v>3126</v>
      </c>
      <c r="CW319" s="0" t="n">
        <v>100</v>
      </c>
      <c r="CX319" s="0" t="n">
        <v>3</v>
      </c>
      <c r="CY319" s="0" t="n">
        <v>3</v>
      </c>
      <c r="CZ319" s="0" t="n">
        <v>4</v>
      </c>
      <c r="DA319" s="0" t="n">
        <v>3600</v>
      </c>
      <c r="DB319" s="0" t="n">
        <v>550</v>
      </c>
      <c r="DC319" s="0" t="n">
        <v>850</v>
      </c>
      <c r="DD319" s="0" t="n">
        <v>1200</v>
      </c>
      <c r="DE319" s="0" t="n">
        <v>1200</v>
      </c>
      <c r="DG319" s="0" t="s">
        <v>4539</v>
      </c>
      <c r="DH319" s="0" t="s">
        <v>82</v>
      </c>
      <c r="DI319" s="0" t="s">
        <v>1771</v>
      </c>
      <c r="DJ319" s="0" t="s">
        <v>1772</v>
      </c>
      <c r="DK319" s="0" t="s">
        <v>674</v>
      </c>
      <c r="DL319" s="0" t="n">
        <v>3.85</v>
      </c>
      <c r="DM319" s="0" t="s">
        <v>676</v>
      </c>
      <c r="DN319" s="0" t="s">
        <v>675</v>
      </c>
      <c r="DO319" s="0" t="n">
        <v>0</v>
      </c>
      <c r="DP319" s="0" t="n">
        <v>0</v>
      </c>
      <c r="DQ319" s="0" t="n">
        <v>56.22</v>
      </c>
      <c r="DR319" s="0" t="s">
        <v>4540</v>
      </c>
      <c r="EB319" s="0" t="s">
        <v>4541</v>
      </c>
      <c r="EC319" s="0" t="s">
        <v>2873</v>
      </c>
      <c r="EE319" s="0" t="s">
        <v>582</v>
      </c>
      <c r="EL319" s="0" t="s">
        <v>4542</v>
      </c>
      <c r="EM319" s="0" t="s">
        <v>3045</v>
      </c>
      <c r="EN319" s="0" t="s">
        <v>3046</v>
      </c>
      <c r="EO319" s="0" t="n">
        <v>8</v>
      </c>
      <c r="EP319" s="0" t="s">
        <v>2528</v>
      </c>
      <c r="EQ319" s="0" t="s">
        <v>2961</v>
      </c>
      <c r="ER319" s="0" t="s">
        <v>2989</v>
      </c>
      <c r="ES319" s="0" t="n">
        <v>80000</v>
      </c>
      <c r="ET319" s="0" t="n">
        <v>80000</v>
      </c>
      <c r="EU319" s="0" t="n">
        <v>80000</v>
      </c>
      <c r="EV319" s="0" t="n">
        <v>80000</v>
      </c>
    </row>
    <row r="320" customFormat="false" ht="15" hidden="false" customHeight="false" outlineLevel="0" collapsed="false">
      <c r="J320" s="0" t="s">
        <v>2216</v>
      </c>
      <c r="K320" s="0" t="n">
        <v>5.5</v>
      </c>
      <c r="L320" s="0" t="s">
        <v>2528</v>
      </c>
      <c r="M320" s="0" t="s">
        <v>2848</v>
      </c>
      <c r="N320" s="0" t="s">
        <v>2849</v>
      </c>
      <c r="O320" s="0" t="n">
        <v>48570</v>
      </c>
      <c r="P320" s="0" t="n">
        <v>53670</v>
      </c>
      <c r="Q320" s="0" t="n">
        <v>57970</v>
      </c>
      <c r="R320" s="0" t="n">
        <v>57970</v>
      </c>
      <c r="DG320" s="0" t="s">
        <v>4543</v>
      </c>
      <c r="DH320" s="0" t="s">
        <v>82</v>
      </c>
      <c r="DI320" s="0" t="s">
        <v>1775</v>
      </c>
      <c r="DJ320" s="0" t="s">
        <v>1776</v>
      </c>
      <c r="DK320" s="0" t="s">
        <v>674</v>
      </c>
      <c r="DL320" s="0" t="n">
        <v>3.85</v>
      </c>
      <c r="DM320" s="0" t="s">
        <v>676</v>
      </c>
      <c r="DN320" s="0" t="s">
        <v>675</v>
      </c>
      <c r="DO320" s="0" t="n">
        <v>0</v>
      </c>
      <c r="DP320" s="0" t="n">
        <v>0</v>
      </c>
      <c r="DQ320" s="0" t="n">
        <v>10.61</v>
      </c>
      <c r="DR320" s="0" t="s">
        <v>4544</v>
      </c>
      <c r="EB320" s="0" t="s">
        <v>4545</v>
      </c>
      <c r="EC320" s="0" t="s">
        <v>2873</v>
      </c>
      <c r="ED320" s="0" t="s">
        <v>2874</v>
      </c>
      <c r="EE320" s="0" t="s">
        <v>579</v>
      </c>
      <c r="EF320" s="0" t="s">
        <v>2889</v>
      </c>
      <c r="EG320" s="0" t="n">
        <v>1510</v>
      </c>
      <c r="EH320" s="0" t="n">
        <v>1510</v>
      </c>
      <c r="EI320" s="0" t="n">
        <v>1510</v>
      </c>
      <c r="EJ320" s="0" t="n">
        <v>1510</v>
      </c>
      <c r="EL320" s="0" t="s">
        <v>4542</v>
      </c>
      <c r="EM320" s="0" t="s">
        <v>3045</v>
      </c>
      <c r="EN320" s="0" t="s">
        <v>3046</v>
      </c>
      <c r="EO320" s="0" t="n">
        <v>8</v>
      </c>
      <c r="EP320" s="0" t="s">
        <v>2528</v>
      </c>
      <c r="EQ320" s="0" t="s">
        <v>2988</v>
      </c>
      <c r="ER320" s="0" t="s">
        <v>2989</v>
      </c>
      <c r="ES320" s="0" t="n">
        <v>80000</v>
      </c>
      <c r="ET320" s="0" t="n">
        <v>80000</v>
      </c>
      <c r="EU320" s="0" t="n">
        <v>80000</v>
      </c>
      <c r="EV320" s="0" t="n">
        <v>80000</v>
      </c>
    </row>
    <row r="321" customFormat="false" ht="15" hidden="false" customHeight="false" outlineLevel="0" collapsed="false">
      <c r="J321" s="0" t="s">
        <v>2216</v>
      </c>
      <c r="K321" s="0" t="n">
        <v>5.5</v>
      </c>
      <c r="L321" s="0" t="s">
        <v>2552</v>
      </c>
      <c r="M321" s="0" t="s">
        <v>2862</v>
      </c>
      <c r="N321" s="0" t="s">
        <v>2863</v>
      </c>
      <c r="O321" s="0" t="n">
        <v>50900</v>
      </c>
      <c r="P321" s="0" t="n">
        <v>67190</v>
      </c>
      <c r="Q321" s="0" t="n">
        <v>73300</v>
      </c>
      <c r="R321" s="0" t="n">
        <v>73300</v>
      </c>
      <c r="DG321" s="0" t="s">
        <v>4546</v>
      </c>
      <c r="DH321" s="0" t="s">
        <v>82</v>
      </c>
      <c r="DI321" s="0" t="s">
        <v>1778</v>
      </c>
      <c r="DJ321" s="0" t="s">
        <v>1779</v>
      </c>
      <c r="DK321" s="0" t="s">
        <v>674</v>
      </c>
      <c r="DL321" s="0" t="n">
        <v>3.85</v>
      </c>
      <c r="DM321" s="0" t="s">
        <v>676</v>
      </c>
      <c r="DN321" s="0" t="s">
        <v>675</v>
      </c>
      <c r="DO321" s="0" t="n">
        <v>0</v>
      </c>
      <c r="DP321" s="0" t="n">
        <v>0</v>
      </c>
      <c r="DQ321" s="0" t="n">
        <v>6.94</v>
      </c>
      <c r="DR321" s="0" t="s">
        <v>4547</v>
      </c>
      <c r="EB321" s="0" t="s">
        <v>4548</v>
      </c>
      <c r="EC321" s="0" t="s">
        <v>2873</v>
      </c>
      <c r="ED321" s="0" t="s">
        <v>2874</v>
      </c>
      <c r="EE321" s="0" t="s">
        <v>575</v>
      </c>
      <c r="EF321" s="0" t="s">
        <v>573</v>
      </c>
      <c r="EG321" s="0" t="n">
        <v>1</v>
      </c>
      <c r="EH321" s="0" t="n">
        <v>1</v>
      </c>
      <c r="EI321" s="0" t="n">
        <v>1</v>
      </c>
      <c r="EJ321" s="0" t="n">
        <v>1</v>
      </c>
      <c r="EL321" s="0" t="s">
        <v>4549</v>
      </c>
      <c r="EM321" s="0" t="s">
        <v>3045</v>
      </c>
      <c r="EN321" s="0" t="s">
        <v>3046</v>
      </c>
      <c r="EO321" s="0" t="n">
        <v>8</v>
      </c>
      <c r="EP321" s="0" t="s">
        <v>2552</v>
      </c>
      <c r="EQ321" s="0" t="s">
        <v>2975</v>
      </c>
      <c r="ER321" s="0" t="s">
        <v>3001</v>
      </c>
      <c r="ES321" s="0" t="n">
        <v>149350</v>
      </c>
      <c r="ET321" s="0" t="n">
        <v>149350</v>
      </c>
      <c r="EU321" s="0" t="n">
        <v>149350</v>
      </c>
      <c r="EV321" s="0" t="n">
        <v>149350</v>
      </c>
    </row>
    <row r="322" customFormat="false" ht="15" hidden="false" customHeight="false" outlineLevel="0" collapsed="false">
      <c r="J322" s="0" t="s">
        <v>2216</v>
      </c>
      <c r="K322" s="0" t="n">
        <v>6</v>
      </c>
      <c r="L322" s="0" t="s">
        <v>2528</v>
      </c>
      <c r="M322" s="0" t="s">
        <v>2877</v>
      </c>
      <c r="N322" s="0" t="s">
        <v>2878</v>
      </c>
      <c r="O322" s="0" t="n">
        <v>50740</v>
      </c>
      <c r="P322" s="0" t="n">
        <v>56040</v>
      </c>
      <c r="Q322" s="0" t="n">
        <v>60560</v>
      </c>
      <c r="R322" s="0" t="n">
        <v>60560</v>
      </c>
      <c r="DG322" s="0" t="s">
        <v>4550</v>
      </c>
      <c r="DH322" s="0" t="s">
        <v>82</v>
      </c>
      <c r="DI322" s="0" t="s">
        <v>1781</v>
      </c>
      <c r="DJ322" s="0" t="s">
        <v>1782</v>
      </c>
      <c r="DK322" s="0" t="s">
        <v>674</v>
      </c>
      <c r="DL322" s="0" t="n">
        <v>3.85</v>
      </c>
      <c r="DM322" s="0" t="s">
        <v>676</v>
      </c>
      <c r="DN322" s="0" t="s">
        <v>675</v>
      </c>
      <c r="DO322" s="0" t="n">
        <v>0</v>
      </c>
      <c r="DP322" s="0" t="n">
        <v>0</v>
      </c>
      <c r="DQ322" s="0" t="n">
        <v>272.24</v>
      </c>
      <c r="DR322" s="0" t="s">
        <v>4551</v>
      </c>
      <c r="EB322" s="0" t="s">
        <v>4552</v>
      </c>
      <c r="EC322" s="0" t="s">
        <v>2873</v>
      </c>
      <c r="ED322" s="0" t="s">
        <v>2874</v>
      </c>
      <c r="EE322" s="0" t="s">
        <v>2917</v>
      </c>
      <c r="EF322" s="0" t="s">
        <v>3375</v>
      </c>
      <c r="EG322" s="0" t="n">
        <v>1750</v>
      </c>
      <c r="EH322" s="0" t="n">
        <v>1750</v>
      </c>
      <c r="EI322" s="0" t="n">
        <v>1750</v>
      </c>
      <c r="EJ322" s="0" t="n">
        <v>1750</v>
      </c>
      <c r="EL322" s="0" t="s">
        <v>4549</v>
      </c>
      <c r="EM322" s="0" t="s">
        <v>3045</v>
      </c>
      <c r="EN322" s="0" t="s">
        <v>3046</v>
      </c>
      <c r="EO322" s="0" t="n">
        <v>8</v>
      </c>
      <c r="EP322" s="0" t="s">
        <v>2552</v>
      </c>
      <c r="EQ322" s="0" t="s">
        <v>3000</v>
      </c>
      <c r="ER322" s="0" t="s">
        <v>3001</v>
      </c>
      <c r="ES322" s="0" t="n">
        <v>149350</v>
      </c>
      <c r="ET322" s="0" t="n">
        <v>149350</v>
      </c>
      <c r="EU322" s="0" t="n">
        <v>149350</v>
      </c>
      <c r="EV322" s="0" t="n">
        <v>149350</v>
      </c>
    </row>
    <row r="323" customFormat="false" ht="15" hidden="false" customHeight="false" outlineLevel="0" collapsed="false">
      <c r="J323" s="0" t="s">
        <v>2216</v>
      </c>
      <c r="K323" s="0" t="n">
        <v>6</v>
      </c>
      <c r="L323" s="0" t="s">
        <v>2552</v>
      </c>
      <c r="M323" s="0" t="s">
        <v>2891</v>
      </c>
      <c r="N323" s="0" t="s">
        <v>2892</v>
      </c>
      <c r="O323" s="0" t="n">
        <v>53180</v>
      </c>
      <c r="P323" s="0" t="n">
        <v>70200</v>
      </c>
      <c r="Q323" s="0" t="n">
        <v>76580</v>
      </c>
      <c r="R323" s="0" t="n">
        <v>76580</v>
      </c>
      <c r="DG323" s="0" t="s">
        <v>4553</v>
      </c>
      <c r="DH323" s="0" t="s">
        <v>82</v>
      </c>
      <c r="DI323" s="0" t="s">
        <v>1785</v>
      </c>
      <c r="DJ323" s="0" t="s">
        <v>1786</v>
      </c>
      <c r="DK323" s="0" t="s">
        <v>674</v>
      </c>
      <c r="DL323" s="0" t="n">
        <v>3.85</v>
      </c>
      <c r="DM323" s="0" t="s">
        <v>676</v>
      </c>
      <c r="DN323" s="0" t="s">
        <v>675</v>
      </c>
      <c r="DO323" s="0" t="n">
        <v>0</v>
      </c>
      <c r="DP323" s="0" t="n">
        <v>0</v>
      </c>
      <c r="DQ323" s="0" t="n">
        <v>781.4</v>
      </c>
      <c r="DR323" s="0" t="s">
        <v>4554</v>
      </c>
      <c r="EB323" s="0" t="s">
        <v>4555</v>
      </c>
      <c r="EC323" s="0" t="s">
        <v>2873</v>
      </c>
      <c r="ED323" s="0" t="s">
        <v>2874</v>
      </c>
      <c r="EE323" s="0" t="s">
        <v>2932</v>
      </c>
      <c r="EF323" s="0" t="s">
        <v>3383</v>
      </c>
      <c r="EG323" s="0" t="n">
        <v>3750</v>
      </c>
      <c r="EH323" s="0" t="n">
        <v>3750</v>
      </c>
      <c r="EI323" s="0" t="n">
        <v>3750</v>
      </c>
      <c r="EJ323" s="0" t="n">
        <v>3750</v>
      </c>
      <c r="EL323" s="0" t="s">
        <v>4556</v>
      </c>
      <c r="EM323" s="0" t="s">
        <v>3045</v>
      </c>
      <c r="EN323" s="0" t="s">
        <v>3046</v>
      </c>
      <c r="EO323" s="0" t="n">
        <v>9</v>
      </c>
      <c r="EP323" s="0" t="s">
        <v>2528</v>
      </c>
      <c r="EQ323" s="0" t="s">
        <v>4424</v>
      </c>
      <c r="ER323" s="0" t="s">
        <v>4425</v>
      </c>
      <c r="ES323" s="0" t="n">
        <v>90000</v>
      </c>
      <c r="ET323" s="0" t="n">
        <v>90000</v>
      </c>
      <c r="EU323" s="0" t="n">
        <v>90000</v>
      </c>
      <c r="EV323" s="0" t="n">
        <v>90000</v>
      </c>
    </row>
    <row r="324" customFormat="false" ht="15" hidden="false" customHeight="false" outlineLevel="0" collapsed="false">
      <c r="J324" s="0" t="s">
        <v>2216</v>
      </c>
      <c r="K324" s="0" t="n">
        <v>6.5</v>
      </c>
      <c r="L324" s="0" t="s">
        <v>2528</v>
      </c>
      <c r="M324" s="0" t="s">
        <v>2904</v>
      </c>
      <c r="N324" s="0" t="s">
        <v>2905</v>
      </c>
      <c r="O324" s="0" t="n">
        <v>52550</v>
      </c>
      <c r="P324" s="0" t="n">
        <v>58050</v>
      </c>
      <c r="Q324" s="0" t="n">
        <v>62730</v>
      </c>
      <c r="R324" s="0" t="n">
        <v>62730</v>
      </c>
      <c r="DG324" s="0" t="s">
        <v>4557</v>
      </c>
      <c r="DH324" s="0" t="s">
        <v>82</v>
      </c>
      <c r="DI324" s="0" t="s">
        <v>1788</v>
      </c>
      <c r="DJ324" s="0" t="s">
        <v>1789</v>
      </c>
      <c r="DK324" s="0" t="s">
        <v>674</v>
      </c>
      <c r="DL324" s="0" t="n">
        <v>3.85</v>
      </c>
      <c r="DM324" s="0" t="s">
        <v>676</v>
      </c>
      <c r="DN324" s="0" t="s">
        <v>675</v>
      </c>
      <c r="DO324" s="0" t="n">
        <v>0</v>
      </c>
      <c r="DP324" s="0" t="n">
        <v>0</v>
      </c>
      <c r="DQ324" s="0" t="n">
        <v>24</v>
      </c>
      <c r="DR324" s="0" t="s">
        <v>4558</v>
      </c>
      <c r="EB324" s="0" t="s">
        <v>4559</v>
      </c>
      <c r="EC324" s="0" t="s">
        <v>2873</v>
      </c>
      <c r="ED324" s="0" t="s">
        <v>2874</v>
      </c>
      <c r="EE324" s="0" t="s">
        <v>2946</v>
      </c>
      <c r="EF324" s="0" t="s">
        <v>3389</v>
      </c>
      <c r="EG324" s="0" t="n">
        <v>5000</v>
      </c>
      <c r="EH324" s="0" t="n">
        <v>5000</v>
      </c>
      <c r="EI324" s="0" t="n">
        <v>5000</v>
      </c>
      <c r="EJ324" s="0" t="n">
        <v>5000</v>
      </c>
      <c r="EL324" s="0" t="s">
        <v>4560</v>
      </c>
      <c r="EM324" s="0" t="s">
        <v>2798</v>
      </c>
      <c r="EN324" s="0" t="s">
        <v>2799</v>
      </c>
      <c r="EO324" s="0" t="n">
        <v>0.5</v>
      </c>
      <c r="EP324" s="0" t="s">
        <v>2528</v>
      </c>
      <c r="EQ324" s="0" t="s">
        <v>2529</v>
      </c>
      <c r="ER324" s="0" t="s">
        <v>2530</v>
      </c>
      <c r="ES324" s="0" t="n">
        <v>8000</v>
      </c>
      <c r="ET324" s="0" t="n">
        <v>8000</v>
      </c>
      <c r="EU324" s="0" t="n">
        <v>8000</v>
      </c>
      <c r="EV324" s="0" t="n">
        <v>8000</v>
      </c>
    </row>
    <row r="325" customFormat="false" ht="15" hidden="false" customHeight="false" outlineLevel="0" collapsed="false">
      <c r="J325" s="0" t="s">
        <v>2216</v>
      </c>
      <c r="K325" s="0" t="n">
        <v>6.5</v>
      </c>
      <c r="L325" s="0" t="s">
        <v>2552</v>
      </c>
      <c r="M325" s="0" t="s">
        <v>2920</v>
      </c>
      <c r="N325" s="0" t="s">
        <v>2921</v>
      </c>
      <c r="O325" s="0" t="n">
        <v>55070</v>
      </c>
      <c r="P325" s="0" t="n">
        <v>72690</v>
      </c>
      <c r="Q325" s="0" t="n">
        <v>79300</v>
      </c>
      <c r="R325" s="0" t="n">
        <v>79300</v>
      </c>
      <c r="DG325" s="0" t="s">
        <v>4561</v>
      </c>
      <c r="DH325" s="0" t="s">
        <v>82</v>
      </c>
      <c r="DI325" s="0" t="s">
        <v>1790</v>
      </c>
      <c r="DJ325" s="0" t="s">
        <v>1791</v>
      </c>
      <c r="DK325" s="0" t="s">
        <v>674</v>
      </c>
      <c r="DL325" s="0" t="n">
        <v>3.85</v>
      </c>
      <c r="DM325" s="0" t="s">
        <v>675</v>
      </c>
      <c r="DN325" s="0" t="s">
        <v>676</v>
      </c>
      <c r="DO325" s="0" t="n">
        <v>2</v>
      </c>
      <c r="DP325" s="0" t="n">
        <v>997.34</v>
      </c>
      <c r="DQ325" s="0" t="n">
        <v>997.34</v>
      </c>
      <c r="DR325" s="0" t="s">
        <v>4562</v>
      </c>
      <c r="EB325" s="0" t="s">
        <v>4563</v>
      </c>
      <c r="EC325" s="0" t="s">
        <v>2873</v>
      </c>
      <c r="ED325" s="0" t="s">
        <v>2874</v>
      </c>
      <c r="EE325" s="0" t="s">
        <v>567</v>
      </c>
      <c r="EF325" s="0" t="s">
        <v>2959</v>
      </c>
      <c r="EG325" s="0" t="n">
        <v>1</v>
      </c>
      <c r="EH325" s="0" t="n">
        <v>1</v>
      </c>
      <c r="EI325" s="0" t="n">
        <v>1</v>
      </c>
      <c r="EJ325" s="0" t="n">
        <v>1</v>
      </c>
      <c r="EL325" s="0" t="s">
        <v>4564</v>
      </c>
      <c r="EM325" s="0" t="s">
        <v>2798</v>
      </c>
      <c r="EN325" s="0" t="s">
        <v>2799</v>
      </c>
      <c r="EO325" s="0" t="n">
        <v>0.5</v>
      </c>
      <c r="EP325" s="0" t="s">
        <v>2552</v>
      </c>
      <c r="EQ325" s="0" t="s">
        <v>2553</v>
      </c>
      <c r="ER325" s="0" t="s">
        <v>2554</v>
      </c>
      <c r="ES325" s="0" t="n">
        <v>12000</v>
      </c>
      <c r="ET325" s="0" t="n">
        <v>12000</v>
      </c>
      <c r="EU325" s="0" t="n">
        <v>12000</v>
      </c>
      <c r="EV325" s="0" t="n">
        <v>12000</v>
      </c>
    </row>
    <row r="326" customFormat="false" ht="15" hidden="false" customHeight="false" outlineLevel="0" collapsed="false">
      <c r="J326" s="0" t="s">
        <v>2216</v>
      </c>
      <c r="K326" s="0" t="n">
        <v>7</v>
      </c>
      <c r="L326" s="0" t="s">
        <v>2528</v>
      </c>
      <c r="M326" s="0" t="s">
        <v>2935</v>
      </c>
      <c r="N326" s="0" t="s">
        <v>2936</v>
      </c>
      <c r="O326" s="0" t="n">
        <v>53990</v>
      </c>
      <c r="P326" s="0" t="n">
        <v>59640</v>
      </c>
      <c r="Q326" s="0" t="n">
        <v>64440</v>
      </c>
      <c r="R326" s="0" t="n">
        <v>64440</v>
      </c>
      <c r="DG326" s="0" t="s">
        <v>4565</v>
      </c>
      <c r="DH326" s="0" t="s">
        <v>82</v>
      </c>
      <c r="DI326" s="0" t="s">
        <v>1794</v>
      </c>
      <c r="DJ326" s="0" t="s">
        <v>1795</v>
      </c>
      <c r="DK326" s="0" t="s">
        <v>674</v>
      </c>
      <c r="DL326" s="0" t="n">
        <v>3.85</v>
      </c>
      <c r="DM326" s="0" t="s">
        <v>676</v>
      </c>
      <c r="DN326" s="0" t="s">
        <v>675</v>
      </c>
      <c r="DO326" s="0" t="n">
        <v>0</v>
      </c>
      <c r="DP326" s="0" t="n">
        <v>0</v>
      </c>
      <c r="DQ326" s="0" t="n">
        <v>1629</v>
      </c>
      <c r="DR326" s="0" t="s">
        <v>4566</v>
      </c>
      <c r="EB326" s="0" t="s">
        <v>4567</v>
      </c>
      <c r="EC326" s="0" t="s">
        <v>2873</v>
      </c>
      <c r="ED326" s="0" t="s">
        <v>2874</v>
      </c>
      <c r="EE326" s="0" t="s">
        <v>569</v>
      </c>
      <c r="EF326" s="0" t="s">
        <v>2973</v>
      </c>
      <c r="EG326" s="0" t="n">
        <v>8000</v>
      </c>
      <c r="EH326" s="0" t="n">
        <v>8000</v>
      </c>
      <c r="EI326" s="0" t="n">
        <v>8000</v>
      </c>
      <c r="EJ326" s="0" t="n">
        <v>8000</v>
      </c>
      <c r="EL326" s="0" t="s">
        <v>4568</v>
      </c>
      <c r="EM326" s="0" t="s">
        <v>2798</v>
      </c>
      <c r="EN326" s="0" t="s">
        <v>2799</v>
      </c>
      <c r="EO326" s="0" t="n">
        <v>1</v>
      </c>
      <c r="EP326" s="0" t="s">
        <v>2528</v>
      </c>
      <c r="EQ326" s="0" t="s">
        <v>2569</v>
      </c>
      <c r="ER326" s="0" t="s">
        <v>2570</v>
      </c>
      <c r="ES326" s="0" t="n">
        <v>14850</v>
      </c>
      <c r="ET326" s="0" t="n">
        <v>14850</v>
      </c>
      <c r="EU326" s="0" t="n">
        <v>14850</v>
      </c>
      <c r="EV326" s="0" t="n">
        <v>14850</v>
      </c>
    </row>
    <row r="327" customFormat="false" ht="15" hidden="false" customHeight="false" outlineLevel="0" collapsed="false">
      <c r="J327" s="0" t="s">
        <v>2216</v>
      </c>
      <c r="K327" s="0" t="n">
        <v>7</v>
      </c>
      <c r="L327" s="0" t="s">
        <v>2552</v>
      </c>
      <c r="M327" s="0" t="s">
        <v>2949</v>
      </c>
      <c r="N327" s="0" t="s">
        <v>2950</v>
      </c>
      <c r="O327" s="0" t="n">
        <v>56570</v>
      </c>
      <c r="P327" s="0" t="n">
        <v>74670</v>
      </c>
      <c r="Q327" s="0" t="n">
        <v>81460</v>
      </c>
      <c r="R327" s="0" t="n">
        <v>81460</v>
      </c>
      <c r="DG327" s="0" t="s">
        <v>4569</v>
      </c>
      <c r="DH327" s="0" t="s">
        <v>82</v>
      </c>
      <c r="DI327" s="0" t="s">
        <v>1797</v>
      </c>
      <c r="DJ327" s="0" t="s">
        <v>1798</v>
      </c>
      <c r="DK327" s="0" t="s">
        <v>674</v>
      </c>
      <c r="DL327" s="0" t="n">
        <v>3.85</v>
      </c>
      <c r="DM327" s="0" t="s">
        <v>676</v>
      </c>
      <c r="DN327" s="0" t="s">
        <v>675</v>
      </c>
      <c r="DO327" s="0" t="n">
        <v>0</v>
      </c>
      <c r="DP327" s="0" t="n">
        <v>0</v>
      </c>
      <c r="DQ327" s="0" t="n">
        <v>1068</v>
      </c>
      <c r="DR327" s="0" t="s">
        <v>4570</v>
      </c>
      <c r="EB327" s="0" t="s">
        <v>4571</v>
      </c>
      <c r="EC327" s="0" t="s">
        <v>2873</v>
      </c>
      <c r="ED327" s="0" t="s">
        <v>2874</v>
      </c>
      <c r="EE327" s="0" t="s">
        <v>562</v>
      </c>
      <c r="EF327" s="0" t="s">
        <v>2986</v>
      </c>
      <c r="EG327" s="0" t="n">
        <v>1</v>
      </c>
      <c r="EH327" s="0" t="n">
        <v>1</v>
      </c>
      <c r="EI327" s="0" t="n">
        <v>1</v>
      </c>
      <c r="EJ327" s="0" t="n">
        <v>1</v>
      </c>
      <c r="EL327" s="0" t="s">
        <v>4572</v>
      </c>
      <c r="EM327" s="0" t="s">
        <v>2798</v>
      </c>
      <c r="EN327" s="0" t="s">
        <v>2799</v>
      </c>
      <c r="EO327" s="0" t="n">
        <v>1</v>
      </c>
      <c r="EP327" s="0" t="s">
        <v>2552</v>
      </c>
      <c r="EQ327" s="0" t="s">
        <v>2582</v>
      </c>
      <c r="ER327" s="0" t="s">
        <v>2583</v>
      </c>
      <c r="ES327" s="0" t="n">
        <v>22275</v>
      </c>
      <c r="ET327" s="0" t="n">
        <v>22275</v>
      </c>
      <c r="EU327" s="0" t="n">
        <v>22275</v>
      </c>
      <c r="EV327" s="0" t="n">
        <v>22275</v>
      </c>
    </row>
    <row r="328" customFormat="false" ht="15" hidden="false" customHeight="false" outlineLevel="0" collapsed="false">
      <c r="J328" s="0" t="s">
        <v>2216</v>
      </c>
      <c r="K328" s="0" t="n">
        <v>7.5</v>
      </c>
      <c r="L328" s="0" t="s">
        <v>2528</v>
      </c>
      <c r="M328" s="0" t="s">
        <v>2961</v>
      </c>
      <c r="N328" s="0" t="s">
        <v>2962</v>
      </c>
      <c r="O328" s="0" t="n">
        <v>55030</v>
      </c>
      <c r="P328" s="0" t="n">
        <v>60830</v>
      </c>
      <c r="Q328" s="0" t="n">
        <v>65690</v>
      </c>
      <c r="R328" s="0" t="n">
        <v>65690</v>
      </c>
      <c r="DG328" s="0" t="s">
        <v>4573</v>
      </c>
      <c r="DH328" s="0" t="s">
        <v>82</v>
      </c>
      <c r="DI328" s="0" t="s">
        <v>1800</v>
      </c>
      <c r="DJ328" s="0" t="s">
        <v>1801</v>
      </c>
      <c r="DK328" s="0" t="s">
        <v>674</v>
      </c>
      <c r="DL328" s="0" t="n">
        <v>3.85</v>
      </c>
      <c r="DM328" s="0" t="s">
        <v>676</v>
      </c>
      <c r="DN328" s="0" t="s">
        <v>675</v>
      </c>
      <c r="DO328" s="0" t="n">
        <v>0</v>
      </c>
      <c r="DP328" s="0" t="n">
        <v>0</v>
      </c>
      <c r="DQ328" s="0" t="n">
        <v>94.48</v>
      </c>
      <c r="DR328" s="0" t="s">
        <v>4574</v>
      </c>
      <c r="EB328" s="0" t="s">
        <v>4575</v>
      </c>
      <c r="EC328" s="0" t="s">
        <v>2873</v>
      </c>
      <c r="EE328" s="0" t="s">
        <v>557</v>
      </c>
      <c r="EL328" s="0" t="s">
        <v>4576</v>
      </c>
      <c r="EM328" s="0" t="s">
        <v>2798</v>
      </c>
      <c r="EN328" s="0" t="s">
        <v>2799</v>
      </c>
      <c r="EO328" s="0" t="n">
        <v>1.5</v>
      </c>
      <c r="EP328" s="0" t="s">
        <v>2528</v>
      </c>
      <c r="EQ328" s="0" t="s">
        <v>2598</v>
      </c>
      <c r="ER328" s="0" t="s">
        <v>2599</v>
      </c>
      <c r="ES328" s="0" t="n">
        <v>22300</v>
      </c>
      <c r="ET328" s="0" t="n">
        <v>22300</v>
      </c>
      <c r="EU328" s="0" t="n">
        <v>22300</v>
      </c>
      <c r="EV328" s="0" t="n">
        <v>22300</v>
      </c>
    </row>
    <row r="329" customFormat="false" ht="15" hidden="false" customHeight="false" outlineLevel="0" collapsed="false">
      <c r="J329" s="0" t="s">
        <v>2216</v>
      </c>
      <c r="K329" s="0" t="n">
        <v>7.5</v>
      </c>
      <c r="L329" s="0" t="s">
        <v>2552</v>
      </c>
      <c r="M329" s="0" t="s">
        <v>2975</v>
      </c>
      <c r="N329" s="0" t="s">
        <v>2976</v>
      </c>
      <c r="O329" s="0" t="n">
        <v>55560</v>
      </c>
      <c r="P329" s="0" t="n">
        <v>60610</v>
      </c>
      <c r="Q329" s="0" t="n">
        <v>65660</v>
      </c>
      <c r="R329" s="0" t="n">
        <v>70720</v>
      </c>
      <c r="DG329" s="0" t="s">
        <v>4577</v>
      </c>
      <c r="DH329" s="0" t="s">
        <v>82</v>
      </c>
      <c r="DI329" s="0" t="s">
        <v>1804</v>
      </c>
      <c r="DJ329" s="0" t="s">
        <v>1805</v>
      </c>
      <c r="DK329" s="0" t="s">
        <v>674</v>
      </c>
      <c r="DL329" s="0" t="n">
        <v>3.85</v>
      </c>
      <c r="DM329" s="0" t="s">
        <v>676</v>
      </c>
      <c r="DN329" s="0" t="s">
        <v>675</v>
      </c>
      <c r="DO329" s="0" t="n">
        <v>0</v>
      </c>
      <c r="DP329" s="0" t="n">
        <v>0</v>
      </c>
      <c r="DQ329" s="0" t="n">
        <v>39</v>
      </c>
      <c r="DR329" s="0" t="s">
        <v>4578</v>
      </c>
      <c r="EB329" s="0" t="s">
        <v>4579</v>
      </c>
      <c r="EC329" s="0" t="s">
        <v>2873</v>
      </c>
      <c r="ED329" s="0" t="s">
        <v>2874</v>
      </c>
      <c r="EE329" s="0" t="s">
        <v>290</v>
      </c>
      <c r="EF329" s="0" t="s">
        <v>289</v>
      </c>
      <c r="EG329" s="0" t="n">
        <v>255</v>
      </c>
      <c r="EH329" s="0" t="n">
        <v>280</v>
      </c>
      <c r="EI329" s="0" t="n">
        <v>280</v>
      </c>
      <c r="EJ329" s="0" t="n">
        <v>320</v>
      </c>
      <c r="EL329" s="0" t="s">
        <v>4580</v>
      </c>
      <c r="EM329" s="0" t="s">
        <v>2798</v>
      </c>
      <c r="EN329" s="0" t="s">
        <v>2799</v>
      </c>
      <c r="EO329" s="0" t="n">
        <v>1.5</v>
      </c>
      <c r="EP329" s="0" t="s">
        <v>2552</v>
      </c>
      <c r="EQ329" s="0" t="s">
        <v>2614</v>
      </c>
      <c r="ER329" s="0" t="s">
        <v>2615</v>
      </c>
      <c r="ES329" s="0" t="n">
        <v>33450</v>
      </c>
      <c r="ET329" s="0" t="n">
        <v>33450</v>
      </c>
      <c r="EU329" s="0" t="n">
        <v>33450</v>
      </c>
      <c r="EV329" s="0" t="n">
        <v>33450</v>
      </c>
    </row>
    <row r="330" customFormat="false" ht="15" hidden="false" customHeight="false" outlineLevel="0" collapsed="false">
      <c r="J330" s="0" t="s">
        <v>2216</v>
      </c>
      <c r="K330" s="0" t="n">
        <v>8</v>
      </c>
      <c r="L330" s="0" t="s">
        <v>2528</v>
      </c>
      <c r="M330" s="0" t="s">
        <v>2988</v>
      </c>
      <c r="N330" s="0" t="s">
        <v>2989</v>
      </c>
      <c r="O330" s="0" t="n">
        <v>55700</v>
      </c>
      <c r="P330" s="0" t="n">
        <v>61550</v>
      </c>
      <c r="Q330" s="0" t="n">
        <v>66480</v>
      </c>
      <c r="R330" s="0" t="n">
        <v>66480</v>
      </c>
      <c r="DG330" s="0" t="s">
        <v>4581</v>
      </c>
      <c r="DH330" s="0" t="s">
        <v>82</v>
      </c>
      <c r="DI330" s="0" t="s">
        <v>1807</v>
      </c>
      <c r="DJ330" s="0" t="s">
        <v>1808</v>
      </c>
      <c r="DK330" s="0" t="s">
        <v>674</v>
      </c>
      <c r="DL330" s="0" t="n">
        <v>3.85</v>
      </c>
      <c r="DM330" s="0" t="s">
        <v>676</v>
      </c>
      <c r="DN330" s="0" t="s">
        <v>675</v>
      </c>
      <c r="DO330" s="0" t="n">
        <v>0</v>
      </c>
      <c r="DP330" s="0" t="n">
        <v>0</v>
      </c>
      <c r="DQ330" s="0" t="n">
        <v>37.56</v>
      </c>
      <c r="DR330" s="0" t="s">
        <v>4582</v>
      </c>
      <c r="EB330" s="0" t="s">
        <v>4583</v>
      </c>
      <c r="EC330" s="0" t="s">
        <v>2873</v>
      </c>
      <c r="ED330" s="0" t="s">
        <v>2874</v>
      </c>
      <c r="EE330" s="0" t="s">
        <v>275</v>
      </c>
      <c r="EF330" s="0" t="s">
        <v>273</v>
      </c>
      <c r="EG330" s="0" t="n">
        <v>835</v>
      </c>
      <c r="EH330" s="0" t="n">
        <v>920</v>
      </c>
      <c r="EI330" s="0" t="n">
        <v>920</v>
      </c>
      <c r="EJ330" s="0" t="n">
        <v>1060</v>
      </c>
      <c r="EL330" s="0" t="s">
        <v>4584</v>
      </c>
      <c r="EM330" s="0" t="s">
        <v>2798</v>
      </c>
      <c r="EN330" s="0" t="s">
        <v>2799</v>
      </c>
      <c r="EO330" s="0" t="n">
        <v>2</v>
      </c>
      <c r="EP330" s="0" t="s">
        <v>2528</v>
      </c>
      <c r="EQ330" s="0" t="s">
        <v>2630</v>
      </c>
      <c r="ER330" s="0" t="s">
        <v>2631</v>
      </c>
      <c r="ES330" s="0" t="n">
        <v>29700</v>
      </c>
      <c r="ET330" s="0" t="n">
        <v>29700</v>
      </c>
      <c r="EU330" s="0" t="n">
        <v>29700</v>
      </c>
      <c r="EV330" s="0" t="n">
        <v>29700</v>
      </c>
    </row>
    <row r="331" customFormat="false" ht="15" hidden="false" customHeight="false" outlineLevel="0" collapsed="false">
      <c r="J331" s="0" t="s">
        <v>2216</v>
      </c>
      <c r="K331" s="0" t="n">
        <v>8</v>
      </c>
      <c r="L331" s="0" t="s">
        <v>2552</v>
      </c>
      <c r="M331" s="0" t="s">
        <v>3000</v>
      </c>
      <c r="N331" s="0" t="s">
        <v>3001</v>
      </c>
      <c r="O331" s="0" t="n">
        <v>58390</v>
      </c>
      <c r="P331" s="0" t="n">
        <v>77070</v>
      </c>
      <c r="Q331" s="0" t="n">
        <v>84080</v>
      </c>
      <c r="R331" s="0" t="n">
        <v>84080</v>
      </c>
      <c r="DG331" s="0" t="s">
        <v>4585</v>
      </c>
      <c r="DH331" s="0" t="s">
        <v>82</v>
      </c>
      <c r="DI331" s="0" t="s">
        <v>1811</v>
      </c>
      <c r="DJ331" s="0" t="s">
        <v>1812</v>
      </c>
      <c r="DK331" s="0" t="s">
        <v>674</v>
      </c>
      <c r="DL331" s="0" t="n">
        <v>3.85</v>
      </c>
      <c r="DM331" s="0" t="s">
        <v>676</v>
      </c>
      <c r="DN331" s="0" t="s">
        <v>675</v>
      </c>
      <c r="DO331" s="0" t="n">
        <v>0</v>
      </c>
      <c r="DP331" s="0" t="n">
        <v>0</v>
      </c>
      <c r="DQ331" s="0" t="n">
        <v>133.5</v>
      </c>
      <c r="DR331" s="0" t="s">
        <v>4586</v>
      </c>
      <c r="EB331" s="0" t="s">
        <v>4587</v>
      </c>
      <c r="EC331" s="0" t="s">
        <v>2873</v>
      </c>
      <c r="EE331" s="0" t="s">
        <v>298</v>
      </c>
      <c r="EL331" s="0" t="s">
        <v>4588</v>
      </c>
      <c r="EM331" s="0" t="s">
        <v>2798</v>
      </c>
      <c r="EN331" s="0" t="s">
        <v>2799</v>
      </c>
      <c r="EO331" s="0" t="n">
        <v>2</v>
      </c>
      <c r="EP331" s="0" t="s">
        <v>2552</v>
      </c>
      <c r="EQ331" s="0" t="s">
        <v>2649</v>
      </c>
      <c r="ER331" s="0" t="s">
        <v>2650</v>
      </c>
      <c r="ES331" s="0" t="n">
        <v>44550</v>
      </c>
      <c r="ET331" s="0" t="n">
        <v>44550</v>
      </c>
      <c r="EU331" s="0" t="n">
        <v>44550</v>
      </c>
      <c r="EV331" s="0" t="n">
        <v>44550</v>
      </c>
    </row>
    <row r="332" customFormat="false" ht="15" hidden="false" customHeight="false" outlineLevel="0" collapsed="false">
      <c r="DG332" s="0" t="s">
        <v>4589</v>
      </c>
      <c r="DH332" s="0" t="s">
        <v>82</v>
      </c>
      <c r="DI332" s="0" t="s">
        <v>1815</v>
      </c>
      <c r="DJ332" s="0" t="s">
        <v>1816</v>
      </c>
      <c r="DK332" s="0" t="s">
        <v>674</v>
      </c>
      <c r="DL332" s="0" t="n">
        <v>3.85</v>
      </c>
      <c r="DM332" s="0" t="s">
        <v>676</v>
      </c>
      <c r="DN332" s="0" t="s">
        <v>675</v>
      </c>
      <c r="DO332" s="0" t="n">
        <v>0</v>
      </c>
      <c r="DP332" s="0" t="n">
        <v>0</v>
      </c>
      <c r="DQ332" s="0" t="n">
        <v>34</v>
      </c>
      <c r="DR332" s="0" t="s">
        <v>4590</v>
      </c>
      <c r="EB332" s="0" t="s">
        <v>4591</v>
      </c>
      <c r="EC332" s="0" t="s">
        <v>2873</v>
      </c>
      <c r="ED332" s="0" t="s">
        <v>2874</v>
      </c>
      <c r="EE332" s="0" t="s">
        <v>286</v>
      </c>
      <c r="EF332" s="0" t="s">
        <v>284</v>
      </c>
      <c r="EG332" s="0" t="n">
        <v>380</v>
      </c>
      <c r="EH332" s="0" t="n">
        <v>420</v>
      </c>
      <c r="EI332" s="0" t="n">
        <v>420</v>
      </c>
      <c r="EJ332" s="0" t="n">
        <v>485</v>
      </c>
      <c r="EL332" s="0" t="s">
        <v>4592</v>
      </c>
      <c r="EM332" s="0" t="s">
        <v>2798</v>
      </c>
      <c r="EN332" s="0" t="s">
        <v>2799</v>
      </c>
      <c r="EO332" s="0" t="n">
        <v>2.5</v>
      </c>
      <c r="EP332" s="0" t="s">
        <v>2528</v>
      </c>
      <c r="EQ332" s="0" t="s">
        <v>2665</v>
      </c>
      <c r="ER332" s="0" t="s">
        <v>2666</v>
      </c>
      <c r="ES332" s="0" t="n">
        <v>38950</v>
      </c>
      <c r="ET332" s="0" t="n">
        <v>38950</v>
      </c>
      <c r="EU332" s="0" t="n">
        <v>38950</v>
      </c>
      <c r="EV332" s="0" t="n">
        <v>38950</v>
      </c>
    </row>
    <row r="333" customFormat="false" ht="15" hidden="false" customHeight="false" outlineLevel="0" collapsed="false">
      <c r="DG333" s="0" t="s">
        <v>4593</v>
      </c>
      <c r="DH333" s="0" t="s">
        <v>82</v>
      </c>
      <c r="DI333" s="0" t="s">
        <v>1818</v>
      </c>
      <c r="DJ333" s="0" t="s">
        <v>1819</v>
      </c>
      <c r="DK333" s="0" t="s">
        <v>674</v>
      </c>
      <c r="DL333" s="0" t="n">
        <v>3.85</v>
      </c>
      <c r="DM333" s="0" t="s">
        <v>676</v>
      </c>
      <c r="DN333" s="0" t="s">
        <v>675</v>
      </c>
      <c r="DO333" s="0" t="n">
        <v>0</v>
      </c>
      <c r="DP333" s="0" t="n">
        <v>0</v>
      </c>
      <c r="DQ333" s="0" t="n">
        <v>8</v>
      </c>
      <c r="DR333" s="0" t="s">
        <v>4594</v>
      </c>
      <c r="EB333" s="0" t="s">
        <v>4595</v>
      </c>
      <c r="EC333" s="0" t="s">
        <v>2873</v>
      </c>
      <c r="ED333" s="0" t="s">
        <v>2874</v>
      </c>
      <c r="EE333" s="0" t="s">
        <v>272</v>
      </c>
      <c r="EF333" s="0" t="s">
        <v>270</v>
      </c>
      <c r="EG333" s="0" t="n">
        <v>1230</v>
      </c>
      <c r="EH333" s="0" t="n">
        <v>1355</v>
      </c>
      <c r="EI333" s="0" t="n">
        <v>1355</v>
      </c>
      <c r="EJ333" s="0" t="n">
        <v>1560</v>
      </c>
      <c r="EL333" s="0" t="s">
        <v>4596</v>
      </c>
      <c r="EM333" s="0" t="s">
        <v>2798</v>
      </c>
      <c r="EN333" s="0" t="s">
        <v>2799</v>
      </c>
      <c r="EO333" s="0" t="n">
        <v>2.5</v>
      </c>
      <c r="EP333" s="0" t="s">
        <v>2552</v>
      </c>
      <c r="EQ333" s="0" t="s">
        <v>2682</v>
      </c>
      <c r="ER333" s="0" t="s">
        <v>2683</v>
      </c>
      <c r="ES333" s="0" t="n">
        <v>58425</v>
      </c>
      <c r="ET333" s="0" t="n">
        <v>58425</v>
      </c>
      <c r="EU333" s="0" t="n">
        <v>58425</v>
      </c>
      <c r="EV333" s="0" t="n">
        <v>58425</v>
      </c>
    </row>
    <row r="334" customFormat="false" ht="15" hidden="false" customHeight="false" outlineLevel="0" collapsed="false">
      <c r="DG334" s="0" t="s">
        <v>4597</v>
      </c>
      <c r="DH334" s="0" t="s">
        <v>82</v>
      </c>
      <c r="DI334" s="0" t="s">
        <v>1820</v>
      </c>
      <c r="DJ334" s="0" t="s">
        <v>1821</v>
      </c>
      <c r="DK334" s="0" t="s">
        <v>674</v>
      </c>
      <c r="DL334" s="0" t="n">
        <v>3.85</v>
      </c>
      <c r="DM334" s="0" t="s">
        <v>676</v>
      </c>
      <c r="DN334" s="0" t="s">
        <v>675</v>
      </c>
      <c r="DO334" s="0" t="n">
        <v>0</v>
      </c>
      <c r="DP334" s="0" t="n">
        <v>0</v>
      </c>
      <c r="DQ334" s="0" t="n">
        <v>13.22</v>
      </c>
      <c r="DR334" s="0" t="s">
        <v>4598</v>
      </c>
      <c r="EB334" s="0" t="s">
        <v>4599</v>
      </c>
      <c r="EC334" s="0" t="s">
        <v>2873</v>
      </c>
      <c r="ED334" s="0" t="s">
        <v>2874</v>
      </c>
      <c r="EE334" s="0" t="s">
        <v>283</v>
      </c>
      <c r="EF334" s="0" t="s">
        <v>281</v>
      </c>
      <c r="EG334" s="0" t="n">
        <v>190</v>
      </c>
      <c r="EH334" s="0" t="n">
        <v>210</v>
      </c>
      <c r="EI334" s="0" t="n">
        <v>210</v>
      </c>
      <c r="EJ334" s="0" t="n">
        <v>240</v>
      </c>
      <c r="EL334" s="0" t="s">
        <v>4600</v>
      </c>
      <c r="EM334" s="0" t="s">
        <v>2798</v>
      </c>
      <c r="EN334" s="0" t="s">
        <v>2799</v>
      </c>
      <c r="EO334" s="0" t="n">
        <v>3</v>
      </c>
      <c r="EP334" s="0" t="s">
        <v>2528</v>
      </c>
      <c r="EQ334" s="0" t="s">
        <v>2699</v>
      </c>
      <c r="ER334" s="0" t="s">
        <v>2700</v>
      </c>
      <c r="ES334" s="0" t="n">
        <v>45900</v>
      </c>
      <c r="ET334" s="0" t="n">
        <v>45900</v>
      </c>
      <c r="EU334" s="0" t="n">
        <v>45900</v>
      </c>
      <c r="EV334" s="0" t="n">
        <v>45900</v>
      </c>
    </row>
    <row r="335" customFormat="false" ht="15" hidden="false" customHeight="false" outlineLevel="0" collapsed="false">
      <c r="DG335" s="0" t="s">
        <v>4601</v>
      </c>
      <c r="DH335" s="0" t="s">
        <v>82</v>
      </c>
      <c r="DI335" s="0" t="s">
        <v>1823</v>
      </c>
      <c r="DJ335" s="0" t="s">
        <v>1824</v>
      </c>
      <c r="DK335" s="0" t="s">
        <v>674</v>
      </c>
      <c r="DL335" s="0" t="n">
        <v>3.85</v>
      </c>
      <c r="DM335" s="0" t="s">
        <v>675</v>
      </c>
      <c r="DN335" s="0" t="s">
        <v>676</v>
      </c>
      <c r="DO335" s="0" t="n">
        <v>1</v>
      </c>
      <c r="DP335" s="0" t="n">
        <v>543.75</v>
      </c>
      <c r="DQ335" s="0" t="n">
        <v>543.75</v>
      </c>
      <c r="DR335" s="0" t="s">
        <v>4602</v>
      </c>
      <c r="EB335" s="0" t="s">
        <v>4603</v>
      </c>
      <c r="EC335" s="0" t="s">
        <v>2873</v>
      </c>
      <c r="ED335" s="0" t="s">
        <v>2874</v>
      </c>
      <c r="EE335" s="0" t="s">
        <v>267</v>
      </c>
      <c r="EF335" s="0" t="s">
        <v>265</v>
      </c>
      <c r="EG335" s="0" t="n">
        <v>1160</v>
      </c>
      <c r="EH335" s="0" t="n">
        <v>1275</v>
      </c>
      <c r="EI335" s="0" t="n">
        <v>1275</v>
      </c>
      <c r="EJ335" s="0" t="n">
        <v>1465</v>
      </c>
      <c r="EL335" s="0" t="s">
        <v>4604</v>
      </c>
      <c r="EM335" s="0" t="s">
        <v>2798</v>
      </c>
      <c r="EN335" s="0" t="s">
        <v>2799</v>
      </c>
      <c r="EO335" s="0" t="n">
        <v>3</v>
      </c>
      <c r="EP335" s="0" t="s">
        <v>2552</v>
      </c>
      <c r="EQ335" s="0" t="s">
        <v>2715</v>
      </c>
      <c r="ER335" s="0" t="s">
        <v>2716</v>
      </c>
      <c r="ES335" s="0" t="n">
        <v>68850</v>
      </c>
      <c r="ET335" s="0" t="n">
        <v>68850</v>
      </c>
      <c r="EU335" s="0" t="n">
        <v>68850</v>
      </c>
      <c r="EV335" s="0" t="n">
        <v>68850</v>
      </c>
    </row>
    <row r="336" customFormat="false" ht="15" hidden="false" customHeight="false" outlineLevel="0" collapsed="false">
      <c r="DG336" s="0" t="s">
        <v>4605</v>
      </c>
      <c r="DH336" s="0" t="s">
        <v>82</v>
      </c>
      <c r="DI336" s="0" t="s">
        <v>1826</v>
      </c>
      <c r="DJ336" s="0" t="s">
        <v>1827</v>
      </c>
      <c r="DK336" s="0" t="s">
        <v>674</v>
      </c>
      <c r="DL336" s="0" t="n">
        <v>3.85</v>
      </c>
      <c r="DM336" s="0" t="s">
        <v>676</v>
      </c>
      <c r="DN336" s="0" t="s">
        <v>675</v>
      </c>
      <c r="DO336" s="0" t="n">
        <v>0</v>
      </c>
      <c r="DP336" s="0" t="n">
        <v>0</v>
      </c>
      <c r="DQ336" s="0" t="n">
        <v>2.46</v>
      </c>
      <c r="DR336" s="0" t="s">
        <v>4606</v>
      </c>
      <c r="EB336" s="0" t="s">
        <v>4607</v>
      </c>
      <c r="EC336" s="0" t="s">
        <v>2873</v>
      </c>
      <c r="ED336" s="0" t="s">
        <v>2874</v>
      </c>
      <c r="EE336" s="0" t="s">
        <v>258</v>
      </c>
      <c r="EF336" s="0" t="s">
        <v>256</v>
      </c>
      <c r="EG336" s="0" t="n">
        <v>2000</v>
      </c>
      <c r="EH336" s="0" t="n">
        <v>2200</v>
      </c>
      <c r="EI336" s="0" t="n">
        <v>2200</v>
      </c>
      <c r="EJ336" s="0" t="n">
        <v>2530</v>
      </c>
      <c r="EL336" s="0" t="s">
        <v>4608</v>
      </c>
      <c r="EM336" s="0" t="s">
        <v>2798</v>
      </c>
      <c r="EN336" s="0" t="s">
        <v>2799</v>
      </c>
      <c r="EO336" s="0" t="n">
        <v>3.5</v>
      </c>
      <c r="EP336" s="0" t="s">
        <v>2528</v>
      </c>
      <c r="EQ336" s="0" t="s">
        <v>2730</v>
      </c>
      <c r="ER336" s="0" t="s">
        <v>2731</v>
      </c>
      <c r="ES336" s="0" t="n">
        <v>54000</v>
      </c>
      <c r="ET336" s="0" t="n">
        <v>54000</v>
      </c>
      <c r="EU336" s="0" t="n">
        <v>54000</v>
      </c>
      <c r="EV336" s="0" t="n">
        <v>54000</v>
      </c>
    </row>
    <row r="337" customFormat="false" ht="15" hidden="false" customHeight="false" outlineLevel="0" collapsed="false">
      <c r="DG337" s="0" t="s">
        <v>4609</v>
      </c>
      <c r="DH337" s="0" t="s">
        <v>82</v>
      </c>
      <c r="DI337" s="0" t="s">
        <v>1830</v>
      </c>
      <c r="DJ337" s="0" t="s">
        <v>1831</v>
      </c>
      <c r="DK337" s="0" t="s">
        <v>674</v>
      </c>
      <c r="DL337" s="0" t="n">
        <v>3.85</v>
      </c>
      <c r="DM337" s="0" t="s">
        <v>676</v>
      </c>
      <c r="DN337" s="0" t="s">
        <v>675</v>
      </c>
      <c r="DO337" s="0" t="n">
        <v>0</v>
      </c>
      <c r="DP337" s="0" t="n">
        <v>0</v>
      </c>
      <c r="DQ337" s="0" t="n">
        <v>10</v>
      </c>
      <c r="DR337" s="0" t="s">
        <v>4610</v>
      </c>
      <c r="EB337" s="0" t="s">
        <v>4611</v>
      </c>
      <c r="EC337" s="0" t="s">
        <v>2873</v>
      </c>
      <c r="ED337" s="0" t="s">
        <v>2874</v>
      </c>
      <c r="EE337" s="0" t="s">
        <v>222</v>
      </c>
      <c r="EF337" s="0" t="s">
        <v>220</v>
      </c>
      <c r="EG337" s="0" t="n">
        <v>1450</v>
      </c>
      <c r="EH337" s="0" t="n">
        <v>1595</v>
      </c>
      <c r="EI337" s="0" t="n">
        <v>1595</v>
      </c>
      <c r="EJ337" s="0" t="n">
        <v>1835</v>
      </c>
      <c r="EL337" s="0" t="s">
        <v>4612</v>
      </c>
      <c r="EM337" s="0" t="s">
        <v>2798</v>
      </c>
      <c r="EN337" s="0" t="s">
        <v>2799</v>
      </c>
      <c r="EO337" s="0" t="n">
        <v>3.5</v>
      </c>
      <c r="EP337" s="0" t="s">
        <v>2552</v>
      </c>
      <c r="EQ337" s="0" t="s">
        <v>2747</v>
      </c>
      <c r="ER337" s="0" t="s">
        <v>2748</v>
      </c>
      <c r="ES337" s="0" t="n">
        <v>81000</v>
      </c>
      <c r="ET337" s="0" t="n">
        <v>81000</v>
      </c>
      <c r="EU337" s="0" t="n">
        <v>81000</v>
      </c>
      <c r="EV337" s="0" t="n">
        <v>81000</v>
      </c>
    </row>
    <row r="338" customFormat="false" ht="15" hidden="false" customHeight="false" outlineLevel="0" collapsed="false">
      <c r="DG338" s="0" t="s">
        <v>4613</v>
      </c>
      <c r="DH338" s="0" t="s">
        <v>82</v>
      </c>
      <c r="DI338" s="0" t="s">
        <v>1832</v>
      </c>
      <c r="DJ338" s="0" t="s">
        <v>1833</v>
      </c>
      <c r="DK338" s="0" t="s">
        <v>674</v>
      </c>
      <c r="DL338" s="0" t="n">
        <v>3.85</v>
      </c>
      <c r="DM338" s="0" t="s">
        <v>676</v>
      </c>
      <c r="DN338" s="0" t="s">
        <v>675</v>
      </c>
      <c r="DO338" s="0" t="n">
        <v>0</v>
      </c>
      <c r="DP338" s="0" t="n">
        <v>0</v>
      </c>
      <c r="DQ338" s="0" t="n">
        <v>0.74</v>
      </c>
      <c r="DR338" s="0" t="s">
        <v>4614</v>
      </c>
      <c r="EB338" s="0" t="s">
        <v>4615</v>
      </c>
      <c r="EC338" s="0" t="s">
        <v>2873</v>
      </c>
      <c r="ED338" s="0" t="s">
        <v>2874</v>
      </c>
      <c r="EE338" s="0" t="s">
        <v>233</v>
      </c>
      <c r="EF338" s="0" t="s">
        <v>231</v>
      </c>
      <c r="EG338" s="0" t="n">
        <v>725</v>
      </c>
      <c r="EH338" s="0" t="n">
        <v>800</v>
      </c>
      <c r="EI338" s="0" t="n">
        <v>800</v>
      </c>
      <c r="EJ338" s="0" t="n">
        <v>920</v>
      </c>
      <c r="EL338" s="0" t="s">
        <v>4616</v>
      </c>
      <c r="EM338" s="0" t="s">
        <v>2798</v>
      </c>
      <c r="EN338" s="0" t="s">
        <v>2799</v>
      </c>
      <c r="EO338" s="0" t="n">
        <v>4</v>
      </c>
      <c r="EP338" s="0" t="s">
        <v>2528</v>
      </c>
      <c r="EQ338" s="0" t="s">
        <v>2761</v>
      </c>
      <c r="ER338" s="0" t="s">
        <v>2762</v>
      </c>
      <c r="ES338" s="0" t="n">
        <v>60900</v>
      </c>
      <c r="ET338" s="0" t="n">
        <v>60900</v>
      </c>
      <c r="EU338" s="0" t="n">
        <v>60900</v>
      </c>
      <c r="EV338" s="0" t="n">
        <v>60900</v>
      </c>
    </row>
    <row r="339" customFormat="false" ht="15" hidden="false" customHeight="false" outlineLevel="0" collapsed="false">
      <c r="DG339" s="0" t="s">
        <v>4617</v>
      </c>
      <c r="DH339" s="0" t="s">
        <v>82</v>
      </c>
      <c r="DI339" s="0" t="s">
        <v>1836</v>
      </c>
      <c r="DJ339" s="0" t="s">
        <v>1837</v>
      </c>
      <c r="DK339" s="0" t="s">
        <v>674</v>
      </c>
      <c r="DL339" s="0" t="n">
        <v>3.85</v>
      </c>
      <c r="DM339" s="0" t="s">
        <v>676</v>
      </c>
      <c r="DN339" s="0" t="s">
        <v>675</v>
      </c>
      <c r="DO339" s="0" t="n">
        <v>0</v>
      </c>
      <c r="DP339" s="0" t="n">
        <v>0</v>
      </c>
      <c r="DQ339" s="0" t="n">
        <v>48</v>
      </c>
      <c r="DR339" s="0" t="s">
        <v>4618</v>
      </c>
      <c r="EB339" s="0" t="s">
        <v>4619</v>
      </c>
      <c r="EC339" s="0" t="s">
        <v>2873</v>
      </c>
      <c r="ED339" s="0" t="s">
        <v>2874</v>
      </c>
      <c r="EE339" s="0" t="s">
        <v>225</v>
      </c>
      <c r="EF339" s="0" t="s">
        <v>223</v>
      </c>
      <c r="EG339" s="0" t="n">
        <v>1445</v>
      </c>
      <c r="EH339" s="0" t="n">
        <v>1590</v>
      </c>
      <c r="EI339" s="0" t="n">
        <v>1590</v>
      </c>
      <c r="EJ339" s="0" t="n">
        <v>1830</v>
      </c>
      <c r="EL339" s="0" t="s">
        <v>4620</v>
      </c>
      <c r="EM339" s="0" t="s">
        <v>2798</v>
      </c>
      <c r="EN339" s="0" t="s">
        <v>2799</v>
      </c>
      <c r="EO339" s="0" t="n">
        <v>4</v>
      </c>
      <c r="EP339" s="0" t="s">
        <v>2552</v>
      </c>
      <c r="EQ339" s="0" t="s">
        <v>2774</v>
      </c>
      <c r="ER339" s="0" t="s">
        <v>2775</v>
      </c>
      <c r="ES339" s="0" t="n">
        <v>91350</v>
      </c>
      <c r="ET339" s="0" t="n">
        <v>91350</v>
      </c>
      <c r="EU339" s="0" t="n">
        <v>91350</v>
      </c>
      <c r="EV339" s="0" t="n">
        <v>91350</v>
      </c>
    </row>
    <row r="340" customFormat="false" ht="15" hidden="false" customHeight="false" outlineLevel="0" collapsed="false">
      <c r="DG340" s="0" t="s">
        <v>4621</v>
      </c>
      <c r="DH340" s="0" t="s">
        <v>82</v>
      </c>
      <c r="DI340" s="0" t="s">
        <v>1839</v>
      </c>
      <c r="DJ340" s="0" t="s">
        <v>1840</v>
      </c>
      <c r="DK340" s="0" t="s">
        <v>674</v>
      </c>
      <c r="DL340" s="0" t="n">
        <v>3.85</v>
      </c>
      <c r="DM340" s="0" t="s">
        <v>675</v>
      </c>
      <c r="DN340" s="0" t="s">
        <v>676</v>
      </c>
      <c r="DO340" s="0" t="n">
        <v>1</v>
      </c>
      <c r="DP340" s="0" t="n">
        <v>138.75</v>
      </c>
      <c r="DQ340" s="0" t="n">
        <v>138.75</v>
      </c>
      <c r="DR340" s="0" t="s">
        <v>4622</v>
      </c>
      <c r="EB340" s="0" t="s">
        <v>4623</v>
      </c>
      <c r="EC340" s="0" t="s">
        <v>2873</v>
      </c>
      <c r="EE340" s="0" t="s">
        <v>288</v>
      </c>
      <c r="EL340" s="0" t="s">
        <v>4624</v>
      </c>
      <c r="EM340" s="0" t="s">
        <v>2798</v>
      </c>
      <c r="EN340" s="0" t="s">
        <v>2799</v>
      </c>
      <c r="EO340" s="0" t="n">
        <v>4.5</v>
      </c>
      <c r="EP340" s="0" t="s">
        <v>2528</v>
      </c>
      <c r="EQ340" s="0" t="s">
        <v>2788</v>
      </c>
      <c r="ER340" s="0" t="s">
        <v>2789</v>
      </c>
      <c r="ES340" s="0" t="n">
        <v>68400</v>
      </c>
      <c r="ET340" s="0" t="n">
        <v>68400</v>
      </c>
      <c r="EU340" s="0" t="n">
        <v>68400</v>
      </c>
      <c r="EV340" s="0" t="n">
        <v>68400</v>
      </c>
    </row>
    <row r="341" customFormat="false" ht="15" hidden="false" customHeight="false" outlineLevel="0" collapsed="false">
      <c r="DG341" s="0" t="s">
        <v>4625</v>
      </c>
      <c r="DH341" s="0" t="s">
        <v>82</v>
      </c>
      <c r="DI341" s="0" t="s">
        <v>1842</v>
      </c>
      <c r="DJ341" s="0" t="s">
        <v>1843</v>
      </c>
      <c r="DK341" s="0" t="s">
        <v>674</v>
      </c>
      <c r="DL341" s="0" t="n">
        <v>3.85</v>
      </c>
      <c r="DM341" s="0" t="s">
        <v>676</v>
      </c>
      <c r="DN341" s="0" t="s">
        <v>675</v>
      </c>
      <c r="DO341" s="0" t="n">
        <v>0</v>
      </c>
      <c r="DP341" s="0" t="n">
        <v>0</v>
      </c>
      <c r="DQ341" s="0" t="n">
        <v>12.42</v>
      </c>
      <c r="DR341" s="0" t="s">
        <v>4626</v>
      </c>
      <c r="EB341" s="0" t="s">
        <v>4627</v>
      </c>
      <c r="EC341" s="0" t="s">
        <v>2873</v>
      </c>
      <c r="ED341" s="0" t="s">
        <v>2874</v>
      </c>
      <c r="EE341" s="0" t="s">
        <v>269</v>
      </c>
      <c r="EF341" s="0" t="s">
        <v>3489</v>
      </c>
      <c r="EG341" s="0" t="n">
        <v>695</v>
      </c>
      <c r="EH341" s="0" t="n">
        <v>765</v>
      </c>
      <c r="EI341" s="0" t="n">
        <v>765</v>
      </c>
      <c r="EJ341" s="0" t="n">
        <v>880</v>
      </c>
      <c r="EL341" s="0" t="s">
        <v>4628</v>
      </c>
      <c r="EM341" s="0" t="s">
        <v>2798</v>
      </c>
      <c r="EN341" s="0" t="s">
        <v>2799</v>
      </c>
      <c r="EO341" s="0" t="n">
        <v>4.5</v>
      </c>
      <c r="EP341" s="0" t="s">
        <v>2552</v>
      </c>
      <c r="EQ341" s="0" t="s">
        <v>2803</v>
      </c>
      <c r="ER341" s="0" t="s">
        <v>2804</v>
      </c>
      <c r="ES341" s="0" t="n">
        <v>102600</v>
      </c>
      <c r="ET341" s="0" t="n">
        <v>102600</v>
      </c>
      <c r="EU341" s="0" t="n">
        <v>102600</v>
      </c>
      <c r="EV341" s="0" t="n">
        <v>102600</v>
      </c>
    </row>
    <row r="342" customFormat="false" ht="15" hidden="false" customHeight="false" outlineLevel="0" collapsed="false">
      <c r="DG342" s="0" t="s">
        <v>4629</v>
      </c>
      <c r="DH342" s="0" t="s">
        <v>82</v>
      </c>
      <c r="DI342" s="0" t="s">
        <v>1846</v>
      </c>
      <c r="DJ342" s="0" t="s">
        <v>1847</v>
      </c>
      <c r="DK342" s="0" t="s">
        <v>674</v>
      </c>
      <c r="DL342" s="0" t="n">
        <v>3.85</v>
      </c>
      <c r="DM342" s="0" t="s">
        <v>676</v>
      </c>
      <c r="DN342" s="0" t="s">
        <v>675</v>
      </c>
      <c r="DO342" s="0" t="n">
        <v>0</v>
      </c>
      <c r="DP342" s="0" t="n">
        <v>0</v>
      </c>
      <c r="DQ342" s="0" t="n">
        <v>701</v>
      </c>
      <c r="DR342" s="0" t="s">
        <v>4630</v>
      </c>
      <c r="EB342" s="0" t="s">
        <v>4631</v>
      </c>
      <c r="EC342" s="0" t="s">
        <v>2873</v>
      </c>
      <c r="ED342" s="0" t="s">
        <v>2874</v>
      </c>
      <c r="EE342" s="0" t="s">
        <v>237</v>
      </c>
      <c r="EF342" s="0" t="s">
        <v>3496</v>
      </c>
      <c r="EG342" s="0" t="n">
        <v>1500</v>
      </c>
      <c r="EH342" s="0" t="n">
        <v>1650</v>
      </c>
      <c r="EI342" s="0" t="n">
        <v>1650</v>
      </c>
      <c r="EJ342" s="0" t="n">
        <v>1900</v>
      </c>
      <c r="EL342" s="0" t="s">
        <v>4632</v>
      </c>
      <c r="EM342" s="0" t="s">
        <v>2798</v>
      </c>
      <c r="EN342" s="0" t="s">
        <v>2799</v>
      </c>
      <c r="EO342" s="0" t="n">
        <v>5</v>
      </c>
      <c r="EP342" s="0" t="s">
        <v>2528</v>
      </c>
      <c r="EQ342" s="0" t="s">
        <v>2817</v>
      </c>
      <c r="ER342" s="0" t="s">
        <v>2818</v>
      </c>
      <c r="ES342" s="0" t="n">
        <v>75750</v>
      </c>
      <c r="ET342" s="0" t="n">
        <v>75750</v>
      </c>
      <c r="EU342" s="0" t="n">
        <v>75750</v>
      </c>
      <c r="EV342" s="0" t="n">
        <v>75750</v>
      </c>
    </row>
    <row r="343" customFormat="false" ht="15" hidden="false" customHeight="false" outlineLevel="0" collapsed="false">
      <c r="DG343" s="0" t="s">
        <v>4633</v>
      </c>
      <c r="DH343" s="0" t="s">
        <v>82</v>
      </c>
      <c r="DI343" s="0" t="s">
        <v>1849</v>
      </c>
      <c r="DJ343" s="0" t="s">
        <v>1850</v>
      </c>
      <c r="DK343" s="0" t="s">
        <v>674</v>
      </c>
      <c r="DL343" s="0" t="n">
        <v>3.85</v>
      </c>
      <c r="DM343" s="0" t="s">
        <v>676</v>
      </c>
      <c r="DN343" s="0" t="s">
        <v>675</v>
      </c>
      <c r="DO343" s="0" t="n">
        <v>0</v>
      </c>
      <c r="DP343" s="0" t="n">
        <v>0</v>
      </c>
      <c r="DQ343" s="0" t="n">
        <v>5.12</v>
      </c>
      <c r="DR343" s="0" t="s">
        <v>4634</v>
      </c>
      <c r="EB343" s="0" t="s">
        <v>4635</v>
      </c>
      <c r="EC343" s="0" t="s">
        <v>2873</v>
      </c>
      <c r="ED343" s="0" t="s">
        <v>2874</v>
      </c>
      <c r="EE343" s="0" t="s">
        <v>249</v>
      </c>
      <c r="EF343" s="0" t="s">
        <v>247</v>
      </c>
      <c r="EG343" s="0" t="n">
        <v>240</v>
      </c>
      <c r="EH343" s="0" t="n">
        <v>265</v>
      </c>
      <c r="EI343" s="0" t="n">
        <v>265</v>
      </c>
      <c r="EJ343" s="0" t="n">
        <v>305</v>
      </c>
      <c r="EL343" s="0" t="s">
        <v>4636</v>
      </c>
      <c r="EM343" s="0" t="s">
        <v>2798</v>
      </c>
      <c r="EN343" s="0" t="s">
        <v>2799</v>
      </c>
      <c r="EO343" s="0" t="n">
        <v>5</v>
      </c>
      <c r="EP343" s="0" t="s">
        <v>2552</v>
      </c>
      <c r="EQ343" s="0" t="s">
        <v>2835</v>
      </c>
      <c r="ER343" s="0" t="s">
        <v>2836</v>
      </c>
      <c r="ES343" s="0" t="n">
        <v>113625</v>
      </c>
      <c r="ET343" s="0" t="n">
        <v>113625</v>
      </c>
      <c r="EU343" s="0" t="n">
        <v>113625</v>
      </c>
      <c r="EV343" s="0" t="n">
        <v>113625</v>
      </c>
    </row>
    <row r="344" customFormat="false" ht="15" hidden="false" customHeight="false" outlineLevel="0" collapsed="false">
      <c r="DG344" s="0" t="s">
        <v>4637</v>
      </c>
      <c r="DH344" s="0" t="s">
        <v>82</v>
      </c>
      <c r="DI344" s="0" t="s">
        <v>1853</v>
      </c>
      <c r="DJ344" s="0" t="s">
        <v>1854</v>
      </c>
      <c r="DK344" s="0" t="s">
        <v>674</v>
      </c>
      <c r="DL344" s="0" t="n">
        <v>3.85</v>
      </c>
      <c r="DM344" s="0" t="s">
        <v>676</v>
      </c>
      <c r="DN344" s="0" t="s">
        <v>675</v>
      </c>
      <c r="DO344" s="0" t="n">
        <v>0</v>
      </c>
      <c r="DP344" s="0" t="n">
        <v>0</v>
      </c>
      <c r="DQ344" s="0" t="n">
        <v>6.56</v>
      </c>
      <c r="DR344" s="0" t="s">
        <v>4638</v>
      </c>
      <c r="EB344" s="0" t="s">
        <v>4639</v>
      </c>
      <c r="EC344" s="0" t="s">
        <v>2873</v>
      </c>
      <c r="ED344" s="0" t="s">
        <v>2874</v>
      </c>
      <c r="EE344" s="0" t="s">
        <v>293</v>
      </c>
      <c r="EF344" s="0" t="s">
        <v>291</v>
      </c>
      <c r="EG344" s="0" t="n">
        <v>270</v>
      </c>
      <c r="EH344" s="0" t="n">
        <v>295</v>
      </c>
      <c r="EI344" s="0" t="n">
        <v>295</v>
      </c>
      <c r="EJ344" s="0" t="n">
        <v>340</v>
      </c>
      <c r="EL344" s="0" t="s">
        <v>4640</v>
      </c>
      <c r="EM344" s="0" t="s">
        <v>2798</v>
      </c>
      <c r="EN344" s="0" t="s">
        <v>2799</v>
      </c>
      <c r="EO344" s="0" t="n">
        <v>5.5</v>
      </c>
      <c r="EP344" s="0" t="s">
        <v>2528</v>
      </c>
      <c r="EQ344" s="0" t="s">
        <v>2848</v>
      </c>
      <c r="ER344" s="0" t="s">
        <v>2849</v>
      </c>
      <c r="ES344" s="0" t="n">
        <v>82850</v>
      </c>
      <c r="ET344" s="0" t="n">
        <v>82850</v>
      </c>
      <c r="EU344" s="0" t="n">
        <v>82850</v>
      </c>
      <c r="EV344" s="0" t="n">
        <v>82850</v>
      </c>
    </row>
    <row r="345" customFormat="false" ht="15" hidden="false" customHeight="false" outlineLevel="0" collapsed="false">
      <c r="DG345" s="0" t="s">
        <v>4641</v>
      </c>
      <c r="DH345" s="0" t="s">
        <v>82</v>
      </c>
      <c r="DI345" s="0" t="s">
        <v>1857</v>
      </c>
      <c r="DJ345" s="0" t="s">
        <v>1858</v>
      </c>
      <c r="DK345" s="0" t="s">
        <v>674</v>
      </c>
      <c r="DL345" s="0" t="n">
        <v>3.85</v>
      </c>
      <c r="DM345" s="0" t="s">
        <v>676</v>
      </c>
      <c r="DN345" s="0" t="s">
        <v>675</v>
      </c>
      <c r="DO345" s="0" t="n">
        <v>0</v>
      </c>
      <c r="DP345" s="0" t="n">
        <v>0</v>
      </c>
      <c r="DQ345" s="0" t="n">
        <v>149.6</v>
      </c>
      <c r="DR345" s="0" t="s">
        <v>4642</v>
      </c>
      <c r="EB345" s="0" t="s">
        <v>4643</v>
      </c>
      <c r="EC345" s="0" t="s">
        <v>2873</v>
      </c>
      <c r="ED345" s="0" t="s">
        <v>2874</v>
      </c>
      <c r="EE345" s="0" t="s">
        <v>280</v>
      </c>
      <c r="EF345" s="0" t="s">
        <v>279</v>
      </c>
      <c r="EG345" s="0" t="n">
        <v>475</v>
      </c>
      <c r="EH345" s="0" t="n">
        <v>525</v>
      </c>
      <c r="EI345" s="0" t="n">
        <v>525</v>
      </c>
      <c r="EJ345" s="0" t="n">
        <v>605</v>
      </c>
      <c r="EL345" s="0" t="s">
        <v>4644</v>
      </c>
      <c r="EM345" s="0" t="s">
        <v>2798</v>
      </c>
      <c r="EN345" s="0" t="s">
        <v>2799</v>
      </c>
      <c r="EO345" s="0" t="n">
        <v>5.5</v>
      </c>
      <c r="EP345" s="0" t="s">
        <v>2552</v>
      </c>
      <c r="EQ345" s="0" t="s">
        <v>2862</v>
      </c>
      <c r="ER345" s="0" t="s">
        <v>2863</v>
      </c>
      <c r="ES345" s="0" t="n">
        <v>124275</v>
      </c>
      <c r="ET345" s="0" t="n">
        <v>124275</v>
      </c>
      <c r="EU345" s="0" t="n">
        <v>124275</v>
      </c>
      <c r="EV345" s="0" t="n">
        <v>124275</v>
      </c>
    </row>
    <row r="346" customFormat="false" ht="15" hidden="false" customHeight="false" outlineLevel="0" collapsed="false">
      <c r="DG346" s="0" t="s">
        <v>4645</v>
      </c>
      <c r="DH346" s="0" t="s">
        <v>82</v>
      </c>
      <c r="DI346" s="0" t="s">
        <v>1861</v>
      </c>
      <c r="DJ346" s="0" t="s">
        <v>1862</v>
      </c>
      <c r="DK346" s="0" t="s">
        <v>674</v>
      </c>
      <c r="DL346" s="0" t="n">
        <v>3.85</v>
      </c>
      <c r="DM346" s="0" t="s">
        <v>676</v>
      </c>
      <c r="DN346" s="0" t="s">
        <v>675</v>
      </c>
      <c r="DO346" s="0" t="n">
        <v>0</v>
      </c>
      <c r="DP346" s="0" t="n">
        <v>0</v>
      </c>
      <c r="DQ346" s="0" t="n">
        <v>33.25</v>
      </c>
      <c r="DR346" s="0" t="s">
        <v>4646</v>
      </c>
      <c r="EB346" s="0" t="s">
        <v>4647</v>
      </c>
      <c r="EC346" s="0" t="s">
        <v>2873</v>
      </c>
      <c r="ED346" s="0" t="s">
        <v>2874</v>
      </c>
      <c r="EE346" s="0" t="s">
        <v>264</v>
      </c>
      <c r="EF346" s="0" t="s">
        <v>262</v>
      </c>
      <c r="EG346" s="0" t="n">
        <v>580</v>
      </c>
      <c r="EH346" s="0" t="n">
        <v>640</v>
      </c>
      <c r="EI346" s="0" t="n">
        <v>640</v>
      </c>
      <c r="EJ346" s="0" t="n">
        <v>735</v>
      </c>
      <c r="EL346" s="0" t="s">
        <v>4648</v>
      </c>
      <c r="EM346" s="0" t="s">
        <v>2798</v>
      </c>
      <c r="EN346" s="0" t="s">
        <v>2799</v>
      </c>
      <c r="EO346" s="0" t="n">
        <v>6</v>
      </c>
      <c r="EP346" s="0" t="s">
        <v>2528</v>
      </c>
      <c r="EQ346" s="0" t="s">
        <v>2877</v>
      </c>
      <c r="ER346" s="0" t="s">
        <v>2878</v>
      </c>
      <c r="ES346" s="0" t="n">
        <v>90350</v>
      </c>
      <c r="ET346" s="0" t="n">
        <v>90350</v>
      </c>
      <c r="EU346" s="0" t="n">
        <v>90350</v>
      </c>
      <c r="EV346" s="0" t="n">
        <v>90350</v>
      </c>
    </row>
    <row r="347" customFormat="false" ht="15" hidden="false" customHeight="false" outlineLevel="0" collapsed="false">
      <c r="DG347" s="0" t="s">
        <v>4649</v>
      </c>
      <c r="DH347" s="0" t="s">
        <v>82</v>
      </c>
      <c r="DI347" s="0" t="s">
        <v>1864</v>
      </c>
      <c r="DJ347" s="0" t="s">
        <v>1865</v>
      </c>
      <c r="DK347" s="0" t="s">
        <v>674</v>
      </c>
      <c r="DL347" s="0" t="n">
        <v>3.85</v>
      </c>
      <c r="DM347" s="0" t="s">
        <v>676</v>
      </c>
      <c r="DN347" s="0" t="s">
        <v>675</v>
      </c>
      <c r="DO347" s="0" t="n">
        <v>0</v>
      </c>
      <c r="DP347" s="0" t="n">
        <v>0</v>
      </c>
      <c r="DQ347" s="0" t="n">
        <v>327.42</v>
      </c>
      <c r="DR347" s="0" t="s">
        <v>4650</v>
      </c>
      <c r="EB347" s="0" t="s">
        <v>4651</v>
      </c>
      <c r="EC347" s="0" t="s">
        <v>2873</v>
      </c>
      <c r="EE347" s="0" t="s">
        <v>278</v>
      </c>
      <c r="EL347" s="0" t="s">
        <v>4652</v>
      </c>
      <c r="EM347" s="0" t="s">
        <v>2798</v>
      </c>
      <c r="EN347" s="0" t="s">
        <v>2799</v>
      </c>
      <c r="EO347" s="0" t="n">
        <v>6</v>
      </c>
      <c r="EP347" s="0" t="s">
        <v>2552</v>
      </c>
      <c r="EQ347" s="0" t="s">
        <v>2891</v>
      </c>
      <c r="ER347" s="0" t="s">
        <v>2892</v>
      </c>
      <c r="ES347" s="0" t="n">
        <v>135525</v>
      </c>
      <c r="ET347" s="0" t="n">
        <v>135525</v>
      </c>
      <c r="EU347" s="0" t="n">
        <v>135525</v>
      </c>
      <c r="EV347" s="0" t="n">
        <v>135525</v>
      </c>
    </row>
    <row r="348" customFormat="false" ht="15" hidden="false" customHeight="false" outlineLevel="0" collapsed="false">
      <c r="DG348" s="0" t="s">
        <v>4653</v>
      </c>
      <c r="DH348" s="0" t="s">
        <v>82</v>
      </c>
      <c r="DI348" s="0" t="s">
        <v>1867</v>
      </c>
      <c r="DJ348" s="0" t="s">
        <v>1868</v>
      </c>
      <c r="DK348" s="0" t="s">
        <v>674</v>
      </c>
      <c r="DL348" s="0" t="n">
        <v>3.85</v>
      </c>
      <c r="DM348" s="0" t="s">
        <v>675</v>
      </c>
      <c r="DN348" s="0" t="s">
        <v>676</v>
      </c>
      <c r="DO348" s="0" t="n">
        <v>2</v>
      </c>
      <c r="DP348" s="0" t="n">
        <v>36.3</v>
      </c>
      <c r="DQ348" s="0" t="n">
        <v>36.3</v>
      </c>
      <c r="DR348" s="0" t="s">
        <v>4654</v>
      </c>
      <c r="EB348" s="0" t="s">
        <v>4655</v>
      </c>
      <c r="EC348" s="0" t="s">
        <v>2873</v>
      </c>
      <c r="ED348" s="0" t="s">
        <v>2874</v>
      </c>
      <c r="EE348" s="0" t="s">
        <v>240</v>
      </c>
      <c r="EF348" s="0" t="s">
        <v>238</v>
      </c>
      <c r="EG348" s="0" t="n">
        <v>4335</v>
      </c>
      <c r="EH348" s="0" t="n">
        <v>4335</v>
      </c>
      <c r="EI348" s="0" t="n">
        <v>4335</v>
      </c>
      <c r="EJ348" s="0" t="n">
        <v>4335</v>
      </c>
      <c r="EL348" s="0" t="s">
        <v>4656</v>
      </c>
      <c r="EM348" s="0" t="s">
        <v>2798</v>
      </c>
      <c r="EN348" s="0" t="s">
        <v>2799</v>
      </c>
      <c r="EO348" s="0" t="n">
        <v>6.5</v>
      </c>
      <c r="EP348" s="0" t="s">
        <v>2528</v>
      </c>
      <c r="EQ348" s="0" t="s">
        <v>2904</v>
      </c>
      <c r="ER348" s="0" t="s">
        <v>2905</v>
      </c>
      <c r="ES348" s="0" t="n">
        <v>97300</v>
      </c>
      <c r="ET348" s="0" t="n">
        <v>97300</v>
      </c>
      <c r="EU348" s="0" t="n">
        <v>97300</v>
      </c>
      <c r="EV348" s="0" t="n">
        <v>97300</v>
      </c>
    </row>
    <row r="349" customFormat="false" ht="15" hidden="false" customHeight="false" outlineLevel="0" collapsed="false">
      <c r="DG349" s="0" t="s">
        <v>4657</v>
      </c>
      <c r="DH349" s="0" t="s">
        <v>82</v>
      </c>
      <c r="DI349" s="0" t="s">
        <v>1871</v>
      </c>
      <c r="DJ349" s="0" t="s">
        <v>1872</v>
      </c>
      <c r="DK349" s="0" t="s">
        <v>674</v>
      </c>
      <c r="DL349" s="0" t="n">
        <v>3.85</v>
      </c>
      <c r="DM349" s="0" t="s">
        <v>676</v>
      </c>
      <c r="DN349" s="0" t="s">
        <v>675</v>
      </c>
      <c r="DO349" s="0" t="n">
        <v>0</v>
      </c>
      <c r="DP349" s="0" t="n">
        <v>0</v>
      </c>
      <c r="DQ349" s="0" t="n">
        <v>6.65</v>
      </c>
      <c r="DR349" s="0" t="s">
        <v>4658</v>
      </c>
      <c r="EB349" s="0" t="s">
        <v>4659</v>
      </c>
      <c r="EC349" s="0" t="s">
        <v>2873</v>
      </c>
      <c r="ED349" s="0" t="s">
        <v>2874</v>
      </c>
      <c r="EE349" s="0" t="s">
        <v>252</v>
      </c>
      <c r="EF349" s="0" t="s">
        <v>250</v>
      </c>
      <c r="EG349" s="0" t="n">
        <v>750</v>
      </c>
      <c r="EH349" s="0" t="n">
        <v>750</v>
      </c>
      <c r="EI349" s="0" t="n">
        <v>750</v>
      </c>
      <c r="EJ349" s="0" t="n">
        <v>750</v>
      </c>
      <c r="EL349" s="0" t="s">
        <v>4660</v>
      </c>
      <c r="EM349" s="0" t="s">
        <v>2798</v>
      </c>
      <c r="EN349" s="0" t="s">
        <v>2799</v>
      </c>
      <c r="EO349" s="0" t="n">
        <v>6.5</v>
      </c>
      <c r="EP349" s="0" t="s">
        <v>2552</v>
      </c>
      <c r="EQ349" s="0" t="s">
        <v>2920</v>
      </c>
      <c r="ER349" s="0" t="s">
        <v>2921</v>
      </c>
      <c r="ES349" s="0" t="n">
        <v>145950</v>
      </c>
      <c r="ET349" s="0" t="n">
        <v>145950</v>
      </c>
      <c r="EU349" s="0" t="n">
        <v>145950</v>
      </c>
      <c r="EV349" s="0" t="n">
        <v>145950</v>
      </c>
    </row>
    <row r="350" customFormat="false" ht="15" hidden="false" customHeight="false" outlineLevel="0" collapsed="false">
      <c r="DG350" s="0" t="s">
        <v>4661</v>
      </c>
      <c r="DH350" s="0" t="s">
        <v>82</v>
      </c>
      <c r="DI350" s="0" t="s">
        <v>1874</v>
      </c>
      <c r="DJ350" s="0" t="s">
        <v>1875</v>
      </c>
      <c r="DK350" s="0" t="s">
        <v>674</v>
      </c>
      <c r="DL350" s="0" t="n">
        <v>3.85</v>
      </c>
      <c r="DM350" s="0" t="s">
        <v>676</v>
      </c>
      <c r="DN350" s="0" t="s">
        <v>675</v>
      </c>
      <c r="DO350" s="0" t="n">
        <v>0</v>
      </c>
      <c r="DP350" s="0" t="n">
        <v>0</v>
      </c>
      <c r="DQ350" s="0" t="n">
        <v>4.53</v>
      </c>
      <c r="DR350" s="0" t="s">
        <v>4662</v>
      </c>
      <c r="EB350" s="0" t="s">
        <v>4663</v>
      </c>
      <c r="EC350" s="0" t="s">
        <v>2873</v>
      </c>
      <c r="ED350" s="0" t="s">
        <v>2874</v>
      </c>
      <c r="EE350" s="0" t="s">
        <v>229</v>
      </c>
      <c r="EF350" s="0" t="s">
        <v>227</v>
      </c>
      <c r="EG350" s="0" t="n">
        <v>85</v>
      </c>
      <c r="EH350" s="0" t="n">
        <v>95</v>
      </c>
      <c r="EI350" s="0" t="n">
        <v>95</v>
      </c>
      <c r="EJ350" s="0" t="n">
        <v>110</v>
      </c>
      <c r="EL350" s="0" t="s">
        <v>4664</v>
      </c>
      <c r="EM350" s="0" t="s">
        <v>2798</v>
      </c>
      <c r="EN350" s="0" t="s">
        <v>2799</v>
      </c>
      <c r="EO350" s="0" t="n">
        <v>7</v>
      </c>
      <c r="EP350" s="0" t="s">
        <v>2528</v>
      </c>
      <c r="EQ350" s="0" t="s">
        <v>2935</v>
      </c>
      <c r="ER350" s="0" t="s">
        <v>2936</v>
      </c>
      <c r="ES350" s="0" t="n">
        <v>103350</v>
      </c>
      <c r="ET350" s="0" t="n">
        <v>103350</v>
      </c>
      <c r="EU350" s="0" t="n">
        <v>103350</v>
      </c>
      <c r="EV350" s="0" t="n">
        <v>103350</v>
      </c>
    </row>
    <row r="351" customFormat="false" ht="15" hidden="false" customHeight="false" outlineLevel="0" collapsed="false">
      <c r="DG351" s="0" t="s">
        <v>4665</v>
      </c>
      <c r="DH351" s="0" t="s">
        <v>82</v>
      </c>
      <c r="DI351" s="0" t="s">
        <v>1877</v>
      </c>
      <c r="DJ351" s="0" t="s">
        <v>1878</v>
      </c>
      <c r="DK351" s="0" t="s">
        <v>674</v>
      </c>
      <c r="DL351" s="0" t="n">
        <v>3.85</v>
      </c>
      <c r="DM351" s="0" t="s">
        <v>676</v>
      </c>
      <c r="DN351" s="0" t="s">
        <v>675</v>
      </c>
      <c r="DO351" s="0" t="n">
        <v>0</v>
      </c>
      <c r="DP351" s="0" t="n">
        <v>0</v>
      </c>
      <c r="DQ351" s="0" t="n">
        <v>45.99</v>
      </c>
      <c r="DR351" s="0" t="s">
        <v>4666</v>
      </c>
      <c r="EB351" s="0" t="s">
        <v>4667</v>
      </c>
      <c r="EC351" s="0" t="s">
        <v>2873</v>
      </c>
      <c r="ED351" s="0" t="s">
        <v>2874</v>
      </c>
      <c r="EE351" s="0" t="s">
        <v>246</v>
      </c>
      <c r="EF351" s="0" t="s">
        <v>244</v>
      </c>
      <c r="EG351" s="0" t="n">
        <v>180</v>
      </c>
      <c r="EH351" s="0" t="n">
        <v>200</v>
      </c>
      <c r="EI351" s="0" t="n">
        <v>200</v>
      </c>
      <c r="EJ351" s="0" t="n">
        <v>230</v>
      </c>
      <c r="EL351" s="0" t="s">
        <v>4668</v>
      </c>
      <c r="EM351" s="0" t="s">
        <v>2798</v>
      </c>
      <c r="EN351" s="0" t="s">
        <v>2799</v>
      </c>
      <c r="EO351" s="0" t="n">
        <v>7</v>
      </c>
      <c r="EP351" s="0" t="s">
        <v>2552</v>
      </c>
      <c r="EQ351" s="0" t="s">
        <v>2949</v>
      </c>
      <c r="ER351" s="0" t="s">
        <v>2950</v>
      </c>
      <c r="ES351" s="0" t="n">
        <v>155025</v>
      </c>
      <c r="ET351" s="0" t="n">
        <v>155025</v>
      </c>
      <c r="EU351" s="0" t="n">
        <v>155025</v>
      </c>
      <c r="EV351" s="0" t="n">
        <v>155025</v>
      </c>
    </row>
    <row r="352" customFormat="false" ht="15" hidden="false" customHeight="false" outlineLevel="0" collapsed="false">
      <c r="DG352" s="0" t="s">
        <v>4669</v>
      </c>
      <c r="DH352" s="0" t="s">
        <v>82</v>
      </c>
      <c r="DI352" s="0" t="s">
        <v>1881</v>
      </c>
      <c r="DJ352" s="0" t="s">
        <v>1882</v>
      </c>
      <c r="DK352" s="0" t="s">
        <v>674</v>
      </c>
      <c r="DL352" s="0" t="n">
        <v>3.85</v>
      </c>
      <c r="DM352" s="0" t="s">
        <v>675</v>
      </c>
      <c r="DN352" s="0" t="s">
        <v>676</v>
      </c>
      <c r="DO352" s="0" t="n">
        <v>1</v>
      </c>
      <c r="DP352" s="0" t="n">
        <v>63.17</v>
      </c>
      <c r="DQ352" s="0" t="n">
        <v>63.17</v>
      </c>
      <c r="DR352" s="0" t="s">
        <v>4670</v>
      </c>
      <c r="EB352" s="0" t="s">
        <v>4671</v>
      </c>
      <c r="EC352" s="0" t="s">
        <v>2873</v>
      </c>
      <c r="EE352" s="0" t="s">
        <v>255</v>
      </c>
      <c r="EL352" s="0" t="s">
        <v>4672</v>
      </c>
      <c r="EM352" s="0" t="s">
        <v>2798</v>
      </c>
      <c r="EN352" s="0" t="s">
        <v>2799</v>
      </c>
      <c r="EO352" s="0" t="n">
        <v>7.5</v>
      </c>
      <c r="EP352" s="0" t="s">
        <v>2528</v>
      </c>
      <c r="EQ352" s="0" t="s">
        <v>2961</v>
      </c>
      <c r="ER352" s="0" t="s">
        <v>3797</v>
      </c>
      <c r="ES352" s="0" t="n">
        <v>109750</v>
      </c>
      <c r="ET352" s="0" t="n">
        <v>109750</v>
      </c>
      <c r="EU352" s="0" t="n">
        <v>109750</v>
      </c>
      <c r="EV352" s="0" t="n">
        <v>109750</v>
      </c>
    </row>
    <row r="353" customFormat="false" ht="15" hidden="false" customHeight="false" outlineLevel="0" collapsed="false">
      <c r="DG353" s="0" t="s">
        <v>4673</v>
      </c>
      <c r="DH353" s="0" t="s">
        <v>82</v>
      </c>
      <c r="DI353" s="0" t="s">
        <v>1884</v>
      </c>
      <c r="DJ353" s="0" t="s">
        <v>1885</v>
      </c>
      <c r="DK353" s="0" t="s">
        <v>674</v>
      </c>
      <c r="DL353" s="0" t="n">
        <v>3.85</v>
      </c>
      <c r="DM353" s="0" t="s">
        <v>676</v>
      </c>
      <c r="DN353" s="0" t="s">
        <v>675</v>
      </c>
      <c r="DO353" s="0" t="n">
        <v>0</v>
      </c>
      <c r="DP353" s="0" t="n">
        <v>0</v>
      </c>
      <c r="DQ353" s="0" t="n">
        <v>24.56</v>
      </c>
      <c r="DR353" s="0" t="s">
        <v>4674</v>
      </c>
      <c r="EB353" s="0" t="s">
        <v>4675</v>
      </c>
      <c r="EC353" s="0" t="s">
        <v>2873</v>
      </c>
      <c r="EE353" s="0" t="s">
        <v>243</v>
      </c>
      <c r="EL353" s="0" t="s">
        <v>4676</v>
      </c>
      <c r="EM353" s="0" t="s">
        <v>2798</v>
      </c>
      <c r="EN353" s="0" t="s">
        <v>2799</v>
      </c>
      <c r="EO353" s="0" t="n">
        <v>7.5</v>
      </c>
      <c r="EP353" s="0" t="s">
        <v>2552</v>
      </c>
      <c r="EQ353" s="0" t="s">
        <v>2975</v>
      </c>
      <c r="ER353" s="0" t="s">
        <v>2976</v>
      </c>
      <c r="ES353" s="0" t="n">
        <v>164625</v>
      </c>
      <c r="ET353" s="0" t="n">
        <v>164625</v>
      </c>
      <c r="EU353" s="0" t="n">
        <v>164625</v>
      </c>
      <c r="EV353" s="0" t="n">
        <v>164625</v>
      </c>
    </row>
    <row r="354" customFormat="false" ht="15" hidden="false" customHeight="false" outlineLevel="0" collapsed="false">
      <c r="DG354" s="0" t="s">
        <v>4677</v>
      </c>
      <c r="DH354" s="0" t="s">
        <v>82</v>
      </c>
      <c r="DI354" s="0" t="s">
        <v>1887</v>
      </c>
      <c r="DJ354" s="0" t="s">
        <v>1888</v>
      </c>
      <c r="DK354" s="0" t="s">
        <v>674</v>
      </c>
      <c r="DL354" s="0" t="n">
        <v>3.85</v>
      </c>
      <c r="DM354" s="0" t="s">
        <v>676</v>
      </c>
      <c r="DN354" s="0" t="s">
        <v>675</v>
      </c>
      <c r="DO354" s="0" t="n">
        <v>0</v>
      </c>
      <c r="DP354" s="0" t="n">
        <v>0</v>
      </c>
      <c r="DQ354" s="0" t="n">
        <v>31.7</v>
      </c>
      <c r="DR354" s="0" t="s">
        <v>4678</v>
      </c>
      <c r="EB354" s="0" t="s">
        <v>4679</v>
      </c>
      <c r="EC354" s="0" t="s">
        <v>2873</v>
      </c>
      <c r="ED354" s="0" t="s">
        <v>2874</v>
      </c>
      <c r="EE354" s="0" t="s">
        <v>261</v>
      </c>
      <c r="EF354" s="0" t="s">
        <v>259</v>
      </c>
      <c r="EG354" s="0" t="n">
        <v>1</v>
      </c>
      <c r="EH354" s="0" t="n">
        <v>1</v>
      </c>
      <c r="EI354" s="0" t="n">
        <v>1</v>
      </c>
      <c r="EJ354" s="0" t="n">
        <v>1</v>
      </c>
      <c r="EL354" s="0" t="s">
        <v>4680</v>
      </c>
      <c r="EM354" s="0" t="s">
        <v>2798</v>
      </c>
      <c r="EN354" s="0" t="s">
        <v>2799</v>
      </c>
      <c r="EO354" s="0" t="n">
        <v>8</v>
      </c>
      <c r="EP354" s="0" t="s">
        <v>2528</v>
      </c>
      <c r="EQ354" s="0" t="s">
        <v>2988</v>
      </c>
      <c r="ER354" s="0" t="s">
        <v>2989</v>
      </c>
      <c r="ES354" s="0" t="n">
        <v>114900</v>
      </c>
      <c r="ET354" s="0" t="n">
        <v>114900</v>
      </c>
      <c r="EU354" s="0" t="n">
        <v>114900</v>
      </c>
      <c r="EV354" s="0" t="n">
        <v>114900</v>
      </c>
    </row>
    <row r="355" customFormat="false" ht="15" hidden="false" customHeight="false" outlineLevel="0" collapsed="false">
      <c r="DG355" s="0" t="s">
        <v>4681</v>
      </c>
      <c r="DH355" s="0" t="s">
        <v>82</v>
      </c>
      <c r="DI355" s="0" t="s">
        <v>1891</v>
      </c>
      <c r="DJ355" s="0" t="s">
        <v>1751</v>
      </c>
      <c r="DK355" s="0" t="s">
        <v>674</v>
      </c>
      <c r="DL355" s="0" t="n">
        <v>3.85</v>
      </c>
      <c r="DM355" s="0" t="s">
        <v>676</v>
      </c>
      <c r="DN355" s="0" t="s">
        <v>675</v>
      </c>
      <c r="DO355" s="0" t="n">
        <v>0</v>
      </c>
      <c r="DP355" s="0" t="n">
        <v>0</v>
      </c>
      <c r="DQ355" s="0" t="n">
        <v>0</v>
      </c>
      <c r="DR355" s="0" t="s">
        <v>4484</v>
      </c>
      <c r="EB355" s="0" t="s">
        <v>4682</v>
      </c>
      <c r="EC355" s="0" t="s">
        <v>2873</v>
      </c>
      <c r="EE355" s="0" t="s">
        <v>296</v>
      </c>
      <c r="EL355" s="0" t="s">
        <v>4683</v>
      </c>
      <c r="EM355" s="0" t="s">
        <v>2798</v>
      </c>
      <c r="EN355" s="0" t="s">
        <v>2799</v>
      </c>
      <c r="EO355" s="0" t="n">
        <v>8</v>
      </c>
      <c r="EP355" s="0" t="s">
        <v>2552</v>
      </c>
      <c r="EQ355" s="0" t="s">
        <v>3000</v>
      </c>
      <c r="ER355" s="0" t="s">
        <v>3001</v>
      </c>
      <c r="ES355" s="0" t="n">
        <v>172350</v>
      </c>
      <c r="ET355" s="0" t="n">
        <v>172350</v>
      </c>
      <c r="EU355" s="0" t="n">
        <v>172350</v>
      </c>
      <c r="EV355" s="0" t="n">
        <v>172350</v>
      </c>
    </row>
    <row r="356" customFormat="false" ht="15" hidden="false" customHeight="false" outlineLevel="0" collapsed="false">
      <c r="DG356" s="0" t="s">
        <v>4684</v>
      </c>
      <c r="DH356" s="0" t="s">
        <v>82</v>
      </c>
      <c r="DI356" s="0" t="s">
        <v>1893</v>
      </c>
      <c r="DJ356" s="0" t="s">
        <v>1894</v>
      </c>
      <c r="DK356" s="0" t="s">
        <v>674</v>
      </c>
      <c r="DL356" s="0" t="n">
        <v>3.85</v>
      </c>
      <c r="DM356" s="0" t="s">
        <v>676</v>
      </c>
      <c r="DN356" s="0" t="s">
        <v>675</v>
      </c>
      <c r="DO356" s="0" t="n">
        <v>0</v>
      </c>
      <c r="DP356" s="0" t="n">
        <v>0</v>
      </c>
      <c r="DQ356" s="0" t="n">
        <v>152</v>
      </c>
      <c r="DR356" s="0" t="s">
        <v>4685</v>
      </c>
      <c r="EB356" s="0" t="s">
        <v>4686</v>
      </c>
      <c r="EC356" s="0" t="s">
        <v>2725</v>
      </c>
      <c r="ED356" s="0" t="s">
        <v>2726</v>
      </c>
      <c r="EE356" s="0" t="s">
        <v>626</v>
      </c>
      <c r="EF356" s="0" t="s">
        <v>2526</v>
      </c>
      <c r="EG356" s="0" t="n">
        <v>580</v>
      </c>
      <c r="EH356" s="0" t="n">
        <v>650</v>
      </c>
      <c r="EI356" s="0" t="n">
        <v>740</v>
      </c>
      <c r="EJ356" s="0" t="n">
        <v>790</v>
      </c>
    </row>
    <row r="357" customFormat="false" ht="15" hidden="false" customHeight="false" outlineLevel="0" collapsed="false">
      <c r="DG357" s="0" t="s">
        <v>4687</v>
      </c>
      <c r="DH357" s="0" t="s">
        <v>82</v>
      </c>
      <c r="DI357" s="0" t="s">
        <v>1897</v>
      </c>
      <c r="DJ357" s="0" t="s">
        <v>1898</v>
      </c>
      <c r="DK357" s="0" t="s">
        <v>674</v>
      </c>
      <c r="DL357" s="0" t="n">
        <v>3.85</v>
      </c>
      <c r="DM357" s="0" t="s">
        <v>676</v>
      </c>
      <c r="DN357" s="0" t="s">
        <v>675</v>
      </c>
      <c r="DO357" s="0" t="n">
        <v>0</v>
      </c>
      <c r="DP357" s="0" t="n">
        <v>0</v>
      </c>
      <c r="DQ357" s="0" t="n">
        <v>66.36</v>
      </c>
      <c r="DR357" s="0" t="s">
        <v>4688</v>
      </c>
      <c r="EB357" s="0" t="s">
        <v>4689</v>
      </c>
      <c r="EC357" s="0" t="s">
        <v>2725</v>
      </c>
      <c r="ED357" s="0" t="s">
        <v>2726</v>
      </c>
      <c r="EE357" s="0" t="s">
        <v>624</v>
      </c>
      <c r="EF357" s="0" t="s">
        <v>2550</v>
      </c>
      <c r="EG357" s="0" t="n">
        <v>580</v>
      </c>
      <c r="EH357" s="0" t="n">
        <v>660</v>
      </c>
      <c r="EI357" s="0" t="n">
        <v>760</v>
      </c>
      <c r="EJ357" s="0" t="n">
        <v>800</v>
      </c>
    </row>
    <row r="358" customFormat="false" ht="15" hidden="false" customHeight="false" outlineLevel="0" collapsed="false">
      <c r="DG358" s="0" t="s">
        <v>4690</v>
      </c>
      <c r="DH358" s="0" t="s">
        <v>82</v>
      </c>
      <c r="DI358" s="0" t="s">
        <v>1901</v>
      </c>
      <c r="DJ358" s="0" t="s">
        <v>1902</v>
      </c>
      <c r="DK358" s="0" t="s">
        <v>674</v>
      </c>
      <c r="DL358" s="0" t="n">
        <v>3.85</v>
      </c>
      <c r="DM358" s="0" t="s">
        <v>676</v>
      </c>
      <c r="DN358" s="0" t="s">
        <v>675</v>
      </c>
      <c r="DO358" s="0" t="n">
        <v>0</v>
      </c>
      <c r="DP358" s="0" t="n">
        <v>0</v>
      </c>
      <c r="DQ358" s="0" t="n">
        <v>19.9</v>
      </c>
      <c r="DR358" s="0" t="s">
        <v>4691</v>
      </c>
      <c r="EB358" s="0" t="s">
        <v>4692</v>
      </c>
      <c r="EC358" s="0" t="s">
        <v>2725</v>
      </c>
      <c r="ED358" s="0" t="s">
        <v>2726</v>
      </c>
      <c r="EE358" s="0" t="s">
        <v>622</v>
      </c>
      <c r="EF358" s="0" t="s">
        <v>2567</v>
      </c>
      <c r="EG358" s="0" t="n">
        <v>2020</v>
      </c>
      <c r="EH358" s="0" t="n">
        <v>2320</v>
      </c>
      <c r="EI358" s="0" t="n">
        <v>2620</v>
      </c>
      <c r="EJ358" s="0" t="n">
        <v>2830</v>
      </c>
    </row>
    <row r="359" customFormat="false" ht="15" hidden="false" customHeight="false" outlineLevel="0" collapsed="false">
      <c r="DG359" s="0" t="s">
        <v>4693</v>
      </c>
      <c r="DH359" s="0" t="s">
        <v>82</v>
      </c>
      <c r="DI359" s="0" t="s">
        <v>1904</v>
      </c>
      <c r="DJ359" s="0" t="s">
        <v>1905</v>
      </c>
      <c r="DK359" s="0" t="s">
        <v>674</v>
      </c>
      <c r="DL359" s="0" t="n">
        <v>3.85</v>
      </c>
      <c r="DM359" s="0" t="s">
        <v>676</v>
      </c>
      <c r="DN359" s="0" t="s">
        <v>675</v>
      </c>
      <c r="DO359" s="0" t="n">
        <v>0</v>
      </c>
      <c r="DP359" s="0" t="n">
        <v>0</v>
      </c>
      <c r="DQ359" s="0" t="n">
        <v>9.66</v>
      </c>
      <c r="DR359" s="0" t="s">
        <v>4694</v>
      </c>
      <c r="EB359" s="0" t="s">
        <v>4695</v>
      </c>
      <c r="EC359" s="0" t="s">
        <v>2725</v>
      </c>
      <c r="ED359" s="0" t="s">
        <v>2726</v>
      </c>
      <c r="EE359" s="0" t="s">
        <v>620</v>
      </c>
      <c r="EF359" s="0" t="s">
        <v>2580</v>
      </c>
      <c r="EG359" s="0" t="n">
        <v>840</v>
      </c>
      <c r="EH359" s="0" t="n">
        <v>970</v>
      </c>
      <c r="EI359" s="0" t="n">
        <v>1100</v>
      </c>
      <c r="EJ359" s="0" t="n">
        <v>1170</v>
      </c>
    </row>
    <row r="360" customFormat="false" ht="15" hidden="false" customHeight="false" outlineLevel="0" collapsed="false">
      <c r="DG360" s="0" t="s">
        <v>4696</v>
      </c>
      <c r="DH360" s="0" t="s">
        <v>82</v>
      </c>
      <c r="DI360" s="0" t="s">
        <v>1908</v>
      </c>
      <c r="DJ360" s="0" t="s">
        <v>1909</v>
      </c>
      <c r="DK360" s="0" t="s">
        <v>674</v>
      </c>
      <c r="DL360" s="0" t="n">
        <v>3.85</v>
      </c>
      <c r="DM360" s="0" t="s">
        <v>675</v>
      </c>
      <c r="DN360" s="0" t="s">
        <v>676</v>
      </c>
      <c r="DO360" s="0" t="n">
        <v>13</v>
      </c>
      <c r="DP360" s="0" t="n">
        <v>156</v>
      </c>
      <c r="DQ360" s="0" t="n">
        <v>156</v>
      </c>
      <c r="DR360" s="0" t="s">
        <v>4697</v>
      </c>
      <c r="EB360" s="0" t="s">
        <v>4698</v>
      </c>
      <c r="EC360" s="0" t="s">
        <v>2725</v>
      </c>
      <c r="ED360" s="0" t="s">
        <v>2726</v>
      </c>
      <c r="EE360" s="0" t="s">
        <v>618</v>
      </c>
      <c r="EF360" s="0" t="s">
        <v>2596</v>
      </c>
      <c r="EG360" s="0" t="n">
        <v>500</v>
      </c>
      <c r="EH360" s="0" t="n">
        <v>570</v>
      </c>
      <c r="EI360" s="0" t="n">
        <v>640</v>
      </c>
      <c r="EJ360" s="0" t="n">
        <v>680</v>
      </c>
    </row>
    <row r="361" customFormat="false" ht="15" hidden="false" customHeight="false" outlineLevel="0" collapsed="false">
      <c r="DG361" s="0" t="s">
        <v>4699</v>
      </c>
      <c r="DH361" s="0" t="s">
        <v>82</v>
      </c>
      <c r="DI361" s="0" t="s">
        <v>1911</v>
      </c>
      <c r="DJ361" s="0" t="s">
        <v>1912</v>
      </c>
      <c r="DK361" s="0" t="s">
        <v>674</v>
      </c>
      <c r="DL361" s="0" t="n">
        <v>3.85</v>
      </c>
      <c r="DM361" s="0" t="s">
        <v>675</v>
      </c>
      <c r="DN361" s="0" t="s">
        <v>676</v>
      </c>
      <c r="DO361" s="0" t="n">
        <v>1</v>
      </c>
      <c r="DP361" s="0" t="n">
        <v>407.8</v>
      </c>
      <c r="DQ361" s="0" t="n">
        <v>407.8</v>
      </c>
      <c r="DR361" s="0" t="s">
        <v>4700</v>
      </c>
      <c r="EB361" s="0" t="s">
        <v>4701</v>
      </c>
      <c r="EC361" s="0" t="s">
        <v>2725</v>
      </c>
      <c r="ED361" s="0" t="s">
        <v>2726</v>
      </c>
      <c r="EE361" s="0" t="s">
        <v>616</v>
      </c>
      <c r="EF361" s="0" t="s">
        <v>2612</v>
      </c>
      <c r="EG361" s="0" t="n">
        <v>550</v>
      </c>
      <c r="EH361" s="0" t="n">
        <v>630</v>
      </c>
      <c r="EI361" s="0" t="n">
        <v>720</v>
      </c>
      <c r="EJ361" s="0" t="n">
        <v>770</v>
      </c>
    </row>
    <row r="362" customFormat="false" ht="15" hidden="false" customHeight="false" outlineLevel="0" collapsed="false">
      <c r="DG362" s="0" t="s">
        <v>4702</v>
      </c>
      <c r="DH362" s="0" t="s">
        <v>82</v>
      </c>
      <c r="DI362" s="0" t="s">
        <v>1914</v>
      </c>
      <c r="DJ362" s="0" t="s">
        <v>1915</v>
      </c>
      <c r="DK362" s="0" t="s">
        <v>674</v>
      </c>
      <c r="DL362" s="0" t="n">
        <v>3.85</v>
      </c>
      <c r="DM362" s="0" t="s">
        <v>676</v>
      </c>
      <c r="DN362" s="0" t="s">
        <v>675</v>
      </c>
      <c r="DO362" s="0" t="n">
        <v>0</v>
      </c>
      <c r="DP362" s="0" t="n">
        <v>0</v>
      </c>
      <c r="DQ362" s="0" t="n">
        <v>0</v>
      </c>
      <c r="DR362" s="0" t="s">
        <v>4703</v>
      </c>
      <c r="EB362" s="0" t="s">
        <v>4704</v>
      </c>
      <c r="EC362" s="0" t="s">
        <v>2725</v>
      </c>
      <c r="ED362" s="0" t="s">
        <v>2726</v>
      </c>
      <c r="EE362" s="0" t="s">
        <v>614</v>
      </c>
      <c r="EF362" s="0" t="s">
        <v>2628</v>
      </c>
      <c r="EG362" s="0" t="n">
        <v>910</v>
      </c>
      <c r="EH362" s="0" t="n">
        <v>1050</v>
      </c>
      <c r="EI362" s="0" t="n">
        <v>1190</v>
      </c>
      <c r="EJ362" s="0" t="n">
        <v>1280</v>
      </c>
    </row>
    <row r="363" customFormat="false" ht="15" hidden="false" customHeight="false" outlineLevel="0" collapsed="false">
      <c r="DG363" s="0" t="s">
        <v>4705</v>
      </c>
      <c r="DH363" s="0" t="s">
        <v>82</v>
      </c>
      <c r="DI363" s="0" t="s">
        <v>1917</v>
      </c>
      <c r="DJ363" s="0" t="s">
        <v>1918</v>
      </c>
      <c r="DK363" s="0" t="s">
        <v>674</v>
      </c>
      <c r="DL363" s="0" t="n">
        <v>3.85</v>
      </c>
      <c r="DM363" s="0" t="s">
        <v>675</v>
      </c>
      <c r="DN363" s="0" t="s">
        <v>676</v>
      </c>
      <c r="DO363" s="0" t="n">
        <v>5</v>
      </c>
      <c r="DP363" s="0" t="n">
        <v>127.55</v>
      </c>
      <c r="DQ363" s="0" t="n">
        <v>127.55</v>
      </c>
      <c r="DR363" s="0" t="s">
        <v>4706</v>
      </c>
      <c r="EB363" s="0" t="s">
        <v>4707</v>
      </c>
      <c r="EC363" s="0" t="s">
        <v>2725</v>
      </c>
      <c r="ED363" s="0" t="s">
        <v>2726</v>
      </c>
      <c r="EE363" s="0" t="s">
        <v>612</v>
      </c>
      <c r="EF363" s="0" t="s">
        <v>2647</v>
      </c>
      <c r="EG363" s="0" t="n">
        <v>720</v>
      </c>
      <c r="EH363" s="0" t="n">
        <v>830</v>
      </c>
      <c r="EI363" s="0" t="n">
        <v>940</v>
      </c>
      <c r="EJ363" s="0" t="n">
        <v>1010</v>
      </c>
    </row>
    <row r="364" customFormat="false" ht="15" hidden="false" customHeight="false" outlineLevel="0" collapsed="false">
      <c r="DG364" s="0" t="s">
        <v>4708</v>
      </c>
      <c r="DH364" s="0" t="s">
        <v>82</v>
      </c>
      <c r="DI364" s="0" t="s">
        <v>1921</v>
      </c>
      <c r="DJ364" s="0" t="s">
        <v>1922</v>
      </c>
      <c r="DK364" s="0" t="s">
        <v>674</v>
      </c>
      <c r="DL364" s="0" t="n">
        <v>3.85</v>
      </c>
      <c r="DM364" s="0" t="s">
        <v>675</v>
      </c>
      <c r="DN364" s="0" t="s">
        <v>676</v>
      </c>
      <c r="DO364" s="0" t="n">
        <v>5</v>
      </c>
      <c r="DP364" s="0" t="n">
        <v>1031.25</v>
      </c>
      <c r="DQ364" s="0" t="n">
        <v>1031.25</v>
      </c>
      <c r="DR364" s="0" t="s">
        <v>4709</v>
      </c>
      <c r="EB364" s="0" t="s">
        <v>4710</v>
      </c>
      <c r="EC364" s="0" t="s">
        <v>2725</v>
      </c>
      <c r="ED364" s="0" t="s">
        <v>2726</v>
      </c>
      <c r="EE364" s="0" t="s">
        <v>609</v>
      </c>
      <c r="EF364" s="0" t="s">
        <v>2663</v>
      </c>
      <c r="EG364" s="0" t="n">
        <v>350</v>
      </c>
      <c r="EH364" s="0" t="n">
        <v>350</v>
      </c>
      <c r="EI364" s="0" t="n">
        <v>350</v>
      </c>
      <c r="EJ364" s="0" t="n">
        <v>350</v>
      </c>
    </row>
    <row r="365" customFormat="false" ht="15" hidden="false" customHeight="false" outlineLevel="0" collapsed="false">
      <c r="DG365" s="0" t="s">
        <v>4711</v>
      </c>
      <c r="DH365" s="0" t="s">
        <v>82</v>
      </c>
      <c r="DI365" s="0" t="s">
        <v>1925</v>
      </c>
      <c r="DJ365" s="0" t="s">
        <v>1926</v>
      </c>
      <c r="DK365" s="0" t="s">
        <v>674</v>
      </c>
      <c r="DL365" s="0" t="n">
        <v>3.85</v>
      </c>
      <c r="DM365" s="0" t="s">
        <v>676</v>
      </c>
      <c r="DN365" s="0" t="s">
        <v>675</v>
      </c>
      <c r="DO365" s="0" t="n">
        <v>0</v>
      </c>
      <c r="DP365" s="0" t="n">
        <v>0</v>
      </c>
      <c r="DQ365" s="0" t="n">
        <v>15.74</v>
      </c>
      <c r="DR365" s="0" t="s">
        <v>4712</v>
      </c>
      <c r="EB365" s="0" t="s">
        <v>4713</v>
      </c>
      <c r="EC365" s="0" t="s">
        <v>2725</v>
      </c>
      <c r="ED365" s="0" t="s">
        <v>2726</v>
      </c>
      <c r="EE365" s="0" t="s">
        <v>607</v>
      </c>
      <c r="EF365" s="0" t="s">
        <v>2680</v>
      </c>
      <c r="EG365" s="0" t="n">
        <v>1120</v>
      </c>
      <c r="EH365" s="0" t="n">
        <v>1120</v>
      </c>
      <c r="EI365" s="0" t="n">
        <v>1120</v>
      </c>
      <c r="EJ365" s="0" t="n">
        <v>1120</v>
      </c>
    </row>
    <row r="366" customFormat="false" ht="15" hidden="false" customHeight="false" outlineLevel="0" collapsed="false">
      <c r="DG366" s="0" t="s">
        <v>4714</v>
      </c>
      <c r="DH366" s="0" t="s">
        <v>82</v>
      </c>
      <c r="DI366" s="0" t="s">
        <v>1928</v>
      </c>
      <c r="DJ366" s="0" t="s">
        <v>1929</v>
      </c>
      <c r="DK366" s="0" t="s">
        <v>674</v>
      </c>
      <c r="DL366" s="0" t="n">
        <v>3.85</v>
      </c>
      <c r="DM366" s="0" t="s">
        <v>676</v>
      </c>
      <c r="DN366" s="0" t="s">
        <v>675</v>
      </c>
      <c r="DO366" s="0" t="n">
        <v>0</v>
      </c>
      <c r="DP366" s="0" t="n">
        <v>0</v>
      </c>
      <c r="DQ366" s="0" t="n">
        <v>378.6</v>
      </c>
      <c r="DR366" s="0" t="s">
        <v>4715</v>
      </c>
      <c r="EB366" s="0" t="s">
        <v>4716</v>
      </c>
      <c r="EC366" s="0" t="s">
        <v>2725</v>
      </c>
      <c r="ED366" s="0" t="s">
        <v>2726</v>
      </c>
      <c r="EE366" s="0" t="s">
        <v>605</v>
      </c>
      <c r="EF366" s="0" t="s">
        <v>2697</v>
      </c>
      <c r="EG366" s="0" t="n">
        <v>1230</v>
      </c>
      <c r="EH366" s="0" t="n">
        <v>1230</v>
      </c>
      <c r="EI366" s="0" t="n">
        <v>1230</v>
      </c>
      <c r="EJ366" s="0" t="n">
        <v>1230</v>
      </c>
    </row>
    <row r="367" customFormat="false" ht="15" hidden="false" customHeight="false" outlineLevel="0" collapsed="false">
      <c r="DG367" s="0" t="s">
        <v>4717</v>
      </c>
      <c r="DH367" s="0" t="s">
        <v>82</v>
      </c>
      <c r="DI367" s="0" t="s">
        <v>1932</v>
      </c>
      <c r="DJ367" s="0" t="s">
        <v>1933</v>
      </c>
      <c r="DK367" s="0" t="s">
        <v>674</v>
      </c>
      <c r="DL367" s="0" t="n">
        <v>3.85</v>
      </c>
      <c r="DM367" s="0" t="s">
        <v>676</v>
      </c>
      <c r="DN367" s="0" t="s">
        <v>675</v>
      </c>
      <c r="DO367" s="0" t="n">
        <v>0</v>
      </c>
      <c r="DP367" s="0" t="n">
        <v>0</v>
      </c>
      <c r="DQ367" s="0" t="n">
        <v>69.18</v>
      </c>
      <c r="DR367" s="0" t="s">
        <v>4718</v>
      </c>
      <c r="EB367" s="0" t="s">
        <v>4719</v>
      </c>
      <c r="EC367" s="0" t="s">
        <v>2725</v>
      </c>
      <c r="ED367" s="0" t="s">
        <v>2726</v>
      </c>
      <c r="EE367" s="0" t="s">
        <v>629</v>
      </c>
      <c r="EF367" s="0" t="s">
        <v>2713</v>
      </c>
      <c r="EG367" s="0" t="n">
        <v>1890</v>
      </c>
      <c r="EH367" s="0" t="n">
        <v>1890</v>
      </c>
      <c r="EI367" s="0" t="n">
        <v>1890</v>
      </c>
      <c r="EJ367" s="0" t="n">
        <v>1890</v>
      </c>
    </row>
    <row r="368" customFormat="false" ht="15" hidden="false" customHeight="false" outlineLevel="0" collapsed="false">
      <c r="DG368" s="0" t="s">
        <v>4720</v>
      </c>
      <c r="DH368" s="0" t="s">
        <v>82</v>
      </c>
      <c r="DI368" s="0" t="s">
        <v>1936</v>
      </c>
      <c r="DJ368" s="0" t="s">
        <v>1937</v>
      </c>
      <c r="DK368" s="0" t="s">
        <v>674</v>
      </c>
      <c r="DL368" s="0" t="n">
        <v>3.85</v>
      </c>
      <c r="DM368" s="0" t="s">
        <v>676</v>
      </c>
      <c r="DN368" s="0" t="s">
        <v>675</v>
      </c>
      <c r="DO368" s="0" t="n">
        <v>0</v>
      </c>
      <c r="DP368" s="0" t="n">
        <v>0</v>
      </c>
      <c r="DQ368" s="0" t="n">
        <v>33.92</v>
      </c>
      <c r="DR368" s="0" t="s">
        <v>4721</v>
      </c>
      <c r="EB368" s="0" t="s">
        <v>4722</v>
      </c>
      <c r="EC368" s="0" t="s">
        <v>2725</v>
      </c>
      <c r="EE368" s="0" t="s">
        <v>602</v>
      </c>
    </row>
    <row r="369" customFormat="false" ht="15" hidden="false" customHeight="false" outlineLevel="0" collapsed="false">
      <c r="DG369" s="0" t="s">
        <v>4723</v>
      </c>
      <c r="DH369" s="0" t="s">
        <v>82</v>
      </c>
      <c r="DI369" s="0" t="s">
        <v>1940</v>
      </c>
      <c r="DJ369" s="0" t="s">
        <v>1941</v>
      </c>
      <c r="DK369" s="0" t="s">
        <v>674</v>
      </c>
      <c r="DL369" s="0" t="n">
        <v>3.85</v>
      </c>
      <c r="DM369" s="0" t="s">
        <v>676</v>
      </c>
      <c r="DN369" s="0" t="s">
        <v>675</v>
      </c>
      <c r="DO369" s="0" t="n">
        <v>0</v>
      </c>
      <c r="DP369" s="0" t="n">
        <v>0</v>
      </c>
      <c r="DQ369" s="0" t="n">
        <v>832</v>
      </c>
      <c r="DR369" s="0" t="s">
        <v>4724</v>
      </c>
      <c r="EB369" s="0" t="s">
        <v>4725</v>
      </c>
      <c r="EC369" s="0" t="s">
        <v>2725</v>
      </c>
      <c r="EE369" s="0" t="s">
        <v>599</v>
      </c>
    </row>
    <row r="370" customFormat="false" ht="15" hidden="false" customHeight="false" outlineLevel="0" collapsed="false">
      <c r="DG370" s="0" t="s">
        <v>4726</v>
      </c>
      <c r="DH370" s="0" t="s">
        <v>82</v>
      </c>
      <c r="DI370" s="0" t="s">
        <v>1943</v>
      </c>
      <c r="DJ370" s="0" t="s">
        <v>1944</v>
      </c>
      <c r="DK370" s="0" t="s">
        <v>674</v>
      </c>
      <c r="DL370" s="0" t="n">
        <v>3.85</v>
      </c>
      <c r="DM370" s="0" t="s">
        <v>676</v>
      </c>
      <c r="DN370" s="0" t="s">
        <v>675</v>
      </c>
      <c r="DO370" s="0" t="n">
        <v>0</v>
      </c>
      <c r="DP370" s="0" t="n">
        <v>0</v>
      </c>
      <c r="DQ370" s="0" t="n">
        <v>84.4</v>
      </c>
      <c r="DR370" s="0" t="s">
        <v>4727</v>
      </c>
      <c r="EB370" s="0" t="s">
        <v>4728</v>
      </c>
      <c r="EC370" s="0" t="s">
        <v>2725</v>
      </c>
      <c r="ED370" s="0" t="s">
        <v>2726</v>
      </c>
      <c r="EE370" s="0" t="s">
        <v>597</v>
      </c>
      <c r="EF370" s="0" t="s">
        <v>3308</v>
      </c>
      <c r="EG370" s="0" t="n">
        <v>1000</v>
      </c>
      <c r="EH370" s="0" t="n">
        <v>1000</v>
      </c>
      <c r="EI370" s="0" t="n">
        <v>1000</v>
      </c>
      <c r="EJ370" s="0" t="n">
        <v>1000</v>
      </c>
    </row>
    <row r="371" customFormat="false" ht="15" hidden="false" customHeight="false" outlineLevel="0" collapsed="false">
      <c r="DG371" s="0" t="s">
        <v>4729</v>
      </c>
      <c r="DH371" s="0" t="s">
        <v>82</v>
      </c>
      <c r="DI371" s="0" t="s">
        <v>1946</v>
      </c>
      <c r="DJ371" s="0" t="s">
        <v>1947</v>
      </c>
      <c r="DK371" s="0" t="s">
        <v>674</v>
      </c>
      <c r="DL371" s="0" t="n">
        <v>3.85</v>
      </c>
      <c r="DM371" s="0" t="s">
        <v>676</v>
      </c>
      <c r="DN371" s="0" t="s">
        <v>675</v>
      </c>
      <c r="DO371" s="0" t="n">
        <v>0</v>
      </c>
      <c r="DP371" s="0" t="n">
        <v>0</v>
      </c>
      <c r="DQ371" s="0" t="n">
        <v>53.62</v>
      </c>
      <c r="DR371" s="0" t="s">
        <v>4730</v>
      </c>
      <c r="EB371" s="0" t="s">
        <v>4731</v>
      </c>
      <c r="EC371" s="0" t="s">
        <v>2725</v>
      </c>
      <c r="ED371" s="0" t="s">
        <v>2726</v>
      </c>
      <c r="EE371" s="0" t="s">
        <v>2699</v>
      </c>
      <c r="EF371" s="0" t="s">
        <v>2700</v>
      </c>
      <c r="EG371" s="0" t="n">
        <v>53270</v>
      </c>
      <c r="EH371" s="0" t="n">
        <v>53270</v>
      </c>
      <c r="EI371" s="0" t="n">
        <v>53270</v>
      </c>
      <c r="EJ371" s="0" t="n">
        <v>53270</v>
      </c>
    </row>
    <row r="372" customFormat="false" ht="15" hidden="false" customHeight="false" outlineLevel="0" collapsed="false">
      <c r="DG372" s="0" t="s">
        <v>4732</v>
      </c>
      <c r="DH372" s="0" t="s">
        <v>82</v>
      </c>
      <c r="DI372" s="0" t="s">
        <v>1950</v>
      </c>
      <c r="DJ372" s="0" t="s">
        <v>1951</v>
      </c>
      <c r="DK372" s="0" t="s">
        <v>674</v>
      </c>
      <c r="DL372" s="0" t="n">
        <v>3.85</v>
      </c>
      <c r="DM372" s="0" t="s">
        <v>676</v>
      </c>
      <c r="DN372" s="0" t="s">
        <v>675</v>
      </c>
      <c r="DO372" s="0" t="n">
        <v>0</v>
      </c>
      <c r="DP372" s="0" t="n">
        <v>0</v>
      </c>
      <c r="DQ372" s="0" t="n">
        <v>30.25</v>
      </c>
      <c r="DR372" s="0" t="s">
        <v>4733</v>
      </c>
      <c r="EB372" s="0" t="s">
        <v>4734</v>
      </c>
      <c r="EC372" s="0" t="s">
        <v>2725</v>
      </c>
      <c r="EE372" s="0" t="s">
        <v>590</v>
      </c>
    </row>
    <row r="373" customFormat="false" ht="15" hidden="false" customHeight="false" outlineLevel="0" collapsed="false">
      <c r="DG373" s="0" t="s">
        <v>4735</v>
      </c>
      <c r="DH373" s="0" t="s">
        <v>82</v>
      </c>
      <c r="DI373" s="0" t="s">
        <v>1954</v>
      </c>
      <c r="DJ373" s="0" t="s">
        <v>1955</v>
      </c>
      <c r="DK373" s="0" t="s">
        <v>674</v>
      </c>
      <c r="DL373" s="0" t="n">
        <v>3.85</v>
      </c>
      <c r="DM373" s="0" t="s">
        <v>676</v>
      </c>
      <c r="DN373" s="0" t="s">
        <v>675</v>
      </c>
      <c r="DO373" s="0" t="n">
        <v>0</v>
      </c>
      <c r="DP373" s="0" t="n">
        <v>0</v>
      </c>
      <c r="DQ373" s="0" t="n">
        <v>7.53</v>
      </c>
      <c r="DR373" s="0" t="s">
        <v>4736</v>
      </c>
      <c r="EB373" s="0" t="s">
        <v>4737</v>
      </c>
      <c r="EC373" s="0" t="s">
        <v>2725</v>
      </c>
      <c r="ED373" s="0" t="s">
        <v>2726</v>
      </c>
      <c r="EE373" s="0" t="s">
        <v>588</v>
      </c>
      <c r="EF373" s="0" t="s">
        <v>2801</v>
      </c>
      <c r="EG373" s="0" t="n">
        <v>710</v>
      </c>
      <c r="EH373" s="0" t="n">
        <v>810</v>
      </c>
      <c r="EI373" s="0" t="n">
        <v>920</v>
      </c>
      <c r="EJ373" s="0" t="n">
        <v>990</v>
      </c>
    </row>
    <row r="374" customFormat="false" ht="15" hidden="false" customHeight="false" outlineLevel="0" collapsed="false">
      <c r="DG374" s="0" t="s">
        <v>4738</v>
      </c>
      <c r="DH374" s="0" t="s">
        <v>82</v>
      </c>
      <c r="DI374" s="0" t="s">
        <v>1957</v>
      </c>
      <c r="DJ374" s="0" t="s">
        <v>1958</v>
      </c>
      <c r="DK374" s="0" t="s">
        <v>674</v>
      </c>
      <c r="DL374" s="0" t="n">
        <v>3.85</v>
      </c>
      <c r="DM374" s="0" t="s">
        <v>676</v>
      </c>
      <c r="DN374" s="0" t="s">
        <v>675</v>
      </c>
      <c r="DO374" s="0" t="n">
        <v>0</v>
      </c>
      <c r="DP374" s="0" t="n">
        <v>0</v>
      </c>
      <c r="DQ374" s="0" t="n">
        <v>14.2</v>
      </c>
      <c r="DR374" s="0" t="s">
        <v>4739</v>
      </c>
      <c r="EB374" s="0" t="s">
        <v>4740</v>
      </c>
      <c r="EC374" s="0" t="s">
        <v>2725</v>
      </c>
      <c r="ED374" s="0" t="s">
        <v>2726</v>
      </c>
      <c r="EE374" s="0" t="s">
        <v>586</v>
      </c>
      <c r="EF374" s="0" t="s">
        <v>2815</v>
      </c>
      <c r="EG374" s="0" t="n">
        <v>11280</v>
      </c>
      <c r="EH374" s="0" t="n">
        <v>12970</v>
      </c>
      <c r="EI374" s="0" t="n">
        <v>14660</v>
      </c>
      <c r="EJ374" s="0" t="n">
        <v>15790</v>
      </c>
    </row>
    <row r="375" customFormat="false" ht="15" hidden="false" customHeight="false" outlineLevel="0" collapsed="false">
      <c r="DG375" s="0" t="s">
        <v>4741</v>
      </c>
      <c r="DH375" s="0" t="s">
        <v>82</v>
      </c>
      <c r="DI375" s="0" t="s">
        <v>1961</v>
      </c>
      <c r="DJ375" s="0" t="s">
        <v>1962</v>
      </c>
      <c r="DK375" s="0" t="s">
        <v>674</v>
      </c>
      <c r="DL375" s="0" t="n">
        <v>3.85</v>
      </c>
      <c r="DM375" s="0" t="s">
        <v>676</v>
      </c>
      <c r="DN375" s="0" t="s">
        <v>675</v>
      </c>
      <c r="DO375" s="0" t="n">
        <v>0</v>
      </c>
      <c r="DP375" s="0" t="n">
        <v>0</v>
      </c>
      <c r="DQ375" s="0" t="n">
        <v>18</v>
      </c>
      <c r="DR375" s="0" t="s">
        <v>4742</v>
      </c>
      <c r="EB375" s="0" t="s">
        <v>4743</v>
      </c>
      <c r="EC375" s="0" t="s">
        <v>2725</v>
      </c>
      <c r="ED375" s="0" t="s">
        <v>2726</v>
      </c>
      <c r="EE375" s="0" t="s">
        <v>584</v>
      </c>
      <c r="EF375" s="0" t="s">
        <v>583</v>
      </c>
      <c r="EG375" s="0" t="n">
        <v>120000</v>
      </c>
      <c r="EH375" s="0" t="n">
        <v>120000</v>
      </c>
      <c r="EI375" s="0" t="n">
        <v>120000</v>
      </c>
      <c r="EJ375" s="0" t="n">
        <v>120000</v>
      </c>
    </row>
    <row r="376" customFormat="false" ht="15" hidden="false" customHeight="false" outlineLevel="0" collapsed="false">
      <c r="DG376" s="0" t="s">
        <v>4744</v>
      </c>
      <c r="DH376" s="0" t="s">
        <v>82</v>
      </c>
      <c r="DI376" s="0" t="s">
        <v>1963</v>
      </c>
      <c r="DJ376" s="0" t="s">
        <v>1964</v>
      </c>
      <c r="DK376" s="0" t="s">
        <v>674</v>
      </c>
      <c r="DL376" s="0" t="n">
        <v>3.85</v>
      </c>
      <c r="DM376" s="0" t="s">
        <v>676</v>
      </c>
      <c r="DN376" s="0" t="s">
        <v>675</v>
      </c>
      <c r="DO376" s="0" t="n">
        <v>0</v>
      </c>
      <c r="DP376" s="0" t="n">
        <v>0</v>
      </c>
      <c r="DQ376" s="0" t="n">
        <v>14.39</v>
      </c>
      <c r="DR376" s="0" t="s">
        <v>4745</v>
      </c>
      <c r="EB376" s="0" t="s">
        <v>4746</v>
      </c>
      <c r="EC376" s="0" t="s">
        <v>2725</v>
      </c>
      <c r="ED376" s="0" t="s">
        <v>2726</v>
      </c>
      <c r="EE376" s="0" t="s">
        <v>330</v>
      </c>
      <c r="EF376" s="0" t="s">
        <v>331</v>
      </c>
      <c r="EG376" s="0" t="n">
        <v>1200</v>
      </c>
      <c r="EH376" s="0" t="n">
        <v>1370</v>
      </c>
      <c r="EI376" s="0" t="n">
        <v>1560</v>
      </c>
      <c r="EJ376" s="0" t="n">
        <v>1660</v>
      </c>
    </row>
    <row r="377" customFormat="false" ht="15" hidden="false" customHeight="false" outlineLevel="0" collapsed="false">
      <c r="DG377" s="0" t="s">
        <v>4747</v>
      </c>
      <c r="DH377" s="0" t="s">
        <v>82</v>
      </c>
      <c r="DI377" s="0" t="s">
        <v>1966</v>
      </c>
      <c r="DJ377" s="0" t="s">
        <v>1967</v>
      </c>
      <c r="DK377" s="0" t="s">
        <v>674</v>
      </c>
      <c r="DL377" s="0" t="n">
        <v>3.85</v>
      </c>
      <c r="DM377" s="0" t="s">
        <v>676</v>
      </c>
      <c r="DN377" s="0" t="s">
        <v>675</v>
      </c>
      <c r="DO377" s="0" t="n">
        <v>0</v>
      </c>
      <c r="DP377" s="0" t="n">
        <v>0</v>
      </c>
      <c r="DQ377" s="0" t="n">
        <v>31.8</v>
      </c>
      <c r="DR377" s="0" t="s">
        <v>4748</v>
      </c>
      <c r="EB377" s="0" t="s">
        <v>4749</v>
      </c>
      <c r="EC377" s="0" t="s">
        <v>2725</v>
      </c>
      <c r="ED377" s="0" t="s">
        <v>2726</v>
      </c>
      <c r="EE377" s="0" t="s">
        <v>334</v>
      </c>
      <c r="EF377" s="0" t="s">
        <v>335</v>
      </c>
      <c r="EG377" s="0" t="n">
        <v>640</v>
      </c>
      <c r="EH377" s="0" t="n">
        <v>730</v>
      </c>
      <c r="EI377" s="0" t="n">
        <v>810</v>
      </c>
      <c r="EJ377" s="0" t="n">
        <v>890</v>
      </c>
    </row>
    <row r="378" customFormat="false" ht="15" hidden="false" customHeight="false" outlineLevel="0" collapsed="false">
      <c r="DG378" s="0" t="s">
        <v>4750</v>
      </c>
      <c r="DH378" s="0" t="s">
        <v>82</v>
      </c>
      <c r="DI378" s="0" t="s">
        <v>1970</v>
      </c>
      <c r="DJ378" s="0" t="s">
        <v>1971</v>
      </c>
      <c r="DK378" s="0" t="s">
        <v>674</v>
      </c>
      <c r="DL378" s="0" t="n">
        <v>3.85</v>
      </c>
      <c r="DM378" s="0" t="s">
        <v>676</v>
      </c>
      <c r="DN378" s="0" t="s">
        <v>675</v>
      </c>
      <c r="DO378" s="0" t="n">
        <v>0</v>
      </c>
      <c r="DP378" s="0" t="n">
        <v>0</v>
      </c>
      <c r="DQ378" s="0" t="n">
        <v>896.15</v>
      </c>
      <c r="DR378" s="0" t="s">
        <v>4751</v>
      </c>
      <c r="EB378" s="0" t="s">
        <v>4752</v>
      </c>
      <c r="EC378" s="0" t="s">
        <v>2725</v>
      </c>
      <c r="EE378" s="0" t="s">
        <v>582</v>
      </c>
    </row>
    <row r="379" customFormat="false" ht="15" hidden="false" customHeight="false" outlineLevel="0" collapsed="false">
      <c r="DG379" s="0" t="s">
        <v>4753</v>
      </c>
      <c r="DH379" s="0" t="s">
        <v>82</v>
      </c>
      <c r="DI379" s="0" t="s">
        <v>1973</v>
      </c>
      <c r="DJ379" s="0" t="s">
        <v>1974</v>
      </c>
      <c r="DK379" s="0" t="s">
        <v>674</v>
      </c>
      <c r="DL379" s="0" t="n">
        <v>3.85</v>
      </c>
      <c r="DM379" s="0" t="s">
        <v>676</v>
      </c>
      <c r="DN379" s="0" t="s">
        <v>675</v>
      </c>
      <c r="DO379" s="0" t="n">
        <v>0</v>
      </c>
      <c r="DP379" s="0" t="n">
        <v>0</v>
      </c>
      <c r="DQ379" s="0" t="n">
        <v>4.2</v>
      </c>
      <c r="DR379" s="0" t="s">
        <v>4754</v>
      </c>
      <c r="EB379" s="0" t="s">
        <v>4755</v>
      </c>
      <c r="EC379" s="0" t="s">
        <v>2725</v>
      </c>
      <c r="ED379" s="0" t="s">
        <v>2726</v>
      </c>
      <c r="EE379" s="0" t="s">
        <v>579</v>
      </c>
      <c r="EF379" s="0" t="s">
        <v>2889</v>
      </c>
      <c r="EG379" s="0" t="n">
        <v>1510</v>
      </c>
      <c r="EH379" s="0" t="n">
        <v>1510</v>
      </c>
      <c r="EI379" s="0" t="n">
        <v>1510</v>
      </c>
      <c r="EJ379" s="0" t="n">
        <v>1510</v>
      </c>
    </row>
    <row r="380" customFormat="false" ht="15" hidden="false" customHeight="false" outlineLevel="0" collapsed="false">
      <c r="DG380" s="0" t="s">
        <v>4756</v>
      </c>
      <c r="DH380" s="0" t="s">
        <v>82</v>
      </c>
      <c r="DI380" s="0" t="s">
        <v>1977</v>
      </c>
      <c r="DJ380" s="0" t="s">
        <v>1978</v>
      </c>
      <c r="DK380" s="0" t="s">
        <v>674</v>
      </c>
      <c r="DL380" s="0" t="n">
        <v>3.85</v>
      </c>
      <c r="DM380" s="0" t="s">
        <v>676</v>
      </c>
      <c r="DN380" s="0" t="s">
        <v>675</v>
      </c>
      <c r="DO380" s="0" t="n">
        <v>0</v>
      </c>
      <c r="DP380" s="0" t="n">
        <v>0</v>
      </c>
      <c r="DQ380" s="0" t="n">
        <v>3.06</v>
      </c>
      <c r="DR380" s="0" t="s">
        <v>4757</v>
      </c>
      <c r="EB380" s="0" t="s">
        <v>4758</v>
      </c>
      <c r="EC380" s="0" t="s">
        <v>2725</v>
      </c>
      <c r="ED380" s="0" t="s">
        <v>2726</v>
      </c>
      <c r="EE380" s="0" t="s">
        <v>575</v>
      </c>
      <c r="EF380" s="0" t="s">
        <v>573</v>
      </c>
      <c r="EG380" s="0" t="n">
        <v>1650</v>
      </c>
      <c r="EH380" s="0" t="n">
        <v>1650</v>
      </c>
      <c r="EI380" s="0" t="n">
        <v>1650</v>
      </c>
      <c r="EJ380" s="0" t="n">
        <v>1650</v>
      </c>
    </row>
    <row r="381" customFormat="false" ht="15" hidden="false" customHeight="false" outlineLevel="0" collapsed="false">
      <c r="DG381" s="0" t="s">
        <v>4759</v>
      </c>
      <c r="DH381" s="0" t="s">
        <v>82</v>
      </c>
      <c r="DI381" s="0" t="s">
        <v>1981</v>
      </c>
      <c r="DJ381" s="0" t="s">
        <v>1752</v>
      </c>
      <c r="DK381" s="0" t="s">
        <v>674</v>
      </c>
      <c r="DL381" s="0" t="n">
        <v>3.85</v>
      </c>
      <c r="DM381" s="0" t="s">
        <v>676</v>
      </c>
      <c r="DN381" s="0" t="s">
        <v>675</v>
      </c>
      <c r="DO381" s="0" t="n">
        <v>0</v>
      </c>
      <c r="DP381" s="0" t="n">
        <v>0</v>
      </c>
      <c r="DQ381" s="0" t="n">
        <v>512.47</v>
      </c>
      <c r="DR381" s="0" t="s">
        <v>4506</v>
      </c>
      <c r="EB381" s="0" t="s">
        <v>4760</v>
      </c>
      <c r="EC381" s="0" t="s">
        <v>2725</v>
      </c>
      <c r="ED381" s="0" t="s">
        <v>2726</v>
      </c>
      <c r="EE381" s="0" t="s">
        <v>2917</v>
      </c>
      <c r="EF381" s="0" t="s">
        <v>4761</v>
      </c>
      <c r="EG381" s="0" t="n">
        <v>3000</v>
      </c>
      <c r="EH381" s="0" t="n">
        <v>3000</v>
      </c>
      <c r="EI381" s="0" t="n">
        <v>3000</v>
      </c>
      <c r="EJ381" s="0" t="n">
        <v>3000</v>
      </c>
    </row>
    <row r="382" customFormat="false" ht="15" hidden="false" customHeight="false" outlineLevel="0" collapsed="false">
      <c r="DG382" s="0" t="s">
        <v>4762</v>
      </c>
      <c r="DH382" s="0" t="s">
        <v>82</v>
      </c>
      <c r="DI382" s="0" t="s">
        <v>1984</v>
      </c>
      <c r="DJ382" s="0" t="s">
        <v>1985</v>
      </c>
      <c r="DK382" s="0" t="s">
        <v>674</v>
      </c>
      <c r="DL382" s="0" t="n">
        <v>3.85</v>
      </c>
      <c r="DM382" s="0" t="s">
        <v>676</v>
      </c>
      <c r="DN382" s="0" t="s">
        <v>675</v>
      </c>
      <c r="DO382" s="0" t="n">
        <v>0</v>
      </c>
      <c r="DP382" s="0" t="n">
        <v>0</v>
      </c>
      <c r="DQ382" s="0" t="n">
        <v>39.6</v>
      </c>
      <c r="DR382" s="0" t="s">
        <v>4763</v>
      </c>
      <c r="EB382" s="0" t="s">
        <v>4764</v>
      </c>
      <c r="EC382" s="0" t="s">
        <v>2725</v>
      </c>
      <c r="ED382" s="0" t="s">
        <v>2726</v>
      </c>
      <c r="EE382" s="0" t="s">
        <v>2932</v>
      </c>
      <c r="EF382" s="0" t="s">
        <v>3383</v>
      </c>
      <c r="EG382" s="0" t="n">
        <v>6650</v>
      </c>
      <c r="EH382" s="0" t="n">
        <v>6650</v>
      </c>
      <c r="EI382" s="0" t="n">
        <v>6650</v>
      </c>
      <c r="EJ382" s="0" t="n">
        <v>6650</v>
      </c>
    </row>
    <row r="383" customFormat="false" ht="15" hidden="false" customHeight="false" outlineLevel="0" collapsed="false">
      <c r="DG383" s="0" t="s">
        <v>4765</v>
      </c>
      <c r="DH383" s="0" t="s">
        <v>82</v>
      </c>
      <c r="DI383" s="0" t="s">
        <v>1988</v>
      </c>
      <c r="DJ383" s="0" t="s">
        <v>1989</v>
      </c>
      <c r="DK383" s="0" t="s">
        <v>674</v>
      </c>
      <c r="DL383" s="0" t="n">
        <v>3.85</v>
      </c>
      <c r="DM383" s="0" t="s">
        <v>676</v>
      </c>
      <c r="DN383" s="0" t="s">
        <v>675</v>
      </c>
      <c r="DO383" s="0" t="n">
        <v>0</v>
      </c>
      <c r="DP383" s="0" t="n">
        <v>0</v>
      </c>
      <c r="DQ383" s="0" t="n">
        <v>26.81</v>
      </c>
      <c r="DR383" s="0" t="s">
        <v>4766</v>
      </c>
      <c r="EB383" s="0" t="s">
        <v>4767</v>
      </c>
      <c r="EC383" s="0" t="s">
        <v>2725</v>
      </c>
      <c r="ED383" s="0" t="s">
        <v>2726</v>
      </c>
      <c r="EE383" s="0" t="s">
        <v>2946</v>
      </c>
      <c r="EF383" s="0" t="s">
        <v>4768</v>
      </c>
      <c r="EG383" s="0" t="n">
        <v>10000</v>
      </c>
      <c r="EH383" s="0" t="n">
        <v>10000</v>
      </c>
      <c r="EI383" s="0" t="n">
        <v>10000</v>
      </c>
      <c r="EJ383" s="0" t="n">
        <v>10000</v>
      </c>
    </row>
    <row r="384" customFormat="false" ht="15" hidden="false" customHeight="false" outlineLevel="0" collapsed="false">
      <c r="DG384" s="0" t="s">
        <v>4769</v>
      </c>
      <c r="DH384" s="0" t="s">
        <v>82</v>
      </c>
      <c r="DI384" s="0" t="s">
        <v>1990</v>
      </c>
      <c r="DJ384" s="0" t="s">
        <v>1991</v>
      </c>
      <c r="DK384" s="0" t="s">
        <v>674</v>
      </c>
      <c r="DL384" s="0" t="n">
        <v>3.85</v>
      </c>
      <c r="DM384" s="0" t="s">
        <v>676</v>
      </c>
      <c r="DN384" s="0" t="s">
        <v>675</v>
      </c>
      <c r="DO384" s="0" t="n">
        <v>0</v>
      </c>
      <c r="DP384" s="0" t="n">
        <v>0</v>
      </c>
      <c r="DQ384" s="0" t="n">
        <v>223.85</v>
      </c>
      <c r="DR384" s="0" t="s">
        <v>4770</v>
      </c>
      <c r="EB384" s="0" t="s">
        <v>4771</v>
      </c>
      <c r="EC384" s="0" t="s">
        <v>2725</v>
      </c>
      <c r="EE384" s="0" t="s">
        <v>567</v>
      </c>
    </row>
    <row r="385" customFormat="false" ht="15" hidden="false" customHeight="false" outlineLevel="0" collapsed="false">
      <c r="DG385" s="0" t="s">
        <v>4772</v>
      </c>
      <c r="DH385" s="0" t="s">
        <v>82</v>
      </c>
      <c r="DI385" s="0" t="s">
        <v>1993</v>
      </c>
      <c r="DJ385" s="0" t="s">
        <v>1994</v>
      </c>
      <c r="DK385" s="0" t="s">
        <v>674</v>
      </c>
      <c r="DL385" s="0" t="n">
        <v>3.85</v>
      </c>
      <c r="DM385" s="0" t="s">
        <v>676</v>
      </c>
      <c r="DN385" s="0" t="s">
        <v>675</v>
      </c>
      <c r="DO385" s="0" t="n">
        <v>0</v>
      </c>
      <c r="DP385" s="0" t="n">
        <v>0</v>
      </c>
      <c r="DQ385" s="0" t="n">
        <v>0</v>
      </c>
      <c r="DR385" s="0" t="s">
        <v>4773</v>
      </c>
      <c r="EB385" s="0" t="s">
        <v>4774</v>
      </c>
      <c r="EC385" s="0" t="s">
        <v>2725</v>
      </c>
      <c r="ED385" s="0" t="s">
        <v>2726</v>
      </c>
      <c r="EE385" s="0" t="s">
        <v>569</v>
      </c>
      <c r="EF385" s="0" t="s">
        <v>4775</v>
      </c>
      <c r="EG385" s="0" t="n">
        <v>21000</v>
      </c>
      <c r="EH385" s="0" t="n">
        <v>21000</v>
      </c>
      <c r="EI385" s="0" t="n">
        <v>21000</v>
      </c>
      <c r="EJ385" s="0" t="n">
        <v>21000</v>
      </c>
    </row>
    <row r="386" customFormat="false" ht="15" hidden="false" customHeight="false" outlineLevel="0" collapsed="false">
      <c r="DG386" s="0" t="s">
        <v>4776</v>
      </c>
      <c r="DH386" s="0" t="s">
        <v>82</v>
      </c>
      <c r="DI386" s="0" t="s">
        <v>1996</v>
      </c>
      <c r="DJ386" s="0" t="s">
        <v>1997</v>
      </c>
      <c r="DK386" s="0" t="s">
        <v>674</v>
      </c>
      <c r="DL386" s="0" t="n">
        <v>3.85</v>
      </c>
      <c r="DM386" s="0" t="s">
        <v>676</v>
      </c>
      <c r="DN386" s="0" t="s">
        <v>675</v>
      </c>
      <c r="DO386" s="0" t="n">
        <v>0</v>
      </c>
      <c r="DP386" s="0" t="n">
        <v>0</v>
      </c>
      <c r="DQ386" s="0" t="n">
        <v>23.74</v>
      </c>
      <c r="DR386" s="0" t="s">
        <v>4777</v>
      </c>
      <c r="EB386" s="0" t="s">
        <v>4778</v>
      </c>
      <c r="EC386" s="0" t="s">
        <v>2725</v>
      </c>
      <c r="ED386" s="0" t="s">
        <v>2726</v>
      </c>
      <c r="EE386" s="0" t="s">
        <v>562</v>
      </c>
      <c r="EF386" s="0" t="s">
        <v>2986</v>
      </c>
      <c r="EG386" s="0" t="n">
        <v>1</v>
      </c>
      <c r="EH386" s="0" t="n">
        <v>1</v>
      </c>
      <c r="EI386" s="0" t="n">
        <v>1</v>
      </c>
      <c r="EJ386" s="0" t="n">
        <v>1</v>
      </c>
    </row>
    <row r="387" customFormat="false" ht="15" hidden="false" customHeight="false" outlineLevel="0" collapsed="false">
      <c r="DG387" s="0" t="s">
        <v>4779</v>
      </c>
      <c r="DH387" s="0" t="s">
        <v>82</v>
      </c>
      <c r="DI387" s="0" t="s">
        <v>2000</v>
      </c>
      <c r="DJ387" s="0" t="s">
        <v>2001</v>
      </c>
      <c r="DK387" s="0" t="s">
        <v>674</v>
      </c>
      <c r="DL387" s="0" t="n">
        <v>3.85</v>
      </c>
      <c r="DM387" s="0" t="s">
        <v>676</v>
      </c>
      <c r="DN387" s="0" t="s">
        <v>675</v>
      </c>
      <c r="DO387" s="0" t="n">
        <v>0</v>
      </c>
      <c r="DP387" s="0" t="n">
        <v>0</v>
      </c>
      <c r="DQ387" s="0" t="n">
        <v>102.53</v>
      </c>
      <c r="DR387" s="0" t="s">
        <v>4780</v>
      </c>
      <c r="EB387" s="0" t="s">
        <v>4781</v>
      </c>
      <c r="EC387" s="0" t="s">
        <v>2725</v>
      </c>
      <c r="ED387" s="0" t="s">
        <v>2726</v>
      </c>
      <c r="EE387" s="0" t="s">
        <v>557</v>
      </c>
      <c r="EF387" s="0" t="s">
        <v>4782</v>
      </c>
      <c r="EG387" s="0" t="n">
        <v>1700</v>
      </c>
      <c r="EH387" s="0" t="n">
        <v>1700</v>
      </c>
      <c r="EI387" s="0" t="n">
        <v>1700</v>
      </c>
      <c r="EJ387" s="0" t="n">
        <v>1700</v>
      </c>
    </row>
    <row r="388" customFormat="false" ht="15" hidden="false" customHeight="false" outlineLevel="0" collapsed="false">
      <c r="DG388" s="0" t="s">
        <v>4783</v>
      </c>
      <c r="DH388" s="0" t="s">
        <v>82</v>
      </c>
      <c r="DI388" s="0" t="s">
        <v>2003</v>
      </c>
      <c r="DJ388" s="0" t="s">
        <v>2004</v>
      </c>
      <c r="DK388" s="0" t="s">
        <v>674</v>
      </c>
      <c r="DL388" s="0" t="n">
        <v>3.85</v>
      </c>
      <c r="DM388" s="0" t="s">
        <v>676</v>
      </c>
      <c r="DN388" s="0" t="s">
        <v>675</v>
      </c>
      <c r="DO388" s="0" t="n">
        <v>0</v>
      </c>
      <c r="DP388" s="0" t="n">
        <v>0</v>
      </c>
      <c r="DQ388" s="0" t="n">
        <v>12</v>
      </c>
      <c r="DR388" s="0" t="s">
        <v>4784</v>
      </c>
      <c r="EB388" s="0" t="s">
        <v>4785</v>
      </c>
      <c r="EC388" s="0" t="s">
        <v>2725</v>
      </c>
      <c r="ED388" s="0" t="s">
        <v>2726</v>
      </c>
      <c r="EE388" s="0" t="s">
        <v>290</v>
      </c>
      <c r="EF388" s="0" t="s">
        <v>289</v>
      </c>
      <c r="EG388" s="0" t="n">
        <v>500</v>
      </c>
      <c r="EH388" s="0" t="n">
        <v>570</v>
      </c>
      <c r="EI388" s="0" t="n">
        <v>640</v>
      </c>
      <c r="EJ388" s="0" t="n">
        <v>680</v>
      </c>
    </row>
    <row r="389" customFormat="false" ht="15" hidden="false" customHeight="false" outlineLevel="0" collapsed="false">
      <c r="DG389" s="0" t="s">
        <v>4786</v>
      </c>
      <c r="DH389" s="0" t="s">
        <v>82</v>
      </c>
      <c r="DI389" s="0" t="s">
        <v>2005</v>
      </c>
      <c r="DJ389" s="0" t="s">
        <v>2006</v>
      </c>
      <c r="DK389" s="0" t="s">
        <v>674</v>
      </c>
      <c r="DL389" s="0" t="n">
        <v>3.85</v>
      </c>
      <c r="DM389" s="0" t="s">
        <v>676</v>
      </c>
      <c r="DN389" s="0" t="s">
        <v>675</v>
      </c>
      <c r="DO389" s="0" t="n">
        <v>0</v>
      </c>
      <c r="DP389" s="0" t="n">
        <v>0</v>
      </c>
      <c r="DQ389" s="0" t="n">
        <v>19.89</v>
      </c>
      <c r="DR389" s="0" t="s">
        <v>4787</v>
      </c>
      <c r="EB389" s="0" t="s">
        <v>4788</v>
      </c>
      <c r="EC389" s="0" t="s">
        <v>2725</v>
      </c>
      <c r="ED389" s="0" t="s">
        <v>2726</v>
      </c>
      <c r="EE389" s="0" t="s">
        <v>275</v>
      </c>
      <c r="EF389" s="0" t="s">
        <v>273</v>
      </c>
      <c r="EG389" s="0" t="n">
        <v>1690</v>
      </c>
      <c r="EH389" s="0" t="n">
        <v>1940</v>
      </c>
      <c r="EI389" s="0" t="n">
        <v>2190</v>
      </c>
      <c r="EJ389" s="0" t="n">
        <v>2360</v>
      </c>
    </row>
    <row r="390" customFormat="false" ht="15" hidden="false" customHeight="false" outlineLevel="0" collapsed="false">
      <c r="DG390" s="0" t="s">
        <v>4789</v>
      </c>
      <c r="DH390" s="0" t="s">
        <v>82</v>
      </c>
      <c r="DI390" s="0" t="s">
        <v>2009</v>
      </c>
      <c r="DJ390" s="0" t="s">
        <v>2010</v>
      </c>
      <c r="DK390" s="0" t="s">
        <v>674</v>
      </c>
      <c r="DL390" s="0" t="n">
        <v>3.85</v>
      </c>
      <c r="DM390" s="0" t="s">
        <v>676</v>
      </c>
      <c r="DN390" s="0" t="s">
        <v>675</v>
      </c>
      <c r="DO390" s="0" t="n">
        <v>0</v>
      </c>
      <c r="DP390" s="0" t="n">
        <v>0</v>
      </c>
      <c r="DQ390" s="0" t="n">
        <v>21.51</v>
      </c>
      <c r="DR390" s="0" t="s">
        <v>4790</v>
      </c>
      <c r="EB390" s="0" t="s">
        <v>4791</v>
      </c>
      <c r="EC390" s="0" t="s">
        <v>2725</v>
      </c>
      <c r="EE390" s="0" t="s">
        <v>298</v>
      </c>
    </row>
    <row r="391" customFormat="false" ht="15" hidden="false" customHeight="false" outlineLevel="0" collapsed="false">
      <c r="DG391" s="0" t="s">
        <v>4792</v>
      </c>
      <c r="DH391" s="0" t="s">
        <v>82</v>
      </c>
      <c r="DI391" s="0" t="s">
        <v>2012</v>
      </c>
      <c r="DJ391" s="0" t="s">
        <v>2013</v>
      </c>
      <c r="DK391" s="0" t="s">
        <v>674</v>
      </c>
      <c r="DL391" s="0" t="n">
        <v>3.85</v>
      </c>
      <c r="DM391" s="0" t="s">
        <v>676</v>
      </c>
      <c r="DN391" s="0" t="s">
        <v>675</v>
      </c>
      <c r="DO391" s="0" t="n">
        <v>0</v>
      </c>
      <c r="DP391" s="0" t="n">
        <v>0</v>
      </c>
      <c r="DQ391" s="0" t="n">
        <v>92.88</v>
      </c>
      <c r="DR391" s="0" t="s">
        <v>4793</v>
      </c>
      <c r="EB391" s="0" t="s">
        <v>4794</v>
      </c>
      <c r="EC391" s="0" t="s">
        <v>2725</v>
      </c>
      <c r="ED391" s="0" t="s">
        <v>2726</v>
      </c>
      <c r="EE391" s="0" t="s">
        <v>286</v>
      </c>
      <c r="EF391" s="0" t="s">
        <v>284</v>
      </c>
      <c r="EG391" s="0" t="n">
        <v>830</v>
      </c>
      <c r="EH391" s="0" t="n">
        <v>960</v>
      </c>
      <c r="EI391" s="0" t="n">
        <v>1070</v>
      </c>
      <c r="EJ391" s="0" t="n">
        <v>1160</v>
      </c>
    </row>
    <row r="392" customFormat="false" ht="15" hidden="false" customHeight="false" outlineLevel="0" collapsed="false">
      <c r="DG392" s="0" t="s">
        <v>4795</v>
      </c>
      <c r="DH392" s="0" t="s">
        <v>82</v>
      </c>
      <c r="DI392" s="0" t="s">
        <v>2016</v>
      </c>
      <c r="DJ392" s="0" t="s">
        <v>2017</v>
      </c>
      <c r="DK392" s="0" t="s">
        <v>674</v>
      </c>
      <c r="DL392" s="0" t="n">
        <v>3.85</v>
      </c>
      <c r="DM392" s="0" t="s">
        <v>676</v>
      </c>
      <c r="DN392" s="0" t="s">
        <v>675</v>
      </c>
      <c r="DO392" s="0" t="n">
        <v>0</v>
      </c>
      <c r="DP392" s="0" t="n">
        <v>0</v>
      </c>
      <c r="DQ392" s="0" t="n">
        <v>120.94</v>
      </c>
      <c r="DR392" s="0" t="s">
        <v>4796</v>
      </c>
      <c r="EB392" s="0" t="s">
        <v>4797</v>
      </c>
      <c r="EC392" s="0" t="s">
        <v>2725</v>
      </c>
      <c r="ED392" s="0" t="s">
        <v>2726</v>
      </c>
      <c r="EE392" s="0" t="s">
        <v>272</v>
      </c>
      <c r="EF392" s="0" t="s">
        <v>270</v>
      </c>
      <c r="EG392" s="0" t="n">
        <v>2220</v>
      </c>
      <c r="EH392" s="0" t="n">
        <v>2550</v>
      </c>
      <c r="EI392" s="0" t="n">
        <v>2880</v>
      </c>
      <c r="EJ392" s="0" t="n">
        <v>3090</v>
      </c>
    </row>
    <row r="393" customFormat="false" ht="15" hidden="false" customHeight="false" outlineLevel="0" collapsed="false">
      <c r="DG393" s="0" t="s">
        <v>4798</v>
      </c>
      <c r="DH393" s="0" t="s">
        <v>82</v>
      </c>
      <c r="DI393" s="0" t="s">
        <v>518</v>
      </c>
      <c r="DJ393" s="0" t="s">
        <v>519</v>
      </c>
      <c r="DK393" s="0" t="s">
        <v>1181</v>
      </c>
      <c r="DL393" s="0" t="n">
        <v>3.85</v>
      </c>
      <c r="DM393" s="0" t="s">
        <v>675</v>
      </c>
      <c r="DN393" s="0" t="s">
        <v>676</v>
      </c>
      <c r="DO393" s="0" t="n">
        <v>1</v>
      </c>
      <c r="DP393" s="0" t="n">
        <v>1500</v>
      </c>
      <c r="DQ393" s="0" t="n">
        <v>1500</v>
      </c>
      <c r="DR393" s="0" t="s">
        <v>4799</v>
      </c>
      <c r="EB393" s="0" t="s">
        <v>4800</v>
      </c>
      <c r="EC393" s="0" t="s">
        <v>2725</v>
      </c>
      <c r="ED393" s="0" t="s">
        <v>2726</v>
      </c>
      <c r="EE393" s="0" t="s">
        <v>283</v>
      </c>
      <c r="EF393" s="0" t="s">
        <v>281</v>
      </c>
      <c r="EG393" s="0" t="n">
        <v>500</v>
      </c>
      <c r="EH393" s="0" t="n">
        <v>570</v>
      </c>
      <c r="EI393" s="0" t="n">
        <v>640</v>
      </c>
      <c r="EJ393" s="0" t="n">
        <v>680</v>
      </c>
    </row>
    <row r="394" customFormat="false" ht="15" hidden="false" customHeight="false" outlineLevel="0" collapsed="false">
      <c r="DG394" s="0" t="s">
        <v>4801</v>
      </c>
      <c r="DH394" s="0" t="s">
        <v>82</v>
      </c>
      <c r="DI394" s="0" t="s">
        <v>434</v>
      </c>
      <c r="DJ394" s="0" t="s">
        <v>435</v>
      </c>
      <c r="DK394" s="0" t="s">
        <v>1181</v>
      </c>
      <c r="DL394" s="0" t="n">
        <v>3.85</v>
      </c>
      <c r="DM394" s="0" t="s">
        <v>675</v>
      </c>
      <c r="DN394" s="0" t="s">
        <v>676</v>
      </c>
      <c r="DO394" s="0" t="n">
        <v>1</v>
      </c>
      <c r="DP394" s="0" t="n">
        <v>13344.05</v>
      </c>
      <c r="DQ394" s="0" t="n">
        <v>13344.05</v>
      </c>
      <c r="DR394" s="0" t="s">
        <v>4802</v>
      </c>
      <c r="EB394" s="0" t="s">
        <v>4803</v>
      </c>
      <c r="EC394" s="0" t="s">
        <v>2725</v>
      </c>
      <c r="ED394" s="0" t="s">
        <v>2726</v>
      </c>
      <c r="EE394" s="0" t="s">
        <v>267</v>
      </c>
      <c r="EF394" s="0" t="s">
        <v>265</v>
      </c>
      <c r="EG394" s="0" t="n">
        <v>3660</v>
      </c>
      <c r="EH394" s="0" t="n">
        <v>4190</v>
      </c>
      <c r="EI394" s="0" t="n">
        <v>4740</v>
      </c>
      <c r="EJ394" s="0" t="n">
        <v>5110</v>
      </c>
    </row>
    <row r="395" customFormat="false" ht="15" hidden="false" customHeight="false" outlineLevel="0" collapsed="false">
      <c r="DG395" s="0" t="s">
        <v>4804</v>
      </c>
      <c r="DH395" s="0" t="s">
        <v>82</v>
      </c>
      <c r="DI395" s="0" t="s">
        <v>432</v>
      </c>
      <c r="DJ395" s="0" t="s">
        <v>433</v>
      </c>
      <c r="DK395" s="0" t="s">
        <v>1181</v>
      </c>
      <c r="DL395" s="0" t="n">
        <v>3.85</v>
      </c>
      <c r="DM395" s="0" t="s">
        <v>675</v>
      </c>
      <c r="DN395" s="0" t="s">
        <v>676</v>
      </c>
      <c r="DO395" s="0" t="n">
        <v>1</v>
      </c>
      <c r="DP395" s="0" t="n">
        <v>13344</v>
      </c>
      <c r="DQ395" s="0" t="n">
        <v>13344</v>
      </c>
      <c r="DR395" s="0" t="s">
        <v>4805</v>
      </c>
      <c r="EB395" s="0" t="s">
        <v>4806</v>
      </c>
      <c r="EC395" s="0" t="s">
        <v>2725</v>
      </c>
      <c r="ED395" s="0" t="s">
        <v>2726</v>
      </c>
      <c r="EE395" s="0" t="s">
        <v>258</v>
      </c>
      <c r="EF395" s="0" t="s">
        <v>256</v>
      </c>
      <c r="EG395" s="0" t="n">
        <v>4870</v>
      </c>
      <c r="EH395" s="0" t="n">
        <v>5590</v>
      </c>
      <c r="EI395" s="0" t="n">
        <v>6320</v>
      </c>
      <c r="EJ395" s="0" t="n">
        <v>6820</v>
      </c>
    </row>
    <row r="396" customFormat="false" ht="15" hidden="false" customHeight="false" outlineLevel="0" collapsed="false">
      <c r="DG396" s="0" t="s">
        <v>4807</v>
      </c>
      <c r="DH396" s="0" t="s">
        <v>82</v>
      </c>
      <c r="DI396" s="0" t="s">
        <v>436</v>
      </c>
      <c r="DJ396" s="0" t="s">
        <v>437</v>
      </c>
      <c r="DK396" s="0" t="s">
        <v>1181</v>
      </c>
      <c r="DL396" s="0" t="n">
        <v>3.85</v>
      </c>
      <c r="DM396" s="0" t="s">
        <v>675</v>
      </c>
      <c r="DN396" s="0" t="s">
        <v>676</v>
      </c>
      <c r="DO396" s="0" t="n">
        <v>1</v>
      </c>
      <c r="DP396" s="0" t="n">
        <v>13344</v>
      </c>
      <c r="DQ396" s="0" t="n">
        <v>13344</v>
      </c>
      <c r="DR396" s="0" t="s">
        <v>4808</v>
      </c>
      <c r="EB396" s="0" t="s">
        <v>4809</v>
      </c>
      <c r="EC396" s="0" t="s">
        <v>2725</v>
      </c>
      <c r="ED396" s="0" t="s">
        <v>2726</v>
      </c>
      <c r="EE396" s="0" t="s">
        <v>222</v>
      </c>
      <c r="EF396" s="0" t="s">
        <v>220</v>
      </c>
      <c r="EG396" s="0" t="n">
        <v>3230</v>
      </c>
      <c r="EH396" s="0" t="n">
        <v>3720</v>
      </c>
      <c r="EI396" s="0" t="n">
        <v>4210</v>
      </c>
      <c r="EJ396" s="0" t="n">
        <v>4530</v>
      </c>
    </row>
    <row r="397" customFormat="false" ht="15" hidden="false" customHeight="false" outlineLevel="0" collapsed="false">
      <c r="DG397" s="0" t="s">
        <v>4810</v>
      </c>
      <c r="DH397" s="0" t="s">
        <v>82</v>
      </c>
      <c r="DI397" s="0" t="s">
        <v>438</v>
      </c>
      <c r="DJ397" s="0" t="s">
        <v>439</v>
      </c>
      <c r="DK397" s="0" t="s">
        <v>1181</v>
      </c>
      <c r="DL397" s="0" t="n">
        <v>3.85</v>
      </c>
      <c r="DM397" s="0" t="s">
        <v>675</v>
      </c>
      <c r="DN397" s="0" t="s">
        <v>676</v>
      </c>
      <c r="DO397" s="0" t="n">
        <v>1</v>
      </c>
      <c r="DP397" s="0" t="n">
        <v>13344.01</v>
      </c>
      <c r="DQ397" s="0" t="n">
        <v>13344.01</v>
      </c>
      <c r="DR397" s="0" t="s">
        <v>4811</v>
      </c>
      <c r="EB397" s="0" t="s">
        <v>4812</v>
      </c>
      <c r="EC397" s="0" t="s">
        <v>2725</v>
      </c>
      <c r="ED397" s="0" t="s">
        <v>2726</v>
      </c>
      <c r="EE397" s="0" t="s">
        <v>233</v>
      </c>
      <c r="EF397" s="0" t="s">
        <v>231</v>
      </c>
      <c r="EG397" s="0" t="n">
        <v>2220</v>
      </c>
      <c r="EH397" s="0" t="n">
        <v>2550</v>
      </c>
      <c r="EI397" s="0" t="n">
        <v>2880</v>
      </c>
      <c r="EJ397" s="0" t="n">
        <v>3090</v>
      </c>
    </row>
    <row r="398" customFormat="false" ht="15" hidden="false" customHeight="false" outlineLevel="0" collapsed="false">
      <c r="DG398" s="0" t="s">
        <v>4813</v>
      </c>
      <c r="DH398" s="0" t="s">
        <v>82</v>
      </c>
      <c r="DI398" s="0" t="s">
        <v>440</v>
      </c>
      <c r="DJ398" s="0" t="s">
        <v>441</v>
      </c>
      <c r="DK398" s="0" t="s">
        <v>1181</v>
      </c>
      <c r="DL398" s="0" t="n">
        <v>3.85</v>
      </c>
      <c r="DM398" s="0" t="s">
        <v>675</v>
      </c>
      <c r="DN398" s="0" t="s">
        <v>676</v>
      </c>
      <c r="DO398" s="0" t="n">
        <v>1</v>
      </c>
      <c r="DP398" s="0" t="n">
        <v>13344.01</v>
      </c>
      <c r="DQ398" s="0" t="n">
        <v>13344.01</v>
      </c>
      <c r="DR398" s="0" t="s">
        <v>4814</v>
      </c>
      <c r="EB398" s="0" t="s">
        <v>4815</v>
      </c>
      <c r="EC398" s="0" t="s">
        <v>2725</v>
      </c>
      <c r="ED398" s="0" t="s">
        <v>2726</v>
      </c>
      <c r="EE398" s="0" t="s">
        <v>225</v>
      </c>
      <c r="EF398" s="0" t="s">
        <v>223</v>
      </c>
      <c r="EG398" s="0" t="n">
        <v>3480</v>
      </c>
      <c r="EH398" s="0" t="n">
        <v>4000</v>
      </c>
      <c r="EI398" s="0" t="n">
        <v>4520</v>
      </c>
      <c r="EJ398" s="0" t="n">
        <v>4870</v>
      </c>
    </row>
    <row r="399" customFormat="false" ht="15" hidden="false" customHeight="false" outlineLevel="0" collapsed="false">
      <c r="DG399" s="0" t="s">
        <v>4816</v>
      </c>
      <c r="DH399" s="0" t="s">
        <v>82</v>
      </c>
      <c r="DI399" s="0" t="s">
        <v>443</v>
      </c>
      <c r="DJ399" s="0" t="s">
        <v>444</v>
      </c>
      <c r="DK399" s="0" t="s">
        <v>1181</v>
      </c>
      <c r="DL399" s="0" t="n">
        <v>3.85</v>
      </c>
      <c r="DM399" s="0" t="s">
        <v>675</v>
      </c>
      <c r="DN399" s="0" t="s">
        <v>676</v>
      </c>
      <c r="DO399" s="0" t="n">
        <v>1</v>
      </c>
      <c r="DP399" s="0" t="n">
        <v>13344</v>
      </c>
      <c r="DQ399" s="0" t="n">
        <v>13344</v>
      </c>
      <c r="DR399" s="0" t="s">
        <v>4817</v>
      </c>
      <c r="EB399" s="0" t="s">
        <v>4818</v>
      </c>
      <c r="EC399" s="0" t="s">
        <v>2725</v>
      </c>
      <c r="ED399" s="0" t="s">
        <v>2726</v>
      </c>
      <c r="EE399" s="0" t="s">
        <v>288</v>
      </c>
      <c r="EF399" s="0" t="s">
        <v>287</v>
      </c>
      <c r="EG399" s="0" t="n">
        <v>490</v>
      </c>
      <c r="EH399" s="0" t="n">
        <v>550</v>
      </c>
      <c r="EI399" s="0" t="n">
        <v>630</v>
      </c>
      <c r="EJ399" s="0" t="n">
        <v>630</v>
      </c>
    </row>
    <row r="400" customFormat="false" ht="15" hidden="false" customHeight="false" outlineLevel="0" collapsed="false">
      <c r="DG400" s="0" t="s">
        <v>4819</v>
      </c>
      <c r="DH400" s="0" t="s">
        <v>82</v>
      </c>
      <c r="DI400" s="0" t="s">
        <v>480</v>
      </c>
      <c r="DJ400" s="0" t="s">
        <v>481</v>
      </c>
      <c r="DK400" s="0" t="s">
        <v>1181</v>
      </c>
      <c r="DL400" s="0" t="n">
        <v>3.85</v>
      </c>
      <c r="DM400" s="0" t="s">
        <v>675</v>
      </c>
      <c r="DN400" s="0" t="s">
        <v>676</v>
      </c>
      <c r="DO400" s="0" t="n">
        <v>1</v>
      </c>
      <c r="DP400" s="0" t="n">
        <v>23742</v>
      </c>
      <c r="DQ400" s="0" t="n">
        <v>23742</v>
      </c>
      <c r="DR400" s="0" t="s">
        <v>4820</v>
      </c>
      <c r="EB400" s="0" t="s">
        <v>4821</v>
      </c>
      <c r="EC400" s="0" t="s">
        <v>2725</v>
      </c>
      <c r="ED400" s="0" t="s">
        <v>2726</v>
      </c>
      <c r="EE400" s="0" t="s">
        <v>269</v>
      </c>
      <c r="EF400" s="0" t="s">
        <v>3489</v>
      </c>
      <c r="EG400" s="0" t="n">
        <v>1980</v>
      </c>
      <c r="EH400" s="0" t="n">
        <v>2280</v>
      </c>
      <c r="EI400" s="0" t="n">
        <v>2570</v>
      </c>
      <c r="EJ400" s="0" t="n">
        <v>2570</v>
      </c>
    </row>
    <row r="401" customFormat="false" ht="15" hidden="false" customHeight="false" outlineLevel="0" collapsed="false">
      <c r="DG401" s="0" t="s">
        <v>4822</v>
      </c>
      <c r="DH401" s="0" t="s">
        <v>82</v>
      </c>
      <c r="DI401" s="0" t="s">
        <v>362</v>
      </c>
      <c r="DJ401" s="0" t="s">
        <v>363</v>
      </c>
      <c r="DK401" s="0" t="s">
        <v>1181</v>
      </c>
      <c r="DL401" s="0" t="n">
        <v>3.85</v>
      </c>
      <c r="DM401" s="0" t="s">
        <v>675</v>
      </c>
      <c r="DN401" s="0" t="s">
        <v>676</v>
      </c>
      <c r="DO401" s="0" t="n">
        <v>1</v>
      </c>
      <c r="DP401" s="0" t="n">
        <v>36136</v>
      </c>
      <c r="DQ401" s="0" t="n">
        <v>36136</v>
      </c>
      <c r="DR401" s="0" t="s">
        <v>4823</v>
      </c>
      <c r="EB401" s="0" t="s">
        <v>4824</v>
      </c>
      <c r="EC401" s="0" t="s">
        <v>2725</v>
      </c>
      <c r="ED401" s="0" t="s">
        <v>2726</v>
      </c>
      <c r="EE401" s="0" t="s">
        <v>237</v>
      </c>
      <c r="EF401" s="0" t="s">
        <v>4825</v>
      </c>
      <c r="EG401" s="0" t="n">
        <v>4070</v>
      </c>
      <c r="EH401" s="0" t="n">
        <v>4690</v>
      </c>
      <c r="EI401" s="0" t="n">
        <v>5300</v>
      </c>
      <c r="EJ401" s="0" t="n">
        <v>5300</v>
      </c>
    </row>
    <row r="402" customFormat="false" ht="15" hidden="false" customHeight="false" outlineLevel="0" collapsed="false">
      <c r="DG402" s="0" t="s">
        <v>4826</v>
      </c>
      <c r="DH402" s="0" t="s">
        <v>82</v>
      </c>
      <c r="DI402" s="0" t="s">
        <v>508</v>
      </c>
      <c r="DJ402" s="0" t="s">
        <v>509</v>
      </c>
      <c r="DK402" s="0" t="s">
        <v>1181</v>
      </c>
      <c r="DL402" s="0" t="n">
        <v>3.85</v>
      </c>
      <c r="DM402" s="0" t="s">
        <v>675</v>
      </c>
      <c r="DN402" s="0" t="s">
        <v>676</v>
      </c>
      <c r="DO402" s="0" t="n">
        <v>1</v>
      </c>
      <c r="DP402" s="0" t="n">
        <v>43628</v>
      </c>
      <c r="DQ402" s="0" t="n">
        <v>43628</v>
      </c>
      <c r="DR402" s="0" t="s">
        <v>4827</v>
      </c>
      <c r="EB402" s="0" t="s">
        <v>4828</v>
      </c>
      <c r="EC402" s="0" t="s">
        <v>2725</v>
      </c>
      <c r="ED402" s="0" t="s">
        <v>2726</v>
      </c>
      <c r="EE402" s="0" t="s">
        <v>249</v>
      </c>
      <c r="EF402" s="0" t="s">
        <v>247</v>
      </c>
      <c r="EG402" s="0" t="n">
        <v>510</v>
      </c>
      <c r="EH402" s="0" t="n">
        <v>590</v>
      </c>
      <c r="EI402" s="0" t="n">
        <v>660</v>
      </c>
      <c r="EJ402" s="0" t="n">
        <v>710</v>
      </c>
    </row>
    <row r="403" customFormat="false" ht="15" hidden="false" customHeight="false" outlineLevel="0" collapsed="false">
      <c r="DG403" s="0" t="s">
        <v>4829</v>
      </c>
      <c r="DH403" s="0" t="s">
        <v>82</v>
      </c>
      <c r="DI403" s="0" t="s">
        <v>478</v>
      </c>
      <c r="DJ403" s="0" t="s">
        <v>479</v>
      </c>
      <c r="DK403" s="0" t="s">
        <v>1181</v>
      </c>
      <c r="DL403" s="0" t="n">
        <v>3.85</v>
      </c>
      <c r="DM403" s="0" t="s">
        <v>675</v>
      </c>
      <c r="DN403" s="0" t="s">
        <v>676</v>
      </c>
      <c r="DO403" s="0" t="n">
        <v>1</v>
      </c>
      <c r="DP403" s="0" t="n">
        <v>43628</v>
      </c>
      <c r="DQ403" s="0" t="n">
        <v>43628</v>
      </c>
      <c r="DR403" s="0" t="s">
        <v>4830</v>
      </c>
      <c r="EB403" s="0" t="s">
        <v>4831</v>
      </c>
      <c r="EC403" s="0" t="s">
        <v>2725</v>
      </c>
      <c r="ED403" s="0" t="s">
        <v>2726</v>
      </c>
      <c r="EE403" s="0" t="s">
        <v>293</v>
      </c>
      <c r="EF403" s="0" t="s">
        <v>291</v>
      </c>
      <c r="EG403" s="0" t="n">
        <v>840</v>
      </c>
      <c r="EH403" s="0" t="n">
        <v>970</v>
      </c>
      <c r="EI403" s="0" t="n">
        <v>1100</v>
      </c>
      <c r="EJ403" s="0" t="n">
        <v>1170</v>
      </c>
    </row>
    <row r="404" customFormat="false" ht="15" hidden="false" customHeight="false" outlineLevel="0" collapsed="false">
      <c r="DG404" s="0" t="s">
        <v>4832</v>
      </c>
      <c r="DH404" s="0" t="s">
        <v>82</v>
      </c>
      <c r="DI404" s="0" t="s">
        <v>478</v>
      </c>
      <c r="DJ404" s="0" t="s">
        <v>2023</v>
      </c>
      <c r="DK404" s="0" t="s">
        <v>1181</v>
      </c>
      <c r="DL404" s="0" t="n">
        <v>3.85</v>
      </c>
      <c r="DM404" s="0" t="s">
        <v>675</v>
      </c>
      <c r="DN404" s="0" t="s">
        <v>676</v>
      </c>
      <c r="DO404" s="0" t="n">
        <v>1</v>
      </c>
      <c r="DP404" s="0" t="n">
        <v>43628</v>
      </c>
      <c r="DQ404" s="0" t="n">
        <v>43628</v>
      </c>
      <c r="DR404" s="0" t="s">
        <v>4833</v>
      </c>
      <c r="EB404" s="0" t="s">
        <v>4834</v>
      </c>
      <c r="EC404" s="0" t="s">
        <v>2725</v>
      </c>
      <c r="ED404" s="0" t="s">
        <v>2726</v>
      </c>
      <c r="EE404" s="0" t="s">
        <v>280</v>
      </c>
      <c r="EF404" s="0" t="s">
        <v>279</v>
      </c>
      <c r="EG404" s="0" t="n">
        <v>1060</v>
      </c>
      <c r="EH404" s="0" t="n">
        <v>1220</v>
      </c>
      <c r="EI404" s="0" t="n">
        <v>1370</v>
      </c>
      <c r="EJ404" s="0" t="n">
        <v>1480</v>
      </c>
    </row>
    <row r="405" customFormat="false" ht="15" hidden="false" customHeight="false" outlineLevel="0" collapsed="false">
      <c r="DG405" s="0" t="s">
        <v>4835</v>
      </c>
      <c r="DH405" s="0" t="s">
        <v>82</v>
      </c>
      <c r="DI405" s="0" t="s">
        <v>486</v>
      </c>
      <c r="DJ405" s="0" t="s">
        <v>487</v>
      </c>
      <c r="DK405" s="0" t="s">
        <v>1181</v>
      </c>
      <c r="DL405" s="0" t="n">
        <v>3.85</v>
      </c>
      <c r="DM405" s="0" t="s">
        <v>675</v>
      </c>
      <c r="DN405" s="0" t="s">
        <v>676</v>
      </c>
      <c r="DO405" s="0" t="n">
        <v>1</v>
      </c>
      <c r="DP405" s="0" t="n">
        <v>43628</v>
      </c>
      <c r="DQ405" s="0" t="n">
        <v>43628</v>
      </c>
      <c r="DR405" s="0" t="s">
        <v>4836</v>
      </c>
      <c r="EB405" s="0" t="s">
        <v>4837</v>
      </c>
      <c r="EC405" s="0" t="s">
        <v>2725</v>
      </c>
      <c r="ED405" s="0" t="s">
        <v>2726</v>
      </c>
      <c r="EE405" s="0" t="s">
        <v>264</v>
      </c>
      <c r="EF405" s="0" t="s">
        <v>262</v>
      </c>
      <c r="EG405" s="0" t="n">
        <v>2100</v>
      </c>
      <c r="EH405" s="0" t="n">
        <v>2420</v>
      </c>
      <c r="EI405" s="0" t="n">
        <v>2740</v>
      </c>
      <c r="EJ405" s="0" t="n">
        <v>2940</v>
      </c>
    </row>
    <row r="406" customFormat="false" ht="15" hidden="false" customHeight="false" outlineLevel="0" collapsed="false">
      <c r="DG406" s="0" t="s">
        <v>4838</v>
      </c>
      <c r="DH406" s="0" t="s">
        <v>82</v>
      </c>
      <c r="DI406" s="0" t="s">
        <v>426</v>
      </c>
      <c r="DJ406" s="0" t="s">
        <v>427</v>
      </c>
      <c r="DK406" s="0" t="s">
        <v>1181</v>
      </c>
      <c r="DL406" s="0" t="n">
        <v>3.85</v>
      </c>
      <c r="DM406" s="0" t="s">
        <v>675</v>
      </c>
      <c r="DN406" s="0" t="s">
        <v>676</v>
      </c>
      <c r="DO406" s="0" t="n">
        <v>1</v>
      </c>
      <c r="DP406" s="0" t="n">
        <v>13344.01</v>
      </c>
      <c r="DQ406" s="0" t="n">
        <v>13344.01</v>
      </c>
      <c r="DR406" s="0" t="s">
        <v>4839</v>
      </c>
      <c r="EB406" s="0" t="s">
        <v>4840</v>
      </c>
      <c r="EC406" s="0" t="s">
        <v>2725</v>
      </c>
      <c r="EE406" s="0" t="s">
        <v>278</v>
      </c>
    </row>
    <row r="407" customFormat="false" ht="15" hidden="false" customHeight="false" outlineLevel="0" collapsed="false">
      <c r="DG407" s="0" t="s">
        <v>4841</v>
      </c>
      <c r="DH407" s="0" t="s">
        <v>82</v>
      </c>
      <c r="DI407" s="0" t="s">
        <v>430</v>
      </c>
      <c r="DJ407" s="0" t="s">
        <v>431</v>
      </c>
      <c r="DK407" s="0" t="s">
        <v>1181</v>
      </c>
      <c r="DL407" s="0" t="n">
        <v>3.85</v>
      </c>
      <c r="DM407" s="0" t="s">
        <v>675</v>
      </c>
      <c r="DN407" s="0" t="s">
        <v>676</v>
      </c>
      <c r="DO407" s="0" t="n">
        <v>1</v>
      </c>
      <c r="DP407" s="0" t="n">
        <v>13344.09</v>
      </c>
      <c r="DQ407" s="0" t="n">
        <v>13344.09</v>
      </c>
      <c r="DR407" s="0" t="s">
        <v>4842</v>
      </c>
      <c r="EB407" s="0" t="s">
        <v>4843</v>
      </c>
      <c r="EC407" s="0" t="s">
        <v>2725</v>
      </c>
      <c r="ED407" s="0" t="s">
        <v>2726</v>
      </c>
      <c r="EE407" s="0" t="s">
        <v>240</v>
      </c>
      <c r="EF407" s="0" t="s">
        <v>238</v>
      </c>
      <c r="EG407" s="0" t="n">
        <v>4180</v>
      </c>
      <c r="EH407" s="0" t="n">
        <v>4800</v>
      </c>
      <c r="EI407" s="0" t="n">
        <v>5430</v>
      </c>
      <c r="EJ407" s="0" t="n">
        <v>5850</v>
      </c>
    </row>
    <row r="408" customFormat="false" ht="15" hidden="false" customHeight="false" outlineLevel="0" collapsed="false">
      <c r="DG408" s="0" t="s">
        <v>4844</v>
      </c>
      <c r="DH408" s="0" t="s">
        <v>82</v>
      </c>
      <c r="DI408" s="0" t="s">
        <v>424</v>
      </c>
      <c r="DJ408" s="0" t="s">
        <v>425</v>
      </c>
      <c r="DK408" s="0" t="s">
        <v>1181</v>
      </c>
      <c r="DL408" s="0" t="n">
        <v>3.85</v>
      </c>
      <c r="DM408" s="0" t="s">
        <v>675</v>
      </c>
      <c r="DN408" s="0" t="s">
        <v>676</v>
      </c>
      <c r="DO408" s="0" t="n">
        <v>1</v>
      </c>
      <c r="DP408" s="0" t="n">
        <v>13344.05</v>
      </c>
      <c r="DQ408" s="0" t="n">
        <v>13344.05</v>
      </c>
      <c r="DR408" s="0" t="s">
        <v>4845</v>
      </c>
      <c r="EB408" s="0" t="s">
        <v>4846</v>
      </c>
      <c r="EC408" s="0" t="s">
        <v>2725</v>
      </c>
      <c r="ED408" s="0" t="s">
        <v>2726</v>
      </c>
      <c r="EE408" s="0" t="s">
        <v>252</v>
      </c>
      <c r="EF408" s="0" t="s">
        <v>250</v>
      </c>
      <c r="EG408" s="0" t="n">
        <v>710</v>
      </c>
      <c r="EH408" s="0" t="n">
        <v>810</v>
      </c>
      <c r="EI408" s="0" t="n">
        <v>920</v>
      </c>
      <c r="EJ408" s="0" t="n">
        <v>990</v>
      </c>
    </row>
    <row r="409" customFormat="false" ht="15" hidden="false" customHeight="false" outlineLevel="0" collapsed="false">
      <c r="DG409" s="0" t="s">
        <v>4847</v>
      </c>
      <c r="DH409" s="0" t="s">
        <v>82</v>
      </c>
      <c r="DI409" s="0" t="s">
        <v>428</v>
      </c>
      <c r="DJ409" s="0" t="s">
        <v>429</v>
      </c>
      <c r="DK409" s="0" t="s">
        <v>1181</v>
      </c>
      <c r="DL409" s="0" t="n">
        <v>3.85</v>
      </c>
      <c r="DM409" s="0" t="s">
        <v>675</v>
      </c>
      <c r="DN409" s="0" t="s">
        <v>676</v>
      </c>
      <c r="DO409" s="0" t="n">
        <v>1</v>
      </c>
      <c r="DP409" s="0" t="n">
        <v>13344.05</v>
      </c>
      <c r="DQ409" s="0" t="n">
        <v>13344.05</v>
      </c>
      <c r="DR409" s="0" t="s">
        <v>4848</v>
      </c>
      <c r="EB409" s="0" t="s">
        <v>4849</v>
      </c>
      <c r="EC409" s="0" t="s">
        <v>2725</v>
      </c>
      <c r="ED409" s="0" t="s">
        <v>2726</v>
      </c>
      <c r="EE409" s="0" t="s">
        <v>229</v>
      </c>
      <c r="EF409" s="0" t="s">
        <v>227</v>
      </c>
      <c r="EG409" s="0" t="n">
        <v>250</v>
      </c>
      <c r="EH409" s="0" t="n">
        <v>290</v>
      </c>
      <c r="EI409" s="0" t="n">
        <v>330</v>
      </c>
      <c r="EJ409" s="0" t="n">
        <v>350</v>
      </c>
    </row>
    <row r="410" customFormat="false" ht="15" hidden="false" customHeight="false" outlineLevel="0" collapsed="false">
      <c r="DG410" s="0" t="s">
        <v>4850</v>
      </c>
      <c r="DH410" s="0" t="s">
        <v>82</v>
      </c>
      <c r="DI410" s="0" t="s">
        <v>482</v>
      </c>
      <c r="DJ410" s="0" t="s">
        <v>483</v>
      </c>
      <c r="DK410" s="0" t="s">
        <v>1181</v>
      </c>
      <c r="DL410" s="0" t="n">
        <v>3.85</v>
      </c>
      <c r="DM410" s="0" t="s">
        <v>675</v>
      </c>
      <c r="DN410" s="0" t="s">
        <v>676</v>
      </c>
      <c r="DO410" s="0" t="n">
        <v>1</v>
      </c>
      <c r="DP410" s="0" t="n">
        <v>23742</v>
      </c>
      <c r="DQ410" s="0" t="n">
        <v>23742</v>
      </c>
      <c r="DR410" s="0" t="s">
        <v>4851</v>
      </c>
      <c r="EB410" s="0" t="s">
        <v>4852</v>
      </c>
      <c r="EC410" s="0" t="s">
        <v>2725</v>
      </c>
      <c r="ED410" s="0" t="s">
        <v>2726</v>
      </c>
      <c r="EE410" s="0" t="s">
        <v>246</v>
      </c>
      <c r="EF410" s="0" t="s">
        <v>244</v>
      </c>
      <c r="EG410" s="0" t="n">
        <v>790</v>
      </c>
      <c r="EH410" s="0" t="n">
        <v>790</v>
      </c>
      <c r="EI410" s="0" t="n">
        <v>790</v>
      </c>
      <c r="EJ410" s="0" t="n">
        <v>790</v>
      </c>
    </row>
    <row r="411" customFormat="false" ht="15" hidden="false" customHeight="false" outlineLevel="0" collapsed="false">
      <c r="DG411" s="0" t="s">
        <v>4853</v>
      </c>
      <c r="DH411" s="0" t="s">
        <v>82</v>
      </c>
      <c r="DI411" s="0" t="s">
        <v>356</v>
      </c>
      <c r="DJ411" s="0" t="s">
        <v>357</v>
      </c>
      <c r="DK411" s="0" t="s">
        <v>1181</v>
      </c>
      <c r="DL411" s="0" t="n">
        <v>3.85</v>
      </c>
      <c r="DM411" s="0" t="s">
        <v>675</v>
      </c>
      <c r="DN411" s="0" t="s">
        <v>676</v>
      </c>
      <c r="DO411" s="0" t="n">
        <v>1</v>
      </c>
      <c r="DP411" s="0" t="n">
        <v>36136</v>
      </c>
      <c r="DQ411" s="0" t="n">
        <v>36136</v>
      </c>
      <c r="DR411" s="0" t="s">
        <v>4854</v>
      </c>
      <c r="EB411" s="0" t="s">
        <v>4855</v>
      </c>
      <c r="EC411" s="0" t="s">
        <v>2725</v>
      </c>
      <c r="ED411" s="0" t="s">
        <v>2726</v>
      </c>
      <c r="EE411" s="0" t="s">
        <v>255</v>
      </c>
      <c r="EF411" s="0" t="s">
        <v>253</v>
      </c>
      <c r="EG411" s="0" t="n">
        <v>650</v>
      </c>
      <c r="EH411" s="0" t="n">
        <v>750</v>
      </c>
      <c r="EI411" s="0" t="n">
        <v>840</v>
      </c>
      <c r="EJ411" s="0" t="n">
        <v>910</v>
      </c>
    </row>
    <row r="412" customFormat="false" ht="15" hidden="false" customHeight="false" outlineLevel="0" collapsed="false">
      <c r="DG412" s="0" t="s">
        <v>4856</v>
      </c>
      <c r="DH412" s="0" t="s">
        <v>82</v>
      </c>
      <c r="DI412" s="0" t="s">
        <v>388</v>
      </c>
      <c r="DJ412" s="0" t="s">
        <v>389</v>
      </c>
      <c r="DK412" s="0" t="s">
        <v>1181</v>
      </c>
      <c r="DL412" s="0" t="n">
        <v>3.85</v>
      </c>
      <c r="DM412" s="0" t="s">
        <v>675</v>
      </c>
      <c r="DN412" s="0" t="s">
        <v>676</v>
      </c>
      <c r="DO412" s="0" t="n">
        <v>1</v>
      </c>
      <c r="DP412" s="0" t="n">
        <v>36136</v>
      </c>
      <c r="DQ412" s="0" t="n">
        <v>36136</v>
      </c>
      <c r="DR412" s="0" t="s">
        <v>4857</v>
      </c>
      <c r="EB412" s="0" t="s">
        <v>4858</v>
      </c>
      <c r="EC412" s="0" t="s">
        <v>2725</v>
      </c>
      <c r="EE412" s="0" t="s">
        <v>243</v>
      </c>
    </row>
    <row r="413" customFormat="false" ht="15" hidden="false" customHeight="false" outlineLevel="0" collapsed="false">
      <c r="DG413" s="0" t="s">
        <v>4859</v>
      </c>
      <c r="DH413" s="0" t="s">
        <v>82</v>
      </c>
      <c r="DI413" s="0" t="s">
        <v>370</v>
      </c>
      <c r="DJ413" s="0" t="s">
        <v>371</v>
      </c>
      <c r="DK413" s="0" t="s">
        <v>1181</v>
      </c>
      <c r="DL413" s="0" t="n">
        <v>3.85</v>
      </c>
      <c r="DM413" s="0" t="s">
        <v>675</v>
      </c>
      <c r="DN413" s="0" t="s">
        <v>676</v>
      </c>
      <c r="DO413" s="0" t="n">
        <v>1</v>
      </c>
      <c r="DP413" s="0" t="n">
        <v>36136</v>
      </c>
      <c r="DQ413" s="0" t="n">
        <v>36136</v>
      </c>
      <c r="DR413" s="0" t="s">
        <v>4860</v>
      </c>
      <c r="EB413" s="0" t="s">
        <v>4861</v>
      </c>
      <c r="EC413" s="0" t="s">
        <v>2725</v>
      </c>
      <c r="EE413" s="0" t="s">
        <v>261</v>
      </c>
    </row>
    <row r="414" customFormat="false" ht="15" hidden="false" customHeight="false" outlineLevel="0" collapsed="false">
      <c r="DG414" s="0" t="s">
        <v>4862</v>
      </c>
      <c r="DH414" s="0" t="s">
        <v>82</v>
      </c>
      <c r="DI414" s="0" t="s">
        <v>520</v>
      </c>
      <c r="DJ414" s="0" t="s">
        <v>521</v>
      </c>
      <c r="DK414" s="0" t="s">
        <v>1181</v>
      </c>
      <c r="DL414" s="0" t="n">
        <v>3.85</v>
      </c>
      <c r="DM414" s="0" t="s">
        <v>675</v>
      </c>
      <c r="DN414" s="0" t="s">
        <v>676</v>
      </c>
      <c r="DO414" s="0" t="n">
        <v>1</v>
      </c>
      <c r="DP414" s="0" t="n">
        <v>30768.75</v>
      </c>
      <c r="DQ414" s="0" t="n">
        <v>30768.75</v>
      </c>
      <c r="DR414" s="0" t="s">
        <v>4863</v>
      </c>
      <c r="EB414" s="0" t="s">
        <v>4864</v>
      </c>
      <c r="EC414" s="0" t="s">
        <v>2725</v>
      </c>
      <c r="EE414" s="0" t="s">
        <v>296</v>
      </c>
    </row>
    <row r="415" customFormat="false" ht="15" hidden="false" customHeight="false" outlineLevel="0" collapsed="false">
      <c r="DG415" s="0" t="s">
        <v>4865</v>
      </c>
      <c r="DH415" s="0" t="s">
        <v>82</v>
      </c>
      <c r="DI415" s="0" t="s">
        <v>514</v>
      </c>
      <c r="DJ415" s="0" t="s">
        <v>515</v>
      </c>
      <c r="DK415" s="0" t="s">
        <v>1181</v>
      </c>
      <c r="DL415" s="0" t="n">
        <v>3.85</v>
      </c>
      <c r="DM415" s="0" t="s">
        <v>675</v>
      </c>
      <c r="DN415" s="0" t="s">
        <v>676</v>
      </c>
      <c r="DO415" s="0" t="n">
        <v>1</v>
      </c>
      <c r="DP415" s="0" t="n">
        <v>227.9</v>
      </c>
      <c r="DQ415" s="0" t="n">
        <v>227.9</v>
      </c>
      <c r="DR415" s="0" t="s">
        <v>4866</v>
      </c>
      <c r="EB415" s="0" t="s">
        <v>4867</v>
      </c>
      <c r="EC415" s="0" t="s">
        <v>2831</v>
      </c>
      <c r="EE415" s="0" t="s">
        <v>626</v>
      </c>
    </row>
    <row r="416" customFormat="false" ht="15" hidden="false" customHeight="false" outlineLevel="0" collapsed="false">
      <c r="DG416" s="0" t="s">
        <v>4868</v>
      </c>
      <c r="DH416" s="0" t="s">
        <v>82</v>
      </c>
      <c r="DI416" s="0" t="s">
        <v>516</v>
      </c>
      <c r="DJ416" s="0" t="s">
        <v>517</v>
      </c>
      <c r="DK416" s="0" t="s">
        <v>1181</v>
      </c>
      <c r="DL416" s="0" t="n">
        <v>3.85</v>
      </c>
      <c r="DM416" s="0" t="s">
        <v>675</v>
      </c>
      <c r="DN416" s="0" t="s">
        <v>676</v>
      </c>
      <c r="DO416" s="0" t="n">
        <v>1</v>
      </c>
      <c r="DP416" s="0" t="n">
        <v>565.35</v>
      </c>
      <c r="DQ416" s="0" t="n">
        <v>565.35</v>
      </c>
      <c r="DR416" s="0" t="s">
        <v>4869</v>
      </c>
      <c r="EB416" s="0" t="s">
        <v>4870</v>
      </c>
      <c r="EC416" s="0" t="s">
        <v>2831</v>
      </c>
      <c r="EE416" s="0" t="s">
        <v>624</v>
      </c>
    </row>
    <row r="417" customFormat="false" ht="15" hidden="false" customHeight="false" outlineLevel="0" collapsed="false">
      <c r="DG417" s="0" t="s">
        <v>4871</v>
      </c>
      <c r="DH417" s="0" t="s">
        <v>82</v>
      </c>
      <c r="DI417" s="0" t="s">
        <v>448</v>
      </c>
      <c r="DJ417" s="0" t="s">
        <v>449</v>
      </c>
      <c r="DK417" s="0" t="s">
        <v>1181</v>
      </c>
      <c r="DL417" s="0" t="n">
        <v>3.85</v>
      </c>
      <c r="DM417" s="0" t="s">
        <v>675</v>
      </c>
      <c r="DN417" s="0" t="s">
        <v>676</v>
      </c>
      <c r="DO417" s="0" t="n">
        <v>1</v>
      </c>
      <c r="DP417" s="0" t="n">
        <v>13340.05</v>
      </c>
      <c r="DQ417" s="0" t="n">
        <v>13340.05</v>
      </c>
      <c r="DR417" s="0" t="s">
        <v>4872</v>
      </c>
      <c r="EB417" s="0" t="s">
        <v>4873</v>
      </c>
      <c r="EC417" s="0" t="s">
        <v>2831</v>
      </c>
      <c r="EE417" s="0" t="s">
        <v>622</v>
      </c>
    </row>
    <row r="418" customFormat="false" ht="15" hidden="false" customHeight="false" outlineLevel="0" collapsed="false">
      <c r="DG418" s="0" t="s">
        <v>4874</v>
      </c>
      <c r="DH418" s="0" t="s">
        <v>82</v>
      </c>
      <c r="DI418" s="0" t="s">
        <v>450</v>
      </c>
      <c r="DJ418" s="0" t="s">
        <v>451</v>
      </c>
      <c r="DK418" s="0" t="s">
        <v>1181</v>
      </c>
      <c r="DL418" s="0" t="n">
        <v>3.85</v>
      </c>
      <c r="DM418" s="0" t="s">
        <v>675</v>
      </c>
      <c r="DN418" s="0" t="s">
        <v>676</v>
      </c>
      <c r="DO418" s="0" t="n">
        <v>1</v>
      </c>
      <c r="DP418" s="0" t="n">
        <v>13340.05</v>
      </c>
      <c r="DQ418" s="0" t="n">
        <v>13340.05</v>
      </c>
      <c r="DR418" s="0" t="s">
        <v>4875</v>
      </c>
      <c r="EB418" s="0" t="s">
        <v>4876</v>
      </c>
      <c r="EC418" s="0" t="s">
        <v>2831</v>
      </c>
      <c r="EE418" s="0" t="s">
        <v>620</v>
      </c>
    </row>
    <row r="419" customFormat="false" ht="15" hidden="false" customHeight="false" outlineLevel="0" collapsed="false">
      <c r="DG419" s="0" t="s">
        <v>4877</v>
      </c>
      <c r="DH419" s="0" t="s">
        <v>82</v>
      </c>
      <c r="DI419" s="0" t="s">
        <v>396</v>
      </c>
      <c r="DJ419" s="0" t="s">
        <v>397</v>
      </c>
      <c r="DK419" s="0" t="s">
        <v>1181</v>
      </c>
      <c r="DL419" s="0" t="n">
        <v>3.85</v>
      </c>
      <c r="DM419" s="0" t="s">
        <v>675</v>
      </c>
      <c r="DN419" s="0" t="s">
        <v>676</v>
      </c>
      <c r="DO419" s="0" t="n">
        <v>1</v>
      </c>
      <c r="DP419" s="0" t="n">
        <v>36130</v>
      </c>
      <c r="DQ419" s="0" t="n">
        <v>36130</v>
      </c>
      <c r="DR419" s="0" t="s">
        <v>4878</v>
      </c>
      <c r="EB419" s="0" t="s">
        <v>4879</v>
      </c>
      <c r="EC419" s="0" t="s">
        <v>2831</v>
      </c>
      <c r="EE419" s="0" t="s">
        <v>618</v>
      </c>
    </row>
    <row r="420" customFormat="false" ht="15" hidden="false" customHeight="false" outlineLevel="0" collapsed="false">
      <c r="DG420" s="0" t="s">
        <v>4880</v>
      </c>
      <c r="DH420" s="0" t="s">
        <v>82</v>
      </c>
      <c r="DI420" s="0" t="s">
        <v>401</v>
      </c>
      <c r="DJ420" s="0" t="s">
        <v>402</v>
      </c>
      <c r="DK420" s="0" t="s">
        <v>1181</v>
      </c>
      <c r="DL420" s="0" t="n">
        <v>3.85</v>
      </c>
      <c r="DM420" s="0" t="s">
        <v>675</v>
      </c>
      <c r="DN420" s="0" t="s">
        <v>676</v>
      </c>
      <c r="DO420" s="0" t="n">
        <v>1</v>
      </c>
      <c r="DP420" s="0" t="n">
        <v>36130</v>
      </c>
      <c r="DQ420" s="0" t="n">
        <v>36130</v>
      </c>
      <c r="DR420" s="0" t="s">
        <v>4881</v>
      </c>
      <c r="EB420" s="0" t="s">
        <v>4882</v>
      </c>
      <c r="EC420" s="0" t="s">
        <v>2831</v>
      </c>
      <c r="ED420" s="0" t="s">
        <v>2832</v>
      </c>
      <c r="EE420" s="0" t="s">
        <v>616</v>
      </c>
      <c r="EF420" s="0" t="s">
        <v>2612</v>
      </c>
      <c r="EG420" s="0" t="n">
        <v>390</v>
      </c>
      <c r="EH420" s="0" t="n">
        <v>440</v>
      </c>
      <c r="EI420" s="0" t="n">
        <v>500</v>
      </c>
      <c r="EJ420" s="0" t="n">
        <v>540</v>
      </c>
    </row>
    <row r="421" customFormat="false" ht="15" hidden="false" customHeight="false" outlineLevel="0" collapsed="false">
      <c r="DG421" s="0" t="s">
        <v>4883</v>
      </c>
      <c r="DH421" s="0" t="s">
        <v>82</v>
      </c>
      <c r="DI421" s="0" t="s">
        <v>406</v>
      </c>
      <c r="DJ421" s="0" t="s">
        <v>407</v>
      </c>
      <c r="DK421" s="0" t="s">
        <v>1181</v>
      </c>
      <c r="DL421" s="0" t="n">
        <v>3.85</v>
      </c>
      <c r="DM421" s="0" t="s">
        <v>675</v>
      </c>
      <c r="DN421" s="0" t="s">
        <v>676</v>
      </c>
      <c r="DO421" s="0" t="n">
        <v>1</v>
      </c>
      <c r="DP421" s="0" t="n">
        <v>36130</v>
      </c>
      <c r="DQ421" s="0" t="n">
        <v>36130</v>
      </c>
      <c r="DR421" s="0" t="s">
        <v>4884</v>
      </c>
      <c r="EB421" s="0" t="s">
        <v>4885</v>
      </c>
      <c r="EC421" s="0" t="s">
        <v>2831</v>
      </c>
      <c r="ED421" s="0" t="s">
        <v>2832</v>
      </c>
      <c r="EE421" s="0" t="s">
        <v>614</v>
      </c>
      <c r="EF421" s="0" t="s">
        <v>2628</v>
      </c>
      <c r="EG421" s="0" t="n">
        <v>620</v>
      </c>
      <c r="EH421" s="0" t="n">
        <v>710</v>
      </c>
      <c r="EI421" s="0" t="n">
        <v>800</v>
      </c>
      <c r="EJ421" s="0" t="n">
        <v>860</v>
      </c>
    </row>
    <row r="422" customFormat="false" ht="15" hidden="false" customHeight="false" outlineLevel="0" collapsed="false">
      <c r="DG422" s="0" t="s">
        <v>4886</v>
      </c>
      <c r="DH422" s="0" t="s">
        <v>82</v>
      </c>
      <c r="DI422" s="0" t="s">
        <v>393</v>
      </c>
      <c r="DJ422" s="0" t="s">
        <v>394</v>
      </c>
      <c r="DK422" s="0" t="s">
        <v>1181</v>
      </c>
      <c r="DL422" s="0" t="n">
        <v>3.85</v>
      </c>
      <c r="DM422" s="0" t="s">
        <v>675</v>
      </c>
      <c r="DN422" s="0" t="s">
        <v>676</v>
      </c>
      <c r="DO422" s="0" t="n">
        <v>1</v>
      </c>
      <c r="DP422" s="0" t="n">
        <v>36130</v>
      </c>
      <c r="DQ422" s="0" t="n">
        <v>36130</v>
      </c>
      <c r="DR422" s="0" t="s">
        <v>4887</v>
      </c>
      <c r="EB422" s="0" t="s">
        <v>4888</v>
      </c>
      <c r="EC422" s="0" t="s">
        <v>2831</v>
      </c>
      <c r="ED422" s="0" t="s">
        <v>2832</v>
      </c>
      <c r="EE422" s="0" t="s">
        <v>612</v>
      </c>
      <c r="EF422" s="0" t="s">
        <v>2647</v>
      </c>
      <c r="EG422" s="0" t="n">
        <v>550</v>
      </c>
      <c r="EH422" s="0" t="n">
        <v>660</v>
      </c>
      <c r="EI422" s="0" t="n">
        <v>715</v>
      </c>
      <c r="EJ422" s="0" t="n">
        <v>770</v>
      </c>
    </row>
    <row r="423" customFormat="false" ht="15" hidden="false" customHeight="false" outlineLevel="0" collapsed="false">
      <c r="DG423" s="0" t="s">
        <v>4889</v>
      </c>
      <c r="DH423" s="0" t="s">
        <v>82</v>
      </c>
      <c r="DI423" s="0" t="s">
        <v>488</v>
      </c>
      <c r="DJ423" s="0" t="s">
        <v>489</v>
      </c>
      <c r="DK423" s="0" t="s">
        <v>1181</v>
      </c>
      <c r="DL423" s="0" t="n">
        <v>3.85</v>
      </c>
      <c r="DM423" s="0" t="s">
        <v>675</v>
      </c>
      <c r="DN423" s="0" t="s">
        <v>676</v>
      </c>
      <c r="DO423" s="0" t="n">
        <v>1</v>
      </c>
      <c r="DP423" s="0" t="n">
        <v>33924.98</v>
      </c>
      <c r="DQ423" s="0" t="n">
        <v>33924.98</v>
      </c>
      <c r="DR423" s="0" t="s">
        <v>4890</v>
      </c>
      <c r="EB423" s="0" t="s">
        <v>4891</v>
      </c>
      <c r="EC423" s="0" t="s">
        <v>2831</v>
      </c>
      <c r="ED423" s="0" t="s">
        <v>2832</v>
      </c>
      <c r="EE423" s="0" t="s">
        <v>609</v>
      </c>
      <c r="EF423" s="0" t="s">
        <v>2663</v>
      </c>
      <c r="EG423" s="0" t="n">
        <v>280</v>
      </c>
      <c r="EH423" s="0" t="n">
        <v>280</v>
      </c>
      <c r="EI423" s="0" t="n">
        <v>280</v>
      </c>
      <c r="EJ423" s="0" t="n">
        <v>280</v>
      </c>
    </row>
    <row r="424" customFormat="false" ht="15" hidden="false" customHeight="false" outlineLevel="0" collapsed="false">
      <c r="DG424" s="0" t="s">
        <v>4892</v>
      </c>
      <c r="DH424" s="0" t="s">
        <v>82</v>
      </c>
      <c r="DI424" s="0" t="s">
        <v>490</v>
      </c>
      <c r="DJ424" s="0" t="s">
        <v>491</v>
      </c>
      <c r="DK424" s="0" t="s">
        <v>1181</v>
      </c>
      <c r="DL424" s="0" t="n">
        <v>3.85</v>
      </c>
      <c r="DM424" s="0" t="s">
        <v>675</v>
      </c>
      <c r="DN424" s="0" t="s">
        <v>676</v>
      </c>
      <c r="DO424" s="0" t="n">
        <v>1</v>
      </c>
      <c r="DP424" s="0" t="n">
        <v>33925</v>
      </c>
      <c r="DQ424" s="0" t="n">
        <v>33925</v>
      </c>
      <c r="DR424" s="0" t="s">
        <v>4893</v>
      </c>
      <c r="EB424" s="0" t="s">
        <v>4894</v>
      </c>
      <c r="EC424" s="0" t="s">
        <v>2831</v>
      </c>
      <c r="ED424" s="0" t="s">
        <v>2832</v>
      </c>
      <c r="EE424" s="0" t="s">
        <v>607</v>
      </c>
      <c r="EF424" s="0" t="s">
        <v>2680</v>
      </c>
      <c r="EG424" s="0" t="n">
        <v>1</v>
      </c>
      <c r="EH424" s="0" t="n">
        <v>1</v>
      </c>
      <c r="EI424" s="0" t="n">
        <v>1</v>
      </c>
      <c r="EJ424" s="0" t="n">
        <v>1</v>
      </c>
    </row>
    <row r="425" customFormat="false" ht="15" hidden="false" customHeight="false" outlineLevel="0" collapsed="false">
      <c r="DG425" s="0" t="s">
        <v>4895</v>
      </c>
      <c r="DH425" s="0" t="s">
        <v>82</v>
      </c>
      <c r="DI425" s="0" t="s">
        <v>492</v>
      </c>
      <c r="DJ425" s="0" t="s">
        <v>493</v>
      </c>
      <c r="DK425" s="0" t="s">
        <v>1181</v>
      </c>
      <c r="DL425" s="0" t="n">
        <v>3.85</v>
      </c>
      <c r="DM425" s="0" t="s">
        <v>675</v>
      </c>
      <c r="DN425" s="0" t="s">
        <v>676</v>
      </c>
      <c r="DO425" s="0" t="n">
        <v>1</v>
      </c>
      <c r="DP425" s="0" t="n">
        <v>33925</v>
      </c>
      <c r="DQ425" s="0" t="n">
        <v>33925</v>
      </c>
      <c r="DR425" s="0" t="s">
        <v>4896</v>
      </c>
      <c r="EB425" s="0" t="s">
        <v>4897</v>
      </c>
      <c r="EC425" s="0" t="s">
        <v>2831</v>
      </c>
      <c r="ED425" s="0" t="s">
        <v>2832</v>
      </c>
      <c r="EE425" s="0" t="s">
        <v>605</v>
      </c>
      <c r="EF425" s="0" t="s">
        <v>2697</v>
      </c>
      <c r="EG425" s="0" t="n">
        <v>930</v>
      </c>
      <c r="EH425" s="0" t="n">
        <v>930</v>
      </c>
      <c r="EI425" s="0" t="n">
        <v>930</v>
      </c>
      <c r="EJ425" s="0" t="n">
        <v>930</v>
      </c>
    </row>
    <row r="426" customFormat="false" ht="15" hidden="false" customHeight="false" outlineLevel="0" collapsed="false">
      <c r="DG426" s="0" t="s">
        <v>4898</v>
      </c>
      <c r="DH426" s="0" t="s">
        <v>82</v>
      </c>
      <c r="DI426" s="0" t="s">
        <v>494</v>
      </c>
      <c r="DJ426" s="0" t="s">
        <v>495</v>
      </c>
      <c r="DK426" s="0" t="s">
        <v>1181</v>
      </c>
      <c r="DL426" s="0" t="n">
        <v>3.85</v>
      </c>
      <c r="DM426" s="0" t="s">
        <v>675</v>
      </c>
      <c r="DN426" s="0" t="s">
        <v>676</v>
      </c>
      <c r="DO426" s="0" t="n">
        <v>1</v>
      </c>
      <c r="DP426" s="0" t="n">
        <v>33925</v>
      </c>
      <c r="DQ426" s="0" t="n">
        <v>33925</v>
      </c>
      <c r="DR426" s="0" t="s">
        <v>4899</v>
      </c>
      <c r="EB426" s="0" t="s">
        <v>4900</v>
      </c>
      <c r="EC426" s="0" t="s">
        <v>2831</v>
      </c>
      <c r="ED426" s="0" t="s">
        <v>2832</v>
      </c>
      <c r="EE426" s="0" t="s">
        <v>629</v>
      </c>
      <c r="EF426" s="0" t="s">
        <v>2713</v>
      </c>
      <c r="EG426" s="0" t="n">
        <v>1200</v>
      </c>
      <c r="EH426" s="0" t="n">
        <v>1200</v>
      </c>
      <c r="EI426" s="0" t="n">
        <v>1200</v>
      </c>
      <c r="EJ426" s="0" t="n">
        <v>1200</v>
      </c>
    </row>
    <row r="427" customFormat="false" ht="15" hidden="false" customHeight="false" outlineLevel="0" collapsed="false">
      <c r="DG427" s="0" t="s">
        <v>4901</v>
      </c>
      <c r="DH427" s="0" t="s">
        <v>82</v>
      </c>
      <c r="DI427" s="0" t="s">
        <v>446</v>
      </c>
      <c r="DJ427" s="0" t="s">
        <v>447</v>
      </c>
      <c r="DK427" s="0" t="s">
        <v>1181</v>
      </c>
      <c r="DL427" s="0" t="n">
        <v>3.85</v>
      </c>
      <c r="DM427" s="0" t="s">
        <v>675</v>
      </c>
      <c r="DN427" s="0" t="s">
        <v>676</v>
      </c>
      <c r="DO427" s="0" t="n">
        <v>2</v>
      </c>
      <c r="DP427" s="0" t="n">
        <v>26680.1</v>
      </c>
      <c r="DQ427" s="0" t="n">
        <v>26680.1</v>
      </c>
      <c r="DR427" s="0" t="s">
        <v>4902</v>
      </c>
      <c r="EB427" s="0" t="s">
        <v>4903</v>
      </c>
      <c r="EC427" s="0" t="s">
        <v>2831</v>
      </c>
      <c r="EE427" s="0" t="s">
        <v>602</v>
      </c>
    </row>
    <row r="428" customFormat="false" ht="15" hidden="false" customHeight="false" outlineLevel="0" collapsed="false">
      <c r="DG428" s="0" t="s">
        <v>4904</v>
      </c>
      <c r="DH428" s="0" t="s">
        <v>82</v>
      </c>
      <c r="DI428" s="0" t="s">
        <v>452</v>
      </c>
      <c r="DJ428" s="0" t="s">
        <v>453</v>
      </c>
      <c r="DK428" s="0" t="s">
        <v>1181</v>
      </c>
      <c r="DL428" s="0" t="n">
        <v>3.85</v>
      </c>
      <c r="DM428" s="0" t="s">
        <v>675</v>
      </c>
      <c r="DN428" s="0" t="s">
        <v>676</v>
      </c>
      <c r="DO428" s="0" t="n">
        <v>1</v>
      </c>
      <c r="DP428" s="0" t="n">
        <v>13339.5</v>
      </c>
      <c r="DQ428" s="0" t="n">
        <v>13339.5</v>
      </c>
      <c r="DR428" s="0" t="s">
        <v>4905</v>
      </c>
      <c r="EB428" s="0" t="s">
        <v>4906</v>
      </c>
      <c r="EC428" s="0" t="s">
        <v>2831</v>
      </c>
      <c r="ED428" s="0" t="s">
        <v>2832</v>
      </c>
      <c r="EE428" s="0" t="s">
        <v>599</v>
      </c>
      <c r="EF428" s="0" t="s">
        <v>2745</v>
      </c>
      <c r="EG428" s="0" t="n">
        <v>1</v>
      </c>
      <c r="EH428" s="0" t="n">
        <v>1</v>
      </c>
      <c r="EI428" s="0" t="n">
        <v>1</v>
      </c>
      <c r="EJ428" s="0" t="n">
        <v>1</v>
      </c>
    </row>
    <row r="429" customFormat="false" ht="15" hidden="false" customHeight="false" outlineLevel="0" collapsed="false">
      <c r="DG429" s="0" t="s">
        <v>4907</v>
      </c>
      <c r="DH429" s="0" t="s">
        <v>82</v>
      </c>
      <c r="DI429" s="0" t="s">
        <v>470</v>
      </c>
      <c r="DJ429" s="0" t="s">
        <v>471</v>
      </c>
      <c r="DK429" s="0" t="s">
        <v>1181</v>
      </c>
      <c r="DL429" s="0" t="n">
        <v>3.85</v>
      </c>
      <c r="DM429" s="0" t="s">
        <v>675</v>
      </c>
      <c r="DN429" s="0" t="s">
        <v>676</v>
      </c>
      <c r="DO429" s="0" t="n">
        <v>1</v>
      </c>
      <c r="DP429" s="0" t="n">
        <v>0.02</v>
      </c>
      <c r="DQ429" s="0" t="n">
        <v>0.02</v>
      </c>
      <c r="DR429" s="0" t="s">
        <v>4908</v>
      </c>
      <c r="EB429" s="0" t="s">
        <v>4909</v>
      </c>
      <c r="EC429" s="0" t="s">
        <v>2831</v>
      </c>
      <c r="ED429" s="0" t="s">
        <v>2832</v>
      </c>
      <c r="EE429" s="0" t="s">
        <v>597</v>
      </c>
      <c r="EF429" s="0" t="s">
        <v>3308</v>
      </c>
      <c r="EG429" s="0" t="n">
        <v>1000</v>
      </c>
      <c r="EH429" s="0" t="n">
        <v>1000</v>
      </c>
      <c r="EI429" s="0" t="n">
        <v>1000</v>
      </c>
      <c r="EJ429" s="0" t="n">
        <v>1000</v>
      </c>
    </row>
    <row r="430" customFormat="false" ht="15" hidden="false" customHeight="false" outlineLevel="0" collapsed="false">
      <c r="DG430" s="0" t="s">
        <v>4910</v>
      </c>
      <c r="DH430" s="0" t="s">
        <v>82</v>
      </c>
      <c r="DI430" s="0" t="s">
        <v>474</v>
      </c>
      <c r="DJ430" s="0" t="s">
        <v>473</v>
      </c>
      <c r="DK430" s="0" t="s">
        <v>1181</v>
      </c>
      <c r="DL430" s="0" t="n">
        <v>3.85</v>
      </c>
      <c r="DM430" s="0" t="s">
        <v>675</v>
      </c>
      <c r="DN430" s="0" t="s">
        <v>676</v>
      </c>
      <c r="DO430" s="0" t="n">
        <v>1</v>
      </c>
      <c r="DP430" s="0" t="n">
        <v>0.1</v>
      </c>
      <c r="DQ430" s="0" t="n">
        <v>0.1</v>
      </c>
      <c r="DR430" s="0" t="s">
        <v>3790</v>
      </c>
      <c r="EB430" s="0" t="s">
        <v>4911</v>
      </c>
      <c r="EC430" s="0" t="s">
        <v>2831</v>
      </c>
      <c r="ED430" s="0" t="s">
        <v>2832</v>
      </c>
      <c r="EE430" s="0" t="s">
        <v>2699</v>
      </c>
      <c r="EF430" s="0" t="s">
        <v>2700</v>
      </c>
      <c r="EG430" s="0" t="n">
        <v>43900</v>
      </c>
      <c r="EH430" s="0" t="n">
        <v>43900</v>
      </c>
      <c r="EI430" s="0" t="n">
        <v>43900</v>
      </c>
      <c r="EJ430" s="0" t="n">
        <v>43900</v>
      </c>
    </row>
    <row r="431" customFormat="false" ht="15" hidden="false" customHeight="false" outlineLevel="0" collapsed="false">
      <c r="DG431" s="0" t="s">
        <v>4912</v>
      </c>
      <c r="DH431" s="0" t="s">
        <v>82</v>
      </c>
      <c r="DI431" s="0" t="s">
        <v>476</v>
      </c>
      <c r="DJ431" s="0" t="s">
        <v>477</v>
      </c>
      <c r="DK431" s="0" t="s">
        <v>1181</v>
      </c>
      <c r="DL431" s="0" t="n">
        <v>3.85</v>
      </c>
      <c r="DM431" s="0" t="s">
        <v>675</v>
      </c>
      <c r="DN431" s="0" t="s">
        <v>676</v>
      </c>
      <c r="DO431" s="0" t="n">
        <v>1</v>
      </c>
      <c r="DP431" s="0" t="n">
        <v>5730</v>
      </c>
      <c r="DQ431" s="0" t="n">
        <v>5730</v>
      </c>
      <c r="DR431" s="0" t="s">
        <v>4913</v>
      </c>
      <c r="EB431" s="0" t="s">
        <v>4914</v>
      </c>
      <c r="EC431" s="0" t="s">
        <v>2831</v>
      </c>
      <c r="EE431" s="0" t="s">
        <v>590</v>
      </c>
    </row>
    <row r="432" customFormat="false" ht="15" hidden="false" customHeight="false" outlineLevel="0" collapsed="false">
      <c r="DG432" s="0" t="s">
        <v>4915</v>
      </c>
      <c r="DH432" s="0" t="s">
        <v>82</v>
      </c>
      <c r="DI432" s="0" t="s">
        <v>464</v>
      </c>
      <c r="DJ432" s="0" t="s">
        <v>465</v>
      </c>
      <c r="DK432" s="0" t="s">
        <v>1181</v>
      </c>
      <c r="DL432" s="0" t="n">
        <v>3.85</v>
      </c>
      <c r="DM432" s="0" t="s">
        <v>675</v>
      </c>
      <c r="DN432" s="0" t="s">
        <v>676</v>
      </c>
      <c r="DO432" s="0" t="n">
        <v>1</v>
      </c>
      <c r="DP432" s="0" t="n">
        <v>13340.05</v>
      </c>
      <c r="DQ432" s="0" t="n">
        <v>13340.05</v>
      </c>
      <c r="DR432" s="0" t="s">
        <v>4916</v>
      </c>
      <c r="EB432" s="0" t="s">
        <v>4917</v>
      </c>
      <c r="EC432" s="0" t="s">
        <v>2831</v>
      </c>
      <c r="ED432" s="0" t="s">
        <v>2832</v>
      </c>
      <c r="EE432" s="0" t="s">
        <v>588</v>
      </c>
      <c r="EF432" s="0" t="s">
        <v>2801</v>
      </c>
      <c r="EG432" s="0" t="n">
        <v>1</v>
      </c>
      <c r="EH432" s="0" t="n">
        <v>1</v>
      </c>
      <c r="EI432" s="0" t="n">
        <v>1</v>
      </c>
      <c r="EJ432" s="0" t="n">
        <v>1</v>
      </c>
    </row>
    <row r="433" customFormat="false" ht="15" hidden="false" customHeight="false" outlineLevel="0" collapsed="false">
      <c r="DG433" s="0" t="s">
        <v>4918</v>
      </c>
      <c r="DH433" s="0" t="s">
        <v>82</v>
      </c>
      <c r="DI433" s="0" t="s">
        <v>415</v>
      </c>
      <c r="DJ433" s="0" t="s">
        <v>416</v>
      </c>
      <c r="DK433" s="0" t="s">
        <v>1181</v>
      </c>
      <c r="DL433" s="0" t="n">
        <v>3.85</v>
      </c>
      <c r="DM433" s="0" t="s">
        <v>675</v>
      </c>
      <c r="DN433" s="0" t="s">
        <v>676</v>
      </c>
      <c r="DO433" s="0" t="n">
        <v>1</v>
      </c>
      <c r="DP433" s="0" t="n">
        <v>36130</v>
      </c>
      <c r="DQ433" s="0" t="n">
        <v>36130</v>
      </c>
      <c r="DR433" s="0" t="s">
        <v>4919</v>
      </c>
      <c r="EB433" s="0" t="s">
        <v>4920</v>
      </c>
      <c r="EC433" s="0" t="s">
        <v>2831</v>
      </c>
      <c r="ED433" s="0" t="s">
        <v>2832</v>
      </c>
      <c r="EE433" s="0" t="s">
        <v>586</v>
      </c>
      <c r="EF433" s="0" t="s">
        <v>2815</v>
      </c>
      <c r="EG433" s="0" t="n">
        <v>1</v>
      </c>
      <c r="EH433" s="0" t="n">
        <v>1</v>
      </c>
      <c r="EI433" s="0" t="n">
        <v>1</v>
      </c>
      <c r="EJ433" s="0" t="n">
        <v>1</v>
      </c>
    </row>
    <row r="434" customFormat="false" ht="15" hidden="false" customHeight="false" outlineLevel="0" collapsed="false">
      <c r="DG434" s="0" t="s">
        <v>4921</v>
      </c>
      <c r="DH434" s="0" t="s">
        <v>82</v>
      </c>
      <c r="DI434" s="0" t="s">
        <v>412</v>
      </c>
      <c r="DJ434" s="0" t="s">
        <v>2032</v>
      </c>
      <c r="DK434" s="0" t="s">
        <v>1181</v>
      </c>
      <c r="DL434" s="0" t="n">
        <v>3.85</v>
      </c>
      <c r="DM434" s="0" t="s">
        <v>675</v>
      </c>
      <c r="DN434" s="0" t="s">
        <v>676</v>
      </c>
      <c r="DO434" s="0" t="n">
        <v>1</v>
      </c>
      <c r="DP434" s="0" t="n">
        <v>36130</v>
      </c>
      <c r="DQ434" s="0" t="n">
        <v>36130</v>
      </c>
      <c r="DR434" s="0" t="s">
        <v>4922</v>
      </c>
      <c r="EB434" s="0" t="s">
        <v>4923</v>
      </c>
      <c r="EC434" s="0" t="s">
        <v>2831</v>
      </c>
      <c r="ED434" s="0" t="s">
        <v>2832</v>
      </c>
      <c r="EE434" s="0" t="s">
        <v>584</v>
      </c>
      <c r="EF434" s="0" t="s">
        <v>583</v>
      </c>
      <c r="EG434" s="0" t="n">
        <v>120000</v>
      </c>
      <c r="EH434" s="0" t="n">
        <v>120000</v>
      </c>
      <c r="EI434" s="0" t="n">
        <v>120000</v>
      </c>
      <c r="EJ434" s="0" t="n">
        <v>120000</v>
      </c>
    </row>
    <row r="435" customFormat="false" ht="15" hidden="false" customHeight="false" outlineLevel="0" collapsed="false">
      <c r="DG435" s="0" t="s">
        <v>4924</v>
      </c>
      <c r="DH435" s="0" t="s">
        <v>82</v>
      </c>
      <c r="DI435" s="0" t="s">
        <v>418</v>
      </c>
      <c r="DJ435" s="0" t="s">
        <v>419</v>
      </c>
      <c r="DK435" s="0" t="s">
        <v>1181</v>
      </c>
      <c r="DL435" s="0" t="n">
        <v>3.85</v>
      </c>
      <c r="DM435" s="0" t="s">
        <v>675</v>
      </c>
      <c r="DN435" s="0" t="s">
        <v>676</v>
      </c>
      <c r="DO435" s="0" t="n">
        <v>1</v>
      </c>
      <c r="DP435" s="0" t="n">
        <v>36130</v>
      </c>
      <c r="DQ435" s="0" t="n">
        <v>36130</v>
      </c>
      <c r="DR435" s="0" t="s">
        <v>4925</v>
      </c>
      <c r="EB435" s="0" t="s">
        <v>4926</v>
      </c>
      <c r="EC435" s="0" t="s">
        <v>2831</v>
      </c>
      <c r="EE435" s="0" t="s">
        <v>330</v>
      </c>
    </row>
    <row r="436" customFormat="false" ht="15" hidden="false" customHeight="false" outlineLevel="0" collapsed="false">
      <c r="DG436" s="0" t="s">
        <v>4927</v>
      </c>
      <c r="DH436" s="0" t="s">
        <v>82</v>
      </c>
      <c r="DI436" s="0" t="s">
        <v>458</v>
      </c>
      <c r="DJ436" s="0" t="s">
        <v>459</v>
      </c>
      <c r="DK436" s="0" t="s">
        <v>1181</v>
      </c>
      <c r="DL436" s="0" t="n">
        <v>3.85</v>
      </c>
      <c r="DM436" s="0" t="s">
        <v>675</v>
      </c>
      <c r="DN436" s="0" t="s">
        <v>676</v>
      </c>
      <c r="DO436" s="0" t="n">
        <v>1</v>
      </c>
      <c r="DP436" s="0" t="n">
        <v>13340.05</v>
      </c>
      <c r="DQ436" s="0" t="n">
        <v>13340.05</v>
      </c>
      <c r="DR436" s="0" t="s">
        <v>4928</v>
      </c>
      <c r="EB436" s="0" t="s">
        <v>4929</v>
      </c>
      <c r="EC436" s="0" t="s">
        <v>2831</v>
      </c>
      <c r="EE436" s="0" t="s">
        <v>334</v>
      </c>
    </row>
    <row r="437" customFormat="false" ht="15" hidden="false" customHeight="false" outlineLevel="0" collapsed="false">
      <c r="DG437" s="0" t="s">
        <v>4930</v>
      </c>
      <c r="DH437" s="0" t="s">
        <v>82</v>
      </c>
      <c r="DI437" s="0" t="s">
        <v>456</v>
      </c>
      <c r="DJ437" s="0" t="s">
        <v>457</v>
      </c>
      <c r="DK437" s="0" t="s">
        <v>1181</v>
      </c>
      <c r="DL437" s="0" t="n">
        <v>3.85</v>
      </c>
      <c r="DM437" s="0" t="s">
        <v>675</v>
      </c>
      <c r="DN437" s="0" t="s">
        <v>676</v>
      </c>
      <c r="DO437" s="0" t="n">
        <v>1</v>
      </c>
      <c r="DP437" s="0" t="n">
        <v>13340</v>
      </c>
      <c r="DQ437" s="0" t="n">
        <v>13340</v>
      </c>
      <c r="DR437" s="0" t="s">
        <v>4931</v>
      </c>
      <c r="EB437" s="0" t="s">
        <v>4932</v>
      </c>
      <c r="EC437" s="0" t="s">
        <v>2831</v>
      </c>
      <c r="EE437" s="0" t="s">
        <v>582</v>
      </c>
    </row>
    <row r="438" customFormat="false" ht="15" hidden="false" customHeight="false" outlineLevel="0" collapsed="false">
      <c r="DG438" s="0" t="s">
        <v>4933</v>
      </c>
      <c r="DH438" s="0" t="s">
        <v>82</v>
      </c>
      <c r="DI438" s="0" t="s">
        <v>454</v>
      </c>
      <c r="DJ438" s="0" t="s">
        <v>455</v>
      </c>
      <c r="DK438" s="0" t="s">
        <v>1181</v>
      </c>
      <c r="DL438" s="0" t="n">
        <v>3.85</v>
      </c>
      <c r="DM438" s="0" t="s">
        <v>675</v>
      </c>
      <c r="DN438" s="0" t="s">
        <v>676</v>
      </c>
      <c r="DO438" s="0" t="n">
        <v>1</v>
      </c>
      <c r="DP438" s="0" t="n">
        <v>13340.05</v>
      </c>
      <c r="DQ438" s="0" t="n">
        <v>13340.05</v>
      </c>
      <c r="DR438" s="0" t="s">
        <v>4934</v>
      </c>
      <c r="EB438" s="0" t="s">
        <v>4935</v>
      </c>
      <c r="EC438" s="0" t="s">
        <v>2831</v>
      </c>
      <c r="ED438" s="0" t="s">
        <v>2832</v>
      </c>
      <c r="EE438" s="0" t="s">
        <v>579</v>
      </c>
      <c r="EF438" s="0" t="s">
        <v>2889</v>
      </c>
      <c r="EG438" s="0" t="n">
        <v>1300</v>
      </c>
      <c r="EH438" s="0" t="n">
        <v>1300</v>
      </c>
      <c r="EI438" s="0" t="n">
        <v>1300</v>
      </c>
      <c r="EJ438" s="0" t="n">
        <v>1300</v>
      </c>
    </row>
    <row r="439" customFormat="false" ht="15" hidden="false" customHeight="false" outlineLevel="0" collapsed="false">
      <c r="DG439" s="0" t="s">
        <v>4936</v>
      </c>
      <c r="DH439" s="0" t="s">
        <v>82</v>
      </c>
      <c r="DI439" s="0" t="s">
        <v>466</v>
      </c>
      <c r="DJ439" s="0" t="s">
        <v>467</v>
      </c>
      <c r="DK439" s="0" t="s">
        <v>1181</v>
      </c>
      <c r="DL439" s="0" t="n">
        <v>3.85</v>
      </c>
      <c r="DM439" s="0" t="s">
        <v>675</v>
      </c>
      <c r="DN439" s="0" t="s">
        <v>676</v>
      </c>
      <c r="DO439" s="0" t="n">
        <v>1</v>
      </c>
      <c r="DP439" s="0" t="n">
        <v>13340.05</v>
      </c>
      <c r="DQ439" s="0" t="n">
        <v>13340.05</v>
      </c>
      <c r="DR439" s="0" t="s">
        <v>4937</v>
      </c>
      <c r="EB439" s="0" t="s">
        <v>4938</v>
      </c>
      <c r="EC439" s="0" t="s">
        <v>2831</v>
      </c>
      <c r="ED439" s="0" t="s">
        <v>2832</v>
      </c>
      <c r="EE439" s="0" t="s">
        <v>575</v>
      </c>
      <c r="EF439" s="0" t="s">
        <v>573</v>
      </c>
      <c r="EG439" s="0" t="n">
        <v>1</v>
      </c>
      <c r="EH439" s="0" t="n">
        <v>1</v>
      </c>
      <c r="EI439" s="0" t="n">
        <v>1</v>
      </c>
      <c r="EJ439" s="0" t="n">
        <v>1</v>
      </c>
    </row>
    <row r="440" customFormat="false" ht="15" hidden="false" customHeight="false" outlineLevel="0" collapsed="false">
      <c r="DG440" s="0" t="s">
        <v>4939</v>
      </c>
      <c r="DH440" s="0" t="s">
        <v>82</v>
      </c>
      <c r="DI440" s="0" t="s">
        <v>496</v>
      </c>
      <c r="DJ440" s="0" t="s">
        <v>497</v>
      </c>
      <c r="DK440" s="0" t="s">
        <v>1181</v>
      </c>
      <c r="DL440" s="0" t="n">
        <v>3.85</v>
      </c>
      <c r="DM440" s="0" t="s">
        <v>675</v>
      </c>
      <c r="DN440" s="0" t="s">
        <v>676</v>
      </c>
      <c r="DO440" s="0" t="n">
        <v>1</v>
      </c>
      <c r="DP440" s="0" t="n">
        <v>23735.05</v>
      </c>
      <c r="DQ440" s="0" t="n">
        <v>23735.05</v>
      </c>
      <c r="DR440" s="0" t="s">
        <v>4940</v>
      </c>
      <c r="EB440" s="0" t="s">
        <v>4941</v>
      </c>
      <c r="EC440" s="0" t="s">
        <v>2831</v>
      </c>
      <c r="ED440" s="0" t="s">
        <v>2832</v>
      </c>
      <c r="EE440" s="0" t="s">
        <v>2917</v>
      </c>
      <c r="EF440" s="0" t="s">
        <v>4942</v>
      </c>
      <c r="EG440" s="0" t="n">
        <v>2950</v>
      </c>
      <c r="EH440" s="0" t="n">
        <v>2950</v>
      </c>
      <c r="EI440" s="0" t="n">
        <v>2950</v>
      </c>
      <c r="EJ440" s="0" t="n">
        <v>2950</v>
      </c>
    </row>
    <row r="441" customFormat="false" ht="15" hidden="false" customHeight="false" outlineLevel="0" collapsed="false">
      <c r="DG441" s="0" t="s">
        <v>4943</v>
      </c>
      <c r="DH441" s="0" t="s">
        <v>82</v>
      </c>
      <c r="DI441" s="0" t="s">
        <v>498</v>
      </c>
      <c r="DJ441" s="0" t="s">
        <v>499</v>
      </c>
      <c r="DK441" s="0" t="s">
        <v>1181</v>
      </c>
      <c r="DL441" s="0" t="n">
        <v>3.85</v>
      </c>
      <c r="DM441" s="0" t="s">
        <v>675</v>
      </c>
      <c r="DN441" s="0" t="s">
        <v>676</v>
      </c>
      <c r="DO441" s="0" t="n">
        <v>1</v>
      </c>
      <c r="DP441" s="0" t="n">
        <v>39660</v>
      </c>
      <c r="DQ441" s="0" t="n">
        <v>39660</v>
      </c>
      <c r="DR441" s="0" t="s">
        <v>4944</v>
      </c>
      <c r="EB441" s="0" t="s">
        <v>4945</v>
      </c>
      <c r="EC441" s="0" t="s">
        <v>2831</v>
      </c>
      <c r="ED441" s="0" t="s">
        <v>2832</v>
      </c>
      <c r="EE441" s="0" t="s">
        <v>2932</v>
      </c>
      <c r="EF441" s="0" t="s">
        <v>4946</v>
      </c>
      <c r="EG441" s="0" t="n">
        <v>5950</v>
      </c>
      <c r="EH441" s="0" t="n">
        <v>5950</v>
      </c>
      <c r="EI441" s="0" t="n">
        <v>5950</v>
      </c>
      <c r="EJ441" s="0" t="n">
        <v>5950</v>
      </c>
    </row>
    <row r="442" customFormat="false" ht="15" hidden="false" customHeight="false" outlineLevel="0" collapsed="false">
      <c r="DG442" s="0" t="s">
        <v>4947</v>
      </c>
      <c r="DH442" s="0" t="s">
        <v>82</v>
      </c>
      <c r="DI442" s="0" t="s">
        <v>500</v>
      </c>
      <c r="DJ442" s="0" t="s">
        <v>501</v>
      </c>
      <c r="DK442" s="0" t="s">
        <v>1181</v>
      </c>
      <c r="DL442" s="0" t="n">
        <v>3.85</v>
      </c>
      <c r="DM442" s="0" t="s">
        <v>675</v>
      </c>
      <c r="DN442" s="0" t="s">
        <v>676</v>
      </c>
      <c r="DO442" s="0" t="n">
        <v>1</v>
      </c>
      <c r="DP442" s="0" t="n">
        <v>39660</v>
      </c>
      <c r="DQ442" s="0" t="n">
        <v>39660</v>
      </c>
      <c r="DR442" s="0" t="s">
        <v>4948</v>
      </c>
      <c r="EB442" s="0" t="s">
        <v>4949</v>
      </c>
      <c r="EC442" s="0" t="s">
        <v>2831</v>
      </c>
      <c r="ED442" s="0" t="s">
        <v>2832</v>
      </c>
      <c r="EE442" s="0" t="s">
        <v>2946</v>
      </c>
      <c r="EF442" s="0" t="s">
        <v>4950</v>
      </c>
      <c r="EG442" s="0" t="n">
        <v>9000</v>
      </c>
      <c r="EH442" s="0" t="n">
        <v>9000</v>
      </c>
      <c r="EI442" s="0" t="n">
        <v>9000</v>
      </c>
      <c r="EJ442" s="0" t="n">
        <v>9000</v>
      </c>
    </row>
    <row r="443" customFormat="false" ht="15" hidden="false" customHeight="false" outlineLevel="0" collapsed="false">
      <c r="DG443" s="0" t="s">
        <v>4951</v>
      </c>
      <c r="DH443" s="0" t="s">
        <v>82</v>
      </c>
      <c r="DI443" s="0" t="s">
        <v>502</v>
      </c>
      <c r="DJ443" s="0" t="s">
        <v>2035</v>
      </c>
      <c r="DK443" s="0" t="s">
        <v>1181</v>
      </c>
      <c r="DL443" s="0" t="n">
        <v>3.85</v>
      </c>
      <c r="DM443" s="0" t="s">
        <v>675</v>
      </c>
      <c r="DN443" s="0" t="s">
        <v>676</v>
      </c>
      <c r="DO443" s="0" t="n">
        <v>1</v>
      </c>
      <c r="DP443" s="0" t="n">
        <v>39660</v>
      </c>
      <c r="DQ443" s="0" t="n">
        <v>39660</v>
      </c>
      <c r="DR443" s="0" t="s">
        <v>4952</v>
      </c>
      <c r="EB443" s="0" t="s">
        <v>4953</v>
      </c>
      <c r="EC443" s="0" t="s">
        <v>2831</v>
      </c>
      <c r="ED443" s="0" t="s">
        <v>2832</v>
      </c>
      <c r="EE443" s="0" t="s">
        <v>567</v>
      </c>
      <c r="EF443" s="0" t="s">
        <v>2959</v>
      </c>
      <c r="EG443" s="0" t="n">
        <v>1</v>
      </c>
      <c r="EH443" s="0" t="n">
        <v>1</v>
      </c>
      <c r="EI443" s="0" t="n">
        <v>1</v>
      </c>
      <c r="EJ443" s="0" t="n">
        <v>1</v>
      </c>
    </row>
    <row r="444" customFormat="false" ht="15" hidden="false" customHeight="false" outlineLevel="0" collapsed="false">
      <c r="DG444" s="0" t="s">
        <v>4954</v>
      </c>
      <c r="DH444" s="0" t="s">
        <v>82</v>
      </c>
      <c r="DI444" s="0" t="s">
        <v>504</v>
      </c>
      <c r="DJ444" s="0" t="s">
        <v>505</v>
      </c>
      <c r="DK444" s="0" t="s">
        <v>1181</v>
      </c>
      <c r="DL444" s="0" t="n">
        <v>3.85</v>
      </c>
      <c r="DM444" s="0" t="s">
        <v>675</v>
      </c>
      <c r="DN444" s="0" t="s">
        <v>676</v>
      </c>
      <c r="DO444" s="0" t="n">
        <v>1</v>
      </c>
      <c r="DP444" s="0" t="n">
        <v>39660</v>
      </c>
      <c r="DQ444" s="0" t="n">
        <v>39660</v>
      </c>
      <c r="DR444" s="0" t="s">
        <v>4955</v>
      </c>
      <c r="EB444" s="0" t="s">
        <v>4956</v>
      </c>
      <c r="EC444" s="0" t="s">
        <v>2831</v>
      </c>
      <c r="ED444" s="0" t="s">
        <v>2832</v>
      </c>
      <c r="EE444" s="0" t="s">
        <v>569</v>
      </c>
      <c r="EF444" s="0" t="s">
        <v>2973</v>
      </c>
      <c r="EG444" s="0" t="n">
        <v>17000</v>
      </c>
      <c r="EH444" s="0" t="n">
        <v>17000</v>
      </c>
      <c r="EI444" s="0" t="n">
        <v>17000</v>
      </c>
      <c r="EJ444" s="0" t="n">
        <v>17000</v>
      </c>
    </row>
    <row r="445" customFormat="false" ht="15" hidden="false" customHeight="false" outlineLevel="0" collapsed="false">
      <c r="DG445" s="0" t="s">
        <v>4957</v>
      </c>
      <c r="DH445" s="0" t="s">
        <v>82</v>
      </c>
      <c r="DI445" s="0" t="s">
        <v>506</v>
      </c>
      <c r="DJ445" s="0" t="s">
        <v>507</v>
      </c>
      <c r="DK445" s="0" t="s">
        <v>1181</v>
      </c>
      <c r="DL445" s="0" t="n">
        <v>3.85</v>
      </c>
      <c r="DM445" s="0" t="s">
        <v>675</v>
      </c>
      <c r="DN445" s="0" t="s">
        <v>676</v>
      </c>
      <c r="DO445" s="0" t="n">
        <v>1</v>
      </c>
      <c r="DP445" s="0" t="n">
        <v>23735</v>
      </c>
      <c r="DQ445" s="0" t="n">
        <v>23735</v>
      </c>
      <c r="DR445" s="0" t="s">
        <v>4958</v>
      </c>
      <c r="EB445" s="0" t="s">
        <v>4959</v>
      </c>
      <c r="EC445" s="0" t="s">
        <v>2831</v>
      </c>
      <c r="ED445" s="0" t="s">
        <v>2832</v>
      </c>
      <c r="EE445" s="0" t="s">
        <v>562</v>
      </c>
      <c r="EF445" s="0" t="s">
        <v>2986</v>
      </c>
      <c r="EG445" s="0" t="n">
        <v>1</v>
      </c>
      <c r="EH445" s="0" t="n">
        <v>1</v>
      </c>
      <c r="EI445" s="0" t="n">
        <v>1</v>
      </c>
      <c r="EJ445" s="0" t="n">
        <v>1</v>
      </c>
    </row>
    <row r="446" customFormat="false" ht="15" hidden="false" customHeight="false" outlineLevel="0" collapsed="false">
      <c r="DG446" s="0" t="s">
        <v>4960</v>
      </c>
      <c r="DH446" s="0" t="s">
        <v>82</v>
      </c>
      <c r="DI446" s="0" t="s">
        <v>512</v>
      </c>
      <c r="DJ446" s="0" t="s">
        <v>513</v>
      </c>
      <c r="DK446" s="0" t="s">
        <v>1181</v>
      </c>
      <c r="DL446" s="0" t="n">
        <v>3.85</v>
      </c>
      <c r="DM446" s="0" t="s">
        <v>675</v>
      </c>
      <c r="DN446" s="0" t="s">
        <v>676</v>
      </c>
      <c r="DO446" s="0" t="n">
        <v>1</v>
      </c>
      <c r="DP446" s="0" t="n">
        <v>0.1</v>
      </c>
      <c r="DQ446" s="0" t="n">
        <v>0.1</v>
      </c>
      <c r="DR446" s="0" t="s">
        <v>4961</v>
      </c>
      <c r="EB446" s="0" t="s">
        <v>4962</v>
      </c>
      <c r="EC446" s="0" t="s">
        <v>2831</v>
      </c>
      <c r="EE446" s="0" t="s">
        <v>557</v>
      </c>
    </row>
    <row r="447" customFormat="false" ht="15" hidden="false" customHeight="false" outlineLevel="0" collapsed="false">
      <c r="DG447" s="0" t="s">
        <v>4963</v>
      </c>
      <c r="DH447" s="0" t="s">
        <v>82</v>
      </c>
      <c r="DI447" s="0" t="s">
        <v>510</v>
      </c>
      <c r="DJ447" s="0" t="s">
        <v>2037</v>
      </c>
      <c r="DK447" s="0" t="s">
        <v>1181</v>
      </c>
      <c r="DL447" s="0" t="n">
        <v>3.85</v>
      </c>
      <c r="DM447" s="0" t="s">
        <v>675</v>
      </c>
      <c r="DN447" s="0" t="s">
        <v>676</v>
      </c>
      <c r="DO447" s="0" t="n">
        <v>1</v>
      </c>
      <c r="DP447" s="0" t="n">
        <v>0.02</v>
      </c>
      <c r="DQ447" s="0" t="n">
        <v>0.02</v>
      </c>
      <c r="DR447" s="0" t="s">
        <v>4964</v>
      </c>
      <c r="EB447" s="0" t="s">
        <v>4965</v>
      </c>
      <c r="EC447" s="0" t="s">
        <v>2831</v>
      </c>
      <c r="EE447" s="0" t="s">
        <v>290</v>
      </c>
    </row>
    <row r="448" customFormat="false" ht="15" hidden="false" customHeight="false" outlineLevel="0" collapsed="false">
      <c r="DG448" s="0" t="s">
        <v>4966</v>
      </c>
      <c r="DH448" s="0" t="s">
        <v>82</v>
      </c>
      <c r="DI448" s="0" t="s">
        <v>460</v>
      </c>
      <c r="DJ448" s="0" t="s">
        <v>461</v>
      </c>
      <c r="DK448" s="0" t="s">
        <v>1181</v>
      </c>
      <c r="DL448" s="0" t="n">
        <v>3.85</v>
      </c>
      <c r="DM448" s="0" t="s">
        <v>675</v>
      </c>
      <c r="DN448" s="0" t="s">
        <v>676</v>
      </c>
      <c r="DO448" s="0" t="n">
        <v>1</v>
      </c>
      <c r="DP448" s="0" t="n">
        <v>13340</v>
      </c>
      <c r="DQ448" s="0" t="n">
        <v>13340</v>
      </c>
      <c r="DR448" s="0" t="s">
        <v>4967</v>
      </c>
      <c r="EB448" s="0" t="s">
        <v>4968</v>
      </c>
      <c r="EC448" s="0" t="s">
        <v>2831</v>
      </c>
      <c r="EE448" s="0" t="s">
        <v>275</v>
      </c>
    </row>
    <row r="449" customFormat="false" ht="15" hidden="false" customHeight="false" outlineLevel="0" collapsed="false">
      <c r="DG449" s="0" t="s">
        <v>4969</v>
      </c>
      <c r="DH449" s="0" t="s">
        <v>82</v>
      </c>
      <c r="DI449" s="0" t="s">
        <v>462</v>
      </c>
      <c r="DJ449" s="0" t="s">
        <v>463</v>
      </c>
      <c r="DK449" s="0" t="s">
        <v>1181</v>
      </c>
      <c r="DL449" s="0" t="n">
        <v>3.85</v>
      </c>
      <c r="DM449" s="0" t="s">
        <v>675</v>
      </c>
      <c r="DN449" s="0" t="s">
        <v>676</v>
      </c>
      <c r="DO449" s="0" t="n">
        <v>1</v>
      </c>
      <c r="DP449" s="0" t="n">
        <v>13340.05</v>
      </c>
      <c r="DQ449" s="0" t="n">
        <v>13340.05</v>
      </c>
      <c r="DR449" s="0" t="s">
        <v>4970</v>
      </c>
      <c r="EB449" s="0" t="s">
        <v>4971</v>
      </c>
      <c r="EC449" s="0" t="s">
        <v>2831</v>
      </c>
      <c r="EE449" s="0" t="s">
        <v>298</v>
      </c>
    </row>
    <row r="450" customFormat="false" ht="15" hidden="false" customHeight="false" outlineLevel="0" collapsed="false">
      <c r="DG450" s="0" t="s">
        <v>4972</v>
      </c>
      <c r="DH450" s="0" t="s">
        <v>82</v>
      </c>
      <c r="DJ450" s="0" t="s">
        <v>1265</v>
      </c>
      <c r="DK450" s="0" t="s">
        <v>705</v>
      </c>
      <c r="DL450" s="0" t="n">
        <v>3.85</v>
      </c>
      <c r="DM450" s="0" t="s">
        <v>675</v>
      </c>
      <c r="DN450" s="0" t="s">
        <v>675</v>
      </c>
      <c r="DO450" s="0" t="n">
        <v>0</v>
      </c>
      <c r="DP450" s="0" t="n">
        <v>0</v>
      </c>
      <c r="DQ450" s="0" t="n">
        <v>0</v>
      </c>
      <c r="DR450" s="0" t="s">
        <v>3693</v>
      </c>
      <c r="EB450" s="0" t="s">
        <v>4973</v>
      </c>
      <c r="EC450" s="0" t="s">
        <v>2831</v>
      </c>
      <c r="EE450" s="0" t="s">
        <v>286</v>
      </c>
    </row>
    <row r="451" customFormat="false" ht="15" hidden="false" customHeight="false" outlineLevel="0" collapsed="false">
      <c r="DG451" s="0" t="s">
        <v>4974</v>
      </c>
      <c r="DH451" s="0" t="s">
        <v>82</v>
      </c>
      <c r="DJ451" s="0" t="s">
        <v>2038</v>
      </c>
      <c r="DK451" s="0" t="s">
        <v>705</v>
      </c>
      <c r="DL451" s="0" t="n">
        <v>3.85</v>
      </c>
      <c r="DM451" s="0" t="s">
        <v>675</v>
      </c>
      <c r="DN451" s="0" t="s">
        <v>675</v>
      </c>
      <c r="DO451" s="0" t="n">
        <v>0</v>
      </c>
      <c r="DP451" s="0" t="n">
        <v>0</v>
      </c>
      <c r="DQ451" s="0" t="n">
        <v>0</v>
      </c>
      <c r="DR451" s="0" t="s">
        <v>4975</v>
      </c>
      <c r="EB451" s="0" t="s">
        <v>4976</v>
      </c>
      <c r="EC451" s="0" t="s">
        <v>2831</v>
      </c>
      <c r="EE451" s="0" t="s">
        <v>272</v>
      </c>
    </row>
    <row r="452" customFormat="false" ht="15" hidden="false" customHeight="false" outlineLevel="0" collapsed="false">
      <c r="DG452" s="0" t="s">
        <v>4977</v>
      </c>
      <c r="DH452" s="0" t="s">
        <v>82</v>
      </c>
      <c r="DJ452" s="0" t="s">
        <v>1017</v>
      </c>
      <c r="DK452" s="0" t="s">
        <v>705</v>
      </c>
      <c r="DL452" s="0" t="n">
        <v>3.85</v>
      </c>
      <c r="DM452" s="0" t="s">
        <v>675</v>
      </c>
      <c r="DN452" s="0" t="s">
        <v>675</v>
      </c>
      <c r="DO452" s="0" t="n">
        <v>0</v>
      </c>
      <c r="DP452" s="0" t="n">
        <v>0</v>
      </c>
      <c r="DQ452" s="0" t="n">
        <v>0</v>
      </c>
      <c r="DR452" s="0" t="s">
        <v>3282</v>
      </c>
      <c r="EB452" s="0" t="s">
        <v>4978</v>
      </c>
      <c r="EC452" s="0" t="s">
        <v>2831</v>
      </c>
      <c r="EE452" s="0" t="s">
        <v>283</v>
      </c>
    </row>
    <row r="453" customFormat="false" ht="15" hidden="false" customHeight="false" outlineLevel="0" collapsed="false">
      <c r="DG453" s="0" t="s">
        <v>4979</v>
      </c>
      <c r="DH453" s="0" t="s">
        <v>82</v>
      </c>
      <c r="DJ453" s="0" t="s">
        <v>713</v>
      </c>
      <c r="DK453" s="0" t="s">
        <v>705</v>
      </c>
      <c r="DL453" s="0" t="n">
        <v>3.85</v>
      </c>
      <c r="DM453" s="0" t="s">
        <v>675</v>
      </c>
      <c r="DN453" s="0" t="s">
        <v>675</v>
      </c>
      <c r="DO453" s="0" t="n">
        <v>0</v>
      </c>
      <c r="DP453" s="0" t="n">
        <v>0</v>
      </c>
      <c r="DQ453" s="0" t="n">
        <v>0</v>
      </c>
      <c r="DR453" s="0" t="s">
        <v>2640</v>
      </c>
      <c r="EB453" s="0" t="s">
        <v>4980</v>
      </c>
      <c r="EC453" s="0" t="s">
        <v>2831</v>
      </c>
      <c r="EE453" s="0" t="s">
        <v>267</v>
      </c>
    </row>
    <row r="454" customFormat="false" ht="15" hidden="false" customHeight="false" outlineLevel="0" collapsed="false">
      <c r="DG454" s="0" t="s">
        <v>4981</v>
      </c>
      <c r="DH454" s="0" t="s">
        <v>82</v>
      </c>
      <c r="DJ454" s="0" t="s">
        <v>1523</v>
      </c>
      <c r="DK454" s="0" t="s">
        <v>705</v>
      </c>
      <c r="DL454" s="0" t="n">
        <v>3.85</v>
      </c>
      <c r="DM454" s="0" t="s">
        <v>675</v>
      </c>
      <c r="DN454" s="0" t="s">
        <v>675</v>
      </c>
      <c r="DO454" s="0" t="n">
        <v>0</v>
      </c>
      <c r="DP454" s="0" t="n">
        <v>0</v>
      </c>
      <c r="DQ454" s="0" t="n">
        <v>0</v>
      </c>
      <c r="DR454" s="0" t="s">
        <v>4098</v>
      </c>
      <c r="EB454" s="0" t="s">
        <v>4982</v>
      </c>
      <c r="EC454" s="0" t="s">
        <v>2831</v>
      </c>
      <c r="EE454" s="0" t="s">
        <v>258</v>
      </c>
    </row>
    <row r="455" customFormat="false" ht="15" hidden="false" customHeight="false" outlineLevel="0" collapsed="false">
      <c r="DG455" s="0" t="s">
        <v>4983</v>
      </c>
      <c r="DH455" s="0" t="s">
        <v>82</v>
      </c>
      <c r="DJ455" s="0" t="s">
        <v>1152</v>
      </c>
      <c r="DK455" s="0" t="s">
        <v>705</v>
      </c>
      <c r="DL455" s="0" t="n">
        <v>3.85</v>
      </c>
      <c r="DM455" s="0" t="s">
        <v>675</v>
      </c>
      <c r="DN455" s="0" t="s">
        <v>675</v>
      </c>
      <c r="DO455" s="0" t="n">
        <v>0</v>
      </c>
      <c r="DP455" s="0" t="n">
        <v>0</v>
      </c>
      <c r="DQ455" s="0" t="n">
        <v>0</v>
      </c>
      <c r="DR455" s="0" t="s">
        <v>3494</v>
      </c>
      <c r="EB455" s="0" t="s">
        <v>4984</v>
      </c>
      <c r="EC455" s="0" t="s">
        <v>2831</v>
      </c>
      <c r="EE455" s="0" t="s">
        <v>222</v>
      </c>
    </row>
    <row r="456" customFormat="false" ht="15" hidden="false" customHeight="false" outlineLevel="0" collapsed="false">
      <c r="DG456" s="0" t="s">
        <v>4985</v>
      </c>
      <c r="DH456" s="0" t="s">
        <v>82</v>
      </c>
      <c r="DJ456" s="0" t="s">
        <v>1722</v>
      </c>
      <c r="DK456" s="0" t="s">
        <v>705</v>
      </c>
      <c r="DL456" s="0" t="n">
        <v>3.85</v>
      </c>
      <c r="DM456" s="0" t="s">
        <v>675</v>
      </c>
      <c r="DN456" s="0" t="s">
        <v>675</v>
      </c>
      <c r="DO456" s="0" t="n">
        <v>0</v>
      </c>
      <c r="DP456" s="0" t="n">
        <v>0</v>
      </c>
      <c r="DQ456" s="0" t="n">
        <v>0</v>
      </c>
      <c r="DR456" s="0" t="s">
        <v>4428</v>
      </c>
      <c r="EB456" s="0" t="s">
        <v>4986</v>
      </c>
      <c r="EC456" s="0" t="s">
        <v>2831</v>
      </c>
      <c r="EE456" s="0" t="s">
        <v>233</v>
      </c>
    </row>
    <row r="457" customFormat="false" ht="15" hidden="false" customHeight="false" outlineLevel="0" collapsed="false">
      <c r="DG457" s="0" t="s">
        <v>4987</v>
      </c>
      <c r="DH457" s="0" t="s">
        <v>82</v>
      </c>
      <c r="DJ457" s="0" t="s">
        <v>2039</v>
      </c>
      <c r="DK457" s="0" t="s">
        <v>705</v>
      </c>
      <c r="DL457" s="0" t="n">
        <v>3.85</v>
      </c>
      <c r="DM457" s="0" t="s">
        <v>675</v>
      </c>
      <c r="DN457" s="0" t="s">
        <v>675</v>
      </c>
      <c r="DO457" s="0" t="n">
        <v>0</v>
      </c>
      <c r="DP457" s="0" t="n">
        <v>0</v>
      </c>
      <c r="DQ457" s="0" t="n">
        <v>0</v>
      </c>
      <c r="DR457" s="0" t="s">
        <v>4988</v>
      </c>
      <c r="EB457" s="0" t="s">
        <v>4989</v>
      </c>
      <c r="EC457" s="0" t="s">
        <v>2831</v>
      </c>
      <c r="EE457" s="0" t="s">
        <v>225</v>
      </c>
    </row>
    <row r="458" customFormat="false" ht="15" hidden="false" customHeight="false" outlineLevel="0" collapsed="false">
      <c r="DG458" s="0" t="s">
        <v>4990</v>
      </c>
      <c r="DH458" s="0" t="s">
        <v>82</v>
      </c>
      <c r="DJ458" s="0" t="s">
        <v>726</v>
      </c>
      <c r="DK458" s="0" t="s">
        <v>705</v>
      </c>
      <c r="DL458" s="0" t="n">
        <v>3.85</v>
      </c>
      <c r="DM458" s="0" t="s">
        <v>675</v>
      </c>
      <c r="DN458" s="0" t="s">
        <v>675</v>
      </c>
      <c r="DO458" s="0" t="n">
        <v>0</v>
      </c>
      <c r="DP458" s="0" t="n">
        <v>0</v>
      </c>
      <c r="DQ458" s="0" t="n">
        <v>0</v>
      </c>
      <c r="DR458" s="0" t="s">
        <v>2690</v>
      </c>
      <c r="EB458" s="0" t="s">
        <v>4991</v>
      </c>
      <c r="EC458" s="0" t="s">
        <v>2831</v>
      </c>
      <c r="EE458" s="0" t="s">
        <v>288</v>
      </c>
    </row>
    <row r="459" customFormat="false" ht="15" hidden="false" customHeight="false" outlineLevel="0" collapsed="false">
      <c r="DG459" s="0" t="s">
        <v>4992</v>
      </c>
      <c r="DH459" s="0" t="s">
        <v>82</v>
      </c>
      <c r="DJ459" s="0" t="s">
        <v>864</v>
      </c>
      <c r="DK459" s="0" t="s">
        <v>705</v>
      </c>
      <c r="DL459" s="0" t="n">
        <v>3.85</v>
      </c>
      <c r="DM459" s="0" t="s">
        <v>675</v>
      </c>
      <c r="DN459" s="0" t="s">
        <v>675</v>
      </c>
      <c r="DO459" s="0" t="n">
        <v>0</v>
      </c>
      <c r="DP459" s="0" t="n">
        <v>0</v>
      </c>
      <c r="DQ459" s="0" t="n">
        <v>0</v>
      </c>
      <c r="DR459" s="0" t="s">
        <v>3041</v>
      </c>
      <c r="EB459" s="0" t="s">
        <v>4993</v>
      </c>
      <c r="EC459" s="0" t="s">
        <v>2831</v>
      </c>
      <c r="ED459" s="0" t="s">
        <v>2832</v>
      </c>
      <c r="EE459" s="0" t="s">
        <v>269</v>
      </c>
      <c r="EF459" s="0" t="s">
        <v>268</v>
      </c>
      <c r="EG459" s="0" t="n">
        <v>280</v>
      </c>
      <c r="EH459" s="0" t="n">
        <v>280</v>
      </c>
      <c r="EI459" s="0" t="n">
        <v>280</v>
      </c>
      <c r="EJ459" s="0" t="n">
        <v>280</v>
      </c>
    </row>
    <row r="460" customFormat="false" ht="15" hidden="false" customHeight="false" outlineLevel="0" collapsed="false">
      <c r="DG460" s="0" t="s">
        <v>4994</v>
      </c>
      <c r="DH460" s="0" t="s">
        <v>82</v>
      </c>
      <c r="DJ460" s="0" t="s">
        <v>1455</v>
      </c>
      <c r="DK460" s="0" t="s">
        <v>705</v>
      </c>
      <c r="DL460" s="0" t="n">
        <v>3.85</v>
      </c>
      <c r="DM460" s="0" t="s">
        <v>675</v>
      </c>
      <c r="DN460" s="0" t="s">
        <v>675</v>
      </c>
      <c r="DO460" s="0" t="n">
        <v>0</v>
      </c>
      <c r="DP460" s="0" t="n">
        <v>0</v>
      </c>
      <c r="DQ460" s="0" t="n">
        <v>0</v>
      </c>
      <c r="DR460" s="0" t="s">
        <v>3978</v>
      </c>
      <c r="EB460" s="0" t="s">
        <v>4995</v>
      </c>
      <c r="EC460" s="0" t="s">
        <v>2831</v>
      </c>
      <c r="ED460" s="0" t="s">
        <v>2832</v>
      </c>
      <c r="EE460" s="0" t="s">
        <v>237</v>
      </c>
      <c r="EF460" s="0" t="s">
        <v>235</v>
      </c>
      <c r="EG460" s="0" t="n">
        <v>2650</v>
      </c>
      <c r="EH460" s="0" t="n">
        <v>2650</v>
      </c>
      <c r="EI460" s="0" t="n">
        <v>2650</v>
      </c>
      <c r="EJ460" s="0" t="n">
        <v>2650</v>
      </c>
    </row>
    <row r="461" customFormat="false" ht="15" hidden="false" customHeight="false" outlineLevel="0" collapsed="false">
      <c r="DG461" s="0" t="s">
        <v>4996</v>
      </c>
      <c r="DH461" s="0" t="s">
        <v>82</v>
      </c>
      <c r="DI461" s="0" t="s">
        <v>2040</v>
      </c>
      <c r="DJ461" s="0" t="s">
        <v>2041</v>
      </c>
      <c r="DK461" s="0" t="s">
        <v>705</v>
      </c>
      <c r="DL461" s="0" t="n">
        <v>3.85</v>
      </c>
      <c r="DM461" s="0" t="s">
        <v>675</v>
      </c>
      <c r="DN461" s="0" t="s">
        <v>676</v>
      </c>
      <c r="DO461" s="0" t="n">
        <v>1</v>
      </c>
      <c r="DP461" s="0" t="n">
        <v>818</v>
      </c>
      <c r="DQ461" s="0" t="n">
        <v>818</v>
      </c>
      <c r="DR461" s="0" t="s">
        <v>4997</v>
      </c>
      <c r="EB461" s="0" t="s">
        <v>4998</v>
      </c>
      <c r="EC461" s="0" t="s">
        <v>2831</v>
      </c>
      <c r="EE461" s="0" t="s">
        <v>249</v>
      </c>
    </row>
    <row r="462" customFormat="false" ht="15" hidden="false" customHeight="false" outlineLevel="0" collapsed="false">
      <c r="DG462" s="0" t="s">
        <v>4999</v>
      </c>
      <c r="DH462" s="0" t="s">
        <v>82</v>
      </c>
      <c r="DI462" s="0" t="s">
        <v>2043</v>
      </c>
      <c r="DJ462" s="0" t="s">
        <v>2044</v>
      </c>
      <c r="DK462" s="0" t="s">
        <v>705</v>
      </c>
      <c r="DL462" s="0" t="n">
        <v>3.85</v>
      </c>
      <c r="DM462" s="0" t="s">
        <v>675</v>
      </c>
      <c r="DN462" s="0" t="s">
        <v>676</v>
      </c>
      <c r="DO462" s="0" t="n">
        <v>2</v>
      </c>
      <c r="DP462" s="0" t="n">
        <v>1629.38</v>
      </c>
      <c r="DQ462" s="0" t="n">
        <v>1629.38</v>
      </c>
      <c r="DR462" s="0" t="s">
        <v>5000</v>
      </c>
      <c r="EB462" s="0" t="s">
        <v>5001</v>
      </c>
      <c r="EC462" s="0" t="s">
        <v>2831</v>
      </c>
      <c r="EE462" s="0" t="s">
        <v>293</v>
      </c>
    </row>
    <row r="463" customFormat="false" ht="15" hidden="false" customHeight="false" outlineLevel="0" collapsed="false">
      <c r="DG463" s="0" t="s">
        <v>5002</v>
      </c>
      <c r="DH463" s="0" t="s">
        <v>82</v>
      </c>
      <c r="DI463" s="0" t="s">
        <v>2047</v>
      </c>
      <c r="DJ463" s="0" t="s">
        <v>2048</v>
      </c>
      <c r="DK463" s="0" t="s">
        <v>705</v>
      </c>
      <c r="DL463" s="0" t="n">
        <v>3.85</v>
      </c>
      <c r="DM463" s="0" t="s">
        <v>675</v>
      </c>
      <c r="DN463" s="0" t="s">
        <v>676</v>
      </c>
      <c r="DO463" s="0" t="n">
        <v>1</v>
      </c>
      <c r="DP463" s="0" t="n">
        <v>2952</v>
      </c>
      <c r="DQ463" s="0" t="n">
        <v>2952</v>
      </c>
      <c r="DR463" s="0" t="s">
        <v>5003</v>
      </c>
      <c r="EB463" s="0" t="s">
        <v>5004</v>
      </c>
      <c r="EC463" s="0" t="s">
        <v>2831</v>
      </c>
      <c r="EE463" s="0" t="s">
        <v>280</v>
      </c>
    </row>
    <row r="464" customFormat="false" ht="15" hidden="false" customHeight="false" outlineLevel="0" collapsed="false">
      <c r="DG464" s="0" t="s">
        <v>5005</v>
      </c>
      <c r="DH464" s="0" t="s">
        <v>82</v>
      </c>
      <c r="DI464" s="0" t="s">
        <v>2050</v>
      </c>
      <c r="DJ464" s="0" t="s">
        <v>2051</v>
      </c>
      <c r="DK464" s="0" t="s">
        <v>705</v>
      </c>
      <c r="DL464" s="0" t="n">
        <v>3.85</v>
      </c>
      <c r="DM464" s="0" t="s">
        <v>675</v>
      </c>
      <c r="DN464" s="0" t="s">
        <v>676</v>
      </c>
      <c r="DO464" s="0" t="n">
        <v>3</v>
      </c>
      <c r="DP464" s="0" t="n">
        <v>2160</v>
      </c>
      <c r="DQ464" s="0" t="n">
        <v>2160</v>
      </c>
      <c r="DR464" s="0" t="s">
        <v>5006</v>
      </c>
      <c r="EB464" s="0" t="s">
        <v>5007</v>
      </c>
      <c r="EC464" s="0" t="s">
        <v>2831</v>
      </c>
      <c r="ED464" s="0" t="s">
        <v>2832</v>
      </c>
      <c r="EE464" s="0" t="s">
        <v>264</v>
      </c>
      <c r="EF464" s="0" t="s">
        <v>262</v>
      </c>
      <c r="EG464" s="0" t="n">
        <v>1650</v>
      </c>
      <c r="EH464" s="0" t="n">
        <v>1900</v>
      </c>
      <c r="EI464" s="0" t="n">
        <v>2150</v>
      </c>
      <c r="EJ464" s="0" t="n">
        <v>2310</v>
      </c>
    </row>
    <row r="465" customFormat="false" ht="15" hidden="false" customHeight="false" outlineLevel="0" collapsed="false">
      <c r="DG465" s="0" t="s">
        <v>5008</v>
      </c>
      <c r="DH465" s="0" t="s">
        <v>82</v>
      </c>
      <c r="DI465" s="0" t="s">
        <v>2054</v>
      </c>
      <c r="DJ465" s="0" t="s">
        <v>2055</v>
      </c>
      <c r="DK465" s="0" t="s">
        <v>705</v>
      </c>
      <c r="DL465" s="0" t="n">
        <v>3.85</v>
      </c>
      <c r="DM465" s="0" t="s">
        <v>675</v>
      </c>
      <c r="DN465" s="0" t="s">
        <v>676</v>
      </c>
      <c r="DO465" s="0" t="n">
        <v>3</v>
      </c>
      <c r="DP465" s="0" t="n">
        <v>1156.02</v>
      </c>
      <c r="DQ465" s="0" t="n">
        <v>1156.02</v>
      </c>
      <c r="DR465" s="0" t="s">
        <v>5009</v>
      </c>
      <c r="EB465" s="0" t="s">
        <v>5010</v>
      </c>
      <c r="EC465" s="0" t="s">
        <v>2831</v>
      </c>
      <c r="EE465" s="0" t="s">
        <v>278</v>
      </c>
    </row>
    <row r="466" customFormat="false" ht="15" hidden="false" customHeight="false" outlineLevel="0" collapsed="false">
      <c r="DG466" s="0" t="s">
        <v>5011</v>
      </c>
      <c r="DH466" s="0" t="s">
        <v>82</v>
      </c>
      <c r="DI466" s="0" t="s">
        <v>2058</v>
      </c>
      <c r="DJ466" s="0" t="s">
        <v>2059</v>
      </c>
      <c r="DK466" s="0" t="s">
        <v>705</v>
      </c>
      <c r="DL466" s="0" t="n">
        <v>3.85</v>
      </c>
      <c r="DM466" s="0" t="s">
        <v>676</v>
      </c>
      <c r="DN466" s="0" t="s">
        <v>675</v>
      </c>
      <c r="DO466" s="0" t="n">
        <v>0</v>
      </c>
      <c r="DP466" s="0" t="n">
        <v>0</v>
      </c>
      <c r="DQ466" s="0" t="n">
        <v>2.81</v>
      </c>
      <c r="DR466" s="0" t="s">
        <v>5012</v>
      </c>
      <c r="EB466" s="0" t="s">
        <v>5013</v>
      </c>
      <c r="EC466" s="0" t="s">
        <v>2831</v>
      </c>
      <c r="ED466" s="0" t="s">
        <v>2832</v>
      </c>
      <c r="EE466" s="0" t="s">
        <v>240</v>
      </c>
      <c r="EF466" s="0" t="s">
        <v>238</v>
      </c>
      <c r="EG466" s="0" t="n">
        <v>3060</v>
      </c>
      <c r="EH466" s="0" t="n">
        <v>3060</v>
      </c>
      <c r="EI466" s="0" t="n">
        <v>3060</v>
      </c>
      <c r="EJ466" s="0" t="n">
        <v>3060</v>
      </c>
    </row>
    <row r="467" customFormat="false" ht="15" hidden="false" customHeight="false" outlineLevel="0" collapsed="false">
      <c r="DG467" s="0" t="s">
        <v>5014</v>
      </c>
      <c r="DH467" s="0" t="s">
        <v>82</v>
      </c>
      <c r="DI467" s="0" t="s">
        <v>2061</v>
      </c>
      <c r="DJ467" s="0" t="s">
        <v>2062</v>
      </c>
      <c r="DK467" s="0" t="s">
        <v>705</v>
      </c>
      <c r="DL467" s="0" t="n">
        <v>3.85</v>
      </c>
      <c r="DM467" s="0" t="s">
        <v>675</v>
      </c>
      <c r="DN467" s="0" t="s">
        <v>676</v>
      </c>
      <c r="DO467" s="0" t="n">
        <v>2</v>
      </c>
      <c r="DP467" s="0" t="n">
        <v>240</v>
      </c>
      <c r="DQ467" s="0" t="n">
        <v>240</v>
      </c>
      <c r="DR467" s="0" t="s">
        <v>5015</v>
      </c>
      <c r="EB467" s="0" t="s">
        <v>5016</v>
      </c>
      <c r="EC467" s="0" t="s">
        <v>2831</v>
      </c>
      <c r="ED467" s="0" t="s">
        <v>2832</v>
      </c>
      <c r="EE467" s="0" t="s">
        <v>252</v>
      </c>
      <c r="EF467" s="0" t="s">
        <v>250</v>
      </c>
      <c r="EG467" s="0" t="n">
        <v>370</v>
      </c>
      <c r="EH467" s="0" t="n">
        <v>370</v>
      </c>
      <c r="EI467" s="0" t="n">
        <v>370</v>
      </c>
      <c r="EJ467" s="0" t="n">
        <v>370</v>
      </c>
    </row>
    <row r="468" customFormat="false" ht="15" hidden="false" customHeight="false" outlineLevel="0" collapsed="false">
      <c r="DG468" s="0" t="s">
        <v>5017</v>
      </c>
      <c r="DH468" s="0" t="s">
        <v>82</v>
      </c>
      <c r="DI468" s="0" t="s">
        <v>2064</v>
      </c>
      <c r="DJ468" s="0" t="s">
        <v>2065</v>
      </c>
      <c r="DK468" s="0" t="s">
        <v>705</v>
      </c>
      <c r="DL468" s="0" t="n">
        <v>3.85</v>
      </c>
      <c r="DM468" s="0" t="s">
        <v>675</v>
      </c>
      <c r="DN468" s="0" t="s">
        <v>676</v>
      </c>
      <c r="DO468" s="0" t="n">
        <v>2</v>
      </c>
      <c r="DP468" s="0" t="n">
        <v>638</v>
      </c>
      <c r="DQ468" s="0" t="n">
        <v>638</v>
      </c>
      <c r="DR468" s="0" t="s">
        <v>5018</v>
      </c>
      <c r="EB468" s="0" t="s">
        <v>5019</v>
      </c>
      <c r="EC468" s="0" t="s">
        <v>2831</v>
      </c>
      <c r="ED468" s="0" t="s">
        <v>2832</v>
      </c>
      <c r="EE468" s="0" t="s">
        <v>229</v>
      </c>
      <c r="EF468" s="0" t="s">
        <v>227</v>
      </c>
      <c r="EG468" s="0" t="n">
        <v>170</v>
      </c>
      <c r="EH468" s="0" t="n">
        <v>200</v>
      </c>
      <c r="EI468" s="0" t="n">
        <v>220</v>
      </c>
      <c r="EJ468" s="0" t="n">
        <v>240</v>
      </c>
    </row>
    <row r="469" customFormat="false" ht="15" hidden="false" customHeight="false" outlineLevel="0" collapsed="false">
      <c r="DG469" s="0" t="s">
        <v>5020</v>
      </c>
      <c r="DH469" s="0" t="s">
        <v>82</v>
      </c>
      <c r="DI469" s="0" t="s">
        <v>2068</v>
      </c>
      <c r="DJ469" s="0" t="s">
        <v>2069</v>
      </c>
      <c r="DK469" s="0" t="s">
        <v>705</v>
      </c>
      <c r="DL469" s="0" t="n">
        <v>3.85</v>
      </c>
      <c r="DM469" s="0" t="s">
        <v>676</v>
      </c>
      <c r="DN469" s="0" t="s">
        <v>675</v>
      </c>
      <c r="DO469" s="0" t="n">
        <v>0</v>
      </c>
      <c r="DP469" s="0" t="n">
        <v>0</v>
      </c>
      <c r="DQ469" s="0" t="n">
        <v>210.94</v>
      </c>
      <c r="DR469" s="0" t="s">
        <v>5021</v>
      </c>
      <c r="EB469" s="0" t="s">
        <v>5022</v>
      </c>
      <c r="EC469" s="0" t="s">
        <v>2831</v>
      </c>
      <c r="ED469" s="0" t="s">
        <v>2832</v>
      </c>
      <c r="EE469" s="0" t="s">
        <v>246</v>
      </c>
      <c r="EF469" s="0" t="s">
        <v>244</v>
      </c>
      <c r="EG469" s="0" t="n">
        <v>620</v>
      </c>
      <c r="EH469" s="0" t="n">
        <v>620</v>
      </c>
      <c r="EI469" s="0" t="n">
        <v>620</v>
      </c>
      <c r="EJ469" s="0" t="n">
        <v>620</v>
      </c>
    </row>
    <row r="470" customFormat="false" ht="15" hidden="false" customHeight="false" outlineLevel="0" collapsed="false">
      <c r="DG470" s="0" t="s">
        <v>5023</v>
      </c>
      <c r="DH470" s="0" t="s">
        <v>82</v>
      </c>
      <c r="DI470" s="0" t="s">
        <v>2071</v>
      </c>
      <c r="DJ470" s="0" t="s">
        <v>2072</v>
      </c>
      <c r="DK470" s="0" t="s">
        <v>705</v>
      </c>
      <c r="DL470" s="0" t="n">
        <v>3.85</v>
      </c>
      <c r="DM470" s="0" t="s">
        <v>675</v>
      </c>
      <c r="DN470" s="0" t="s">
        <v>676</v>
      </c>
      <c r="DO470" s="0" t="n">
        <v>1</v>
      </c>
      <c r="DP470" s="0" t="n">
        <v>199.51</v>
      </c>
      <c r="DQ470" s="0" t="n">
        <v>199.51</v>
      </c>
      <c r="DR470" s="0" t="s">
        <v>5024</v>
      </c>
      <c r="EB470" s="0" t="s">
        <v>5025</v>
      </c>
      <c r="EC470" s="0" t="s">
        <v>2831</v>
      </c>
      <c r="ED470" s="0" t="s">
        <v>2832</v>
      </c>
      <c r="EE470" s="0" t="s">
        <v>255</v>
      </c>
      <c r="EF470" s="0" t="s">
        <v>253</v>
      </c>
      <c r="EG470" s="0" t="n">
        <v>430</v>
      </c>
      <c r="EH470" s="0" t="n">
        <v>500</v>
      </c>
      <c r="EI470" s="0" t="n">
        <v>560</v>
      </c>
      <c r="EJ470" s="0" t="n">
        <v>600</v>
      </c>
    </row>
    <row r="471" customFormat="false" ht="15" hidden="false" customHeight="false" outlineLevel="0" collapsed="false">
      <c r="DG471" s="0" t="s">
        <v>5026</v>
      </c>
      <c r="DH471" s="0" t="s">
        <v>82</v>
      </c>
      <c r="DI471" s="0" t="s">
        <v>2074</v>
      </c>
      <c r="DJ471" s="0" t="s">
        <v>2075</v>
      </c>
      <c r="DK471" s="0" t="s">
        <v>705</v>
      </c>
      <c r="DL471" s="0" t="n">
        <v>3.85</v>
      </c>
      <c r="DM471" s="0" t="s">
        <v>675</v>
      </c>
      <c r="DN471" s="0" t="s">
        <v>676</v>
      </c>
      <c r="DO471" s="0" t="n">
        <v>1</v>
      </c>
      <c r="DP471" s="0" t="n">
        <v>995</v>
      </c>
      <c r="DQ471" s="0" t="n">
        <v>995</v>
      </c>
      <c r="DR471" s="0" t="s">
        <v>5027</v>
      </c>
      <c r="EB471" s="0" t="s">
        <v>5028</v>
      </c>
      <c r="EC471" s="0" t="s">
        <v>2831</v>
      </c>
      <c r="EE471" s="0" t="s">
        <v>243</v>
      </c>
    </row>
    <row r="472" customFormat="false" ht="15" hidden="false" customHeight="false" outlineLevel="0" collapsed="false">
      <c r="DG472" s="0" t="s">
        <v>5029</v>
      </c>
      <c r="DH472" s="0" t="s">
        <v>82</v>
      </c>
      <c r="DI472" s="0" t="s">
        <v>2077</v>
      </c>
      <c r="DJ472" s="0" t="s">
        <v>205</v>
      </c>
      <c r="DK472" s="0" t="s">
        <v>705</v>
      </c>
      <c r="DL472" s="0" t="n">
        <v>3.85</v>
      </c>
      <c r="DM472" s="0" t="s">
        <v>675</v>
      </c>
      <c r="DN472" s="0" t="s">
        <v>676</v>
      </c>
      <c r="DO472" s="0" t="n">
        <v>1</v>
      </c>
      <c r="DP472" s="0" t="n">
        <v>27280</v>
      </c>
      <c r="DQ472" s="0" t="n">
        <v>27280</v>
      </c>
      <c r="DR472" s="0" t="s">
        <v>5030</v>
      </c>
      <c r="EB472" s="0" t="s">
        <v>5031</v>
      </c>
      <c r="EC472" s="0" t="s">
        <v>2831</v>
      </c>
      <c r="ED472" s="0" t="s">
        <v>2832</v>
      </c>
      <c r="EE472" s="0" t="s">
        <v>261</v>
      </c>
      <c r="EF472" s="0" t="s">
        <v>259</v>
      </c>
      <c r="EG472" s="0" t="n">
        <v>1</v>
      </c>
      <c r="EH472" s="0" t="n">
        <v>1</v>
      </c>
      <c r="EI472" s="0" t="n">
        <v>1</v>
      </c>
      <c r="EJ472" s="0" t="n">
        <v>1</v>
      </c>
    </row>
    <row r="473" customFormat="false" ht="15" hidden="false" customHeight="false" outlineLevel="0" collapsed="false">
      <c r="DG473" s="0" t="s">
        <v>5032</v>
      </c>
      <c r="DH473" s="0" t="s">
        <v>82</v>
      </c>
      <c r="DI473" s="0" t="s">
        <v>2079</v>
      </c>
      <c r="DJ473" s="0" t="s">
        <v>2080</v>
      </c>
      <c r="DK473" s="0" t="s">
        <v>705</v>
      </c>
      <c r="DL473" s="0" t="n">
        <v>3.85</v>
      </c>
      <c r="DM473" s="0" t="s">
        <v>676</v>
      </c>
      <c r="DN473" s="0" t="s">
        <v>675</v>
      </c>
      <c r="DO473" s="0" t="n">
        <v>0</v>
      </c>
      <c r="DP473" s="0" t="n">
        <v>0</v>
      </c>
      <c r="DQ473" s="0" t="n">
        <v>447</v>
      </c>
      <c r="DR473" s="0" t="s">
        <v>5033</v>
      </c>
      <c r="EB473" s="0" t="s">
        <v>5034</v>
      </c>
      <c r="EC473" s="0" t="s">
        <v>2831</v>
      </c>
      <c r="EE473" s="0" t="s">
        <v>296</v>
      </c>
    </row>
    <row r="474" customFormat="false" ht="15" hidden="false" customHeight="false" outlineLevel="0" collapsed="false">
      <c r="DG474" s="0" t="s">
        <v>5035</v>
      </c>
      <c r="DH474" s="0" t="s">
        <v>82</v>
      </c>
      <c r="DI474" s="0" t="s">
        <v>2082</v>
      </c>
      <c r="DJ474" s="0" t="s">
        <v>2083</v>
      </c>
      <c r="DK474" s="0" t="s">
        <v>705</v>
      </c>
      <c r="DL474" s="0" t="n">
        <v>3.85</v>
      </c>
      <c r="DM474" s="0" t="s">
        <v>676</v>
      </c>
      <c r="DN474" s="0" t="s">
        <v>675</v>
      </c>
      <c r="DO474" s="0" t="n">
        <v>0</v>
      </c>
      <c r="DP474" s="0" t="n">
        <v>0</v>
      </c>
      <c r="DQ474" s="0" t="n">
        <v>356</v>
      </c>
      <c r="DR474" s="0" t="s">
        <v>5036</v>
      </c>
      <c r="EB474" s="0" t="s">
        <v>5037</v>
      </c>
      <c r="EC474" s="0" t="s">
        <v>2644</v>
      </c>
      <c r="EE474" s="0" t="s">
        <v>626</v>
      </c>
    </row>
    <row r="475" customFormat="false" ht="15" hidden="false" customHeight="false" outlineLevel="0" collapsed="false">
      <c r="DG475" s="0" t="s">
        <v>5038</v>
      </c>
      <c r="DH475" s="0" t="s">
        <v>82</v>
      </c>
      <c r="DI475" s="0" t="s">
        <v>2085</v>
      </c>
      <c r="DJ475" s="0" t="s">
        <v>2086</v>
      </c>
      <c r="DK475" s="0" t="s">
        <v>705</v>
      </c>
      <c r="DL475" s="0" t="n">
        <v>3.85</v>
      </c>
      <c r="DM475" s="0" t="s">
        <v>675</v>
      </c>
      <c r="DN475" s="0" t="s">
        <v>676</v>
      </c>
      <c r="DO475" s="0" t="n">
        <v>1</v>
      </c>
      <c r="DP475" s="0" t="n">
        <v>331</v>
      </c>
      <c r="DQ475" s="0" t="n">
        <v>331</v>
      </c>
      <c r="DR475" s="0" t="s">
        <v>5039</v>
      </c>
      <c r="EB475" s="0" t="s">
        <v>5040</v>
      </c>
      <c r="EC475" s="0" t="s">
        <v>2644</v>
      </c>
      <c r="EE475" s="0" t="s">
        <v>624</v>
      </c>
    </row>
    <row r="476" customFormat="false" ht="15" hidden="false" customHeight="false" outlineLevel="0" collapsed="false">
      <c r="DG476" s="0" t="s">
        <v>5041</v>
      </c>
      <c r="DH476" s="0" t="s">
        <v>82</v>
      </c>
      <c r="DI476" s="0" t="s">
        <v>2088</v>
      </c>
      <c r="DJ476" s="0" t="s">
        <v>2038</v>
      </c>
      <c r="DK476" s="0" t="s">
        <v>705</v>
      </c>
      <c r="DL476" s="0" t="n">
        <v>3.85</v>
      </c>
      <c r="DM476" s="0" t="s">
        <v>676</v>
      </c>
      <c r="DN476" s="0" t="s">
        <v>675</v>
      </c>
      <c r="DO476" s="0" t="n">
        <v>0</v>
      </c>
      <c r="DP476" s="0" t="n">
        <v>0</v>
      </c>
      <c r="DQ476" s="0" t="n">
        <v>0</v>
      </c>
      <c r="DR476" s="0" t="s">
        <v>4975</v>
      </c>
      <c r="EB476" s="0" t="s">
        <v>5042</v>
      </c>
      <c r="EC476" s="0" t="s">
        <v>2644</v>
      </c>
      <c r="EE476" s="0" t="s">
        <v>622</v>
      </c>
    </row>
    <row r="477" customFormat="false" ht="15" hidden="false" customHeight="false" outlineLevel="0" collapsed="false">
      <c r="DG477" s="0" t="s">
        <v>5043</v>
      </c>
      <c r="DH477" s="0" t="s">
        <v>82</v>
      </c>
      <c r="DI477" s="0" t="s">
        <v>2090</v>
      </c>
      <c r="DJ477" s="0" t="s">
        <v>2091</v>
      </c>
      <c r="DK477" s="0" t="s">
        <v>705</v>
      </c>
      <c r="DL477" s="0" t="n">
        <v>3.85</v>
      </c>
      <c r="DM477" s="0" t="s">
        <v>676</v>
      </c>
      <c r="DN477" s="0" t="s">
        <v>675</v>
      </c>
      <c r="DO477" s="0" t="n">
        <v>0</v>
      </c>
      <c r="DP477" s="0" t="n">
        <v>0</v>
      </c>
      <c r="DQ477" s="0" t="n">
        <v>200</v>
      </c>
      <c r="DR477" s="0" t="s">
        <v>5044</v>
      </c>
      <c r="EB477" s="0" t="s">
        <v>5045</v>
      </c>
      <c r="EC477" s="0" t="s">
        <v>2644</v>
      </c>
      <c r="EE477" s="0" t="s">
        <v>620</v>
      </c>
    </row>
    <row r="478" customFormat="false" ht="15" hidden="false" customHeight="false" outlineLevel="0" collapsed="false">
      <c r="DG478" s="0" t="s">
        <v>5046</v>
      </c>
      <c r="DH478" s="0" t="s">
        <v>82</v>
      </c>
      <c r="DI478" s="0" t="s">
        <v>2093</v>
      </c>
      <c r="DJ478" s="0" t="s">
        <v>2094</v>
      </c>
      <c r="DK478" s="0" t="s">
        <v>705</v>
      </c>
      <c r="DL478" s="0" t="n">
        <v>3.85</v>
      </c>
      <c r="DM478" s="0" t="s">
        <v>675</v>
      </c>
      <c r="DN478" s="0" t="s">
        <v>676</v>
      </c>
      <c r="DO478" s="0" t="n">
        <v>20</v>
      </c>
      <c r="DP478" s="0" t="n">
        <v>2341.9</v>
      </c>
      <c r="DQ478" s="0" t="n">
        <v>2341.9</v>
      </c>
      <c r="DR478" s="0" t="s">
        <v>5047</v>
      </c>
      <c r="EB478" s="0" t="s">
        <v>5048</v>
      </c>
      <c r="EC478" s="0" t="s">
        <v>2644</v>
      </c>
      <c r="EE478" s="0" t="s">
        <v>618</v>
      </c>
    </row>
    <row r="479" customFormat="false" ht="15" hidden="false" customHeight="false" outlineLevel="0" collapsed="false">
      <c r="DG479" s="0" t="s">
        <v>5049</v>
      </c>
      <c r="DH479" s="0" t="s">
        <v>82</v>
      </c>
      <c r="DI479" s="0" t="s">
        <v>2096</v>
      </c>
      <c r="DJ479" s="0" t="s">
        <v>2097</v>
      </c>
      <c r="DK479" s="0" t="s">
        <v>705</v>
      </c>
      <c r="DL479" s="0" t="n">
        <v>3.85</v>
      </c>
      <c r="DM479" s="0" t="s">
        <v>675</v>
      </c>
      <c r="DN479" s="0" t="s">
        <v>676</v>
      </c>
      <c r="DO479" s="0" t="n">
        <v>1</v>
      </c>
      <c r="DP479" s="0" t="n">
        <v>113.44</v>
      </c>
      <c r="DQ479" s="0" t="n">
        <v>113.44</v>
      </c>
      <c r="DR479" s="0" t="s">
        <v>5050</v>
      </c>
      <c r="EB479" s="0" t="s">
        <v>5051</v>
      </c>
      <c r="EC479" s="0" t="s">
        <v>2644</v>
      </c>
      <c r="ED479" s="0" t="s">
        <v>2645</v>
      </c>
      <c r="EE479" s="0" t="s">
        <v>616</v>
      </c>
      <c r="EF479" s="0" t="s">
        <v>2612</v>
      </c>
      <c r="EG479" s="0" t="n">
        <v>340</v>
      </c>
      <c r="EH479" s="0" t="n">
        <v>370</v>
      </c>
      <c r="EI479" s="0" t="n">
        <v>400</v>
      </c>
      <c r="EJ479" s="0" t="n">
        <v>430</v>
      </c>
    </row>
    <row r="480" customFormat="false" ht="15" hidden="false" customHeight="false" outlineLevel="0" collapsed="false">
      <c r="DG480" s="0" t="s">
        <v>5052</v>
      </c>
      <c r="DH480" s="0" t="s">
        <v>82</v>
      </c>
      <c r="DI480" s="0" t="s">
        <v>2099</v>
      </c>
      <c r="DJ480" s="0" t="s">
        <v>2100</v>
      </c>
      <c r="DK480" s="0" t="s">
        <v>705</v>
      </c>
      <c r="DL480" s="0" t="n">
        <v>3.85</v>
      </c>
      <c r="DM480" s="0" t="s">
        <v>675</v>
      </c>
      <c r="DN480" s="0" t="s">
        <v>676</v>
      </c>
      <c r="DO480" s="0" t="n">
        <v>10</v>
      </c>
      <c r="DP480" s="0" t="n">
        <v>1134.4</v>
      </c>
      <c r="DQ480" s="0" t="n">
        <v>1134.4</v>
      </c>
      <c r="DR480" s="0" t="s">
        <v>5053</v>
      </c>
      <c r="EB480" s="0" t="s">
        <v>5054</v>
      </c>
      <c r="EC480" s="0" t="s">
        <v>2644</v>
      </c>
      <c r="ED480" s="0" t="s">
        <v>2645</v>
      </c>
      <c r="EE480" s="0" t="s">
        <v>614</v>
      </c>
      <c r="EF480" s="0" t="s">
        <v>2628</v>
      </c>
      <c r="EG480" s="0" t="n">
        <v>670</v>
      </c>
      <c r="EH480" s="0" t="n">
        <v>770</v>
      </c>
      <c r="EI480" s="0" t="n">
        <v>860</v>
      </c>
      <c r="EJ480" s="0" t="n">
        <v>930</v>
      </c>
    </row>
    <row r="481" customFormat="false" ht="15" hidden="false" customHeight="false" outlineLevel="0" collapsed="false">
      <c r="DG481" s="0" t="s">
        <v>5055</v>
      </c>
      <c r="DH481" s="0" t="s">
        <v>82</v>
      </c>
      <c r="DI481" s="0" t="s">
        <v>2102</v>
      </c>
      <c r="DJ481" s="0" t="s">
        <v>2103</v>
      </c>
      <c r="DK481" s="0" t="s">
        <v>705</v>
      </c>
      <c r="DL481" s="0" t="n">
        <v>3.85</v>
      </c>
      <c r="DM481" s="0" t="s">
        <v>675</v>
      </c>
      <c r="DN481" s="0" t="s">
        <v>676</v>
      </c>
      <c r="DO481" s="0" t="n">
        <v>10</v>
      </c>
      <c r="DP481" s="0" t="n">
        <v>1181.2</v>
      </c>
      <c r="DQ481" s="0" t="n">
        <v>1181.2</v>
      </c>
      <c r="DR481" s="0" t="s">
        <v>5056</v>
      </c>
      <c r="EB481" s="0" t="s">
        <v>5057</v>
      </c>
      <c r="EC481" s="0" t="s">
        <v>2644</v>
      </c>
      <c r="ED481" s="0" t="s">
        <v>2645</v>
      </c>
      <c r="EE481" s="0" t="s">
        <v>612</v>
      </c>
      <c r="EF481" s="0" t="s">
        <v>2647</v>
      </c>
      <c r="EG481" s="0" t="n">
        <v>570</v>
      </c>
      <c r="EH481" s="0" t="n">
        <v>660</v>
      </c>
      <c r="EI481" s="0" t="n">
        <v>750</v>
      </c>
      <c r="EJ481" s="0" t="n">
        <v>800</v>
      </c>
    </row>
    <row r="482" customFormat="false" ht="15" hidden="false" customHeight="false" outlineLevel="0" collapsed="false">
      <c r="DG482" s="0" t="s">
        <v>5058</v>
      </c>
      <c r="DH482" s="0" t="s">
        <v>82</v>
      </c>
      <c r="DI482" s="0" t="s">
        <v>2106</v>
      </c>
      <c r="DJ482" s="0" t="s">
        <v>2107</v>
      </c>
      <c r="DK482" s="0" t="s">
        <v>705</v>
      </c>
      <c r="DL482" s="0" t="n">
        <v>3.85</v>
      </c>
      <c r="DM482" s="0" t="s">
        <v>676</v>
      </c>
      <c r="DN482" s="0" t="s">
        <v>675</v>
      </c>
      <c r="DO482" s="0" t="n">
        <v>0</v>
      </c>
      <c r="DP482" s="0" t="n">
        <v>0</v>
      </c>
      <c r="DQ482" s="0" t="n">
        <v>63</v>
      </c>
      <c r="DR482" s="0" t="s">
        <v>5059</v>
      </c>
      <c r="EB482" s="0" t="s">
        <v>5060</v>
      </c>
      <c r="EC482" s="0" t="s">
        <v>2644</v>
      </c>
      <c r="ED482" s="0" t="s">
        <v>2645</v>
      </c>
      <c r="EE482" s="0" t="s">
        <v>609</v>
      </c>
      <c r="EF482" s="0" t="s">
        <v>2663</v>
      </c>
      <c r="EG482" s="0" t="n">
        <v>300</v>
      </c>
      <c r="EH482" s="0" t="n">
        <v>300</v>
      </c>
      <c r="EI482" s="0" t="n">
        <v>300</v>
      </c>
      <c r="EJ482" s="0" t="n">
        <v>300</v>
      </c>
    </row>
    <row r="483" customFormat="false" ht="15" hidden="false" customHeight="false" outlineLevel="0" collapsed="false">
      <c r="DG483" s="0" t="s">
        <v>5061</v>
      </c>
      <c r="DH483" s="0" t="s">
        <v>82</v>
      </c>
      <c r="DI483" s="0" t="s">
        <v>2108</v>
      </c>
      <c r="DJ483" s="0" t="s">
        <v>2109</v>
      </c>
      <c r="DK483" s="0" t="s">
        <v>705</v>
      </c>
      <c r="DL483" s="0" t="n">
        <v>3.85</v>
      </c>
      <c r="DM483" s="0" t="s">
        <v>675</v>
      </c>
      <c r="DN483" s="0" t="s">
        <v>676</v>
      </c>
      <c r="DO483" s="0" t="n">
        <v>1</v>
      </c>
      <c r="DP483" s="0" t="n">
        <v>164</v>
      </c>
      <c r="DQ483" s="0" t="n">
        <v>164</v>
      </c>
      <c r="DR483" s="0" t="s">
        <v>5062</v>
      </c>
      <c r="EB483" s="0" t="s">
        <v>5063</v>
      </c>
      <c r="EC483" s="0" t="s">
        <v>2644</v>
      </c>
      <c r="ED483" s="0" t="s">
        <v>2645</v>
      </c>
      <c r="EE483" s="0" t="s">
        <v>607</v>
      </c>
      <c r="EF483" s="0" t="s">
        <v>2680</v>
      </c>
      <c r="EG483" s="0" t="n">
        <v>1</v>
      </c>
      <c r="EH483" s="0" t="n">
        <v>1</v>
      </c>
      <c r="EI483" s="0" t="n">
        <v>1</v>
      </c>
      <c r="EJ483" s="0" t="n">
        <v>1</v>
      </c>
    </row>
    <row r="484" customFormat="false" ht="15" hidden="false" customHeight="false" outlineLevel="0" collapsed="false">
      <c r="DG484" s="0" t="s">
        <v>5064</v>
      </c>
      <c r="DH484" s="0" t="s">
        <v>82</v>
      </c>
      <c r="DI484" s="0" t="s">
        <v>2110</v>
      </c>
      <c r="DJ484" s="0" t="s">
        <v>2111</v>
      </c>
      <c r="DK484" s="0" t="s">
        <v>705</v>
      </c>
      <c r="DL484" s="0" t="n">
        <v>3.85</v>
      </c>
      <c r="DM484" s="0" t="s">
        <v>676</v>
      </c>
      <c r="DN484" s="0" t="s">
        <v>675</v>
      </c>
      <c r="DO484" s="0" t="n">
        <v>0</v>
      </c>
      <c r="DP484" s="0" t="n">
        <v>0</v>
      </c>
      <c r="DQ484" s="0" t="n">
        <v>259.5</v>
      </c>
      <c r="DR484" s="0" t="s">
        <v>5065</v>
      </c>
      <c r="EB484" s="0" t="s">
        <v>5066</v>
      </c>
      <c r="EC484" s="0" t="s">
        <v>2644</v>
      </c>
      <c r="ED484" s="0" t="s">
        <v>2645</v>
      </c>
      <c r="EE484" s="0" t="s">
        <v>605</v>
      </c>
      <c r="EF484" s="0" t="s">
        <v>2697</v>
      </c>
      <c r="EG484" s="0" t="n">
        <v>930</v>
      </c>
      <c r="EH484" s="0" t="n">
        <v>930</v>
      </c>
      <c r="EI484" s="0" t="n">
        <v>930</v>
      </c>
      <c r="EJ484" s="0" t="n">
        <v>930</v>
      </c>
    </row>
    <row r="485" customFormat="false" ht="15" hidden="false" customHeight="false" outlineLevel="0" collapsed="false">
      <c r="DG485" s="0" t="s">
        <v>5067</v>
      </c>
      <c r="DH485" s="0" t="s">
        <v>82</v>
      </c>
      <c r="DI485" s="0" t="s">
        <v>2113</v>
      </c>
      <c r="DJ485" s="0" t="s">
        <v>2114</v>
      </c>
      <c r="DK485" s="0" t="s">
        <v>705</v>
      </c>
      <c r="DL485" s="0" t="n">
        <v>3.85</v>
      </c>
      <c r="DM485" s="0" t="s">
        <v>675</v>
      </c>
      <c r="DN485" s="0" t="s">
        <v>676</v>
      </c>
      <c r="DO485" s="0" t="n">
        <v>5</v>
      </c>
      <c r="DP485" s="0" t="n">
        <v>45</v>
      </c>
      <c r="DQ485" s="0" t="n">
        <v>45</v>
      </c>
      <c r="DR485" s="0" t="s">
        <v>5068</v>
      </c>
      <c r="EB485" s="0" t="s">
        <v>5069</v>
      </c>
      <c r="EC485" s="0" t="s">
        <v>2644</v>
      </c>
      <c r="ED485" s="0" t="s">
        <v>2645</v>
      </c>
      <c r="EE485" s="0" t="s">
        <v>629</v>
      </c>
      <c r="EF485" s="0" t="s">
        <v>2713</v>
      </c>
      <c r="EG485" s="0" t="n">
        <v>1200</v>
      </c>
      <c r="EH485" s="0" t="n">
        <v>1200</v>
      </c>
      <c r="EI485" s="0" t="n">
        <v>1200</v>
      </c>
      <c r="EJ485" s="0" t="n">
        <v>1200</v>
      </c>
    </row>
    <row r="486" customFormat="false" ht="15" hidden="false" customHeight="false" outlineLevel="0" collapsed="false">
      <c r="DG486" s="0" t="s">
        <v>5070</v>
      </c>
      <c r="DH486" s="0" t="s">
        <v>82</v>
      </c>
      <c r="DI486" s="0" t="s">
        <v>2115</v>
      </c>
      <c r="DJ486" s="0" t="s">
        <v>2116</v>
      </c>
      <c r="DK486" s="0" t="s">
        <v>705</v>
      </c>
      <c r="DL486" s="0" t="n">
        <v>3.85</v>
      </c>
      <c r="DM486" s="0" t="s">
        <v>675</v>
      </c>
      <c r="DN486" s="0" t="s">
        <v>676</v>
      </c>
      <c r="DO486" s="0" t="n">
        <v>5</v>
      </c>
      <c r="DP486" s="0" t="n">
        <v>129.4</v>
      </c>
      <c r="DQ486" s="0" t="n">
        <v>129.4</v>
      </c>
      <c r="DR486" s="0" t="s">
        <v>5071</v>
      </c>
      <c r="EB486" s="0" t="s">
        <v>5072</v>
      </c>
      <c r="EC486" s="0" t="s">
        <v>2644</v>
      </c>
      <c r="EE486" s="0" t="s">
        <v>602</v>
      </c>
    </row>
    <row r="487" customFormat="false" ht="15" hidden="false" customHeight="false" outlineLevel="0" collapsed="false">
      <c r="DG487" s="0" t="s">
        <v>5073</v>
      </c>
      <c r="DH487" s="0" t="s">
        <v>82</v>
      </c>
      <c r="DI487" s="0" t="s">
        <v>2119</v>
      </c>
      <c r="DJ487" s="0" t="s">
        <v>2120</v>
      </c>
      <c r="DK487" s="0" t="s">
        <v>705</v>
      </c>
      <c r="DL487" s="0" t="n">
        <v>3.85</v>
      </c>
      <c r="DM487" s="0" t="s">
        <v>675</v>
      </c>
      <c r="DN487" s="0" t="s">
        <v>676</v>
      </c>
      <c r="DO487" s="0" t="n">
        <v>1</v>
      </c>
      <c r="DP487" s="0" t="n">
        <v>1649</v>
      </c>
      <c r="DQ487" s="0" t="n">
        <v>1649</v>
      </c>
      <c r="DR487" s="0" t="s">
        <v>5074</v>
      </c>
      <c r="EB487" s="0" t="s">
        <v>5075</v>
      </c>
      <c r="EC487" s="0" t="s">
        <v>2644</v>
      </c>
      <c r="ED487" s="0" t="s">
        <v>2645</v>
      </c>
      <c r="EE487" s="0" t="s">
        <v>599</v>
      </c>
      <c r="EF487" s="0" t="s">
        <v>2745</v>
      </c>
      <c r="EG487" s="0" t="n">
        <v>1</v>
      </c>
      <c r="EH487" s="0" t="n">
        <v>1</v>
      </c>
      <c r="EI487" s="0" t="n">
        <v>1</v>
      </c>
      <c r="EJ487" s="0" t="n">
        <v>1</v>
      </c>
    </row>
    <row r="488" customFormat="false" ht="15" hidden="false" customHeight="false" outlineLevel="0" collapsed="false">
      <c r="DG488" s="0" t="s">
        <v>5076</v>
      </c>
      <c r="DH488" s="0" t="s">
        <v>82</v>
      </c>
      <c r="DI488" s="0" t="s">
        <v>2122</v>
      </c>
      <c r="DJ488" s="0" t="s">
        <v>2123</v>
      </c>
      <c r="DK488" s="0" t="s">
        <v>705</v>
      </c>
      <c r="DL488" s="0" t="n">
        <v>3.85</v>
      </c>
      <c r="DM488" s="0" t="s">
        <v>675</v>
      </c>
      <c r="DN488" s="0" t="s">
        <v>676</v>
      </c>
      <c r="DO488" s="0" t="n">
        <v>1</v>
      </c>
      <c r="DP488" s="0" t="n">
        <v>18</v>
      </c>
      <c r="DQ488" s="0" t="n">
        <v>18</v>
      </c>
      <c r="DR488" s="0" t="s">
        <v>5077</v>
      </c>
      <c r="EB488" s="0" t="s">
        <v>5078</v>
      </c>
      <c r="EC488" s="0" t="s">
        <v>2644</v>
      </c>
      <c r="ED488" s="0" t="s">
        <v>2645</v>
      </c>
      <c r="EE488" s="0" t="s">
        <v>597</v>
      </c>
      <c r="EF488" s="0" t="s">
        <v>3308</v>
      </c>
      <c r="EG488" s="0" t="n">
        <v>1000</v>
      </c>
      <c r="EH488" s="0" t="n">
        <v>1000</v>
      </c>
      <c r="EI488" s="0" t="n">
        <v>1000</v>
      </c>
      <c r="EJ488" s="0" t="n">
        <v>1000</v>
      </c>
    </row>
    <row r="489" customFormat="false" ht="15" hidden="false" customHeight="false" outlineLevel="0" collapsed="false">
      <c r="DG489" s="0" t="s">
        <v>5079</v>
      </c>
      <c r="DH489" s="0" t="s">
        <v>82</v>
      </c>
      <c r="DI489" s="0" t="s">
        <v>2124</v>
      </c>
      <c r="DJ489" s="0" t="s">
        <v>2125</v>
      </c>
      <c r="DK489" s="0" t="s">
        <v>705</v>
      </c>
      <c r="DL489" s="0" t="n">
        <v>3.85</v>
      </c>
      <c r="DM489" s="0" t="s">
        <v>676</v>
      </c>
      <c r="DN489" s="0" t="s">
        <v>675</v>
      </c>
      <c r="DO489" s="0" t="n">
        <v>0</v>
      </c>
      <c r="DP489" s="0" t="n">
        <v>0</v>
      </c>
      <c r="DQ489" s="0" t="n">
        <v>380</v>
      </c>
      <c r="DR489" s="0" t="s">
        <v>5080</v>
      </c>
      <c r="EB489" s="0" t="s">
        <v>5081</v>
      </c>
      <c r="EC489" s="0" t="s">
        <v>2644</v>
      </c>
      <c r="ED489" s="0" t="s">
        <v>2645</v>
      </c>
      <c r="EE489" s="0" t="s">
        <v>2699</v>
      </c>
      <c r="EF489" s="0" t="s">
        <v>2700</v>
      </c>
      <c r="EG489" s="0" t="n">
        <v>45140</v>
      </c>
      <c r="EH489" s="0" t="n">
        <v>45140</v>
      </c>
      <c r="EI489" s="0" t="n">
        <v>45140</v>
      </c>
      <c r="EJ489" s="0" t="n">
        <v>45140</v>
      </c>
    </row>
    <row r="490" customFormat="false" ht="15" hidden="false" customHeight="false" outlineLevel="0" collapsed="false">
      <c r="DG490" s="0" t="s">
        <v>5082</v>
      </c>
      <c r="DH490" s="0" t="s">
        <v>82</v>
      </c>
      <c r="DI490" s="0" t="s">
        <v>2127</v>
      </c>
      <c r="DJ490" s="0" t="s">
        <v>2128</v>
      </c>
      <c r="DK490" s="0" t="s">
        <v>705</v>
      </c>
      <c r="DL490" s="0" t="n">
        <v>3.85</v>
      </c>
      <c r="DM490" s="0" t="s">
        <v>675</v>
      </c>
      <c r="DN490" s="0" t="s">
        <v>676</v>
      </c>
      <c r="DO490" s="0" t="n">
        <v>1</v>
      </c>
      <c r="DP490" s="0" t="n">
        <v>1295</v>
      </c>
      <c r="DQ490" s="0" t="n">
        <v>1295</v>
      </c>
      <c r="DR490" s="0" t="s">
        <v>5083</v>
      </c>
      <c r="EB490" s="0" t="s">
        <v>5084</v>
      </c>
      <c r="EC490" s="0" t="s">
        <v>2644</v>
      </c>
      <c r="EE490" s="0" t="s">
        <v>590</v>
      </c>
    </row>
    <row r="491" customFormat="false" ht="15" hidden="false" customHeight="false" outlineLevel="0" collapsed="false">
      <c r="DG491" s="0" t="s">
        <v>5085</v>
      </c>
      <c r="DH491" s="0" t="s">
        <v>82</v>
      </c>
      <c r="DI491" s="0" t="s">
        <v>2130</v>
      </c>
      <c r="DJ491" s="0" t="s">
        <v>2131</v>
      </c>
      <c r="DK491" s="0" t="s">
        <v>705</v>
      </c>
      <c r="DL491" s="0" t="n">
        <v>3.85</v>
      </c>
      <c r="DM491" s="0" t="s">
        <v>675</v>
      </c>
      <c r="DN491" s="0" t="s">
        <v>676</v>
      </c>
      <c r="DO491" s="0" t="n">
        <v>1</v>
      </c>
      <c r="DP491" s="0" t="n">
        <v>211</v>
      </c>
      <c r="DQ491" s="0" t="n">
        <v>211</v>
      </c>
      <c r="DR491" s="0" t="s">
        <v>5086</v>
      </c>
      <c r="EB491" s="0" t="s">
        <v>5087</v>
      </c>
      <c r="EC491" s="0" t="s">
        <v>2644</v>
      </c>
      <c r="ED491" s="0" t="s">
        <v>2645</v>
      </c>
      <c r="EE491" s="0" t="s">
        <v>588</v>
      </c>
      <c r="EF491" s="0" t="s">
        <v>2801</v>
      </c>
      <c r="EG491" s="0" t="n">
        <v>1</v>
      </c>
      <c r="EH491" s="0" t="n">
        <v>1</v>
      </c>
      <c r="EI491" s="0" t="n">
        <v>1</v>
      </c>
      <c r="EJ491" s="0" t="n">
        <v>1</v>
      </c>
    </row>
    <row r="492" customFormat="false" ht="15" hidden="false" customHeight="false" outlineLevel="0" collapsed="false">
      <c r="DG492" s="0" t="s">
        <v>5088</v>
      </c>
      <c r="DH492" s="0" t="s">
        <v>82</v>
      </c>
      <c r="DI492" s="0" t="s">
        <v>2133</v>
      </c>
      <c r="DJ492" s="0" t="s">
        <v>2134</v>
      </c>
      <c r="DK492" s="0" t="s">
        <v>705</v>
      </c>
      <c r="DL492" s="0" t="n">
        <v>3.85</v>
      </c>
      <c r="DM492" s="0" t="s">
        <v>675</v>
      </c>
      <c r="DN492" s="0" t="s">
        <v>676</v>
      </c>
      <c r="DO492" s="0" t="n">
        <v>1</v>
      </c>
      <c r="DP492" s="0" t="n">
        <v>890</v>
      </c>
      <c r="DQ492" s="0" t="n">
        <v>890</v>
      </c>
      <c r="DR492" s="0" t="s">
        <v>5089</v>
      </c>
      <c r="EB492" s="0" t="s">
        <v>5090</v>
      </c>
      <c r="EC492" s="0" t="s">
        <v>2644</v>
      </c>
      <c r="ED492" s="0" t="s">
        <v>2645</v>
      </c>
      <c r="EE492" s="0" t="s">
        <v>586</v>
      </c>
      <c r="EF492" s="0" t="s">
        <v>2815</v>
      </c>
      <c r="EG492" s="0" t="n">
        <v>1</v>
      </c>
      <c r="EH492" s="0" t="n">
        <v>1</v>
      </c>
      <c r="EI492" s="0" t="n">
        <v>1</v>
      </c>
      <c r="EJ492" s="0" t="n">
        <v>1</v>
      </c>
    </row>
    <row r="493" customFormat="false" ht="15" hidden="false" customHeight="false" outlineLevel="0" collapsed="false">
      <c r="DG493" s="0" t="s">
        <v>5091</v>
      </c>
      <c r="DH493" s="0" t="s">
        <v>82</v>
      </c>
      <c r="DI493" s="0" t="s">
        <v>2136</v>
      </c>
      <c r="DJ493" s="0" t="s">
        <v>2137</v>
      </c>
      <c r="DK493" s="0" t="s">
        <v>705</v>
      </c>
      <c r="DL493" s="0" t="n">
        <v>3.85</v>
      </c>
      <c r="DM493" s="0" t="s">
        <v>676</v>
      </c>
      <c r="DN493" s="0" t="s">
        <v>675</v>
      </c>
      <c r="DO493" s="0" t="n">
        <v>0</v>
      </c>
      <c r="DP493" s="0" t="n">
        <v>0</v>
      </c>
      <c r="DQ493" s="0" t="n">
        <v>1013.44</v>
      </c>
      <c r="DR493" s="0" t="s">
        <v>5092</v>
      </c>
      <c r="EB493" s="0" t="s">
        <v>5093</v>
      </c>
      <c r="EC493" s="0" t="s">
        <v>2644</v>
      </c>
      <c r="ED493" s="0" t="s">
        <v>2645</v>
      </c>
      <c r="EE493" s="0" t="s">
        <v>584</v>
      </c>
      <c r="EF493" s="0" t="s">
        <v>583</v>
      </c>
      <c r="EG493" s="0" t="n">
        <v>120000</v>
      </c>
      <c r="EH493" s="0" t="n">
        <v>120000</v>
      </c>
      <c r="EI493" s="0" t="n">
        <v>120000</v>
      </c>
      <c r="EJ493" s="0" t="n">
        <v>120000</v>
      </c>
    </row>
    <row r="494" customFormat="false" ht="15" hidden="false" customHeight="false" outlineLevel="0" collapsed="false">
      <c r="DG494" s="0" t="s">
        <v>5094</v>
      </c>
      <c r="DH494" s="0" t="s">
        <v>82</v>
      </c>
      <c r="DI494" s="0" t="s">
        <v>2139</v>
      </c>
      <c r="DJ494" s="0" t="s">
        <v>2140</v>
      </c>
      <c r="DK494" s="0" t="s">
        <v>705</v>
      </c>
      <c r="DL494" s="0" t="n">
        <v>3.85</v>
      </c>
      <c r="DM494" s="0" t="s">
        <v>676</v>
      </c>
      <c r="DN494" s="0" t="s">
        <v>675</v>
      </c>
      <c r="DO494" s="0" t="n">
        <v>0</v>
      </c>
      <c r="DP494" s="0" t="n">
        <v>0</v>
      </c>
      <c r="DQ494" s="0" t="n">
        <v>569</v>
      </c>
      <c r="DR494" s="0" t="s">
        <v>5095</v>
      </c>
      <c r="EB494" s="0" t="s">
        <v>5096</v>
      </c>
      <c r="EC494" s="0" t="s">
        <v>2644</v>
      </c>
      <c r="EE494" s="0" t="s">
        <v>330</v>
      </c>
    </row>
    <row r="495" customFormat="false" ht="15" hidden="false" customHeight="false" outlineLevel="0" collapsed="false">
      <c r="DG495" s="0" t="s">
        <v>5097</v>
      </c>
      <c r="DH495" s="0" t="s">
        <v>82</v>
      </c>
      <c r="DI495" s="0" t="s">
        <v>2142</v>
      </c>
      <c r="DJ495" s="0" t="s">
        <v>2143</v>
      </c>
      <c r="DK495" s="0" t="s">
        <v>705</v>
      </c>
      <c r="DL495" s="0" t="n">
        <v>3.85</v>
      </c>
      <c r="DM495" s="0" t="s">
        <v>675</v>
      </c>
      <c r="DN495" s="0" t="s">
        <v>676</v>
      </c>
      <c r="DO495" s="0" t="n">
        <v>4</v>
      </c>
      <c r="DP495" s="0" t="n">
        <v>896.24</v>
      </c>
      <c r="DQ495" s="0" t="n">
        <v>896.24</v>
      </c>
      <c r="DR495" s="0" t="s">
        <v>5098</v>
      </c>
      <c r="EB495" s="0" t="s">
        <v>5099</v>
      </c>
      <c r="EC495" s="0" t="s">
        <v>2644</v>
      </c>
      <c r="EE495" s="0" t="s">
        <v>334</v>
      </c>
    </row>
    <row r="496" customFormat="false" ht="15" hidden="false" customHeight="false" outlineLevel="0" collapsed="false">
      <c r="DG496" s="0" t="s">
        <v>5100</v>
      </c>
      <c r="DH496" s="0" t="s">
        <v>82</v>
      </c>
      <c r="DI496" s="0" t="s">
        <v>1522</v>
      </c>
      <c r="DJ496" s="0" t="s">
        <v>2146</v>
      </c>
      <c r="DK496" s="0" t="s">
        <v>705</v>
      </c>
      <c r="DL496" s="0" t="n">
        <v>3.85</v>
      </c>
      <c r="DM496" s="0" t="s">
        <v>676</v>
      </c>
      <c r="DN496" s="0" t="s">
        <v>675</v>
      </c>
      <c r="DO496" s="0" t="n">
        <v>0</v>
      </c>
      <c r="DP496" s="0" t="n">
        <v>0</v>
      </c>
      <c r="DQ496" s="0" t="n">
        <v>768</v>
      </c>
      <c r="DR496" s="0" t="s">
        <v>5101</v>
      </c>
      <c r="EB496" s="0" t="s">
        <v>5102</v>
      </c>
      <c r="EC496" s="0" t="s">
        <v>2644</v>
      </c>
      <c r="EE496" s="0" t="s">
        <v>582</v>
      </c>
    </row>
    <row r="497" customFormat="false" ht="15" hidden="false" customHeight="false" outlineLevel="0" collapsed="false">
      <c r="DG497" s="0" t="s">
        <v>5103</v>
      </c>
      <c r="DH497" s="0" t="s">
        <v>82</v>
      </c>
      <c r="DI497" s="0" t="s">
        <v>2147</v>
      </c>
      <c r="DJ497" s="0" t="s">
        <v>2148</v>
      </c>
      <c r="DK497" s="0" t="s">
        <v>705</v>
      </c>
      <c r="DL497" s="0" t="n">
        <v>3.85</v>
      </c>
      <c r="DM497" s="0" t="s">
        <v>676</v>
      </c>
      <c r="DN497" s="0" t="s">
        <v>675</v>
      </c>
      <c r="DO497" s="0" t="n">
        <v>0</v>
      </c>
      <c r="DP497" s="0" t="n">
        <v>0</v>
      </c>
      <c r="DQ497" s="0" t="n">
        <v>225</v>
      </c>
      <c r="DR497" s="0" t="s">
        <v>5104</v>
      </c>
      <c r="EB497" s="0" t="s">
        <v>5105</v>
      </c>
      <c r="EC497" s="0" t="s">
        <v>2644</v>
      </c>
      <c r="ED497" s="0" t="s">
        <v>2645</v>
      </c>
      <c r="EE497" s="0" t="s">
        <v>579</v>
      </c>
      <c r="EF497" s="0" t="s">
        <v>2889</v>
      </c>
      <c r="EG497" s="0" t="n">
        <v>1300</v>
      </c>
      <c r="EH497" s="0" t="n">
        <v>1300</v>
      </c>
      <c r="EI497" s="0" t="n">
        <v>1300</v>
      </c>
      <c r="EJ497" s="0" t="n">
        <v>1300</v>
      </c>
    </row>
    <row r="498" customFormat="false" ht="15" hidden="false" customHeight="false" outlineLevel="0" collapsed="false">
      <c r="DG498" s="0" t="s">
        <v>5106</v>
      </c>
      <c r="DH498" s="0" t="s">
        <v>82</v>
      </c>
      <c r="DI498" s="0" t="s">
        <v>2150</v>
      </c>
      <c r="DJ498" s="0" t="s">
        <v>2151</v>
      </c>
      <c r="DK498" s="0" t="s">
        <v>705</v>
      </c>
      <c r="DL498" s="0" t="n">
        <v>3.85</v>
      </c>
      <c r="DM498" s="0" t="s">
        <v>676</v>
      </c>
      <c r="DN498" s="0" t="s">
        <v>675</v>
      </c>
      <c r="DO498" s="0" t="n">
        <v>0</v>
      </c>
      <c r="DP498" s="0" t="n">
        <v>0</v>
      </c>
      <c r="DQ498" s="0" t="n">
        <v>229.69</v>
      </c>
      <c r="DR498" s="0" t="s">
        <v>5107</v>
      </c>
      <c r="EB498" s="0" t="s">
        <v>5108</v>
      </c>
      <c r="EC498" s="0" t="s">
        <v>2644</v>
      </c>
      <c r="ED498" s="0" t="s">
        <v>2645</v>
      </c>
      <c r="EE498" s="0" t="s">
        <v>575</v>
      </c>
      <c r="EF498" s="0" t="s">
        <v>573</v>
      </c>
      <c r="EG498" s="0" t="n">
        <v>1</v>
      </c>
      <c r="EH498" s="0" t="n">
        <v>1</v>
      </c>
      <c r="EI498" s="0" t="n">
        <v>1</v>
      </c>
      <c r="EJ498" s="0" t="n">
        <v>1</v>
      </c>
    </row>
    <row r="499" customFormat="false" ht="15" hidden="false" customHeight="false" outlineLevel="0" collapsed="false">
      <c r="DG499" s="0" t="s">
        <v>5109</v>
      </c>
      <c r="DH499" s="0" t="s">
        <v>82</v>
      </c>
      <c r="DI499" s="0" t="s">
        <v>2153</v>
      </c>
      <c r="DJ499" s="0" t="s">
        <v>2154</v>
      </c>
      <c r="DK499" s="0" t="s">
        <v>705</v>
      </c>
      <c r="DL499" s="0" t="n">
        <v>3.85</v>
      </c>
      <c r="DM499" s="0" t="s">
        <v>675</v>
      </c>
      <c r="DN499" s="0" t="s">
        <v>676</v>
      </c>
      <c r="DO499" s="0" t="n">
        <v>1</v>
      </c>
      <c r="DP499" s="0" t="n">
        <v>3.28</v>
      </c>
      <c r="DQ499" s="0" t="n">
        <v>3.28</v>
      </c>
      <c r="DR499" s="0" t="s">
        <v>5110</v>
      </c>
      <c r="EB499" s="0" t="s">
        <v>5111</v>
      </c>
      <c r="EC499" s="0" t="s">
        <v>2644</v>
      </c>
      <c r="ED499" s="0" t="s">
        <v>2645</v>
      </c>
      <c r="EE499" s="0" t="s">
        <v>2917</v>
      </c>
      <c r="EF499" s="0" t="s">
        <v>4761</v>
      </c>
      <c r="EG499" s="0" t="n">
        <v>2700</v>
      </c>
      <c r="EH499" s="0" t="n">
        <v>2700</v>
      </c>
      <c r="EI499" s="0" t="n">
        <v>2700</v>
      </c>
      <c r="EJ499" s="0" t="n">
        <v>2700</v>
      </c>
    </row>
    <row r="500" customFormat="false" ht="15" hidden="false" customHeight="false" outlineLevel="0" collapsed="false">
      <c r="DG500" s="0" t="s">
        <v>5112</v>
      </c>
      <c r="DH500" s="0" t="s">
        <v>82</v>
      </c>
      <c r="DI500" s="0" t="s">
        <v>2156</v>
      </c>
      <c r="DJ500" s="0" t="s">
        <v>2157</v>
      </c>
      <c r="DK500" s="0" t="s">
        <v>705</v>
      </c>
      <c r="DL500" s="0" t="n">
        <v>3.85</v>
      </c>
      <c r="DM500" s="0" t="s">
        <v>675</v>
      </c>
      <c r="DN500" s="0" t="s">
        <v>676</v>
      </c>
      <c r="DO500" s="0" t="n">
        <v>1</v>
      </c>
      <c r="DP500" s="0" t="n">
        <v>4</v>
      </c>
      <c r="DQ500" s="0" t="n">
        <v>4</v>
      </c>
      <c r="DR500" s="0" t="s">
        <v>5113</v>
      </c>
      <c r="EB500" s="0" t="s">
        <v>5114</v>
      </c>
      <c r="EC500" s="0" t="s">
        <v>2644</v>
      </c>
      <c r="ED500" s="0" t="s">
        <v>2645</v>
      </c>
      <c r="EE500" s="0" t="s">
        <v>2932</v>
      </c>
      <c r="EF500" s="0" t="s">
        <v>3383</v>
      </c>
      <c r="EG500" s="0" t="n">
        <v>5650</v>
      </c>
      <c r="EH500" s="0" t="n">
        <v>5650</v>
      </c>
      <c r="EI500" s="0" t="n">
        <v>5650</v>
      </c>
      <c r="EJ500" s="0" t="n">
        <v>5650</v>
      </c>
    </row>
    <row r="501" customFormat="false" ht="15" hidden="false" customHeight="false" outlineLevel="0" collapsed="false">
      <c r="DG501" s="0" t="s">
        <v>5115</v>
      </c>
      <c r="DH501" s="0" t="s">
        <v>82</v>
      </c>
      <c r="DI501" s="0" t="s">
        <v>2158</v>
      </c>
      <c r="DJ501" s="0" t="s">
        <v>2159</v>
      </c>
      <c r="DK501" s="0" t="s">
        <v>705</v>
      </c>
      <c r="DL501" s="0" t="n">
        <v>3.85</v>
      </c>
      <c r="DM501" s="0" t="s">
        <v>675</v>
      </c>
      <c r="DN501" s="0" t="s">
        <v>676</v>
      </c>
      <c r="DO501" s="0" t="n">
        <v>1</v>
      </c>
      <c r="DP501" s="0" t="n">
        <v>1546.88</v>
      </c>
      <c r="DQ501" s="0" t="n">
        <v>1546.88</v>
      </c>
      <c r="DR501" s="0" t="s">
        <v>5116</v>
      </c>
      <c r="EB501" s="0" t="s">
        <v>5117</v>
      </c>
      <c r="EC501" s="0" t="s">
        <v>2644</v>
      </c>
      <c r="ED501" s="0" t="s">
        <v>2645</v>
      </c>
      <c r="EE501" s="0" t="s">
        <v>2946</v>
      </c>
      <c r="EF501" s="0" t="s">
        <v>4768</v>
      </c>
      <c r="EG501" s="0" t="n">
        <v>9200</v>
      </c>
      <c r="EH501" s="0" t="n">
        <v>9200</v>
      </c>
      <c r="EI501" s="0" t="n">
        <v>9200</v>
      </c>
      <c r="EJ501" s="0" t="n">
        <v>9200</v>
      </c>
    </row>
    <row r="502" customFormat="false" ht="15" hidden="false" customHeight="false" outlineLevel="0" collapsed="false">
      <c r="DG502" s="0" t="s">
        <v>5118</v>
      </c>
      <c r="DH502" s="0" t="s">
        <v>82</v>
      </c>
      <c r="DI502" s="0" t="s">
        <v>2161</v>
      </c>
      <c r="DJ502" s="0" t="s">
        <v>2162</v>
      </c>
      <c r="DK502" s="0" t="s">
        <v>705</v>
      </c>
      <c r="DL502" s="0" t="n">
        <v>3.85</v>
      </c>
      <c r="DM502" s="0" t="s">
        <v>675</v>
      </c>
      <c r="DN502" s="0" t="s">
        <v>676</v>
      </c>
      <c r="DO502" s="0" t="n">
        <v>1</v>
      </c>
      <c r="DP502" s="0" t="n">
        <v>510</v>
      </c>
      <c r="DQ502" s="0" t="n">
        <v>510</v>
      </c>
      <c r="DR502" s="0" t="s">
        <v>5119</v>
      </c>
      <c r="EB502" s="0" t="s">
        <v>5120</v>
      </c>
      <c r="EC502" s="0" t="s">
        <v>2644</v>
      </c>
      <c r="ED502" s="0" t="s">
        <v>2645</v>
      </c>
      <c r="EE502" s="0" t="s">
        <v>567</v>
      </c>
      <c r="EF502" s="0" t="s">
        <v>2959</v>
      </c>
      <c r="EG502" s="0" t="n">
        <v>1</v>
      </c>
      <c r="EH502" s="0" t="n">
        <v>1</v>
      </c>
      <c r="EI502" s="0" t="n">
        <v>1</v>
      </c>
      <c r="EJ502" s="0" t="n">
        <v>1</v>
      </c>
    </row>
    <row r="503" customFormat="false" ht="15" hidden="false" customHeight="false" outlineLevel="0" collapsed="false">
      <c r="DG503" s="0" t="s">
        <v>5121</v>
      </c>
      <c r="DH503" s="0" t="s">
        <v>82</v>
      </c>
      <c r="DI503" s="0" t="s">
        <v>2163</v>
      </c>
      <c r="DJ503" s="0" t="s">
        <v>2164</v>
      </c>
      <c r="DK503" s="0" t="s">
        <v>705</v>
      </c>
      <c r="DL503" s="0" t="n">
        <v>3.85</v>
      </c>
      <c r="DM503" s="0" t="s">
        <v>676</v>
      </c>
      <c r="DN503" s="0" t="s">
        <v>675</v>
      </c>
      <c r="DO503" s="0" t="n">
        <v>0</v>
      </c>
      <c r="DP503" s="0" t="n">
        <v>0</v>
      </c>
      <c r="DQ503" s="0" t="n">
        <v>999</v>
      </c>
      <c r="DR503" s="0" t="s">
        <v>5122</v>
      </c>
      <c r="EB503" s="0" t="s">
        <v>5123</v>
      </c>
      <c r="EC503" s="0" t="s">
        <v>2644</v>
      </c>
      <c r="ED503" s="0" t="s">
        <v>2645</v>
      </c>
      <c r="EE503" s="0" t="s">
        <v>569</v>
      </c>
      <c r="EF503" s="0" t="s">
        <v>4775</v>
      </c>
      <c r="EG503" s="0" t="n">
        <v>17800</v>
      </c>
      <c r="EH503" s="0" t="n">
        <v>17800</v>
      </c>
      <c r="EI503" s="0" t="n">
        <v>17800</v>
      </c>
      <c r="EJ503" s="0" t="n">
        <v>17800</v>
      </c>
    </row>
    <row r="504" customFormat="false" ht="15" hidden="false" customHeight="false" outlineLevel="0" collapsed="false">
      <c r="DG504" s="0" t="s">
        <v>5124</v>
      </c>
      <c r="DH504" s="0" t="s">
        <v>82</v>
      </c>
      <c r="DI504" s="0" t="s">
        <v>2166</v>
      </c>
      <c r="DJ504" s="0" t="s">
        <v>2167</v>
      </c>
      <c r="DK504" s="0" t="s">
        <v>705</v>
      </c>
      <c r="DL504" s="0" t="n">
        <v>3.85</v>
      </c>
      <c r="DM504" s="0" t="s">
        <v>675</v>
      </c>
      <c r="DN504" s="0" t="s">
        <v>676</v>
      </c>
      <c r="DO504" s="0" t="n">
        <v>4</v>
      </c>
      <c r="DP504" s="0" t="n">
        <v>1880</v>
      </c>
      <c r="DQ504" s="0" t="n">
        <v>1880</v>
      </c>
      <c r="DR504" s="0" t="s">
        <v>5125</v>
      </c>
      <c r="EB504" s="0" t="s">
        <v>5126</v>
      </c>
      <c r="EC504" s="0" t="s">
        <v>2644</v>
      </c>
      <c r="ED504" s="0" t="s">
        <v>2645</v>
      </c>
      <c r="EE504" s="0" t="s">
        <v>562</v>
      </c>
      <c r="EF504" s="0" t="s">
        <v>2986</v>
      </c>
      <c r="EG504" s="0" t="n">
        <v>1</v>
      </c>
      <c r="EH504" s="0" t="n">
        <v>1</v>
      </c>
      <c r="EI504" s="0" t="n">
        <v>1</v>
      </c>
      <c r="EJ504" s="0" t="n">
        <v>1</v>
      </c>
    </row>
    <row r="505" customFormat="false" ht="15" hidden="false" customHeight="false" outlineLevel="0" collapsed="false">
      <c r="DG505" s="0" t="s">
        <v>5127</v>
      </c>
      <c r="DH505" s="0" t="s">
        <v>82</v>
      </c>
      <c r="DI505" s="0" t="s">
        <v>1727</v>
      </c>
      <c r="DJ505" s="0" t="s">
        <v>2169</v>
      </c>
      <c r="DK505" s="0" t="s">
        <v>705</v>
      </c>
      <c r="DL505" s="0" t="n">
        <v>3.85</v>
      </c>
      <c r="DM505" s="0" t="s">
        <v>675</v>
      </c>
      <c r="DN505" s="0" t="s">
        <v>676</v>
      </c>
      <c r="DO505" s="0" t="n">
        <v>1</v>
      </c>
      <c r="DP505" s="0" t="n">
        <v>8250</v>
      </c>
      <c r="DQ505" s="0" t="n">
        <v>8250</v>
      </c>
      <c r="DR505" s="0" t="s">
        <v>5128</v>
      </c>
      <c r="EB505" s="0" t="s">
        <v>5129</v>
      </c>
      <c r="EC505" s="0" t="s">
        <v>2644</v>
      </c>
      <c r="EE505" s="0" t="s">
        <v>557</v>
      </c>
    </row>
    <row r="506" customFormat="false" ht="15" hidden="false" customHeight="false" outlineLevel="0" collapsed="false">
      <c r="DG506" s="0" t="s">
        <v>5130</v>
      </c>
      <c r="DH506" s="0" t="s">
        <v>82</v>
      </c>
      <c r="DI506" s="0" t="s">
        <v>2171</v>
      </c>
      <c r="DJ506" s="0" t="s">
        <v>2172</v>
      </c>
      <c r="DK506" s="0" t="s">
        <v>705</v>
      </c>
      <c r="DL506" s="0" t="n">
        <v>3.85</v>
      </c>
      <c r="DM506" s="0" t="s">
        <v>675</v>
      </c>
      <c r="DN506" s="0" t="s">
        <v>676</v>
      </c>
      <c r="DO506" s="0" t="n">
        <v>1</v>
      </c>
      <c r="DP506" s="0" t="n">
        <v>928</v>
      </c>
      <c r="DQ506" s="0" t="n">
        <v>928</v>
      </c>
      <c r="DR506" s="0" t="s">
        <v>5131</v>
      </c>
      <c r="EB506" s="0" t="s">
        <v>5132</v>
      </c>
      <c r="EC506" s="0" t="s">
        <v>2644</v>
      </c>
      <c r="EE506" s="0" t="s">
        <v>290</v>
      </c>
    </row>
    <row r="507" customFormat="false" ht="15" hidden="false" customHeight="false" outlineLevel="0" collapsed="false">
      <c r="DG507" s="0" t="s">
        <v>5133</v>
      </c>
      <c r="DH507" s="0" t="s">
        <v>82</v>
      </c>
      <c r="DI507" s="0" t="s">
        <v>2174</v>
      </c>
      <c r="DJ507" s="0" t="s">
        <v>2175</v>
      </c>
      <c r="DK507" s="0" t="s">
        <v>705</v>
      </c>
      <c r="DL507" s="0" t="n">
        <v>3.85</v>
      </c>
      <c r="DM507" s="0" t="s">
        <v>675</v>
      </c>
      <c r="DN507" s="0" t="s">
        <v>676</v>
      </c>
      <c r="DO507" s="0" t="n">
        <v>1</v>
      </c>
      <c r="DP507" s="0" t="n">
        <v>112.5</v>
      </c>
      <c r="DQ507" s="0" t="n">
        <v>112.5</v>
      </c>
      <c r="DR507" s="0" t="s">
        <v>5134</v>
      </c>
      <c r="EB507" s="0" t="s">
        <v>5135</v>
      </c>
      <c r="EC507" s="0" t="s">
        <v>2644</v>
      </c>
      <c r="EE507" s="0" t="s">
        <v>275</v>
      </c>
    </row>
    <row r="508" customFormat="false" ht="15" hidden="false" customHeight="false" outlineLevel="0" collapsed="false">
      <c r="DG508" s="0" t="s">
        <v>5136</v>
      </c>
      <c r="DH508" s="0" t="s">
        <v>82</v>
      </c>
      <c r="DI508" s="0" t="s">
        <v>2177</v>
      </c>
      <c r="DJ508" s="0" t="s">
        <v>2039</v>
      </c>
      <c r="DK508" s="0" t="s">
        <v>705</v>
      </c>
      <c r="DL508" s="0" t="n">
        <v>3.85</v>
      </c>
      <c r="DM508" s="0" t="s">
        <v>675</v>
      </c>
      <c r="DN508" s="0" t="s">
        <v>676</v>
      </c>
      <c r="DO508" s="0" t="n">
        <v>0</v>
      </c>
      <c r="DP508" s="0" t="n">
        <v>0</v>
      </c>
      <c r="DQ508" s="0" t="n">
        <v>0</v>
      </c>
      <c r="DR508" s="0" t="s">
        <v>4988</v>
      </c>
      <c r="EB508" s="0" t="s">
        <v>5137</v>
      </c>
      <c r="EC508" s="0" t="s">
        <v>2644</v>
      </c>
      <c r="EE508" s="0" t="s">
        <v>298</v>
      </c>
    </row>
    <row r="509" customFormat="false" ht="15" hidden="false" customHeight="false" outlineLevel="0" collapsed="false">
      <c r="DG509" s="0" t="s">
        <v>5138</v>
      </c>
      <c r="DH509" s="0" t="s">
        <v>82</v>
      </c>
      <c r="DI509" s="0" t="s">
        <v>2179</v>
      </c>
      <c r="DJ509" s="0" t="s">
        <v>2180</v>
      </c>
      <c r="DK509" s="0" t="s">
        <v>705</v>
      </c>
      <c r="DL509" s="0" t="n">
        <v>3.85</v>
      </c>
      <c r="DM509" s="0" t="s">
        <v>675</v>
      </c>
      <c r="DN509" s="0" t="s">
        <v>676</v>
      </c>
      <c r="DO509" s="0" t="n">
        <v>1</v>
      </c>
      <c r="DP509" s="0" t="n">
        <v>1593.75</v>
      </c>
      <c r="DQ509" s="0" t="n">
        <v>1593.75</v>
      </c>
      <c r="DR509" s="0" t="s">
        <v>5139</v>
      </c>
      <c r="EB509" s="0" t="s">
        <v>5140</v>
      </c>
      <c r="EC509" s="0" t="s">
        <v>2644</v>
      </c>
      <c r="EE509" s="0" t="s">
        <v>286</v>
      </c>
    </row>
    <row r="510" customFormat="false" ht="15" hidden="false" customHeight="false" outlineLevel="0" collapsed="false">
      <c r="DG510" s="0" t="s">
        <v>5141</v>
      </c>
      <c r="DH510" s="0" t="s">
        <v>82</v>
      </c>
      <c r="DI510" s="0" t="s">
        <v>2182</v>
      </c>
      <c r="DJ510" s="0" t="s">
        <v>2183</v>
      </c>
      <c r="DK510" s="0" t="s">
        <v>705</v>
      </c>
      <c r="DL510" s="0" t="n">
        <v>3.85</v>
      </c>
      <c r="DM510" s="0" t="s">
        <v>675</v>
      </c>
      <c r="DN510" s="0" t="s">
        <v>676</v>
      </c>
      <c r="DO510" s="0" t="n">
        <v>2</v>
      </c>
      <c r="DP510" s="0" t="n">
        <v>1500</v>
      </c>
      <c r="DQ510" s="0" t="n">
        <v>1500</v>
      </c>
      <c r="DR510" s="0" t="s">
        <v>5142</v>
      </c>
      <c r="EB510" s="0" t="s">
        <v>5143</v>
      </c>
      <c r="EC510" s="0" t="s">
        <v>2644</v>
      </c>
      <c r="EE510" s="0" t="s">
        <v>272</v>
      </c>
    </row>
    <row r="511" customFormat="false" ht="15" hidden="false" customHeight="false" outlineLevel="0" collapsed="false">
      <c r="DG511" s="0" t="s">
        <v>5144</v>
      </c>
      <c r="DH511" s="0" t="s">
        <v>82</v>
      </c>
      <c r="DI511" s="0" t="s">
        <v>2185</v>
      </c>
      <c r="DJ511" s="0" t="s">
        <v>2186</v>
      </c>
      <c r="DK511" s="0" t="s">
        <v>705</v>
      </c>
      <c r="DL511" s="0" t="n">
        <v>3.85</v>
      </c>
      <c r="DM511" s="0" t="s">
        <v>675</v>
      </c>
      <c r="DN511" s="0" t="s">
        <v>676</v>
      </c>
      <c r="DO511" s="0" t="n">
        <v>2</v>
      </c>
      <c r="DP511" s="0" t="n">
        <v>632</v>
      </c>
      <c r="DQ511" s="0" t="n">
        <v>632</v>
      </c>
      <c r="DR511" s="0" t="s">
        <v>5145</v>
      </c>
      <c r="EB511" s="0" t="s">
        <v>5146</v>
      </c>
      <c r="EC511" s="0" t="s">
        <v>2644</v>
      </c>
      <c r="EE511" s="0" t="s">
        <v>283</v>
      </c>
    </row>
    <row r="512" customFormat="false" ht="15" hidden="false" customHeight="false" outlineLevel="0" collapsed="false">
      <c r="DG512" s="0" t="s">
        <v>5147</v>
      </c>
      <c r="DH512" s="0" t="s">
        <v>82</v>
      </c>
      <c r="DI512" s="0" t="s">
        <v>1382</v>
      </c>
      <c r="DJ512" s="0" t="s">
        <v>2189</v>
      </c>
      <c r="DK512" s="0" t="s">
        <v>705</v>
      </c>
      <c r="DL512" s="0" t="n">
        <v>3.85</v>
      </c>
      <c r="DM512" s="0" t="s">
        <v>675</v>
      </c>
      <c r="DN512" s="0" t="s">
        <v>676</v>
      </c>
      <c r="DO512" s="0" t="n">
        <v>1</v>
      </c>
      <c r="DP512" s="0" t="n">
        <v>3500</v>
      </c>
      <c r="DQ512" s="0" t="n">
        <v>3500</v>
      </c>
      <c r="DR512" s="0" t="s">
        <v>5148</v>
      </c>
      <c r="EB512" s="0" t="s">
        <v>5149</v>
      </c>
      <c r="EC512" s="0" t="s">
        <v>2644</v>
      </c>
      <c r="EE512" s="0" t="s">
        <v>267</v>
      </c>
    </row>
    <row r="513" customFormat="false" ht="15" hidden="false" customHeight="false" outlineLevel="0" collapsed="false">
      <c r="DG513" s="0" t="s">
        <v>5150</v>
      </c>
      <c r="DH513" s="0" t="s">
        <v>82</v>
      </c>
      <c r="DI513" s="0" t="s">
        <v>2190</v>
      </c>
      <c r="DJ513" s="0" t="s">
        <v>2191</v>
      </c>
      <c r="DK513" s="0" t="s">
        <v>705</v>
      </c>
      <c r="DL513" s="0" t="n">
        <v>3.85</v>
      </c>
      <c r="DM513" s="0" t="s">
        <v>675</v>
      </c>
      <c r="DN513" s="0" t="s">
        <v>676</v>
      </c>
      <c r="DO513" s="0" t="n">
        <v>1</v>
      </c>
      <c r="DP513" s="0" t="n">
        <v>967</v>
      </c>
      <c r="DQ513" s="0" t="n">
        <v>967</v>
      </c>
      <c r="DR513" s="0" t="s">
        <v>5151</v>
      </c>
      <c r="EB513" s="0" t="s">
        <v>5152</v>
      </c>
      <c r="EC513" s="0" t="s">
        <v>2644</v>
      </c>
      <c r="EE513" s="0" t="s">
        <v>258</v>
      </c>
    </row>
    <row r="514" customFormat="false" ht="15" hidden="false" customHeight="false" outlineLevel="0" collapsed="false">
      <c r="DG514" s="0" t="s">
        <v>5153</v>
      </c>
      <c r="DH514" s="0" t="s">
        <v>82</v>
      </c>
      <c r="DI514" s="0" t="s">
        <v>2193</v>
      </c>
      <c r="DJ514" s="0" t="s">
        <v>2194</v>
      </c>
      <c r="DK514" s="0" t="s">
        <v>705</v>
      </c>
      <c r="DL514" s="0" t="n">
        <v>3.85</v>
      </c>
      <c r="DM514" s="0" t="s">
        <v>675</v>
      </c>
      <c r="DN514" s="0" t="s">
        <v>676</v>
      </c>
      <c r="DO514" s="0" t="n">
        <v>2</v>
      </c>
      <c r="DP514" s="0" t="n">
        <v>1471.88</v>
      </c>
      <c r="DQ514" s="0" t="n">
        <v>1471.88</v>
      </c>
      <c r="DR514" s="0" t="s">
        <v>5154</v>
      </c>
      <c r="EB514" s="0" t="s">
        <v>5155</v>
      </c>
      <c r="EC514" s="0" t="s">
        <v>2644</v>
      </c>
      <c r="EE514" s="0" t="s">
        <v>222</v>
      </c>
    </row>
    <row r="515" customFormat="false" ht="15" hidden="false" customHeight="false" outlineLevel="0" collapsed="false">
      <c r="DG515" s="0" t="s">
        <v>5156</v>
      </c>
      <c r="DH515" s="0" t="s">
        <v>82</v>
      </c>
      <c r="DI515" s="0" t="s">
        <v>2197</v>
      </c>
      <c r="DJ515" s="0" t="s">
        <v>2198</v>
      </c>
      <c r="DK515" s="0" t="s">
        <v>705</v>
      </c>
      <c r="DL515" s="0" t="n">
        <v>3.85</v>
      </c>
      <c r="DM515" s="0" t="s">
        <v>675</v>
      </c>
      <c r="DN515" s="0" t="s">
        <v>676</v>
      </c>
      <c r="DO515" s="0" t="n">
        <v>2</v>
      </c>
      <c r="DP515" s="0" t="n">
        <v>1642.5</v>
      </c>
      <c r="DQ515" s="0" t="n">
        <v>1642.5</v>
      </c>
      <c r="DR515" s="0" t="s">
        <v>5157</v>
      </c>
      <c r="EB515" s="0" t="s">
        <v>5158</v>
      </c>
      <c r="EC515" s="0" t="s">
        <v>2644</v>
      </c>
      <c r="EE515" s="0" t="s">
        <v>233</v>
      </c>
    </row>
    <row r="516" customFormat="false" ht="15" hidden="false" customHeight="false" outlineLevel="0" collapsed="false">
      <c r="DG516" s="0" t="s">
        <v>5159</v>
      </c>
      <c r="DH516" s="0" t="s">
        <v>82</v>
      </c>
      <c r="DI516" s="0" t="s">
        <v>2201</v>
      </c>
      <c r="DJ516" s="0" t="s">
        <v>2202</v>
      </c>
      <c r="DK516" s="0" t="s">
        <v>705</v>
      </c>
      <c r="DL516" s="0" t="n">
        <v>3.85</v>
      </c>
      <c r="DM516" s="0" t="s">
        <v>676</v>
      </c>
      <c r="DN516" s="0" t="s">
        <v>675</v>
      </c>
      <c r="DO516" s="0" t="n">
        <v>0</v>
      </c>
      <c r="DP516" s="0" t="n">
        <v>0</v>
      </c>
      <c r="DQ516" s="0" t="n">
        <v>202</v>
      </c>
      <c r="DR516" s="0" t="s">
        <v>5160</v>
      </c>
      <c r="EB516" s="0" t="s">
        <v>5161</v>
      </c>
      <c r="EC516" s="0" t="s">
        <v>2644</v>
      </c>
      <c r="EE516" s="0" t="s">
        <v>225</v>
      </c>
    </row>
    <row r="517" customFormat="false" ht="15" hidden="false" customHeight="false" outlineLevel="0" collapsed="false">
      <c r="DG517" s="0" t="s">
        <v>5162</v>
      </c>
      <c r="DH517" s="0" t="s">
        <v>82</v>
      </c>
      <c r="DI517" s="0" t="s">
        <v>2204</v>
      </c>
      <c r="DJ517" s="0" t="s">
        <v>2205</v>
      </c>
      <c r="DK517" s="0" t="s">
        <v>705</v>
      </c>
      <c r="DL517" s="0" t="n">
        <v>3.85</v>
      </c>
      <c r="DM517" s="0" t="s">
        <v>676</v>
      </c>
      <c r="DN517" s="0" t="s">
        <v>675</v>
      </c>
      <c r="DO517" s="0" t="n">
        <v>0</v>
      </c>
      <c r="DP517" s="0" t="n">
        <v>0</v>
      </c>
      <c r="DQ517" s="0" t="n">
        <v>321.09</v>
      </c>
      <c r="DR517" s="0" t="s">
        <v>5163</v>
      </c>
      <c r="EB517" s="0" t="s">
        <v>5164</v>
      </c>
      <c r="EC517" s="0" t="s">
        <v>2644</v>
      </c>
      <c r="EE517" s="0" t="s">
        <v>288</v>
      </c>
    </row>
    <row r="518" customFormat="false" ht="15" hidden="false" customHeight="false" outlineLevel="0" collapsed="false">
      <c r="DG518" s="0" t="s">
        <v>5165</v>
      </c>
      <c r="DH518" s="0" t="s">
        <v>82</v>
      </c>
      <c r="DI518" s="0" t="s">
        <v>2206</v>
      </c>
      <c r="DJ518" s="0" t="s">
        <v>2207</v>
      </c>
      <c r="DK518" s="0" t="s">
        <v>705</v>
      </c>
      <c r="DL518" s="0" t="n">
        <v>3.85</v>
      </c>
      <c r="DM518" s="0" t="s">
        <v>676</v>
      </c>
      <c r="DN518" s="0" t="s">
        <v>675</v>
      </c>
      <c r="DO518" s="0" t="n">
        <v>0</v>
      </c>
      <c r="DP518" s="0" t="n">
        <v>0</v>
      </c>
      <c r="DQ518" s="0" t="n">
        <v>2625</v>
      </c>
      <c r="DR518" s="0" t="s">
        <v>5166</v>
      </c>
      <c r="EB518" s="0" t="s">
        <v>5167</v>
      </c>
      <c r="EC518" s="0" t="s">
        <v>2644</v>
      </c>
      <c r="ED518" s="0" t="s">
        <v>2645</v>
      </c>
      <c r="EE518" s="0" t="s">
        <v>269</v>
      </c>
      <c r="EF518" s="0" t="s">
        <v>268</v>
      </c>
      <c r="EG518" s="0" t="n">
        <v>280</v>
      </c>
      <c r="EH518" s="0" t="n">
        <v>280</v>
      </c>
      <c r="EI518" s="0" t="n">
        <v>280</v>
      </c>
      <c r="EJ518" s="0" t="n">
        <v>280</v>
      </c>
    </row>
    <row r="519" customFormat="false" ht="15" hidden="false" customHeight="false" outlineLevel="0" collapsed="false">
      <c r="DG519" s="0" t="s">
        <v>5168</v>
      </c>
      <c r="DH519" s="0" t="s">
        <v>87</v>
      </c>
      <c r="DI519" s="0" t="s">
        <v>672</v>
      </c>
      <c r="DJ519" s="0" t="s">
        <v>673</v>
      </c>
      <c r="DK519" s="0" t="s">
        <v>674</v>
      </c>
      <c r="DL519" s="0" t="n">
        <v>100</v>
      </c>
      <c r="DM519" s="0" t="s">
        <v>676</v>
      </c>
      <c r="DN519" s="0" t="s">
        <v>675</v>
      </c>
      <c r="DO519" s="0" t="n">
        <v>0</v>
      </c>
      <c r="DP519" s="0" t="n">
        <v>0</v>
      </c>
      <c r="DQ519" s="0" t="n">
        <v>270.7</v>
      </c>
      <c r="DR519" s="0" t="s">
        <v>5169</v>
      </c>
      <c r="EB519" s="0" t="s">
        <v>5170</v>
      </c>
      <c r="EC519" s="0" t="s">
        <v>2644</v>
      </c>
      <c r="ED519" s="0" t="s">
        <v>2645</v>
      </c>
      <c r="EE519" s="0" t="s">
        <v>237</v>
      </c>
      <c r="EF519" s="0" t="s">
        <v>235</v>
      </c>
      <c r="EG519" s="0" t="n">
        <v>2650</v>
      </c>
      <c r="EH519" s="0" t="n">
        <v>2650</v>
      </c>
      <c r="EI519" s="0" t="n">
        <v>2650</v>
      </c>
      <c r="EJ519" s="0" t="n">
        <v>2650</v>
      </c>
    </row>
    <row r="520" customFormat="false" ht="15" hidden="false" customHeight="false" outlineLevel="0" collapsed="false">
      <c r="DG520" s="0" t="s">
        <v>5171</v>
      </c>
      <c r="DH520" s="0" t="s">
        <v>87</v>
      </c>
      <c r="DI520" s="0" t="s">
        <v>682</v>
      </c>
      <c r="DJ520" s="0" t="s">
        <v>683</v>
      </c>
      <c r="DK520" s="0" t="s">
        <v>674</v>
      </c>
      <c r="DL520" s="0" t="n">
        <v>100</v>
      </c>
      <c r="DM520" s="0" t="s">
        <v>676</v>
      </c>
      <c r="DN520" s="0" t="s">
        <v>675</v>
      </c>
      <c r="DO520" s="0" t="n">
        <v>0</v>
      </c>
      <c r="DP520" s="0" t="n">
        <v>0</v>
      </c>
      <c r="DQ520" s="0" t="n">
        <v>957.1</v>
      </c>
      <c r="DR520" s="0" t="s">
        <v>5172</v>
      </c>
      <c r="EB520" s="0" t="s">
        <v>5173</v>
      </c>
      <c r="EC520" s="0" t="s">
        <v>2644</v>
      </c>
      <c r="EE520" s="0" t="s">
        <v>249</v>
      </c>
    </row>
    <row r="521" customFormat="false" ht="15" hidden="false" customHeight="false" outlineLevel="0" collapsed="false">
      <c r="DG521" s="0" t="s">
        <v>5174</v>
      </c>
      <c r="DH521" s="0" t="s">
        <v>87</v>
      </c>
      <c r="DI521" s="0" t="s">
        <v>687</v>
      </c>
      <c r="DJ521" s="0" t="s">
        <v>688</v>
      </c>
      <c r="DK521" s="0" t="s">
        <v>674</v>
      </c>
      <c r="DL521" s="0" t="n">
        <v>100</v>
      </c>
      <c r="DM521" s="0" t="s">
        <v>676</v>
      </c>
      <c r="DN521" s="0" t="s">
        <v>676</v>
      </c>
      <c r="DO521" s="0" t="n">
        <v>0</v>
      </c>
      <c r="DP521" s="0" t="n">
        <v>0</v>
      </c>
      <c r="DQ521" s="0" t="n">
        <v>215.56</v>
      </c>
      <c r="DR521" s="0" t="s">
        <v>5175</v>
      </c>
      <c r="EB521" s="0" t="s">
        <v>5176</v>
      </c>
      <c r="EC521" s="0" t="s">
        <v>2644</v>
      </c>
      <c r="EE521" s="0" t="s">
        <v>293</v>
      </c>
    </row>
    <row r="522" customFormat="false" ht="15" hidden="false" customHeight="false" outlineLevel="0" collapsed="false">
      <c r="DG522" s="0" t="s">
        <v>5177</v>
      </c>
      <c r="DH522" s="0" t="s">
        <v>87</v>
      </c>
      <c r="DI522" s="0" t="s">
        <v>692</v>
      </c>
      <c r="DJ522" s="0" t="s">
        <v>693</v>
      </c>
      <c r="DK522" s="0" t="s">
        <v>674</v>
      </c>
      <c r="DL522" s="0" t="n">
        <v>100</v>
      </c>
      <c r="DM522" s="0" t="s">
        <v>676</v>
      </c>
      <c r="DN522" s="0" t="s">
        <v>676</v>
      </c>
      <c r="DO522" s="0" t="n">
        <v>4</v>
      </c>
      <c r="DP522" s="0" t="n">
        <v>785.12</v>
      </c>
      <c r="DQ522" s="0" t="n">
        <v>785.12</v>
      </c>
      <c r="DR522" s="0" t="s">
        <v>5178</v>
      </c>
      <c r="EB522" s="0" t="s">
        <v>5179</v>
      </c>
      <c r="EC522" s="0" t="s">
        <v>2644</v>
      </c>
      <c r="EE522" s="0" t="s">
        <v>280</v>
      </c>
    </row>
    <row r="523" customFormat="false" ht="15" hidden="false" customHeight="false" outlineLevel="0" collapsed="false">
      <c r="DG523" s="0" t="s">
        <v>5180</v>
      </c>
      <c r="DH523" s="0" t="s">
        <v>87</v>
      </c>
      <c r="DI523" s="0" t="s">
        <v>698</v>
      </c>
      <c r="DJ523" s="0" t="s">
        <v>699</v>
      </c>
      <c r="DK523" s="0" t="s">
        <v>674</v>
      </c>
      <c r="DL523" s="0" t="n">
        <v>100</v>
      </c>
      <c r="DM523" s="0" t="s">
        <v>676</v>
      </c>
      <c r="DN523" s="0" t="s">
        <v>675</v>
      </c>
      <c r="DO523" s="0" t="n">
        <v>0</v>
      </c>
      <c r="DP523" s="0" t="n">
        <v>0</v>
      </c>
      <c r="DQ523" s="0" t="n">
        <v>44.75</v>
      </c>
      <c r="DR523" s="0" t="s">
        <v>5181</v>
      </c>
      <c r="EB523" s="0" t="s">
        <v>5182</v>
      </c>
      <c r="EC523" s="0" t="s">
        <v>2644</v>
      </c>
      <c r="ED523" s="0" t="s">
        <v>2645</v>
      </c>
      <c r="EE523" s="0" t="s">
        <v>264</v>
      </c>
      <c r="EF523" s="0" t="s">
        <v>262</v>
      </c>
      <c r="EG523" s="0" t="n">
        <v>1780</v>
      </c>
      <c r="EH523" s="0" t="n">
        <v>2050</v>
      </c>
      <c r="EI523" s="0" t="n">
        <v>2320</v>
      </c>
      <c r="EJ523" s="0" t="n">
        <v>2490</v>
      </c>
    </row>
    <row r="524" customFormat="false" ht="15" hidden="false" customHeight="false" outlineLevel="0" collapsed="false">
      <c r="DG524" s="0" t="s">
        <v>5183</v>
      </c>
      <c r="DH524" s="0" t="s">
        <v>87</v>
      </c>
      <c r="DI524" s="0" t="s">
        <v>703</v>
      </c>
      <c r="DJ524" s="0" t="s">
        <v>704</v>
      </c>
      <c r="DK524" s="0" t="s">
        <v>705</v>
      </c>
      <c r="DL524" s="0" t="n">
        <v>100</v>
      </c>
      <c r="DM524" s="0" t="s">
        <v>675</v>
      </c>
      <c r="DN524" s="0" t="s">
        <v>676</v>
      </c>
      <c r="DO524" s="0" t="n">
        <v>1</v>
      </c>
      <c r="DP524" s="0" t="n">
        <v>913</v>
      </c>
      <c r="DQ524" s="0" t="n">
        <v>913</v>
      </c>
      <c r="DR524" s="0" t="s">
        <v>5184</v>
      </c>
      <c r="EB524" s="0" t="s">
        <v>5185</v>
      </c>
      <c r="EC524" s="0" t="s">
        <v>2644</v>
      </c>
      <c r="EE524" s="0" t="s">
        <v>278</v>
      </c>
    </row>
    <row r="525" customFormat="false" ht="15" hidden="false" customHeight="false" outlineLevel="0" collapsed="false">
      <c r="DG525" s="0" t="s">
        <v>5186</v>
      </c>
      <c r="DH525" s="0" t="s">
        <v>87</v>
      </c>
      <c r="DI525" s="0" t="s">
        <v>709</v>
      </c>
      <c r="DJ525" s="0" t="s">
        <v>710</v>
      </c>
      <c r="DK525" s="0" t="s">
        <v>705</v>
      </c>
      <c r="DL525" s="0" t="n">
        <v>100</v>
      </c>
      <c r="DM525" s="0" t="s">
        <v>675</v>
      </c>
      <c r="DN525" s="0" t="s">
        <v>676</v>
      </c>
      <c r="DO525" s="0" t="n">
        <v>1</v>
      </c>
      <c r="DP525" s="0" t="n">
        <v>61.88</v>
      </c>
      <c r="DQ525" s="0" t="n">
        <v>61.88</v>
      </c>
      <c r="DR525" s="0" t="s">
        <v>5187</v>
      </c>
      <c r="EB525" s="0" t="s">
        <v>5188</v>
      </c>
      <c r="EC525" s="0" t="s">
        <v>2644</v>
      </c>
      <c r="ED525" s="0" t="s">
        <v>2645</v>
      </c>
      <c r="EE525" s="0" t="s">
        <v>240</v>
      </c>
      <c r="EF525" s="0" t="s">
        <v>238</v>
      </c>
      <c r="EG525" s="0" t="n">
        <v>3030</v>
      </c>
      <c r="EH525" s="0" t="n">
        <v>3030</v>
      </c>
      <c r="EI525" s="0" t="n">
        <v>3030</v>
      </c>
      <c r="EJ525" s="0" t="n">
        <v>3030</v>
      </c>
    </row>
    <row r="526" customFormat="false" ht="15" hidden="false" customHeight="false" outlineLevel="0" collapsed="false">
      <c r="DG526" s="0" t="s">
        <v>5189</v>
      </c>
      <c r="DH526" s="0" t="s">
        <v>87</v>
      </c>
      <c r="DI526" s="0" t="s">
        <v>712</v>
      </c>
      <c r="DJ526" s="0" t="s">
        <v>713</v>
      </c>
      <c r="DK526" s="0" t="s">
        <v>705</v>
      </c>
      <c r="DL526" s="0" t="n">
        <v>100</v>
      </c>
      <c r="DM526" s="0" t="s">
        <v>676</v>
      </c>
      <c r="DN526" s="0" t="s">
        <v>676</v>
      </c>
      <c r="DO526" s="0" t="n">
        <v>3</v>
      </c>
      <c r="DP526" s="0" t="n">
        <v>105</v>
      </c>
      <c r="DQ526" s="0" t="n">
        <v>105</v>
      </c>
      <c r="DR526" s="0" t="s">
        <v>5190</v>
      </c>
      <c r="EB526" s="0" t="s">
        <v>5191</v>
      </c>
      <c r="EC526" s="0" t="s">
        <v>2644</v>
      </c>
      <c r="ED526" s="0" t="s">
        <v>2645</v>
      </c>
      <c r="EE526" s="0" t="s">
        <v>252</v>
      </c>
      <c r="EF526" s="0" t="s">
        <v>250</v>
      </c>
      <c r="EG526" s="0" t="n">
        <v>400</v>
      </c>
      <c r="EH526" s="0" t="n">
        <v>400</v>
      </c>
      <c r="EI526" s="0" t="n">
        <v>400</v>
      </c>
      <c r="EJ526" s="0" t="n">
        <v>400</v>
      </c>
    </row>
    <row r="527" customFormat="false" ht="15" hidden="false" customHeight="false" outlineLevel="0" collapsed="false">
      <c r="DG527" s="0" t="s">
        <v>5192</v>
      </c>
      <c r="DH527" s="0" t="s">
        <v>87</v>
      </c>
      <c r="DI527" s="0" t="s">
        <v>717</v>
      </c>
      <c r="DJ527" s="0" t="s">
        <v>718</v>
      </c>
      <c r="DK527" s="0" t="s">
        <v>705</v>
      </c>
      <c r="DL527" s="0" t="n">
        <v>100</v>
      </c>
      <c r="DM527" s="0" t="s">
        <v>675</v>
      </c>
      <c r="DN527" s="0" t="s">
        <v>676</v>
      </c>
      <c r="DO527" s="0" t="n">
        <v>1</v>
      </c>
      <c r="DP527" s="0" t="n">
        <v>1903</v>
      </c>
      <c r="DQ527" s="0" t="n">
        <v>1903</v>
      </c>
      <c r="DR527" s="0" t="s">
        <v>5193</v>
      </c>
      <c r="EB527" s="0" t="s">
        <v>5194</v>
      </c>
      <c r="EC527" s="0" t="s">
        <v>2644</v>
      </c>
      <c r="ED527" s="0" t="s">
        <v>2645</v>
      </c>
      <c r="EE527" s="0" t="s">
        <v>229</v>
      </c>
      <c r="EF527" s="0" t="s">
        <v>227</v>
      </c>
      <c r="EG527" s="0" t="n">
        <v>180</v>
      </c>
      <c r="EH527" s="0" t="n">
        <v>220</v>
      </c>
      <c r="EI527" s="0" t="n">
        <v>240</v>
      </c>
      <c r="EJ527" s="0" t="n">
        <v>260</v>
      </c>
    </row>
    <row r="528" customFormat="false" ht="15" hidden="false" customHeight="false" outlineLevel="0" collapsed="false">
      <c r="DG528" s="0" t="s">
        <v>5195</v>
      </c>
      <c r="DH528" s="0" t="s">
        <v>87</v>
      </c>
      <c r="DI528" s="0" t="s">
        <v>720</v>
      </c>
      <c r="DJ528" s="0" t="s">
        <v>721</v>
      </c>
      <c r="DK528" s="0" t="s">
        <v>705</v>
      </c>
      <c r="DL528" s="0" t="n">
        <v>100</v>
      </c>
      <c r="DM528" s="0" t="s">
        <v>676</v>
      </c>
      <c r="DN528" s="0" t="s">
        <v>676</v>
      </c>
      <c r="DO528" s="0" t="n">
        <v>0</v>
      </c>
      <c r="DP528" s="0" t="n">
        <v>0</v>
      </c>
      <c r="DQ528" s="0" t="n">
        <v>1769</v>
      </c>
      <c r="DR528" s="0" t="s">
        <v>5196</v>
      </c>
      <c r="EB528" s="0" t="s">
        <v>5197</v>
      </c>
      <c r="EC528" s="0" t="s">
        <v>2644</v>
      </c>
      <c r="ED528" s="0" t="s">
        <v>2645</v>
      </c>
      <c r="EE528" s="0" t="s">
        <v>246</v>
      </c>
      <c r="EF528" s="0" t="s">
        <v>244</v>
      </c>
      <c r="EG528" s="0" t="n">
        <v>670</v>
      </c>
      <c r="EH528" s="0" t="n">
        <v>670</v>
      </c>
      <c r="EI528" s="0" t="n">
        <v>670</v>
      </c>
      <c r="EJ528" s="0" t="n">
        <v>670</v>
      </c>
    </row>
    <row r="529" customFormat="false" ht="15" hidden="false" customHeight="false" outlineLevel="0" collapsed="false">
      <c r="DG529" s="0" t="s">
        <v>5198</v>
      </c>
      <c r="DH529" s="0" t="s">
        <v>87</v>
      </c>
      <c r="DI529" s="0" t="s">
        <v>725</v>
      </c>
      <c r="DJ529" s="0" t="s">
        <v>726</v>
      </c>
      <c r="DK529" s="0" t="s">
        <v>705</v>
      </c>
      <c r="DL529" s="0" t="n">
        <v>100</v>
      </c>
      <c r="DM529" s="0" t="s">
        <v>676</v>
      </c>
      <c r="DN529" s="0" t="s">
        <v>676</v>
      </c>
      <c r="DO529" s="0" t="n">
        <v>5</v>
      </c>
      <c r="DP529" s="0" t="n">
        <v>510</v>
      </c>
      <c r="DQ529" s="0" t="n">
        <v>561</v>
      </c>
      <c r="DR529" s="0" t="s">
        <v>5199</v>
      </c>
      <c r="EB529" s="0" t="s">
        <v>5200</v>
      </c>
      <c r="EC529" s="0" t="s">
        <v>2644</v>
      </c>
      <c r="ED529" s="0" t="s">
        <v>2645</v>
      </c>
      <c r="EE529" s="0" t="s">
        <v>255</v>
      </c>
      <c r="EF529" s="0" t="s">
        <v>253</v>
      </c>
      <c r="EG529" s="0" t="n">
        <v>460</v>
      </c>
      <c r="EH529" s="0" t="n">
        <v>540</v>
      </c>
      <c r="EI529" s="0" t="n">
        <v>600</v>
      </c>
      <c r="EJ529" s="0" t="n">
        <v>650</v>
      </c>
    </row>
    <row r="530" customFormat="false" ht="15" hidden="false" customHeight="false" outlineLevel="0" collapsed="false">
      <c r="DG530" s="0" t="s">
        <v>5201</v>
      </c>
      <c r="DH530" s="0" t="s">
        <v>87</v>
      </c>
      <c r="DI530" s="0" t="s">
        <v>732</v>
      </c>
      <c r="DJ530" s="0" t="s">
        <v>733</v>
      </c>
      <c r="DK530" s="0" t="s">
        <v>705</v>
      </c>
      <c r="DL530" s="0" t="n">
        <v>100</v>
      </c>
      <c r="DM530" s="0" t="s">
        <v>675</v>
      </c>
      <c r="DN530" s="0" t="s">
        <v>676</v>
      </c>
      <c r="DO530" s="0" t="n">
        <v>1</v>
      </c>
      <c r="DP530" s="0" t="n">
        <v>7.67</v>
      </c>
      <c r="DQ530" s="0" t="n">
        <v>7.67</v>
      </c>
      <c r="DR530" s="0" t="s">
        <v>5202</v>
      </c>
      <c r="EB530" s="0" t="s">
        <v>5203</v>
      </c>
      <c r="EC530" s="0" t="s">
        <v>2644</v>
      </c>
      <c r="EE530" s="0" t="s">
        <v>243</v>
      </c>
    </row>
    <row r="531" customFormat="false" ht="15" hidden="false" customHeight="false" outlineLevel="0" collapsed="false">
      <c r="DG531" s="0" t="s">
        <v>5204</v>
      </c>
      <c r="DH531" s="0" t="s">
        <v>87</v>
      </c>
      <c r="DI531" s="0" t="s">
        <v>737</v>
      </c>
      <c r="DJ531" s="0" t="s">
        <v>738</v>
      </c>
      <c r="DK531" s="0" t="s">
        <v>705</v>
      </c>
      <c r="DL531" s="0" t="n">
        <v>100</v>
      </c>
      <c r="DM531" s="0" t="s">
        <v>675</v>
      </c>
      <c r="DN531" s="0" t="s">
        <v>676</v>
      </c>
      <c r="DO531" s="0" t="n">
        <v>2</v>
      </c>
      <c r="DP531" s="0" t="n">
        <v>15.34</v>
      </c>
      <c r="DQ531" s="0" t="n">
        <v>15.34</v>
      </c>
      <c r="DR531" s="0" t="s">
        <v>5205</v>
      </c>
      <c r="EB531" s="0" t="s">
        <v>5206</v>
      </c>
      <c r="EC531" s="0" t="s">
        <v>2644</v>
      </c>
      <c r="ED531" s="0" t="s">
        <v>2645</v>
      </c>
      <c r="EE531" s="0" t="s">
        <v>261</v>
      </c>
      <c r="EF531" s="0" t="s">
        <v>259</v>
      </c>
      <c r="EG531" s="0" t="n">
        <v>1</v>
      </c>
      <c r="EH531" s="0" t="n">
        <v>1</v>
      </c>
      <c r="EI531" s="0" t="n">
        <v>1</v>
      </c>
      <c r="EJ531" s="0" t="n">
        <v>1</v>
      </c>
    </row>
    <row r="532" customFormat="false" ht="15" hidden="false" customHeight="false" outlineLevel="0" collapsed="false">
      <c r="DG532" s="0" t="s">
        <v>5207</v>
      </c>
      <c r="DH532" s="0" t="s">
        <v>87</v>
      </c>
      <c r="DI532" s="0" t="s">
        <v>740</v>
      </c>
      <c r="DJ532" s="0" t="s">
        <v>741</v>
      </c>
      <c r="DK532" s="0" t="s">
        <v>705</v>
      </c>
      <c r="DL532" s="0" t="n">
        <v>100</v>
      </c>
      <c r="DM532" s="0" t="s">
        <v>676</v>
      </c>
      <c r="DN532" s="0" t="s">
        <v>676</v>
      </c>
      <c r="DO532" s="0" t="n">
        <v>3</v>
      </c>
      <c r="DP532" s="0" t="n">
        <v>998.4</v>
      </c>
      <c r="DQ532" s="0" t="n">
        <v>998.4</v>
      </c>
      <c r="DR532" s="0" t="s">
        <v>5208</v>
      </c>
      <c r="EB532" s="0" t="s">
        <v>5209</v>
      </c>
      <c r="EC532" s="0" t="s">
        <v>2644</v>
      </c>
      <c r="EE532" s="0" t="s">
        <v>296</v>
      </c>
    </row>
    <row r="533" customFormat="false" ht="15" hidden="false" customHeight="false" outlineLevel="0" collapsed="false">
      <c r="DG533" s="0" t="s">
        <v>5210</v>
      </c>
      <c r="DH533" s="0" t="s">
        <v>87</v>
      </c>
      <c r="DI533" s="0" t="s">
        <v>744</v>
      </c>
      <c r="DJ533" s="0" t="s">
        <v>745</v>
      </c>
      <c r="DK533" s="0" t="s">
        <v>705</v>
      </c>
      <c r="DL533" s="0" t="n">
        <v>100</v>
      </c>
      <c r="DM533" s="0" t="s">
        <v>676</v>
      </c>
      <c r="DN533" s="0" t="s">
        <v>676</v>
      </c>
      <c r="DO533" s="0" t="n">
        <v>2</v>
      </c>
      <c r="DP533" s="0" t="n">
        <v>76.4</v>
      </c>
      <c r="DQ533" s="0" t="n">
        <v>382</v>
      </c>
      <c r="DR533" s="0" t="s">
        <v>5211</v>
      </c>
      <c r="EB533" s="0" t="s">
        <v>5212</v>
      </c>
      <c r="EC533" s="0" t="s">
        <v>2677</v>
      </c>
      <c r="EE533" s="0" t="s">
        <v>626</v>
      </c>
    </row>
    <row r="534" customFormat="false" ht="15" hidden="false" customHeight="false" outlineLevel="0" collapsed="false">
      <c r="DG534" s="0" t="s">
        <v>5213</v>
      </c>
      <c r="DH534" s="0" t="s">
        <v>87</v>
      </c>
      <c r="DI534" s="0" t="s">
        <v>752</v>
      </c>
      <c r="DJ534" s="0" t="s">
        <v>753</v>
      </c>
      <c r="DK534" s="0" t="s">
        <v>705</v>
      </c>
      <c r="DL534" s="0" t="n">
        <v>100</v>
      </c>
      <c r="DM534" s="0" t="s">
        <v>676</v>
      </c>
      <c r="DN534" s="0" t="s">
        <v>676</v>
      </c>
      <c r="DO534" s="0" t="n">
        <v>3</v>
      </c>
      <c r="DP534" s="0" t="n">
        <v>51.3</v>
      </c>
      <c r="DQ534" s="0" t="n">
        <v>94.05</v>
      </c>
      <c r="DR534" s="0" t="s">
        <v>5214</v>
      </c>
      <c r="EB534" s="0" t="s">
        <v>5215</v>
      </c>
      <c r="EC534" s="0" t="s">
        <v>2677</v>
      </c>
      <c r="EE534" s="0" t="s">
        <v>624</v>
      </c>
    </row>
    <row r="535" customFormat="false" ht="15" hidden="false" customHeight="false" outlineLevel="0" collapsed="false">
      <c r="DG535" s="0" t="s">
        <v>5216</v>
      </c>
      <c r="DH535" s="0" t="s">
        <v>87</v>
      </c>
      <c r="DI535" s="0" t="s">
        <v>757</v>
      </c>
      <c r="DJ535" s="0" t="s">
        <v>758</v>
      </c>
      <c r="DK535" s="0" t="s">
        <v>705</v>
      </c>
      <c r="DL535" s="0" t="n">
        <v>100</v>
      </c>
      <c r="DM535" s="0" t="s">
        <v>676</v>
      </c>
      <c r="DN535" s="0" t="s">
        <v>675</v>
      </c>
      <c r="DO535" s="0" t="n">
        <v>0</v>
      </c>
      <c r="DP535" s="0" t="n">
        <v>0</v>
      </c>
      <c r="DQ535" s="0" t="n">
        <v>646.9</v>
      </c>
      <c r="DR535" s="0" t="s">
        <v>5217</v>
      </c>
      <c r="EB535" s="0" t="s">
        <v>5218</v>
      </c>
      <c r="EC535" s="0" t="s">
        <v>2677</v>
      </c>
      <c r="EE535" s="0" t="s">
        <v>622</v>
      </c>
    </row>
    <row r="536" customFormat="false" ht="15" hidden="false" customHeight="false" outlineLevel="0" collapsed="false">
      <c r="DG536" s="0" t="s">
        <v>5219</v>
      </c>
      <c r="DH536" s="0" t="s">
        <v>87</v>
      </c>
      <c r="DI536" s="0" t="s">
        <v>763</v>
      </c>
      <c r="DJ536" s="0" t="s">
        <v>764</v>
      </c>
      <c r="DK536" s="0" t="s">
        <v>674</v>
      </c>
      <c r="DL536" s="0" t="n">
        <v>96.15</v>
      </c>
      <c r="DM536" s="0" t="s">
        <v>675</v>
      </c>
      <c r="DN536" s="0" t="s">
        <v>676</v>
      </c>
      <c r="DO536" s="0" t="n">
        <v>10</v>
      </c>
      <c r="DP536" s="0" t="n">
        <v>2006</v>
      </c>
      <c r="DQ536" s="0" t="n">
        <v>2006</v>
      </c>
      <c r="DR536" s="0" t="s">
        <v>5220</v>
      </c>
      <c r="EB536" s="0" t="s">
        <v>5221</v>
      </c>
      <c r="EC536" s="0" t="s">
        <v>2677</v>
      </c>
      <c r="EE536" s="0" t="s">
        <v>620</v>
      </c>
    </row>
    <row r="537" customFormat="false" ht="15" hidden="false" customHeight="false" outlineLevel="0" collapsed="false">
      <c r="DG537" s="0" t="s">
        <v>5222</v>
      </c>
      <c r="DH537" s="0" t="s">
        <v>87</v>
      </c>
      <c r="DI537" s="0" t="s">
        <v>771</v>
      </c>
      <c r="DJ537" s="0" t="s">
        <v>772</v>
      </c>
      <c r="DK537" s="0" t="s">
        <v>705</v>
      </c>
      <c r="DL537" s="0" t="n">
        <v>96.15</v>
      </c>
      <c r="DM537" s="0" t="s">
        <v>675</v>
      </c>
      <c r="DN537" s="0" t="s">
        <v>676</v>
      </c>
      <c r="DO537" s="0" t="n">
        <v>1</v>
      </c>
      <c r="DP537" s="0" t="n">
        <v>1004</v>
      </c>
      <c r="DQ537" s="0" t="n">
        <v>1004</v>
      </c>
      <c r="DR537" s="0" t="s">
        <v>5223</v>
      </c>
      <c r="EB537" s="0" t="s">
        <v>5224</v>
      </c>
      <c r="EC537" s="0" t="s">
        <v>2677</v>
      </c>
      <c r="EE537" s="0" t="s">
        <v>618</v>
      </c>
    </row>
    <row r="538" customFormat="false" ht="15" hidden="false" customHeight="false" outlineLevel="0" collapsed="false">
      <c r="DG538" s="0" t="s">
        <v>5225</v>
      </c>
      <c r="DH538" s="0" t="s">
        <v>87</v>
      </c>
      <c r="DI538" s="0" t="s">
        <v>776</v>
      </c>
      <c r="DJ538" s="0" t="s">
        <v>777</v>
      </c>
      <c r="DK538" s="0" t="s">
        <v>705</v>
      </c>
      <c r="DL538" s="0" t="n">
        <v>96.15</v>
      </c>
      <c r="DM538" s="0" t="s">
        <v>675</v>
      </c>
      <c r="DN538" s="0" t="s">
        <v>676</v>
      </c>
      <c r="DO538" s="0" t="n">
        <v>2</v>
      </c>
      <c r="DP538" s="0" t="n">
        <v>2592</v>
      </c>
      <c r="DQ538" s="0" t="n">
        <v>2592</v>
      </c>
      <c r="DR538" s="0" t="s">
        <v>5226</v>
      </c>
      <c r="EB538" s="0" t="s">
        <v>5227</v>
      </c>
      <c r="EC538" s="0" t="s">
        <v>2677</v>
      </c>
      <c r="EE538" s="0" t="s">
        <v>616</v>
      </c>
    </row>
    <row r="539" customFormat="false" ht="15" hidden="false" customHeight="false" outlineLevel="0" collapsed="false">
      <c r="DG539" s="0" t="s">
        <v>5228</v>
      </c>
      <c r="DH539" s="0" t="s">
        <v>87</v>
      </c>
      <c r="DI539" s="0" t="s">
        <v>782</v>
      </c>
      <c r="DJ539" s="0" t="s">
        <v>783</v>
      </c>
      <c r="DK539" s="0" t="s">
        <v>705</v>
      </c>
      <c r="DL539" s="0" t="n">
        <v>96.15</v>
      </c>
      <c r="DM539" s="0" t="s">
        <v>676</v>
      </c>
      <c r="DN539" s="0" t="s">
        <v>675</v>
      </c>
      <c r="DO539" s="0" t="n">
        <v>0</v>
      </c>
      <c r="DP539" s="0" t="n">
        <v>0</v>
      </c>
      <c r="DQ539" s="0" t="n">
        <v>245</v>
      </c>
      <c r="DR539" s="0" t="s">
        <v>5229</v>
      </c>
      <c r="EB539" s="0" t="s">
        <v>5230</v>
      </c>
      <c r="EC539" s="0" t="s">
        <v>2677</v>
      </c>
      <c r="EE539" s="0" t="s">
        <v>614</v>
      </c>
    </row>
    <row r="540" customFormat="false" ht="15" hidden="false" customHeight="false" outlineLevel="0" collapsed="false">
      <c r="DG540" s="0" t="s">
        <v>5231</v>
      </c>
      <c r="DH540" s="0" t="s">
        <v>87</v>
      </c>
      <c r="DI540" s="0" t="s">
        <v>786</v>
      </c>
      <c r="DJ540" s="0" t="s">
        <v>787</v>
      </c>
      <c r="DK540" s="0" t="s">
        <v>705</v>
      </c>
      <c r="DL540" s="0" t="n">
        <v>96.15</v>
      </c>
      <c r="DM540" s="0" t="s">
        <v>676</v>
      </c>
      <c r="DN540" s="0" t="s">
        <v>676</v>
      </c>
      <c r="DO540" s="0" t="n">
        <v>1</v>
      </c>
      <c r="DP540" s="0" t="n">
        <v>1416.94</v>
      </c>
      <c r="DQ540" s="0" t="n">
        <v>1416.94</v>
      </c>
      <c r="DR540" s="0" t="s">
        <v>5232</v>
      </c>
      <c r="EB540" s="0" t="s">
        <v>5233</v>
      </c>
      <c r="EC540" s="0" t="s">
        <v>2677</v>
      </c>
      <c r="EE540" s="0" t="s">
        <v>612</v>
      </c>
    </row>
    <row r="541" customFormat="false" ht="15" hidden="false" customHeight="false" outlineLevel="0" collapsed="false">
      <c r="DG541" s="0" t="s">
        <v>5234</v>
      </c>
      <c r="DH541" s="0" t="s">
        <v>87</v>
      </c>
      <c r="DI541" s="0" t="s">
        <v>791</v>
      </c>
      <c r="DJ541" s="0" t="s">
        <v>792</v>
      </c>
      <c r="DK541" s="0" t="s">
        <v>705</v>
      </c>
      <c r="DL541" s="0" t="n">
        <v>96.15</v>
      </c>
      <c r="DM541" s="0" t="s">
        <v>676</v>
      </c>
      <c r="DN541" s="0" t="s">
        <v>676</v>
      </c>
      <c r="DO541" s="0" t="n">
        <v>0</v>
      </c>
      <c r="DP541" s="0" t="n">
        <v>0</v>
      </c>
      <c r="DQ541" s="0" t="n">
        <v>871.5</v>
      </c>
      <c r="DR541" s="0" t="s">
        <v>5235</v>
      </c>
      <c r="EB541" s="0" t="s">
        <v>5236</v>
      </c>
      <c r="EC541" s="0" t="s">
        <v>2677</v>
      </c>
      <c r="EE541" s="0" t="s">
        <v>609</v>
      </c>
    </row>
    <row r="542" customFormat="false" ht="15" hidden="false" customHeight="false" outlineLevel="0" collapsed="false">
      <c r="DG542" s="0" t="s">
        <v>5237</v>
      </c>
      <c r="DH542" s="0" t="s">
        <v>87</v>
      </c>
      <c r="DI542" s="0" t="s">
        <v>794</v>
      </c>
      <c r="DJ542" s="0" t="s">
        <v>795</v>
      </c>
      <c r="DK542" s="0" t="s">
        <v>705</v>
      </c>
      <c r="DL542" s="0" t="n">
        <v>96.15</v>
      </c>
      <c r="DM542" s="0" t="s">
        <v>676</v>
      </c>
      <c r="DN542" s="0" t="s">
        <v>676</v>
      </c>
      <c r="DO542" s="0" t="n">
        <v>2</v>
      </c>
      <c r="DP542" s="0" t="n">
        <v>50.62</v>
      </c>
      <c r="DQ542" s="0" t="n">
        <v>126.25</v>
      </c>
      <c r="DR542" s="0" t="s">
        <v>5238</v>
      </c>
      <c r="EB542" s="0" t="s">
        <v>5239</v>
      </c>
      <c r="EC542" s="0" t="s">
        <v>2677</v>
      </c>
      <c r="ED542" s="0" t="s">
        <v>2678</v>
      </c>
      <c r="EE542" s="0" t="s">
        <v>607</v>
      </c>
      <c r="EF542" s="0" t="s">
        <v>2680</v>
      </c>
      <c r="EG542" s="0" t="n">
        <v>1</v>
      </c>
      <c r="EH542" s="0" t="n">
        <v>1</v>
      </c>
      <c r="EI542" s="0" t="n">
        <v>1</v>
      </c>
      <c r="EJ542" s="0" t="n">
        <v>1</v>
      </c>
    </row>
    <row r="543" customFormat="false" ht="15" hidden="false" customHeight="false" outlineLevel="0" collapsed="false">
      <c r="DG543" s="0" t="s">
        <v>5240</v>
      </c>
      <c r="DH543" s="0" t="s">
        <v>87</v>
      </c>
      <c r="DI543" s="0" t="s">
        <v>802</v>
      </c>
      <c r="DJ543" s="0" t="s">
        <v>803</v>
      </c>
      <c r="DK543" s="0" t="s">
        <v>674</v>
      </c>
      <c r="DL543" s="0" t="n">
        <v>92.31</v>
      </c>
      <c r="DM543" s="0" t="s">
        <v>676</v>
      </c>
      <c r="DN543" s="0" t="s">
        <v>676</v>
      </c>
      <c r="DO543" s="0" t="n">
        <v>1</v>
      </c>
      <c r="DP543" s="0" t="n">
        <v>313.12</v>
      </c>
      <c r="DQ543" s="0" t="n">
        <v>313.12</v>
      </c>
      <c r="DR543" s="0" t="s">
        <v>5241</v>
      </c>
      <c r="EB543" s="0" t="s">
        <v>5242</v>
      </c>
      <c r="EC543" s="0" t="s">
        <v>2677</v>
      </c>
      <c r="EE543" s="0" t="s">
        <v>605</v>
      </c>
    </row>
    <row r="544" customFormat="false" ht="15" hidden="false" customHeight="false" outlineLevel="0" collapsed="false">
      <c r="DG544" s="0" t="s">
        <v>5243</v>
      </c>
      <c r="DH544" s="0" t="s">
        <v>87</v>
      </c>
      <c r="DI544" s="0" t="s">
        <v>807</v>
      </c>
      <c r="DJ544" s="0" t="s">
        <v>808</v>
      </c>
      <c r="DK544" s="0" t="s">
        <v>674</v>
      </c>
      <c r="DL544" s="0" t="n">
        <v>92.31</v>
      </c>
      <c r="DM544" s="0" t="s">
        <v>675</v>
      </c>
      <c r="DN544" s="0" t="s">
        <v>676</v>
      </c>
      <c r="DO544" s="0" t="n">
        <v>1</v>
      </c>
      <c r="DP544" s="0" t="n">
        <v>132.15</v>
      </c>
      <c r="DQ544" s="0" t="n">
        <v>132.15</v>
      </c>
      <c r="DR544" s="0" t="s">
        <v>5244</v>
      </c>
      <c r="EB544" s="0" t="s">
        <v>5245</v>
      </c>
      <c r="EC544" s="0" t="s">
        <v>2677</v>
      </c>
      <c r="EE544" s="0" t="s">
        <v>629</v>
      </c>
    </row>
    <row r="545" customFormat="false" ht="15" hidden="false" customHeight="false" outlineLevel="0" collapsed="false">
      <c r="DG545" s="0" t="s">
        <v>5246</v>
      </c>
      <c r="DH545" s="0" t="s">
        <v>87</v>
      </c>
      <c r="DI545" s="0" t="s">
        <v>812</v>
      </c>
      <c r="DJ545" s="0" t="s">
        <v>813</v>
      </c>
      <c r="DK545" s="0" t="s">
        <v>705</v>
      </c>
      <c r="DL545" s="0" t="n">
        <v>92.31</v>
      </c>
      <c r="DM545" s="0" t="s">
        <v>675</v>
      </c>
      <c r="DN545" s="0" t="s">
        <v>676</v>
      </c>
      <c r="DO545" s="0" t="n">
        <v>1</v>
      </c>
      <c r="DP545" s="0" t="n">
        <v>1130</v>
      </c>
      <c r="DQ545" s="0" t="n">
        <v>1130</v>
      </c>
      <c r="DR545" s="0" t="s">
        <v>5247</v>
      </c>
      <c r="EB545" s="0" t="s">
        <v>5248</v>
      </c>
      <c r="EC545" s="0" t="s">
        <v>2677</v>
      </c>
      <c r="EE545" s="0" t="s">
        <v>602</v>
      </c>
    </row>
    <row r="546" customFormat="false" ht="15" hidden="false" customHeight="false" outlineLevel="0" collapsed="false">
      <c r="DG546" s="0" t="s">
        <v>5249</v>
      </c>
      <c r="DH546" s="0" t="s">
        <v>87</v>
      </c>
      <c r="DI546" s="0" t="s">
        <v>817</v>
      </c>
      <c r="DJ546" s="0" t="s">
        <v>818</v>
      </c>
      <c r="DK546" s="0" t="s">
        <v>705</v>
      </c>
      <c r="DL546" s="0" t="n">
        <v>92.31</v>
      </c>
      <c r="DM546" s="0" t="s">
        <v>676</v>
      </c>
      <c r="DN546" s="0" t="s">
        <v>675</v>
      </c>
      <c r="DO546" s="0" t="n">
        <v>0</v>
      </c>
      <c r="DP546" s="0" t="n">
        <v>0</v>
      </c>
      <c r="DQ546" s="0" t="n">
        <v>595</v>
      </c>
      <c r="DR546" s="0" t="s">
        <v>5250</v>
      </c>
      <c r="EB546" s="0" t="s">
        <v>5251</v>
      </c>
      <c r="EC546" s="0" t="s">
        <v>2677</v>
      </c>
      <c r="ED546" s="0" t="s">
        <v>2678</v>
      </c>
      <c r="EE546" s="0" t="s">
        <v>599</v>
      </c>
      <c r="EF546" s="0" t="s">
        <v>2745</v>
      </c>
      <c r="EG546" s="0" t="n">
        <v>1</v>
      </c>
      <c r="EH546" s="0" t="n">
        <v>1</v>
      </c>
      <c r="EI546" s="0" t="n">
        <v>1</v>
      </c>
      <c r="EJ546" s="0" t="n">
        <v>1</v>
      </c>
    </row>
    <row r="547" customFormat="false" ht="15" hidden="false" customHeight="false" outlineLevel="0" collapsed="false">
      <c r="DG547" s="0" t="s">
        <v>5252</v>
      </c>
      <c r="DH547" s="0" t="s">
        <v>87</v>
      </c>
      <c r="DI547" s="0" t="s">
        <v>820</v>
      </c>
      <c r="DJ547" s="0" t="s">
        <v>821</v>
      </c>
      <c r="DK547" s="0" t="s">
        <v>705</v>
      </c>
      <c r="DL547" s="0" t="n">
        <v>92.31</v>
      </c>
      <c r="DM547" s="0" t="s">
        <v>675</v>
      </c>
      <c r="DN547" s="0" t="s">
        <v>676</v>
      </c>
      <c r="DO547" s="0" t="n">
        <v>1</v>
      </c>
      <c r="DP547" s="0" t="n">
        <v>120.3</v>
      </c>
      <c r="DQ547" s="0" t="n">
        <v>120.3</v>
      </c>
      <c r="DR547" s="0" t="s">
        <v>5253</v>
      </c>
      <c r="EB547" s="0" t="s">
        <v>5254</v>
      </c>
      <c r="EC547" s="0" t="s">
        <v>2677</v>
      </c>
      <c r="ED547" s="0" t="s">
        <v>2678</v>
      </c>
      <c r="EE547" s="0" t="s">
        <v>597</v>
      </c>
      <c r="EF547" s="0" t="s">
        <v>3308</v>
      </c>
      <c r="EG547" s="0" t="n">
        <v>1000</v>
      </c>
      <c r="EH547" s="0" t="n">
        <v>1000</v>
      </c>
      <c r="EI547" s="0" t="n">
        <v>1000</v>
      </c>
      <c r="EJ547" s="0" t="n">
        <v>1000</v>
      </c>
    </row>
    <row r="548" customFormat="false" ht="15" hidden="false" customHeight="false" outlineLevel="0" collapsed="false">
      <c r="DG548" s="0" t="s">
        <v>5255</v>
      </c>
      <c r="DH548" s="0" t="s">
        <v>87</v>
      </c>
      <c r="DI548" s="0" t="s">
        <v>826</v>
      </c>
      <c r="DJ548" s="0" t="s">
        <v>827</v>
      </c>
      <c r="DK548" s="0" t="s">
        <v>674</v>
      </c>
      <c r="DL548" s="0" t="n">
        <v>88.46</v>
      </c>
      <c r="DM548" s="0" t="s">
        <v>675</v>
      </c>
      <c r="DN548" s="0" t="s">
        <v>676</v>
      </c>
      <c r="DO548" s="0" t="n">
        <v>5</v>
      </c>
      <c r="DP548" s="0" t="n">
        <v>537</v>
      </c>
      <c r="DQ548" s="0" t="n">
        <v>537</v>
      </c>
      <c r="DR548" s="0" t="s">
        <v>5256</v>
      </c>
      <c r="EB548" s="0" t="s">
        <v>5257</v>
      </c>
      <c r="EC548" s="0" t="s">
        <v>2677</v>
      </c>
      <c r="EE548" s="0" t="s">
        <v>2699</v>
      </c>
    </row>
    <row r="549" customFormat="false" ht="15" hidden="false" customHeight="false" outlineLevel="0" collapsed="false">
      <c r="DG549" s="0" t="s">
        <v>5258</v>
      </c>
      <c r="DH549" s="0" t="s">
        <v>87</v>
      </c>
      <c r="DI549" s="0" t="s">
        <v>834</v>
      </c>
      <c r="DJ549" s="0" t="s">
        <v>835</v>
      </c>
      <c r="DK549" s="0" t="s">
        <v>674</v>
      </c>
      <c r="DL549" s="0" t="n">
        <v>88.46</v>
      </c>
      <c r="DM549" s="0" t="s">
        <v>675</v>
      </c>
      <c r="DN549" s="0" t="s">
        <v>676</v>
      </c>
      <c r="DO549" s="0" t="n">
        <v>1</v>
      </c>
      <c r="DP549" s="0" t="n">
        <v>13.04</v>
      </c>
      <c r="DQ549" s="0" t="n">
        <v>13.04</v>
      </c>
      <c r="DR549" s="0" t="s">
        <v>5259</v>
      </c>
      <c r="EB549" s="0" t="s">
        <v>5260</v>
      </c>
      <c r="EC549" s="0" t="s">
        <v>2677</v>
      </c>
      <c r="EE549" s="0" t="s">
        <v>590</v>
      </c>
    </row>
    <row r="550" customFormat="false" ht="15" hidden="false" customHeight="false" outlineLevel="0" collapsed="false">
      <c r="DG550" s="0" t="s">
        <v>5261</v>
      </c>
      <c r="DH550" s="0" t="s">
        <v>87</v>
      </c>
      <c r="DI550" s="0" t="s">
        <v>837</v>
      </c>
      <c r="DJ550" s="0" t="s">
        <v>838</v>
      </c>
      <c r="DK550" s="0" t="s">
        <v>674</v>
      </c>
      <c r="DL550" s="0" t="n">
        <v>84.62</v>
      </c>
      <c r="DM550" s="0" t="s">
        <v>675</v>
      </c>
      <c r="DN550" s="0" t="s">
        <v>676</v>
      </c>
      <c r="DO550" s="0" t="n">
        <v>1</v>
      </c>
      <c r="DP550" s="0" t="n">
        <v>10.88</v>
      </c>
      <c r="DQ550" s="0" t="n">
        <v>10.88</v>
      </c>
      <c r="DR550" s="0" t="s">
        <v>5262</v>
      </c>
      <c r="EB550" s="0" t="s">
        <v>5263</v>
      </c>
      <c r="EC550" s="0" t="s">
        <v>2677</v>
      </c>
      <c r="ED550" s="0" t="s">
        <v>2678</v>
      </c>
      <c r="EE550" s="0" t="s">
        <v>588</v>
      </c>
      <c r="EF550" s="0" t="s">
        <v>2801</v>
      </c>
      <c r="EG550" s="0" t="n">
        <v>1</v>
      </c>
      <c r="EH550" s="0" t="n">
        <v>1</v>
      </c>
      <c r="EI550" s="0" t="n">
        <v>1</v>
      </c>
      <c r="EJ550" s="0" t="n">
        <v>1</v>
      </c>
    </row>
    <row r="551" customFormat="false" ht="15" hidden="false" customHeight="false" outlineLevel="0" collapsed="false">
      <c r="DG551" s="0" t="s">
        <v>5264</v>
      </c>
      <c r="DH551" s="0" t="s">
        <v>87</v>
      </c>
      <c r="DI551" s="0" t="s">
        <v>842</v>
      </c>
      <c r="DJ551" s="0" t="s">
        <v>843</v>
      </c>
      <c r="DK551" s="0" t="s">
        <v>674</v>
      </c>
      <c r="DL551" s="0" t="n">
        <v>84.62</v>
      </c>
      <c r="DM551" s="0" t="s">
        <v>675</v>
      </c>
      <c r="DN551" s="0" t="s">
        <v>676</v>
      </c>
      <c r="DO551" s="0" t="n">
        <v>2</v>
      </c>
      <c r="DP551" s="0" t="n">
        <v>75.44</v>
      </c>
      <c r="DQ551" s="0" t="n">
        <v>75.44</v>
      </c>
      <c r="DR551" s="0" t="s">
        <v>5265</v>
      </c>
      <c r="EB551" s="0" t="s">
        <v>5266</v>
      </c>
      <c r="EC551" s="0" t="s">
        <v>2677</v>
      </c>
      <c r="ED551" s="0" t="s">
        <v>2678</v>
      </c>
      <c r="EE551" s="0" t="s">
        <v>586</v>
      </c>
      <c r="EF551" s="0" t="s">
        <v>2815</v>
      </c>
      <c r="EG551" s="0" t="n">
        <v>1</v>
      </c>
      <c r="EH551" s="0" t="n">
        <v>1</v>
      </c>
      <c r="EI551" s="0" t="n">
        <v>1</v>
      </c>
      <c r="EJ551" s="0" t="n">
        <v>1</v>
      </c>
    </row>
    <row r="552" customFormat="false" ht="15" hidden="false" customHeight="false" outlineLevel="0" collapsed="false">
      <c r="DG552" s="0" t="s">
        <v>5267</v>
      </c>
      <c r="DH552" s="0" t="s">
        <v>87</v>
      </c>
      <c r="DI552" s="0" t="s">
        <v>846</v>
      </c>
      <c r="DJ552" s="0" t="s">
        <v>847</v>
      </c>
      <c r="DK552" s="0" t="s">
        <v>705</v>
      </c>
      <c r="DL552" s="0" t="n">
        <v>84.62</v>
      </c>
      <c r="DM552" s="0" t="s">
        <v>675</v>
      </c>
      <c r="DN552" s="0" t="s">
        <v>676</v>
      </c>
      <c r="DO552" s="0" t="n">
        <v>2</v>
      </c>
      <c r="DP552" s="0" t="n">
        <v>1369.7</v>
      </c>
      <c r="DQ552" s="0" t="n">
        <v>1369.7</v>
      </c>
      <c r="DR552" s="0" t="s">
        <v>5268</v>
      </c>
      <c r="EB552" s="0" t="s">
        <v>5269</v>
      </c>
      <c r="EC552" s="0" t="s">
        <v>2677</v>
      </c>
      <c r="EE552" s="0" t="s">
        <v>584</v>
      </c>
    </row>
    <row r="553" customFormat="false" ht="15" hidden="false" customHeight="false" outlineLevel="0" collapsed="false">
      <c r="DG553" s="0" t="s">
        <v>5270</v>
      </c>
      <c r="DH553" s="0" t="s">
        <v>87</v>
      </c>
      <c r="DI553" s="0" t="s">
        <v>852</v>
      </c>
      <c r="DJ553" s="0" t="s">
        <v>853</v>
      </c>
      <c r="DK553" s="0" t="s">
        <v>674</v>
      </c>
      <c r="DL553" s="0" t="n">
        <v>80.77</v>
      </c>
      <c r="DM553" s="0" t="s">
        <v>675</v>
      </c>
      <c r="DN553" s="0" t="s">
        <v>676</v>
      </c>
      <c r="DO553" s="0" t="n">
        <v>5</v>
      </c>
      <c r="DP553" s="0" t="n">
        <v>1078</v>
      </c>
      <c r="DQ553" s="0" t="n">
        <v>1078</v>
      </c>
      <c r="DR553" s="0" t="s">
        <v>5271</v>
      </c>
      <c r="EB553" s="0" t="s">
        <v>5272</v>
      </c>
      <c r="EC553" s="0" t="s">
        <v>2677</v>
      </c>
      <c r="EE553" s="0" t="s">
        <v>330</v>
      </c>
    </row>
    <row r="554" customFormat="false" ht="15" hidden="false" customHeight="false" outlineLevel="0" collapsed="false">
      <c r="DG554" s="0" t="s">
        <v>5273</v>
      </c>
      <c r="DH554" s="0" t="s">
        <v>87</v>
      </c>
      <c r="DI554" s="0" t="s">
        <v>858</v>
      </c>
      <c r="DJ554" s="0" t="s">
        <v>859</v>
      </c>
      <c r="DK554" s="0" t="s">
        <v>674</v>
      </c>
      <c r="DL554" s="0" t="n">
        <v>80.77</v>
      </c>
      <c r="DM554" s="0" t="s">
        <v>676</v>
      </c>
      <c r="DN554" s="0" t="s">
        <v>676</v>
      </c>
      <c r="DO554" s="0" t="n">
        <v>1</v>
      </c>
      <c r="DP554" s="0" t="n">
        <v>814.28</v>
      </c>
      <c r="DQ554" s="0" t="n">
        <v>814.28</v>
      </c>
      <c r="DR554" s="0" t="s">
        <v>5274</v>
      </c>
      <c r="EB554" s="0" t="s">
        <v>5275</v>
      </c>
      <c r="EC554" s="0" t="s">
        <v>2677</v>
      </c>
      <c r="EE554" s="0" t="s">
        <v>334</v>
      </c>
    </row>
    <row r="555" customFormat="false" ht="15" hidden="false" customHeight="false" outlineLevel="0" collapsed="false">
      <c r="DG555" s="0" t="s">
        <v>5276</v>
      </c>
      <c r="DH555" s="0" t="s">
        <v>87</v>
      </c>
      <c r="DI555" s="0" t="s">
        <v>863</v>
      </c>
      <c r="DJ555" s="0" t="s">
        <v>864</v>
      </c>
      <c r="DK555" s="0" t="s">
        <v>705</v>
      </c>
      <c r="DL555" s="0" t="n">
        <v>80.77</v>
      </c>
      <c r="DM555" s="0" t="s">
        <v>676</v>
      </c>
      <c r="DN555" s="0" t="s">
        <v>676</v>
      </c>
      <c r="DO555" s="0" t="n">
        <v>0</v>
      </c>
      <c r="DP555" s="0" t="n">
        <v>0</v>
      </c>
      <c r="DQ555" s="0" t="n">
        <v>91</v>
      </c>
      <c r="DR555" s="0" t="s">
        <v>5277</v>
      </c>
      <c r="EB555" s="0" t="s">
        <v>5278</v>
      </c>
      <c r="EC555" s="0" t="s">
        <v>2677</v>
      </c>
      <c r="EE555" s="0" t="s">
        <v>582</v>
      </c>
    </row>
    <row r="556" customFormat="false" ht="15" hidden="false" customHeight="false" outlineLevel="0" collapsed="false">
      <c r="DG556" s="0" t="s">
        <v>5279</v>
      </c>
      <c r="DH556" s="0" t="s">
        <v>87</v>
      </c>
      <c r="DI556" s="0" t="s">
        <v>868</v>
      </c>
      <c r="DJ556" s="0" t="s">
        <v>869</v>
      </c>
      <c r="DK556" s="0" t="s">
        <v>705</v>
      </c>
      <c r="DL556" s="0" t="n">
        <v>80.77</v>
      </c>
      <c r="DM556" s="0" t="s">
        <v>676</v>
      </c>
      <c r="DN556" s="0" t="s">
        <v>676</v>
      </c>
      <c r="DO556" s="0" t="n">
        <v>1</v>
      </c>
      <c r="DP556" s="0" t="n">
        <v>71.25</v>
      </c>
      <c r="DQ556" s="0" t="n">
        <v>71.25</v>
      </c>
      <c r="DR556" s="0" t="s">
        <v>5280</v>
      </c>
      <c r="EB556" s="0" t="s">
        <v>5281</v>
      </c>
      <c r="EC556" s="0" t="s">
        <v>2677</v>
      </c>
      <c r="EE556" s="0" t="s">
        <v>579</v>
      </c>
    </row>
    <row r="557" customFormat="false" ht="15" hidden="false" customHeight="false" outlineLevel="0" collapsed="false">
      <c r="DG557" s="0" t="s">
        <v>5282</v>
      </c>
      <c r="DH557" s="0" t="s">
        <v>87</v>
      </c>
      <c r="DI557" s="0" t="s">
        <v>873</v>
      </c>
      <c r="DJ557" s="0" t="s">
        <v>874</v>
      </c>
      <c r="DK557" s="0" t="s">
        <v>674</v>
      </c>
      <c r="DL557" s="0" t="n">
        <v>76.92</v>
      </c>
      <c r="DM557" s="0" t="s">
        <v>676</v>
      </c>
      <c r="DN557" s="0" t="s">
        <v>676</v>
      </c>
      <c r="DO557" s="0" t="n">
        <v>0</v>
      </c>
      <c r="DP557" s="0" t="n">
        <v>0</v>
      </c>
      <c r="DQ557" s="0" t="n">
        <v>180</v>
      </c>
      <c r="DR557" s="0" t="s">
        <v>5283</v>
      </c>
      <c r="EB557" s="0" t="s">
        <v>5284</v>
      </c>
      <c r="EC557" s="0" t="s">
        <v>2677</v>
      </c>
      <c r="ED557" s="0" t="s">
        <v>2678</v>
      </c>
      <c r="EE557" s="0" t="s">
        <v>575</v>
      </c>
      <c r="EF557" s="0" t="s">
        <v>573</v>
      </c>
      <c r="EG557" s="0" t="n">
        <v>1</v>
      </c>
      <c r="EH557" s="0" t="n">
        <v>1</v>
      </c>
      <c r="EI557" s="0" t="n">
        <v>1</v>
      </c>
      <c r="EJ557" s="0" t="n">
        <v>1</v>
      </c>
    </row>
    <row r="558" customFormat="false" ht="15" hidden="false" customHeight="false" outlineLevel="0" collapsed="false">
      <c r="DG558" s="0" t="s">
        <v>5285</v>
      </c>
      <c r="DH558" s="0" t="s">
        <v>87</v>
      </c>
      <c r="DI558" s="0" t="s">
        <v>880</v>
      </c>
      <c r="DJ558" s="0" t="s">
        <v>881</v>
      </c>
      <c r="DK558" s="0" t="s">
        <v>674</v>
      </c>
      <c r="DL558" s="0" t="n">
        <v>76.92</v>
      </c>
      <c r="DM558" s="0" t="s">
        <v>676</v>
      </c>
      <c r="DN558" s="0" t="s">
        <v>676</v>
      </c>
      <c r="DO558" s="0" t="n">
        <v>0</v>
      </c>
      <c r="DP558" s="0" t="n">
        <v>0</v>
      </c>
      <c r="DQ558" s="0" t="n">
        <v>375.8</v>
      </c>
      <c r="DR558" s="0" t="s">
        <v>5286</v>
      </c>
      <c r="EB558" s="0" t="s">
        <v>5287</v>
      </c>
      <c r="EC558" s="0" t="s">
        <v>2677</v>
      </c>
      <c r="EE558" s="0" t="s">
        <v>2917</v>
      </c>
    </row>
    <row r="559" customFormat="false" ht="15" hidden="false" customHeight="false" outlineLevel="0" collapsed="false">
      <c r="DG559" s="0" t="s">
        <v>5288</v>
      </c>
      <c r="DH559" s="0" t="s">
        <v>87</v>
      </c>
      <c r="DI559" s="0" t="s">
        <v>886</v>
      </c>
      <c r="DJ559" s="0" t="s">
        <v>887</v>
      </c>
      <c r="DK559" s="0" t="s">
        <v>705</v>
      </c>
      <c r="DL559" s="0" t="n">
        <v>76.92</v>
      </c>
      <c r="DM559" s="0" t="s">
        <v>675</v>
      </c>
      <c r="DN559" s="0" t="s">
        <v>676</v>
      </c>
      <c r="DO559" s="0" t="n">
        <v>2</v>
      </c>
      <c r="DP559" s="0" t="n">
        <v>256</v>
      </c>
      <c r="DQ559" s="0" t="n">
        <v>256</v>
      </c>
      <c r="DR559" s="0" t="s">
        <v>5289</v>
      </c>
      <c r="EB559" s="0" t="s">
        <v>5290</v>
      </c>
      <c r="EC559" s="0" t="s">
        <v>2677</v>
      </c>
      <c r="EE559" s="0" t="s">
        <v>2932</v>
      </c>
    </row>
    <row r="560" customFormat="false" ht="15" hidden="false" customHeight="false" outlineLevel="0" collapsed="false">
      <c r="DG560" s="0" t="s">
        <v>5291</v>
      </c>
      <c r="DH560" s="0" t="s">
        <v>87</v>
      </c>
      <c r="DI560" s="0" t="s">
        <v>892</v>
      </c>
      <c r="DJ560" s="0" t="s">
        <v>893</v>
      </c>
      <c r="DK560" s="0" t="s">
        <v>705</v>
      </c>
      <c r="DL560" s="0" t="n">
        <v>76.92</v>
      </c>
      <c r="DM560" s="0" t="s">
        <v>675</v>
      </c>
      <c r="DN560" s="0" t="s">
        <v>676</v>
      </c>
      <c r="DO560" s="0" t="n">
        <v>25</v>
      </c>
      <c r="DP560" s="0" t="n">
        <v>1160</v>
      </c>
      <c r="DQ560" s="0" t="n">
        <v>1160</v>
      </c>
      <c r="DR560" s="0" t="s">
        <v>5292</v>
      </c>
      <c r="EB560" s="0" t="s">
        <v>5293</v>
      </c>
      <c r="EC560" s="0" t="s">
        <v>2677</v>
      </c>
      <c r="EE560" s="0" t="s">
        <v>2946</v>
      </c>
    </row>
    <row r="561" customFormat="false" ht="15" hidden="false" customHeight="false" outlineLevel="0" collapsed="false">
      <c r="DG561" s="0" t="s">
        <v>5294</v>
      </c>
      <c r="DH561" s="0" t="s">
        <v>87</v>
      </c>
      <c r="DI561" s="0" t="s">
        <v>896</v>
      </c>
      <c r="DJ561" s="0" t="s">
        <v>897</v>
      </c>
      <c r="DK561" s="0" t="s">
        <v>705</v>
      </c>
      <c r="DL561" s="0" t="n">
        <v>76.92</v>
      </c>
      <c r="DM561" s="0" t="s">
        <v>676</v>
      </c>
      <c r="DN561" s="0" t="s">
        <v>676</v>
      </c>
      <c r="DO561" s="0" t="n">
        <v>0</v>
      </c>
      <c r="DP561" s="0" t="n">
        <v>0</v>
      </c>
      <c r="DQ561" s="0" t="n">
        <v>321.04</v>
      </c>
      <c r="DR561" s="0" t="s">
        <v>5295</v>
      </c>
      <c r="EB561" s="0" t="s">
        <v>5296</v>
      </c>
      <c r="EC561" s="0" t="s">
        <v>2677</v>
      </c>
      <c r="ED561" s="0" t="s">
        <v>2678</v>
      </c>
      <c r="EE561" s="0" t="s">
        <v>567</v>
      </c>
      <c r="EF561" s="0" t="s">
        <v>2959</v>
      </c>
      <c r="EG561" s="0" t="n">
        <v>1</v>
      </c>
      <c r="EH561" s="0" t="n">
        <v>1</v>
      </c>
      <c r="EI561" s="0" t="n">
        <v>1</v>
      </c>
      <c r="EJ561" s="0" t="n">
        <v>1</v>
      </c>
    </row>
    <row r="562" customFormat="false" ht="15" hidden="false" customHeight="false" outlineLevel="0" collapsed="false">
      <c r="DG562" s="0" t="s">
        <v>5297</v>
      </c>
      <c r="DH562" s="0" t="s">
        <v>87</v>
      </c>
      <c r="DI562" s="0" t="s">
        <v>902</v>
      </c>
      <c r="DJ562" s="0" t="s">
        <v>903</v>
      </c>
      <c r="DK562" s="0" t="s">
        <v>674</v>
      </c>
      <c r="DL562" s="0" t="n">
        <v>73.08</v>
      </c>
      <c r="DM562" s="0" t="s">
        <v>676</v>
      </c>
      <c r="DN562" s="0" t="s">
        <v>676</v>
      </c>
      <c r="DO562" s="0" t="n">
        <v>0</v>
      </c>
      <c r="DP562" s="0" t="n">
        <v>0</v>
      </c>
      <c r="DQ562" s="0" t="n">
        <v>314.51</v>
      </c>
      <c r="DR562" s="0" t="s">
        <v>5298</v>
      </c>
      <c r="EB562" s="0" t="s">
        <v>5299</v>
      </c>
      <c r="EC562" s="0" t="s">
        <v>2677</v>
      </c>
      <c r="EE562" s="0" t="s">
        <v>569</v>
      </c>
    </row>
    <row r="563" customFormat="false" ht="15" hidden="false" customHeight="false" outlineLevel="0" collapsed="false">
      <c r="DG563" s="0" t="s">
        <v>5300</v>
      </c>
      <c r="DH563" s="0" t="s">
        <v>87</v>
      </c>
      <c r="DI563" s="0" t="s">
        <v>910</v>
      </c>
      <c r="DJ563" s="0" t="s">
        <v>911</v>
      </c>
      <c r="DK563" s="0" t="s">
        <v>705</v>
      </c>
      <c r="DL563" s="0" t="n">
        <v>73.08</v>
      </c>
      <c r="DM563" s="0" t="s">
        <v>676</v>
      </c>
      <c r="DN563" s="0" t="s">
        <v>675</v>
      </c>
      <c r="DO563" s="0" t="n">
        <v>0</v>
      </c>
      <c r="DP563" s="0" t="n">
        <v>0</v>
      </c>
      <c r="DQ563" s="0" t="n">
        <v>1060</v>
      </c>
      <c r="DR563" s="0" t="s">
        <v>5301</v>
      </c>
      <c r="EB563" s="0" t="s">
        <v>5302</v>
      </c>
      <c r="EC563" s="0" t="s">
        <v>2677</v>
      </c>
      <c r="ED563" s="0" t="s">
        <v>2678</v>
      </c>
      <c r="EE563" s="0" t="s">
        <v>562</v>
      </c>
      <c r="EF563" s="0" t="s">
        <v>2986</v>
      </c>
      <c r="EG563" s="0" t="n">
        <v>1</v>
      </c>
      <c r="EH563" s="0" t="n">
        <v>1</v>
      </c>
      <c r="EI563" s="0" t="n">
        <v>1</v>
      </c>
      <c r="EJ563" s="0" t="n">
        <v>1</v>
      </c>
    </row>
    <row r="564" customFormat="false" ht="15" hidden="false" customHeight="false" outlineLevel="0" collapsed="false">
      <c r="DG564" s="0" t="s">
        <v>5303</v>
      </c>
      <c r="DH564" s="0" t="s">
        <v>87</v>
      </c>
      <c r="DI564" s="0" t="s">
        <v>916</v>
      </c>
      <c r="DJ564" s="0" t="s">
        <v>917</v>
      </c>
      <c r="DK564" s="0" t="s">
        <v>705</v>
      </c>
      <c r="DL564" s="0" t="n">
        <v>73.08</v>
      </c>
      <c r="DM564" s="0" t="s">
        <v>675</v>
      </c>
      <c r="DN564" s="0" t="s">
        <v>676</v>
      </c>
      <c r="DO564" s="0" t="n">
        <v>2</v>
      </c>
      <c r="DP564" s="0" t="n">
        <v>234</v>
      </c>
      <c r="DQ564" s="0" t="n">
        <v>234</v>
      </c>
      <c r="DR564" s="0" t="s">
        <v>5304</v>
      </c>
      <c r="EB564" s="0" t="s">
        <v>5305</v>
      </c>
      <c r="EC564" s="0" t="s">
        <v>2677</v>
      </c>
      <c r="EE564" s="0" t="s">
        <v>557</v>
      </c>
    </row>
    <row r="565" customFormat="false" ht="15" hidden="false" customHeight="false" outlineLevel="0" collapsed="false">
      <c r="DG565" s="0" t="s">
        <v>5306</v>
      </c>
      <c r="DH565" s="0" t="s">
        <v>87</v>
      </c>
      <c r="DI565" s="0" t="s">
        <v>919</v>
      </c>
      <c r="DJ565" s="0" t="s">
        <v>920</v>
      </c>
      <c r="DK565" s="0" t="s">
        <v>705</v>
      </c>
      <c r="DL565" s="0" t="n">
        <v>73.08</v>
      </c>
      <c r="DM565" s="0" t="s">
        <v>675</v>
      </c>
      <c r="DN565" s="0" t="s">
        <v>676</v>
      </c>
      <c r="DO565" s="0" t="n">
        <v>10</v>
      </c>
      <c r="DP565" s="0" t="n">
        <v>1020</v>
      </c>
      <c r="DQ565" s="0" t="n">
        <v>1020</v>
      </c>
      <c r="DR565" s="0" t="s">
        <v>5307</v>
      </c>
      <c r="EB565" s="0" t="s">
        <v>5308</v>
      </c>
      <c r="EC565" s="0" t="s">
        <v>2677</v>
      </c>
      <c r="EE565" s="0" t="s">
        <v>290</v>
      </c>
    </row>
    <row r="566" customFormat="false" ht="15" hidden="false" customHeight="false" outlineLevel="0" collapsed="false">
      <c r="DG566" s="0" t="s">
        <v>5309</v>
      </c>
      <c r="DH566" s="0" t="s">
        <v>87</v>
      </c>
      <c r="DI566" s="0" t="s">
        <v>922</v>
      </c>
      <c r="DJ566" s="0" t="s">
        <v>923</v>
      </c>
      <c r="DK566" s="0" t="s">
        <v>674</v>
      </c>
      <c r="DL566" s="0" t="n">
        <v>69.23</v>
      </c>
      <c r="DM566" s="0" t="s">
        <v>675</v>
      </c>
      <c r="DN566" s="0" t="s">
        <v>676</v>
      </c>
      <c r="DO566" s="0" t="n">
        <v>1</v>
      </c>
      <c r="DP566" s="0" t="n">
        <v>162.19</v>
      </c>
      <c r="DQ566" s="0" t="n">
        <v>162.19</v>
      </c>
      <c r="DR566" s="0" t="s">
        <v>5310</v>
      </c>
      <c r="EB566" s="0" t="s">
        <v>5311</v>
      </c>
      <c r="EC566" s="0" t="s">
        <v>2677</v>
      </c>
      <c r="EE566" s="0" t="s">
        <v>275</v>
      </c>
    </row>
    <row r="567" customFormat="false" ht="15" hidden="false" customHeight="false" outlineLevel="0" collapsed="false">
      <c r="DG567" s="0" t="s">
        <v>5312</v>
      </c>
      <c r="DH567" s="0" t="s">
        <v>87</v>
      </c>
      <c r="DI567" s="0" t="s">
        <v>929</v>
      </c>
      <c r="DJ567" s="0" t="s">
        <v>930</v>
      </c>
      <c r="DK567" s="0" t="s">
        <v>674</v>
      </c>
      <c r="DL567" s="0" t="n">
        <v>69.23</v>
      </c>
      <c r="DM567" s="0" t="s">
        <v>676</v>
      </c>
      <c r="DN567" s="0" t="s">
        <v>676</v>
      </c>
      <c r="DO567" s="0" t="n">
        <v>0</v>
      </c>
      <c r="DP567" s="0" t="n">
        <v>0</v>
      </c>
      <c r="DQ567" s="0" t="n">
        <v>11.4</v>
      </c>
      <c r="DR567" s="0" t="s">
        <v>5313</v>
      </c>
      <c r="EB567" s="0" t="s">
        <v>5314</v>
      </c>
      <c r="EC567" s="0" t="s">
        <v>2677</v>
      </c>
      <c r="EE567" s="0" t="s">
        <v>298</v>
      </c>
    </row>
    <row r="568" customFormat="false" ht="15" hidden="false" customHeight="false" outlineLevel="0" collapsed="false">
      <c r="DG568" s="0" t="s">
        <v>5315</v>
      </c>
      <c r="DH568" s="0" t="s">
        <v>87</v>
      </c>
      <c r="DI568" s="0" t="s">
        <v>935</v>
      </c>
      <c r="DJ568" s="0" t="s">
        <v>936</v>
      </c>
      <c r="DK568" s="0" t="s">
        <v>705</v>
      </c>
      <c r="DL568" s="0" t="n">
        <v>69.23</v>
      </c>
      <c r="DM568" s="0" t="s">
        <v>676</v>
      </c>
      <c r="DN568" s="0" t="s">
        <v>675</v>
      </c>
      <c r="DO568" s="0" t="n">
        <v>0</v>
      </c>
      <c r="DP568" s="0" t="n">
        <v>0</v>
      </c>
      <c r="DQ568" s="0" t="n">
        <v>993</v>
      </c>
      <c r="DR568" s="0" t="s">
        <v>5316</v>
      </c>
      <c r="EB568" s="0" t="s">
        <v>5317</v>
      </c>
      <c r="EC568" s="0" t="s">
        <v>2677</v>
      </c>
      <c r="EE568" s="0" t="s">
        <v>286</v>
      </c>
    </row>
    <row r="569" customFormat="false" ht="15" hidden="false" customHeight="false" outlineLevel="0" collapsed="false">
      <c r="DG569" s="0" t="s">
        <v>5318</v>
      </c>
      <c r="DH569" s="0" t="s">
        <v>87</v>
      </c>
      <c r="DI569" s="0" t="s">
        <v>940</v>
      </c>
      <c r="DJ569" s="0" t="s">
        <v>941</v>
      </c>
      <c r="DK569" s="0" t="s">
        <v>705</v>
      </c>
      <c r="DL569" s="0" t="n">
        <v>69.23</v>
      </c>
      <c r="DM569" s="0" t="s">
        <v>676</v>
      </c>
      <c r="DN569" s="0" t="s">
        <v>675</v>
      </c>
      <c r="DO569" s="0" t="n">
        <v>0</v>
      </c>
      <c r="DP569" s="0" t="n">
        <v>0</v>
      </c>
      <c r="DQ569" s="0" t="n">
        <v>69.71</v>
      </c>
      <c r="DR569" s="0" t="s">
        <v>5319</v>
      </c>
      <c r="EB569" s="0" t="s">
        <v>5320</v>
      </c>
      <c r="EC569" s="0" t="s">
        <v>2677</v>
      </c>
      <c r="EE569" s="0" t="s">
        <v>272</v>
      </c>
    </row>
    <row r="570" customFormat="false" ht="15" hidden="false" customHeight="false" outlineLevel="0" collapsed="false">
      <c r="DG570" s="0" t="s">
        <v>5321</v>
      </c>
      <c r="DH570" s="0" t="s">
        <v>87</v>
      </c>
      <c r="DI570" s="0" t="s">
        <v>946</v>
      </c>
      <c r="DJ570" s="0" t="s">
        <v>947</v>
      </c>
      <c r="DK570" s="0" t="s">
        <v>705</v>
      </c>
      <c r="DL570" s="0" t="n">
        <v>69.23</v>
      </c>
      <c r="DM570" s="0" t="s">
        <v>676</v>
      </c>
      <c r="DN570" s="0" t="s">
        <v>676</v>
      </c>
      <c r="DO570" s="0" t="n">
        <v>0</v>
      </c>
      <c r="DP570" s="0" t="n">
        <v>0</v>
      </c>
      <c r="DQ570" s="0" t="n">
        <v>210</v>
      </c>
      <c r="DR570" s="0" t="s">
        <v>5322</v>
      </c>
      <c r="EB570" s="0" t="s">
        <v>5323</v>
      </c>
      <c r="EC570" s="0" t="s">
        <v>2677</v>
      </c>
      <c r="EE570" s="0" t="s">
        <v>283</v>
      </c>
    </row>
    <row r="571" customFormat="false" ht="15" hidden="false" customHeight="false" outlineLevel="0" collapsed="false">
      <c r="DG571" s="0" t="s">
        <v>5324</v>
      </c>
      <c r="DH571" s="0" t="s">
        <v>87</v>
      </c>
      <c r="DI571" s="0" t="s">
        <v>948</v>
      </c>
      <c r="DJ571" s="0" t="s">
        <v>949</v>
      </c>
      <c r="DK571" s="0" t="s">
        <v>705</v>
      </c>
      <c r="DL571" s="0" t="n">
        <v>69.23</v>
      </c>
      <c r="DM571" s="0" t="s">
        <v>676</v>
      </c>
      <c r="DN571" s="0" t="s">
        <v>676</v>
      </c>
      <c r="DO571" s="0" t="n">
        <v>0</v>
      </c>
      <c r="DP571" s="0" t="n">
        <v>0</v>
      </c>
      <c r="DQ571" s="0" t="n">
        <v>150.4</v>
      </c>
      <c r="DR571" s="0" t="s">
        <v>5325</v>
      </c>
      <c r="EB571" s="0" t="s">
        <v>5326</v>
      </c>
      <c r="EC571" s="0" t="s">
        <v>2677</v>
      </c>
      <c r="EE571" s="0" t="s">
        <v>267</v>
      </c>
    </row>
    <row r="572" customFormat="false" ht="15" hidden="false" customHeight="false" outlineLevel="0" collapsed="false">
      <c r="DG572" s="0" t="s">
        <v>5327</v>
      </c>
      <c r="DH572" s="0" t="s">
        <v>87</v>
      </c>
      <c r="DI572" s="0" t="s">
        <v>953</v>
      </c>
      <c r="DJ572" s="0" t="s">
        <v>954</v>
      </c>
      <c r="DK572" s="0" t="s">
        <v>674</v>
      </c>
      <c r="DL572" s="0" t="n">
        <v>65.38</v>
      </c>
      <c r="DM572" s="0" t="s">
        <v>676</v>
      </c>
      <c r="DN572" s="0" t="s">
        <v>676</v>
      </c>
      <c r="DO572" s="0" t="n">
        <v>0</v>
      </c>
      <c r="DP572" s="0" t="n">
        <v>0</v>
      </c>
      <c r="DQ572" s="0" t="n">
        <v>1085.34</v>
      </c>
      <c r="DR572" s="0" t="s">
        <v>5328</v>
      </c>
      <c r="EB572" s="0" t="s">
        <v>5329</v>
      </c>
      <c r="EC572" s="0" t="s">
        <v>2677</v>
      </c>
      <c r="EE572" s="0" t="s">
        <v>258</v>
      </c>
    </row>
    <row r="573" customFormat="false" ht="15" hidden="false" customHeight="false" outlineLevel="0" collapsed="false">
      <c r="DG573" s="0" t="s">
        <v>5330</v>
      </c>
      <c r="DH573" s="0" t="s">
        <v>87</v>
      </c>
      <c r="DI573" s="0" t="s">
        <v>959</v>
      </c>
      <c r="DJ573" s="0" t="s">
        <v>960</v>
      </c>
      <c r="DK573" s="0" t="s">
        <v>674</v>
      </c>
      <c r="DL573" s="0" t="n">
        <v>65.38</v>
      </c>
      <c r="DM573" s="0" t="s">
        <v>676</v>
      </c>
      <c r="DN573" s="0" t="s">
        <v>675</v>
      </c>
      <c r="DO573" s="0" t="n">
        <v>0</v>
      </c>
      <c r="DP573" s="0" t="n">
        <v>0</v>
      </c>
      <c r="DQ573" s="0" t="n">
        <v>196.88</v>
      </c>
      <c r="DR573" s="0" t="s">
        <v>5331</v>
      </c>
      <c r="EB573" s="0" t="s">
        <v>5332</v>
      </c>
      <c r="EC573" s="0" t="s">
        <v>2677</v>
      </c>
      <c r="EE573" s="0" t="s">
        <v>222</v>
      </c>
    </row>
    <row r="574" customFormat="false" ht="15" hidden="false" customHeight="false" outlineLevel="0" collapsed="false">
      <c r="DG574" s="0" t="s">
        <v>5333</v>
      </c>
      <c r="DH574" s="0" t="s">
        <v>87</v>
      </c>
      <c r="DI574" s="0" t="s">
        <v>962</v>
      </c>
      <c r="DJ574" s="0" t="s">
        <v>963</v>
      </c>
      <c r="DK574" s="0" t="s">
        <v>705</v>
      </c>
      <c r="DL574" s="0" t="n">
        <v>65.38</v>
      </c>
      <c r="DM574" s="0" t="s">
        <v>675</v>
      </c>
      <c r="DN574" s="0" t="s">
        <v>676</v>
      </c>
      <c r="DO574" s="0" t="n">
        <v>1</v>
      </c>
      <c r="DP574" s="0" t="n">
        <v>739</v>
      </c>
      <c r="DQ574" s="0" t="n">
        <v>739</v>
      </c>
      <c r="DR574" s="0" t="s">
        <v>5334</v>
      </c>
      <c r="EB574" s="0" t="s">
        <v>5335</v>
      </c>
      <c r="EC574" s="0" t="s">
        <v>2677</v>
      </c>
      <c r="EE574" s="0" t="s">
        <v>233</v>
      </c>
    </row>
    <row r="575" customFormat="false" ht="15" hidden="false" customHeight="false" outlineLevel="0" collapsed="false">
      <c r="DG575" s="0" t="s">
        <v>5336</v>
      </c>
      <c r="DH575" s="0" t="s">
        <v>87</v>
      </c>
      <c r="DJ575" s="0" t="s">
        <v>903</v>
      </c>
      <c r="DK575" s="0" t="s">
        <v>674</v>
      </c>
      <c r="DL575" s="0" t="n">
        <v>61.54</v>
      </c>
      <c r="DM575" s="0" t="s">
        <v>675</v>
      </c>
      <c r="DN575" s="0" t="s">
        <v>675</v>
      </c>
      <c r="DO575" s="0" t="n">
        <v>0</v>
      </c>
      <c r="DP575" s="0" t="n">
        <v>0</v>
      </c>
      <c r="DQ575" s="0" t="n">
        <v>0</v>
      </c>
      <c r="DR575" s="0" t="s">
        <v>5298</v>
      </c>
      <c r="EB575" s="0" t="s">
        <v>5337</v>
      </c>
      <c r="EC575" s="0" t="s">
        <v>2677</v>
      </c>
      <c r="EE575" s="0" t="s">
        <v>225</v>
      </c>
    </row>
    <row r="576" customFormat="false" ht="15" hidden="false" customHeight="false" outlineLevel="0" collapsed="false">
      <c r="DG576" s="0" t="s">
        <v>5338</v>
      </c>
      <c r="DH576" s="0" t="s">
        <v>87</v>
      </c>
      <c r="DI576" s="0" t="s">
        <v>969</v>
      </c>
      <c r="DJ576" s="0" t="s">
        <v>970</v>
      </c>
      <c r="DK576" s="0" t="s">
        <v>674</v>
      </c>
      <c r="DL576" s="0" t="n">
        <v>61.54</v>
      </c>
      <c r="DM576" s="0" t="s">
        <v>676</v>
      </c>
      <c r="DN576" s="0" t="s">
        <v>676</v>
      </c>
      <c r="DO576" s="0" t="n">
        <v>0</v>
      </c>
      <c r="DP576" s="0" t="n">
        <v>0</v>
      </c>
      <c r="DQ576" s="0" t="n">
        <v>50.84</v>
      </c>
      <c r="DR576" s="0" t="s">
        <v>5339</v>
      </c>
      <c r="EB576" s="0" t="s">
        <v>5340</v>
      </c>
      <c r="EC576" s="0" t="s">
        <v>2677</v>
      </c>
      <c r="EE576" s="0" t="s">
        <v>288</v>
      </c>
    </row>
    <row r="577" customFormat="false" ht="15" hidden="false" customHeight="false" outlineLevel="0" collapsed="false">
      <c r="DG577" s="0" t="s">
        <v>5341</v>
      </c>
      <c r="DH577" s="0" t="s">
        <v>87</v>
      </c>
      <c r="DI577" s="0" t="s">
        <v>973</v>
      </c>
      <c r="DJ577" s="0" t="s">
        <v>974</v>
      </c>
      <c r="DK577" s="0" t="s">
        <v>705</v>
      </c>
      <c r="DL577" s="0" t="n">
        <v>61.54</v>
      </c>
      <c r="DM577" s="0" t="s">
        <v>675</v>
      </c>
      <c r="DN577" s="0" t="s">
        <v>676</v>
      </c>
      <c r="DO577" s="0" t="n">
        <v>10</v>
      </c>
      <c r="DP577" s="0" t="n">
        <v>160</v>
      </c>
      <c r="DQ577" s="0" t="n">
        <v>160</v>
      </c>
      <c r="DR577" s="0" t="s">
        <v>5342</v>
      </c>
      <c r="EB577" s="0" t="s">
        <v>5343</v>
      </c>
      <c r="EC577" s="0" t="s">
        <v>2677</v>
      </c>
      <c r="EE577" s="0" t="s">
        <v>269</v>
      </c>
    </row>
    <row r="578" customFormat="false" ht="15" hidden="false" customHeight="false" outlineLevel="0" collapsed="false">
      <c r="DG578" s="0" t="s">
        <v>5344</v>
      </c>
      <c r="DH578" s="0" t="s">
        <v>87</v>
      </c>
      <c r="DI578" s="0" t="s">
        <v>976</v>
      </c>
      <c r="DJ578" s="0" t="s">
        <v>977</v>
      </c>
      <c r="DK578" s="0" t="s">
        <v>705</v>
      </c>
      <c r="DL578" s="0" t="n">
        <v>61.54</v>
      </c>
      <c r="DM578" s="0" t="s">
        <v>675</v>
      </c>
      <c r="DN578" s="0" t="s">
        <v>676</v>
      </c>
      <c r="DO578" s="0" t="n">
        <v>1</v>
      </c>
      <c r="DP578" s="0" t="n">
        <v>1166</v>
      </c>
      <c r="DQ578" s="0" t="n">
        <v>1166</v>
      </c>
      <c r="DR578" s="0" t="s">
        <v>5345</v>
      </c>
      <c r="EB578" s="0" t="s">
        <v>5346</v>
      </c>
      <c r="EC578" s="0" t="s">
        <v>2677</v>
      </c>
      <c r="EE578" s="0" t="s">
        <v>237</v>
      </c>
    </row>
    <row r="579" customFormat="false" ht="15" hidden="false" customHeight="false" outlineLevel="0" collapsed="false">
      <c r="DG579" s="0" t="s">
        <v>5347</v>
      </c>
      <c r="DH579" s="0" t="s">
        <v>87</v>
      </c>
      <c r="DI579" s="0" t="s">
        <v>982</v>
      </c>
      <c r="DJ579" s="0" t="s">
        <v>983</v>
      </c>
      <c r="DK579" s="0" t="s">
        <v>705</v>
      </c>
      <c r="DL579" s="0" t="n">
        <v>61.54</v>
      </c>
      <c r="DM579" s="0" t="s">
        <v>676</v>
      </c>
      <c r="DN579" s="0" t="s">
        <v>675</v>
      </c>
      <c r="DO579" s="0" t="n">
        <v>0</v>
      </c>
      <c r="DP579" s="0" t="n">
        <v>0</v>
      </c>
      <c r="DQ579" s="0" t="n">
        <v>87.5</v>
      </c>
      <c r="DR579" s="0" t="s">
        <v>5348</v>
      </c>
      <c r="EB579" s="0" t="s">
        <v>5349</v>
      </c>
      <c r="EC579" s="0" t="s">
        <v>2677</v>
      </c>
      <c r="EE579" s="0" t="s">
        <v>249</v>
      </c>
    </row>
    <row r="580" customFormat="false" ht="15" hidden="false" customHeight="false" outlineLevel="0" collapsed="false">
      <c r="DG580" s="0" t="s">
        <v>5350</v>
      </c>
      <c r="DH580" s="0" t="s">
        <v>87</v>
      </c>
      <c r="DI580" s="0" t="s">
        <v>986</v>
      </c>
      <c r="DJ580" s="0" t="s">
        <v>197</v>
      </c>
      <c r="DK580" s="0" t="s">
        <v>705</v>
      </c>
      <c r="DL580" s="0" t="n">
        <v>61.54</v>
      </c>
      <c r="DM580" s="0" t="s">
        <v>675</v>
      </c>
      <c r="DN580" s="0" t="s">
        <v>676</v>
      </c>
      <c r="DO580" s="0" t="n">
        <v>1</v>
      </c>
      <c r="DP580" s="0" t="n">
        <v>21618.59</v>
      </c>
      <c r="DQ580" s="0" t="n">
        <v>21618.59</v>
      </c>
      <c r="DR580" s="0" t="s">
        <v>5351</v>
      </c>
      <c r="EB580" s="0" t="s">
        <v>5352</v>
      </c>
      <c r="EC580" s="0" t="s">
        <v>2677</v>
      </c>
      <c r="EE580" s="0" t="s">
        <v>293</v>
      </c>
    </row>
    <row r="581" customFormat="false" ht="15" hidden="false" customHeight="false" outlineLevel="0" collapsed="false">
      <c r="DG581" s="0" t="s">
        <v>5353</v>
      </c>
      <c r="DH581" s="0" t="s">
        <v>87</v>
      </c>
      <c r="DI581" s="0" t="s">
        <v>990</v>
      </c>
      <c r="DJ581" s="0" t="s">
        <v>991</v>
      </c>
      <c r="DK581" s="0" t="s">
        <v>705</v>
      </c>
      <c r="DL581" s="0" t="n">
        <v>61.54</v>
      </c>
      <c r="DM581" s="0" t="s">
        <v>675</v>
      </c>
      <c r="DN581" s="0" t="s">
        <v>676</v>
      </c>
      <c r="DO581" s="0" t="n">
        <v>1</v>
      </c>
      <c r="DP581" s="0" t="n">
        <v>221.5</v>
      </c>
      <c r="DQ581" s="0" t="n">
        <v>221.5</v>
      </c>
      <c r="DR581" s="0" t="s">
        <v>5354</v>
      </c>
      <c r="EB581" s="0" t="s">
        <v>5355</v>
      </c>
      <c r="EC581" s="0" t="s">
        <v>2677</v>
      </c>
      <c r="EE581" s="0" t="s">
        <v>280</v>
      </c>
    </row>
    <row r="582" customFormat="false" ht="15" hidden="false" customHeight="false" outlineLevel="0" collapsed="false">
      <c r="DG582" s="0" t="s">
        <v>5356</v>
      </c>
      <c r="DH582" s="0" t="s">
        <v>87</v>
      </c>
      <c r="DI582" s="0" t="s">
        <v>995</v>
      </c>
      <c r="DJ582" s="0" t="s">
        <v>202</v>
      </c>
      <c r="DK582" s="0" t="s">
        <v>705</v>
      </c>
      <c r="DL582" s="0" t="n">
        <v>61.54</v>
      </c>
      <c r="DM582" s="0" t="s">
        <v>675</v>
      </c>
      <c r="DN582" s="0" t="s">
        <v>676</v>
      </c>
      <c r="DO582" s="0" t="n">
        <v>1</v>
      </c>
      <c r="DP582" s="0" t="n">
        <v>3760</v>
      </c>
      <c r="DQ582" s="0" t="n">
        <v>3760</v>
      </c>
      <c r="DR582" s="0" t="s">
        <v>5357</v>
      </c>
      <c r="EB582" s="0" t="s">
        <v>5358</v>
      </c>
      <c r="EC582" s="0" t="s">
        <v>2677</v>
      </c>
      <c r="EE582" s="0" t="s">
        <v>264</v>
      </c>
    </row>
    <row r="583" customFormat="false" ht="15" hidden="false" customHeight="false" outlineLevel="0" collapsed="false">
      <c r="DG583" s="0" t="s">
        <v>5359</v>
      </c>
      <c r="DH583" s="0" t="s">
        <v>87</v>
      </c>
      <c r="DI583" s="0" t="s">
        <v>997</v>
      </c>
      <c r="DJ583" s="0" t="s">
        <v>998</v>
      </c>
      <c r="DK583" s="0" t="s">
        <v>674</v>
      </c>
      <c r="DL583" s="0" t="n">
        <v>57.69</v>
      </c>
      <c r="DM583" s="0" t="s">
        <v>676</v>
      </c>
      <c r="DN583" s="0" t="s">
        <v>675</v>
      </c>
      <c r="DO583" s="0" t="n">
        <v>0</v>
      </c>
      <c r="DP583" s="0" t="n">
        <v>0</v>
      </c>
      <c r="DQ583" s="0" t="n">
        <v>100.6</v>
      </c>
      <c r="DR583" s="0" t="s">
        <v>5360</v>
      </c>
      <c r="EB583" s="0" t="s">
        <v>5361</v>
      </c>
      <c r="EC583" s="0" t="s">
        <v>2677</v>
      </c>
      <c r="EE583" s="0" t="s">
        <v>278</v>
      </c>
    </row>
    <row r="584" customFormat="false" ht="15" hidden="false" customHeight="false" outlineLevel="0" collapsed="false">
      <c r="DG584" s="0" t="s">
        <v>5362</v>
      </c>
      <c r="DH584" s="0" t="s">
        <v>87</v>
      </c>
      <c r="DI584" s="0" t="s">
        <v>1002</v>
      </c>
      <c r="DJ584" s="0" t="s">
        <v>1003</v>
      </c>
      <c r="DK584" s="0" t="s">
        <v>674</v>
      </c>
      <c r="DL584" s="0" t="n">
        <v>57.69</v>
      </c>
      <c r="DM584" s="0" t="s">
        <v>676</v>
      </c>
      <c r="DN584" s="0" t="s">
        <v>676</v>
      </c>
      <c r="DO584" s="0" t="n">
        <v>1</v>
      </c>
      <c r="DP584" s="0" t="n">
        <v>7.3</v>
      </c>
      <c r="DQ584" s="0" t="n">
        <v>7.3</v>
      </c>
      <c r="DR584" s="0" t="s">
        <v>5363</v>
      </c>
      <c r="EB584" s="0" t="s">
        <v>5364</v>
      </c>
      <c r="EC584" s="0" t="s">
        <v>2677</v>
      </c>
      <c r="EE584" s="0" t="s">
        <v>240</v>
      </c>
    </row>
    <row r="585" customFormat="false" ht="15" hidden="false" customHeight="false" outlineLevel="0" collapsed="false">
      <c r="DG585" s="0" t="s">
        <v>5365</v>
      </c>
      <c r="DH585" s="0" t="s">
        <v>87</v>
      </c>
      <c r="DI585" s="0" t="s">
        <v>1007</v>
      </c>
      <c r="DJ585" s="0" t="s">
        <v>1008</v>
      </c>
      <c r="DK585" s="0" t="s">
        <v>705</v>
      </c>
      <c r="DL585" s="0" t="n">
        <v>57.69</v>
      </c>
      <c r="DM585" s="0" t="s">
        <v>676</v>
      </c>
      <c r="DN585" s="0" t="s">
        <v>675</v>
      </c>
      <c r="DO585" s="0" t="n">
        <v>0</v>
      </c>
      <c r="DP585" s="0" t="n">
        <v>0</v>
      </c>
      <c r="DQ585" s="0" t="n">
        <v>250</v>
      </c>
      <c r="DR585" s="0" t="s">
        <v>5366</v>
      </c>
      <c r="EB585" s="0" t="s">
        <v>5367</v>
      </c>
      <c r="EC585" s="0" t="s">
        <v>2677</v>
      </c>
      <c r="EE585" s="0" t="s">
        <v>252</v>
      </c>
    </row>
    <row r="586" customFormat="false" ht="15" hidden="false" customHeight="false" outlineLevel="0" collapsed="false">
      <c r="DG586" s="0" t="s">
        <v>5368</v>
      </c>
      <c r="DH586" s="0" t="s">
        <v>87</v>
      </c>
      <c r="DI586" s="0" t="s">
        <v>1010</v>
      </c>
      <c r="DJ586" s="0" t="s">
        <v>1011</v>
      </c>
      <c r="DK586" s="0" t="s">
        <v>705</v>
      </c>
      <c r="DL586" s="0" t="n">
        <v>57.69</v>
      </c>
      <c r="DM586" s="0" t="s">
        <v>675</v>
      </c>
      <c r="DN586" s="0" t="s">
        <v>676</v>
      </c>
      <c r="DO586" s="0" t="n">
        <v>10</v>
      </c>
      <c r="DP586" s="0" t="n">
        <v>180</v>
      </c>
      <c r="DQ586" s="0" t="n">
        <v>180</v>
      </c>
      <c r="DR586" s="0" t="s">
        <v>5369</v>
      </c>
      <c r="EB586" s="0" t="s">
        <v>5370</v>
      </c>
      <c r="EC586" s="0" t="s">
        <v>2677</v>
      </c>
      <c r="EE586" s="0" t="s">
        <v>229</v>
      </c>
    </row>
    <row r="587" customFormat="false" ht="15" hidden="false" customHeight="false" outlineLevel="0" collapsed="false">
      <c r="DG587" s="0" t="s">
        <v>5371</v>
      </c>
      <c r="DH587" s="0" t="s">
        <v>87</v>
      </c>
      <c r="DI587" s="0" t="s">
        <v>1012</v>
      </c>
      <c r="DJ587" s="0" t="s">
        <v>1013</v>
      </c>
      <c r="DK587" s="0" t="s">
        <v>705</v>
      </c>
      <c r="DL587" s="0" t="n">
        <v>53.85</v>
      </c>
      <c r="DM587" s="0" t="s">
        <v>676</v>
      </c>
      <c r="DN587" s="0" t="s">
        <v>676</v>
      </c>
      <c r="DO587" s="0" t="n">
        <v>1</v>
      </c>
      <c r="DP587" s="0" t="n">
        <v>510</v>
      </c>
      <c r="DQ587" s="0" t="n">
        <v>510</v>
      </c>
      <c r="DR587" s="0" t="s">
        <v>5372</v>
      </c>
      <c r="EB587" s="0" t="s">
        <v>5373</v>
      </c>
      <c r="EC587" s="0" t="s">
        <v>2677</v>
      </c>
      <c r="EE587" s="0" t="s">
        <v>246</v>
      </c>
    </row>
    <row r="588" customFormat="false" ht="15" hidden="false" customHeight="false" outlineLevel="0" collapsed="false">
      <c r="DG588" s="0" t="s">
        <v>5374</v>
      </c>
      <c r="DH588" s="0" t="s">
        <v>87</v>
      </c>
      <c r="DI588" s="0" t="s">
        <v>1016</v>
      </c>
      <c r="DJ588" s="0" t="s">
        <v>1017</v>
      </c>
      <c r="DK588" s="0" t="s">
        <v>705</v>
      </c>
      <c r="DL588" s="0" t="n">
        <v>53.85</v>
      </c>
      <c r="DM588" s="0" t="s">
        <v>676</v>
      </c>
      <c r="DN588" s="0" t="s">
        <v>675</v>
      </c>
      <c r="DO588" s="0" t="n">
        <v>0</v>
      </c>
      <c r="DP588" s="0" t="n">
        <v>0</v>
      </c>
      <c r="DQ588" s="0" t="n">
        <v>378.3</v>
      </c>
      <c r="DR588" s="0" t="s">
        <v>5375</v>
      </c>
      <c r="EB588" s="0" t="s">
        <v>5376</v>
      </c>
      <c r="EC588" s="0" t="s">
        <v>2677</v>
      </c>
      <c r="EE588" s="0" t="s">
        <v>255</v>
      </c>
    </row>
    <row r="589" customFormat="false" ht="15" hidden="false" customHeight="false" outlineLevel="0" collapsed="false">
      <c r="DG589" s="0" t="s">
        <v>5377</v>
      </c>
      <c r="DH589" s="0" t="s">
        <v>87</v>
      </c>
      <c r="DI589" s="0" t="s">
        <v>1022</v>
      </c>
      <c r="DJ589" s="0" t="s">
        <v>1023</v>
      </c>
      <c r="DK589" s="0" t="s">
        <v>705</v>
      </c>
      <c r="DL589" s="0" t="n">
        <v>53.85</v>
      </c>
      <c r="DM589" s="0" t="s">
        <v>676</v>
      </c>
      <c r="DN589" s="0" t="s">
        <v>676</v>
      </c>
      <c r="DO589" s="0" t="n">
        <v>1</v>
      </c>
      <c r="DP589" s="0" t="n">
        <v>287</v>
      </c>
      <c r="DQ589" s="0" t="n">
        <v>287</v>
      </c>
      <c r="DR589" s="0" t="s">
        <v>5378</v>
      </c>
      <c r="EB589" s="0" t="s">
        <v>5379</v>
      </c>
      <c r="EC589" s="0" t="s">
        <v>2677</v>
      </c>
      <c r="EE589" s="0" t="s">
        <v>243</v>
      </c>
    </row>
    <row r="590" customFormat="false" ht="15" hidden="false" customHeight="false" outlineLevel="0" collapsed="false">
      <c r="DG590" s="0" t="s">
        <v>5380</v>
      </c>
      <c r="DH590" s="0" t="s">
        <v>87</v>
      </c>
      <c r="DI590" s="0" t="s">
        <v>1027</v>
      </c>
      <c r="DJ590" s="0" t="s">
        <v>1028</v>
      </c>
      <c r="DK590" s="0" t="s">
        <v>674</v>
      </c>
      <c r="DL590" s="0" t="n">
        <v>50</v>
      </c>
      <c r="DM590" s="0" t="s">
        <v>675</v>
      </c>
      <c r="DN590" s="0" t="s">
        <v>676</v>
      </c>
      <c r="DO590" s="0" t="n">
        <v>3</v>
      </c>
      <c r="DP590" s="0" t="n">
        <v>1060.32</v>
      </c>
      <c r="DQ590" s="0" t="n">
        <v>1060.32</v>
      </c>
      <c r="DR590" s="0" t="s">
        <v>5381</v>
      </c>
      <c r="EB590" s="0" t="s">
        <v>5382</v>
      </c>
      <c r="EC590" s="0" t="s">
        <v>2677</v>
      </c>
      <c r="ED590" s="0" t="s">
        <v>2678</v>
      </c>
      <c r="EE590" s="0" t="s">
        <v>261</v>
      </c>
      <c r="EF590" s="0" t="s">
        <v>259</v>
      </c>
      <c r="EG590" s="0" t="n">
        <v>1</v>
      </c>
      <c r="EH590" s="0" t="n">
        <v>1</v>
      </c>
      <c r="EI590" s="0" t="n">
        <v>1</v>
      </c>
      <c r="EJ590" s="0" t="n">
        <v>1</v>
      </c>
    </row>
    <row r="591" customFormat="false" ht="15" hidden="false" customHeight="false" outlineLevel="0" collapsed="false">
      <c r="DG591" s="0" t="s">
        <v>5383</v>
      </c>
      <c r="DH591" s="0" t="s">
        <v>87</v>
      </c>
      <c r="DI591" s="0" t="s">
        <v>1035</v>
      </c>
      <c r="DJ591" s="0" t="s">
        <v>1036</v>
      </c>
      <c r="DK591" s="0" t="s">
        <v>674</v>
      </c>
      <c r="DL591" s="0" t="n">
        <v>50</v>
      </c>
      <c r="DM591" s="0" t="s">
        <v>676</v>
      </c>
      <c r="DN591" s="0" t="s">
        <v>676</v>
      </c>
      <c r="DO591" s="0" t="n">
        <v>0</v>
      </c>
      <c r="DP591" s="0" t="n">
        <v>0</v>
      </c>
      <c r="DQ591" s="0" t="n">
        <v>34.5</v>
      </c>
      <c r="DR591" s="0" t="s">
        <v>5384</v>
      </c>
      <c r="EB591" s="0" t="s">
        <v>5385</v>
      </c>
      <c r="EC591" s="0" t="s">
        <v>2677</v>
      </c>
      <c r="EE591" s="0" t="s">
        <v>296</v>
      </c>
    </row>
    <row r="592" customFormat="false" ht="15" hidden="false" customHeight="false" outlineLevel="0" collapsed="false">
      <c r="DG592" s="0" t="s">
        <v>5386</v>
      </c>
      <c r="DH592" s="0" t="s">
        <v>87</v>
      </c>
      <c r="DI592" s="0" t="s">
        <v>1038</v>
      </c>
      <c r="DJ592" s="0" t="s">
        <v>1039</v>
      </c>
      <c r="DK592" s="0" t="s">
        <v>674</v>
      </c>
      <c r="DL592" s="0" t="n">
        <v>50</v>
      </c>
      <c r="DM592" s="0" t="s">
        <v>676</v>
      </c>
      <c r="DN592" s="0" t="s">
        <v>676</v>
      </c>
      <c r="DO592" s="0" t="n">
        <v>40</v>
      </c>
      <c r="DP592" s="0" t="n">
        <v>1200</v>
      </c>
      <c r="DQ592" s="0" t="n">
        <v>1200</v>
      </c>
      <c r="DR592" s="0" t="s">
        <v>5387</v>
      </c>
      <c r="EB592" s="0" t="s">
        <v>5388</v>
      </c>
      <c r="EC592" s="0" t="s">
        <v>2593</v>
      </c>
      <c r="EE592" s="0" t="s">
        <v>626</v>
      </c>
    </row>
    <row r="593" customFormat="false" ht="15" hidden="false" customHeight="false" outlineLevel="0" collapsed="false">
      <c r="DG593" s="0" t="s">
        <v>5389</v>
      </c>
      <c r="DH593" s="0" t="s">
        <v>87</v>
      </c>
      <c r="DI593" s="0" t="s">
        <v>1043</v>
      </c>
      <c r="DJ593" s="0" t="s">
        <v>1044</v>
      </c>
      <c r="DK593" s="0" t="s">
        <v>674</v>
      </c>
      <c r="DL593" s="0" t="n">
        <v>50</v>
      </c>
      <c r="DM593" s="0" t="s">
        <v>676</v>
      </c>
      <c r="DN593" s="0" t="s">
        <v>676</v>
      </c>
      <c r="DO593" s="0" t="n">
        <v>0</v>
      </c>
      <c r="DP593" s="0" t="n">
        <v>0</v>
      </c>
      <c r="DQ593" s="0" t="n">
        <v>4456.48</v>
      </c>
      <c r="DR593" s="0" t="s">
        <v>5390</v>
      </c>
      <c r="EB593" s="0" t="s">
        <v>5391</v>
      </c>
      <c r="EC593" s="0" t="s">
        <v>2593</v>
      </c>
      <c r="EE593" s="0" t="s">
        <v>624</v>
      </c>
    </row>
    <row r="594" customFormat="false" ht="15" hidden="false" customHeight="false" outlineLevel="0" collapsed="false">
      <c r="DG594" s="0" t="s">
        <v>5392</v>
      </c>
      <c r="DH594" s="0" t="s">
        <v>87</v>
      </c>
      <c r="DI594" s="0" t="s">
        <v>1051</v>
      </c>
      <c r="DJ594" s="0" t="s">
        <v>1052</v>
      </c>
      <c r="DK594" s="0" t="s">
        <v>674</v>
      </c>
      <c r="DL594" s="0" t="n">
        <v>50</v>
      </c>
      <c r="DM594" s="0" t="s">
        <v>675</v>
      </c>
      <c r="DN594" s="0" t="s">
        <v>676</v>
      </c>
      <c r="DO594" s="0" t="n">
        <v>4</v>
      </c>
      <c r="DP594" s="0" t="n">
        <v>1443.76</v>
      </c>
      <c r="DQ594" s="0" t="n">
        <v>1443.76</v>
      </c>
      <c r="DR594" s="0" t="s">
        <v>5393</v>
      </c>
      <c r="EB594" s="0" t="s">
        <v>5394</v>
      </c>
      <c r="EC594" s="0" t="s">
        <v>2593</v>
      </c>
      <c r="EE594" s="0" t="s">
        <v>622</v>
      </c>
    </row>
    <row r="595" customFormat="false" ht="15" hidden="false" customHeight="false" outlineLevel="0" collapsed="false">
      <c r="DG595" s="0" t="s">
        <v>5395</v>
      </c>
      <c r="DH595" s="0" t="s">
        <v>87</v>
      </c>
      <c r="DI595" s="0" t="s">
        <v>1055</v>
      </c>
      <c r="DJ595" s="0" t="s">
        <v>1056</v>
      </c>
      <c r="DK595" s="0" t="s">
        <v>705</v>
      </c>
      <c r="DL595" s="0" t="n">
        <v>50</v>
      </c>
      <c r="DM595" s="0" t="s">
        <v>676</v>
      </c>
      <c r="DN595" s="0" t="s">
        <v>675</v>
      </c>
      <c r="DO595" s="0" t="n">
        <v>0</v>
      </c>
      <c r="DP595" s="0" t="n">
        <v>0</v>
      </c>
      <c r="DQ595" s="0" t="n">
        <v>243</v>
      </c>
      <c r="DR595" s="0" t="s">
        <v>5396</v>
      </c>
      <c r="EB595" s="0" t="s">
        <v>5397</v>
      </c>
      <c r="EC595" s="0" t="s">
        <v>2593</v>
      </c>
      <c r="EE595" s="0" t="s">
        <v>620</v>
      </c>
    </row>
    <row r="596" customFormat="false" ht="15" hidden="false" customHeight="false" outlineLevel="0" collapsed="false">
      <c r="DG596" s="0" t="s">
        <v>5398</v>
      </c>
      <c r="DH596" s="0" t="s">
        <v>87</v>
      </c>
      <c r="DI596" s="0" t="s">
        <v>1061</v>
      </c>
      <c r="DJ596" s="0" t="s">
        <v>1062</v>
      </c>
      <c r="DK596" s="0" t="s">
        <v>705</v>
      </c>
      <c r="DL596" s="0" t="n">
        <v>50</v>
      </c>
      <c r="DM596" s="0" t="s">
        <v>675</v>
      </c>
      <c r="DN596" s="0" t="s">
        <v>676</v>
      </c>
      <c r="DO596" s="0" t="n">
        <v>1</v>
      </c>
      <c r="DP596" s="0" t="n">
        <v>117</v>
      </c>
      <c r="DQ596" s="0" t="n">
        <v>117</v>
      </c>
      <c r="DR596" s="0" t="s">
        <v>5399</v>
      </c>
      <c r="EB596" s="0" t="s">
        <v>5400</v>
      </c>
      <c r="EC596" s="0" t="s">
        <v>2593</v>
      </c>
      <c r="EE596" s="0" t="s">
        <v>618</v>
      </c>
    </row>
    <row r="597" customFormat="false" ht="15" hidden="false" customHeight="false" outlineLevel="0" collapsed="false">
      <c r="DG597" s="0" t="s">
        <v>5401</v>
      </c>
      <c r="DH597" s="0" t="s">
        <v>87</v>
      </c>
      <c r="DI597" s="0" t="s">
        <v>1063</v>
      </c>
      <c r="DJ597" s="0" t="s">
        <v>1064</v>
      </c>
      <c r="DK597" s="0" t="s">
        <v>705</v>
      </c>
      <c r="DL597" s="0" t="n">
        <v>50</v>
      </c>
      <c r="DM597" s="0" t="s">
        <v>675</v>
      </c>
      <c r="DN597" s="0" t="s">
        <v>676</v>
      </c>
      <c r="DO597" s="0" t="n">
        <v>1</v>
      </c>
      <c r="DP597" s="0" t="n">
        <v>421</v>
      </c>
      <c r="DQ597" s="0" t="n">
        <v>421</v>
      </c>
      <c r="DR597" s="0" t="s">
        <v>5402</v>
      </c>
      <c r="EB597" s="0" t="s">
        <v>5403</v>
      </c>
      <c r="EC597" s="0" t="s">
        <v>2593</v>
      </c>
      <c r="EE597" s="0" t="s">
        <v>616</v>
      </c>
    </row>
    <row r="598" customFormat="false" ht="15" hidden="false" customHeight="false" outlineLevel="0" collapsed="false">
      <c r="DG598" s="0" t="s">
        <v>5404</v>
      </c>
      <c r="DH598" s="0" t="s">
        <v>87</v>
      </c>
      <c r="DI598" s="0" t="s">
        <v>1066</v>
      </c>
      <c r="DJ598" s="0" t="s">
        <v>1067</v>
      </c>
      <c r="DK598" s="0" t="s">
        <v>705</v>
      </c>
      <c r="DL598" s="0" t="n">
        <v>50</v>
      </c>
      <c r="DM598" s="0" t="s">
        <v>675</v>
      </c>
      <c r="DN598" s="0" t="s">
        <v>676</v>
      </c>
      <c r="DO598" s="0" t="n">
        <v>1</v>
      </c>
      <c r="DP598" s="0" t="n">
        <v>220</v>
      </c>
      <c r="DQ598" s="0" t="n">
        <v>220</v>
      </c>
      <c r="DR598" s="0" t="s">
        <v>5405</v>
      </c>
      <c r="EB598" s="0" t="s">
        <v>5406</v>
      </c>
      <c r="EC598" s="0" t="s">
        <v>2593</v>
      </c>
      <c r="EE598" s="0" t="s">
        <v>614</v>
      </c>
    </row>
    <row r="599" customFormat="false" ht="15" hidden="false" customHeight="false" outlineLevel="0" collapsed="false">
      <c r="DG599" s="0" t="s">
        <v>5407</v>
      </c>
      <c r="DH599" s="0" t="s">
        <v>87</v>
      </c>
      <c r="DI599" s="0" t="s">
        <v>1069</v>
      </c>
      <c r="DJ599" s="0" t="s">
        <v>1070</v>
      </c>
      <c r="DK599" s="0" t="s">
        <v>705</v>
      </c>
      <c r="DL599" s="0" t="n">
        <v>50</v>
      </c>
      <c r="DM599" s="0" t="s">
        <v>676</v>
      </c>
      <c r="DN599" s="0" t="s">
        <v>675</v>
      </c>
      <c r="DO599" s="0" t="n">
        <v>0</v>
      </c>
      <c r="DP599" s="0" t="n">
        <v>0</v>
      </c>
      <c r="DQ599" s="0" t="n">
        <v>660</v>
      </c>
      <c r="DR599" s="0" t="s">
        <v>5408</v>
      </c>
      <c r="EB599" s="0" t="s">
        <v>5409</v>
      </c>
      <c r="EC599" s="0" t="s">
        <v>2593</v>
      </c>
      <c r="EE599" s="0" t="s">
        <v>612</v>
      </c>
    </row>
    <row r="600" customFormat="false" ht="15" hidden="false" customHeight="false" outlineLevel="0" collapsed="false">
      <c r="DG600" s="0" t="s">
        <v>5410</v>
      </c>
      <c r="DH600" s="0" t="s">
        <v>87</v>
      </c>
      <c r="DI600" s="0" t="s">
        <v>1072</v>
      </c>
      <c r="DJ600" s="0" t="s">
        <v>1073</v>
      </c>
      <c r="DK600" s="0" t="s">
        <v>674</v>
      </c>
      <c r="DL600" s="0" t="n">
        <v>46.15</v>
      </c>
      <c r="DM600" s="0" t="s">
        <v>675</v>
      </c>
      <c r="DN600" s="0" t="s">
        <v>676</v>
      </c>
      <c r="DO600" s="0" t="n">
        <v>1</v>
      </c>
      <c r="DP600" s="0" t="n">
        <v>847.05</v>
      </c>
      <c r="DQ600" s="0" t="n">
        <v>847.05</v>
      </c>
      <c r="DR600" s="0" t="s">
        <v>5411</v>
      </c>
      <c r="EB600" s="0" t="s">
        <v>5412</v>
      </c>
      <c r="EC600" s="0" t="s">
        <v>2593</v>
      </c>
      <c r="EE600" s="0" t="s">
        <v>609</v>
      </c>
    </row>
    <row r="601" customFormat="false" ht="15" hidden="false" customHeight="false" outlineLevel="0" collapsed="false">
      <c r="DG601" s="0" t="s">
        <v>5413</v>
      </c>
      <c r="DH601" s="0" t="s">
        <v>87</v>
      </c>
      <c r="DI601" s="0" t="s">
        <v>1079</v>
      </c>
      <c r="DJ601" s="0" t="s">
        <v>1080</v>
      </c>
      <c r="DK601" s="0" t="s">
        <v>705</v>
      </c>
      <c r="DL601" s="0" t="n">
        <v>46.15</v>
      </c>
      <c r="DM601" s="0" t="s">
        <v>676</v>
      </c>
      <c r="DN601" s="0" t="s">
        <v>676</v>
      </c>
      <c r="DO601" s="0" t="n">
        <v>1</v>
      </c>
      <c r="DP601" s="0" t="n">
        <v>327</v>
      </c>
      <c r="DQ601" s="0" t="n">
        <v>327</v>
      </c>
      <c r="DR601" s="0" t="s">
        <v>5414</v>
      </c>
      <c r="EB601" s="0" t="s">
        <v>5415</v>
      </c>
      <c r="EC601" s="0" t="s">
        <v>2593</v>
      </c>
      <c r="ED601" s="0" t="s">
        <v>2594</v>
      </c>
      <c r="EE601" s="0" t="s">
        <v>607</v>
      </c>
      <c r="EF601" s="0" t="s">
        <v>2680</v>
      </c>
      <c r="EG601" s="0" t="n">
        <v>1</v>
      </c>
      <c r="EH601" s="0" t="n">
        <v>1</v>
      </c>
      <c r="EI601" s="0" t="n">
        <v>1</v>
      </c>
      <c r="EJ601" s="0" t="n">
        <v>1</v>
      </c>
    </row>
    <row r="602" customFormat="false" ht="15" hidden="false" customHeight="false" outlineLevel="0" collapsed="false">
      <c r="DG602" s="0" t="s">
        <v>5416</v>
      </c>
      <c r="DH602" s="0" t="s">
        <v>87</v>
      </c>
      <c r="DI602" s="0" t="s">
        <v>1082</v>
      </c>
      <c r="DJ602" s="0" t="s">
        <v>1083</v>
      </c>
      <c r="DK602" s="0" t="s">
        <v>705</v>
      </c>
      <c r="DL602" s="0" t="n">
        <v>46.15</v>
      </c>
      <c r="DM602" s="0" t="s">
        <v>675</v>
      </c>
      <c r="DN602" s="0" t="s">
        <v>676</v>
      </c>
      <c r="DO602" s="0" t="n">
        <v>3.5</v>
      </c>
      <c r="DP602" s="0" t="n">
        <v>357</v>
      </c>
      <c r="DQ602" s="0" t="n">
        <v>357</v>
      </c>
      <c r="DR602" s="0" t="s">
        <v>5417</v>
      </c>
      <c r="EB602" s="0" t="s">
        <v>5418</v>
      </c>
      <c r="EC602" s="0" t="s">
        <v>2593</v>
      </c>
      <c r="EE602" s="0" t="s">
        <v>605</v>
      </c>
    </row>
    <row r="603" customFormat="false" ht="15" hidden="false" customHeight="false" outlineLevel="0" collapsed="false">
      <c r="DG603" s="0" t="s">
        <v>5419</v>
      </c>
      <c r="DH603" s="0" t="s">
        <v>87</v>
      </c>
      <c r="DI603" s="0" t="s">
        <v>1085</v>
      </c>
      <c r="DJ603" s="0" t="s">
        <v>1086</v>
      </c>
      <c r="DK603" s="0" t="s">
        <v>674</v>
      </c>
      <c r="DL603" s="0" t="n">
        <v>42.31</v>
      </c>
      <c r="DM603" s="0" t="s">
        <v>676</v>
      </c>
      <c r="DN603" s="0" t="s">
        <v>675</v>
      </c>
      <c r="DO603" s="0" t="n">
        <v>0</v>
      </c>
      <c r="DP603" s="0" t="n">
        <v>0</v>
      </c>
      <c r="DQ603" s="0" t="n">
        <v>3.14</v>
      </c>
      <c r="DR603" s="0" t="s">
        <v>5420</v>
      </c>
      <c r="EB603" s="0" t="s">
        <v>5421</v>
      </c>
      <c r="EC603" s="0" t="s">
        <v>2593</v>
      </c>
      <c r="EE603" s="0" t="s">
        <v>629</v>
      </c>
    </row>
    <row r="604" customFormat="false" ht="15" hidden="false" customHeight="false" outlineLevel="0" collapsed="false">
      <c r="DG604" s="0" t="s">
        <v>5422</v>
      </c>
      <c r="DH604" s="0" t="s">
        <v>87</v>
      </c>
      <c r="DI604" s="0" t="s">
        <v>1090</v>
      </c>
      <c r="DJ604" s="0" t="s">
        <v>1091</v>
      </c>
      <c r="DK604" s="0" t="s">
        <v>674</v>
      </c>
      <c r="DL604" s="0" t="n">
        <v>42.31</v>
      </c>
      <c r="DM604" s="0" t="s">
        <v>676</v>
      </c>
      <c r="DN604" s="0" t="s">
        <v>675</v>
      </c>
      <c r="DO604" s="0" t="n">
        <v>0</v>
      </c>
      <c r="DP604" s="0" t="n">
        <v>0</v>
      </c>
      <c r="DQ604" s="0" t="n">
        <v>70</v>
      </c>
      <c r="DR604" s="0" t="s">
        <v>5423</v>
      </c>
      <c r="EB604" s="0" t="s">
        <v>5424</v>
      </c>
      <c r="EC604" s="0" t="s">
        <v>2593</v>
      </c>
      <c r="EE604" s="0" t="s">
        <v>602</v>
      </c>
    </row>
    <row r="605" customFormat="false" ht="15" hidden="false" customHeight="false" outlineLevel="0" collapsed="false">
      <c r="DG605" s="0" t="s">
        <v>5425</v>
      </c>
      <c r="DH605" s="0" t="s">
        <v>87</v>
      </c>
      <c r="DJ605" s="0" t="s">
        <v>745</v>
      </c>
      <c r="DK605" s="0" t="s">
        <v>705</v>
      </c>
      <c r="DL605" s="0" t="n">
        <v>42.31</v>
      </c>
      <c r="DM605" s="0" t="s">
        <v>675</v>
      </c>
      <c r="DN605" s="0" t="s">
        <v>675</v>
      </c>
      <c r="DO605" s="0" t="n">
        <v>0</v>
      </c>
      <c r="DP605" s="0" t="n">
        <v>0</v>
      </c>
      <c r="DQ605" s="0" t="n">
        <v>0</v>
      </c>
      <c r="DR605" s="0" t="s">
        <v>5211</v>
      </c>
      <c r="EB605" s="0" t="s">
        <v>5426</v>
      </c>
      <c r="EC605" s="0" t="s">
        <v>2593</v>
      </c>
      <c r="ED605" s="0" t="s">
        <v>2594</v>
      </c>
      <c r="EE605" s="0" t="s">
        <v>599</v>
      </c>
      <c r="EF605" s="0" t="s">
        <v>2745</v>
      </c>
      <c r="EG605" s="0" t="n">
        <v>1</v>
      </c>
      <c r="EH605" s="0" t="n">
        <v>1</v>
      </c>
      <c r="EI605" s="0" t="n">
        <v>1</v>
      </c>
      <c r="EJ605" s="0" t="n">
        <v>1</v>
      </c>
    </row>
    <row r="606" customFormat="false" ht="15" hidden="false" customHeight="false" outlineLevel="0" collapsed="false">
      <c r="DG606" s="0" t="s">
        <v>5427</v>
      </c>
      <c r="DH606" s="0" t="s">
        <v>87</v>
      </c>
      <c r="DJ606" s="0" t="s">
        <v>795</v>
      </c>
      <c r="DK606" s="0" t="s">
        <v>705</v>
      </c>
      <c r="DL606" s="0" t="n">
        <v>42.31</v>
      </c>
      <c r="DM606" s="0" t="s">
        <v>675</v>
      </c>
      <c r="DN606" s="0" t="s">
        <v>675</v>
      </c>
      <c r="DO606" s="0" t="n">
        <v>0</v>
      </c>
      <c r="DP606" s="0" t="n">
        <v>0</v>
      </c>
      <c r="DQ606" s="0" t="n">
        <v>0</v>
      </c>
      <c r="DR606" s="0" t="s">
        <v>5238</v>
      </c>
      <c r="EB606" s="0" t="s">
        <v>5428</v>
      </c>
      <c r="EC606" s="0" t="s">
        <v>2593</v>
      </c>
      <c r="ED606" s="0" t="s">
        <v>2594</v>
      </c>
      <c r="EE606" s="0" t="s">
        <v>597</v>
      </c>
      <c r="EF606" s="0" t="s">
        <v>3308</v>
      </c>
      <c r="EG606" s="0" t="n">
        <v>1000</v>
      </c>
      <c r="EH606" s="0" t="n">
        <v>1000</v>
      </c>
      <c r="EI606" s="0" t="n">
        <v>1000</v>
      </c>
      <c r="EJ606" s="0" t="n">
        <v>1000</v>
      </c>
    </row>
    <row r="607" customFormat="false" ht="15" hidden="false" customHeight="false" outlineLevel="0" collapsed="false">
      <c r="DG607" s="0" t="s">
        <v>5429</v>
      </c>
      <c r="DH607" s="0" t="s">
        <v>87</v>
      </c>
      <c r="DI607" s="0" t="s">
        <v>1095</v>
      </c>
      <c r="DJ607" s="0" t="s">
        <v>1096</v>
      </c>
      <c r="DK607" s="0" t="s">
        <v>705</v>
      </c>
      <c r="DL607" s="0" t="n">
        <v>42.31</v>
      </c>
      <c r="DM607" s="0" t="s">
        <v>676</v>
      </c>
      <c r="DN607" s="0" t="s">
        <v>675</v>
      </c>
      <c r="DO607" s="0" t="n">
        <v>0</v>
      </c>
      <c r="DP607" s="0" t="n">
        <v>0</v>
      </c>
      <c r="DQ607" s="0" t="n">
        <v>276</v>
      </c>
      <c r="DR607" s="0" t="s">
        <v>5430</v>
      </c>
      <c r="EB607" s="0" t="s">
        <v>5431</v>
      </c>
      <c r="EC607" s="0" t="s">
        <v>2593</v>
      </c>
      <c r="EE607" s="0" t="s">
        <v>2699</v>
      </c>
    </row>
    <row r="608" customFormat="false" ht="15" hidden="false" customHeight="false" outlineLevel="0" collapsed="false">
      <c r="DG608" s="0" t="s">
        <v>5432</v>
      </c>
      <c r="DH608" s="0" t="s">
        <v>87</v>
      </c>
      <c r="DI608" s="0" t="s">
        <v>1101</v>
      </c>
      <c r="DJ608" s="0" t="s">
        <v>1102</v>
      </c>
      <c r="DK608" s="0" t="s">
        <v>705</v>
      </c>
      <c r="DL608" s="0" t="n">
        <v>42.31</v>
      </c>
      <c r="DM608" s="0" t="s">
        <v>675</v>
      </c>
      <c r="DN608" s="0" t="s">
        <v>676</v>
      </c>
      <c r="DO608" s="0" t="n">
        <v>1</v>
      </c>
      <c r="DP608" s="0" t="n">
        <v>675</v>
      </c>
      <c r="DQ608" s="0" t="n">
        <v>675</v>
      </c>
      <c r="DR608" s="0" t="s">
        <v>5433</v>
      </c>
      <c r="EB608" s="0" t="s">
        <v>5434</v>
      </c>
      <c r="EC608" s="0" t="s">
        <v>2593</v>
      </c>
      <c r="EE608" s="0" t="s">
        <v>590</v>
      </c>
    </row>
    <row r="609" customFormat="false" ht="15" hidden="false" customHeight="false" outlineLevel="0" collapsed="false">
      <c r="DG609" s="0" t="s">
        <v>5435</v>
      </c>
      <c r="DH609" s="0" t="s">
        <v>87</v>
      </c>
      <c r="DI609" s="0" t="s">
        <v>1104</v>
      </c>
      <c r="DJ609" s="0" t="s">
        <v>1105</v>
      </c>
      <c r="DK609" s="0" t="s">
        <v>705</v>
      </c>
      <c r="DL609" s="0" t="n">
        <v>42.31</v>
      </c>
      <c r="DM609" s="0" t="s">
        <v>676</v>
      </c>
      <c r="DN609" s="0" t="s">
        <v>675</v>
      </c>
      <c r="DO609" s="0" t="n">
        <v>0</v>
      </c>
      <c r="DP609" s="0" t="n">
        <v>0</v>
      </c>
      <c r="DQ609" s="0" t="n">
        <v>355</v>
      </c>
      <c r="DR609" s="0" t="s">
        <v>5436</v>
      </c>
      <c r="EB609" s="0" t="s">
        <v>5437</v>
      </c>
      <c r="EC609" s="0" t="s">
        <v>2593</v>
      </c>
      <c r="ED609" s="0" t="s">
        <v>2594</v>
      </c>
      <c r="EE609" s="0" t="s">
        <v>588</v>
      </c>
      <c r="EF609" s="0" t="s">
        <v>2801</v>
      </c>
      <c r="EG609" s="0" t="n">
        <v>1</v>
      </c>
      <c r="EH609" s="0" t="n">
        <v>1</v>
      </c>
      <c r="EI609" s="0" t="n">
        <v>1</v>
      </c>
      <c r="EJ609" s="0" t="n">
        <v>1</v>
      </c>
    </row>
    <row r="610" customFormat="false" ht="15" hidden="false" customHeight="false" outlineLevel="0" collapsed="false">
      <c r="DG610" s="0" t="s">
        <v>5438</v>
      </c>
      <c r="DH610" s="0" t="s">
        <v>87</v>
      </c>
      <c r="DJ610" s="0" t="s">
        <v>998</v>
      </c>
      <c r="DK610" s="0" t="s">
        <v>674</v>
      </c>
      <c r="DL610" s="0" t="n">
        <v>38.46</v>
      </c>
      <c r="DM610" s="0" t="s">
        <v>675</v>
      </c>
      <c r="DN610" s="0" t="s">
        <v>675</v>
      </c>
      <c r="DO610" s="0" t="n">
        <v>0</v>
      </c>
      <c r="DP610" s="0" t="n">
        <v>0</v>
      </c>
      <c r="DQ610" s="0" t="n">
        <v>0</v>
      </c>
      <c r="DR610" s="0" t="s">
        <v>5360</v>
      </c>
      <c r="EB610" s="0" t="s">
        <v>5439</v>
      </c>
      <c r="EC610" s="0" t="s">
        <v>2593</v>
      </c>
      <c r="ED610" s="0" t="s">
        <v>2594</v>
      </c>
      <c r="EE610" s="0" t="s">
        <v>586</v>
      </c>
      <c r="EF610" s="0" t="s">
        <v>2815</v>
      </c>
      <c r="EG610" s="0" t="n">
        <v>1</v>
      </c>
      <c r="EH610" s="0" t="n">
        <v>1</v>
      </c>
      <c r="EI610" s="0" t="n">
        <v>1</v>
      </c>
      <c r="EJ610" s="0" t="n">
        <v>1</v>
      </c>
    </row>
    <row r="611" customFormat="false" ht="15" hidden="false" customHeight="false" outlineLevel="0" collapsed="false">
      <c r="DG611" s="0" t="s">
        <v>5440</v>
      </c>
      <c r="DH611" s="0" t="s">
        <v>87</v>
      </c>
      <c r="DI611" s="0" t="s">
        <v>1108</v>
      </c>
      <c r="DJ611" s="0" t="s">
        <v>1109</v>
      </c>
      <c r="DK611" s="0" t="s">
        <v>674</v>
      </c>
      <c r="DL611" s="0" t="n">
        <v>38.46</v>
      </c>
      <c r="DM611" s="0" t="s">
        <v>675</v>
      </c>
      <c r="DN611" s="0" t="s">
        <v>676</v>
      </c>
      <c r="DO611" s="0" t="n">
        <v>1</v>
      </c>
      <c r="DP611" s="0" t="n">
        <v>7.2</v>
      </c>
      <c r="DQ611" s="0" t="n">
        <v>7.2</v>
      </c>
      <c r="DR611" s="0" t="s">
        <v>5441</v>
      </c>
      <c r="EB611" s="0" t="s">
        <v>5442</v>
      </c>
      <c r="EC611" s="0" t="s">
        <v>2593</v>
      </c>
      <c r="EE611" s="0" t="s">
        <v>584</v>
      </c>
    </row>
    <row r="612" customFormat="false" ht="15" hidden="false" customHeight="false" outlineLevel="0" collapsed="false">
      <c r="DG612" s="0" t="s">
        <v>5443</v>
      </c>
      <c r="DH612" s="0" t="s">
        <v>87</v>
      </c>
      <c r="DI612" s="0" t="s">
        <v>1112</v>
      </c>
      <c r="DJ612" s="0" t="s">
        <v>1113</v>
      </c>
      <c r="DK612" s="0" t="s">
        <v>674</v>
      </c>
      <c r="DL612" s="0" t="n">
        <v>38.46</v>
      </c>
      <c r="DM612" s="0" t="s">
        <v>676</v>
      </c>
      <c r="DN612" s="0" t="s">
        <v>675</v>
      </c>
      <c r="DO612" s="0" t="n">
        <v>0</v>
      </c>
      <c r="DP612" s="0" t="n">
        <v>0</v>
      </c>
      <c r="DQ612" s="0" t="n">
        <v>1067.07</v>
      </c>
      <c r="DR612" s="0" t="s">
        <v>5444</v>
      </c>
      <c r="EB612" s="0" t="s">
        <v>5445</v>
      </c>
      <c r="EC612" s="0" t="s">
        <v>2593</v>
      </c>
      <c r="EE612" s="0" t="s">
        <v>330</v>
      </c>
    </row>
    <row r="613" customFormat="false" ht="15" hidden="false" customHeight="false" outlineLevel="0" collapsed="false">
      <c r="DG613" s="0" t="s">
        <v>5446</v>
      </c>
      <c r="DH613" s="0" t="s">
        <v>87</v>
      </c>
      <c r="DI613" s="0" t="s">
        <v>1118</v>
      </c>
      <c r="DJ613" s="0" t="s">
        <v>1119</v>
      </c>
      <c r="DK613" s="0" t="s">
        <v>674</v>
      </c>
      <c r="DL613" s="0" t="n">
        <v>38.46</v>
      </c>
      <c r="DM613" s="0" t="s">
        <v>676</v>
      </c>
      <c r="DN613" s="0" t="s">
        <v>675</v>
      </c>
      <c r="DO613" s="0" t="n">
        <v>0</v>
      </c>
      <c r="DP613" s="0" t="n">
        <v>0</v>
      </c>
      <c r="DQ613" s="0" t="n">
        <v>515.62</v>
      </c>
      <c r="DR613" s="0" t="s">
        <v>5447</v>
      </c>
      <c r="EB613" s="0" t="s">
        <v>5448</v>
      </c>
      <c r="EC613" s="0" t="s">
        <v>2593</v>
      </c>
      <c r="EE613" s="0" t="s">
        <v>334</v>
      </c>
    </row>
    <row r="614" customFormat="false" ht="15" hidden="false" customHeight="false" outlineLevel="0" collapsed="false">
      <c r="DG614" s="0" t="s">
        <v>5449</v>
      </c>
      <c r="DH614" s="0" t="s">
        <v>87</v>
      </c>
      <c r="DI614" s="0" t="s">
        <v>1121</v>
      </c>
      <c r="DJ614" s="0" t="s">
        <v>1122</v>
      </c>
      <c r="DK614" s="0" t="s">
        <v>674</v>
      </c>
      <c r="DL614" s="0" t="n">
        <v>38.46</v>
      </c>
      <c r="DM614" s="0" t="s">
        <v>676</v>
      </c>
      <c r="DN614" s="0" t="s">
        <v>676</v>
      </c>
      <c r="DO614" s="0" t="n">
        <v>0</v>
      </c>
      <c r="DP614" s="0" t="n">
        <v>0</v>
      </c>
      <c r="DQ614" s="0" t="n">
        <v>37.68</v>
      </c>
      <c r="DR614" s="0" t="s">
        <v>5450</v>
      </c>
      <c r="EB614" s="0" t="s">
        <v>5451</v>
      </c>
      <c r="EC614" s="0" t="s">
        <v>2593</v>
      </c>
      <c r="EE614" s="0" t="s">
        <v>582</v>
      </c>
    </row>
    <row r="615" customFormat="false" ht="15" hidden="false" customHeight="false" outlineLevel="0" collapsed="false">
      <c r="DG615" s="0" t="s">
        <v>5452</v>
      </c>
      <c r="DH615" s="0" t="s">
        <v>87</v>
      </c>
      <c r="DI615" s="0" t="s">
        <v>1127</v>
      </c>
      <c r="DJ615" s="0" t="s">
        <v>1128</v>
      </c>
      <c r="DK615" s="0" t="s">
        <v>674</v>
      </c>
      <c r="DL615" s="0" t="n">
        <v>38.46</v>
      </c>
      <c r="DM615" s="0" t="s">
        <v>675</v>
      </c>
      <c r="DN615" s="0" t="s">
        <v>676</v>
      </c>
      <c r="DO615" s="0" t="n">
        <v>1</v>
      </c>
      <c r="DP615" s="0" t="n">
        <v>560.65</v>
      </c>
      <c r="DQ615" s="0" t="n">
        <v>560.65</v>
      </c>
      <c r="DR615" s="0" t="s">
        <v>5453</v>
      </c>
      <c r="EB615" s="0" t="s">
        <v>5454</v>
      </c>
      <c r="EC615" s="0" t="s">
        <v>2593</v>
      </c>
      <c r="EE615" s="0" t="s">
        <v>579</v>
      </c>
    </row>
    <row r="616" customFormat="false" ht="15" hidden="false" customHeight="false" outlineLevel="0" collapsed="false">
      <c r="DG616" s="0" t="s">
        <v>5455</v>
      </c>
      <c r="DH616" s="0" t="s">
        <v>87</v>
      </c>
      <c r="DI616" s="0" t="s">
        <v>1130</v>
      </c>
      <c r="DJ616" s="0" t="s">
        <v>1131</v>
      </c>
      <c r="DK616" s="0" t="s">
        <v>674</v>
      </c>
      <c r="DL616" s="0" t="n">
        <v>38.46</v>
      </c>
      <c r="DM616" s="0" t="s">
        <v>676</v>
      </c>
      <c r="DN616" s="0" t="s">
        <v>675</v>
      </c>
      <c r="DO616" s="0" t="n">
        <v>0</v>
      </c>
      <c r="DP616" s="0" t="n">
        <v>0</v>
      </c>
      <c r="DQ616" s="0" t="n">
        <v>181.39</v>
      </c>
      <c r="DR616" s="0" t="s">
        <v>5456</v>
      </c>
      <c r="EB616" s="0" t="s">
        <v>5457</v>
      </c>
      <c r="EC616" s="0" t="s">
        <v>2593</v>
      </c>
      <c r="ED616" s="0" t="s">
        <v>2594</v>
      </c>
      <c r="EE616" s="0" t="s">
        <v>575</v>
      </c>
      <c r="EF616" s="0" t="s">
        <v>573</v>
      </c>
      <c r="EG616" s="0" t="n">
        <v>1</v>
      </c>
      <c r="EH616" s="0" t="n">
        <v>1</v>
      </c>
      <c r="EI616" s="0" t="n">
        <v>1</v>
      </c>
      <c r="EJ616" s="0" t="n">
        <v>1</v>
      </c>
    </row>
    <row r="617" customFormat="false" ht="15" hidden="false" customHeight="false" outlineLevel="0" collapsed="false">
      <c r="DG617" s="0" t="s">
        <v>5458</v>
      </c>
      <c r="DH617" s="0" t="s">
        <v>87</v>
      </c>
      <c r="DJ617" s="0" t="s">
        <v>758</v>
      </c>
      <c r="DK617" s="0" t="s">
        <v>705</v>
      </c>
      <c r="DL617" s="0" t="n">
        <v>38.46</v>
      </c>
      <c r="DM617" s="0" t="s">
        <v>675</v>
      </c>
      <c r="DN617" s="0" t="s">
        <v>675</v>
      </c>
      <c r="DO617" s="0" t="n">
        <v>0</v>
      </c>
      <c r="DP617" s="0" t="n">
        <v>0</v>
      </c>
      <c r="DQ617" s="0" t="n">
        <v>0</v>
      </c>
      <c r="DR617" s="0" t="s">
        <v>5217</v>
      </c>
      <c r="EB617" s="0" t="s">
        <v>5459</v>
      </c>
      <c r="EC617" s="0" t="s">
        <v>2593</v>
      </c>
      <c r="EE617" s="0" t="s">
        <v>2917</v>
      </c>
    </row>
    <row r="618" customFormat="false" ht="15" hidden="false" customHeight="false" outlineLevel="0" collapsed="false">
      <c r="DG618" s="0" t="s">
        <v>5460</v>
      </c>
      <c r="DH618" s="0" t="s">
        <v>87</v>
      </c>
      <c r="DI618" s="0" t="s">
        <v>1133</v>
      </c>
      <c r="DJ618" s="0" t="s">
        <v>1134</v>
      </c>
      <c r="DK618" s="0" t="s">
        <v>705</v>
      </c>
      <c r="DL618" s="0" t="n">
        <v>38.46</v>
      </c>
      <c r="DM618" s="0" t="s">
        <v>675</v>
      </c>
      <c r="DN618" s="0" t="s">
        <v>676</v>
      </c>
      <c r="DO618" s="0" t="n">
        <v>10</v>
      </c>
      <c r="DP618" s="0" t="n">
        <v>160</v>
      </c>
      <c r="DQ618" s="0" t="n">
        <v>160</v>
      </c>
      <c r="DR618" s="0" t="s">
        <v>5461</v>
      </c>
      <c r="EB618" s="0" t="s">
        <v>5462</v>
      </c>
      <c r="EC618" s="0" t="s">
        <v>2593</v>
      </c>
      <c r="EE618" s="0" t="s">
        <v>2932</v>
      </c>
    </row>
    <row r="619" customFormat="false" ht="15" hidden="false" customHeight="false" outlineLevel="0" collapsed="false">
      <c r="DG619" s="0" t="s">
        <v>5463</v>
      </c>
      <c r="DH619" s="0" t="s">
        <v>87</v>
      </c>
      <c r="DI619" s="0" t="s">
        <v>1135</v>
      </c>
      <c r="DJ619" s="0" t="s">
        <v>1136</v>
      </c>
      <c r="DK619" s="0" t="s">
        <v>705</v>
      </c>
      <c r="DL619" s="0" t="n">
        <v>38.46</v>
      </c>
      <c r="DM619" s="0" t="s">
        <v>676</v>
      </c>
      <c r="DN619" s="0" t="s">
        <v>675</v>
      </c>
      <c r="DO619" s="0" t="n">
        <v>0</v>
      </c>
      <c r="DP619" s="0" t="n">
        <v>0</v>
      </c>
      <c r="DQ619" s="0" t="n">
        <v>538.65</v>
      </c>
      <c r="DR619" s="0" t="s">
        <v>5464</v>
      </c>
      <c r="EB619" s="0" t="s">
        <v>5465</v>
      </c>
      <c r="EC619" s="0" t="s">
        <v>2593</v>
      </c>
      <c r="EE619" s="0" t="s">
        <v>2946</v>
      </c>
    </row>
    <row r="620" customFormat="false" ht="15" hidden="false" customHeight="false" outlineLevel="0" collapsed="false">
      <c r="DG620" s="0" t="s">
        <v>5466</v>
      </c>
      <c r="DH620" s="0" t="s">
        <v>87</v>
      </c>
      <c r="DI620" s="0" t="s">
        <v>1141</v>
      </c>
      <c r="DJ620" s="0" t="s">
        <v>1142</v>
      </c>
      <c r="DK620" s="0" t="s">
        <v>705</v>
      </c>
      <c r="DL620" s="0" t="n">
        <v>38.46</v>
      </c>
      <c r="DM620" s="0" t="s">
        <v>675</v>
      </c>
      <c r="DN620" s="0" t="s">
        <v>676</v>
      </c>
      <c r="DO620" s="0" t="n">
        <v>2.5</v>
      </c>
      <c r="DP620" s="0" t="n">
        <v>282.5</v>
      </c>
      <c r="DQ620" s="0" t="n">
        <v>282.5</v>
      </c>
      <c r="DR620" s="0" t="s">
        <v>5467</v>
      </c>
      <c r="EB620" s="0" t="s">
        <v>5468</v>
      </c>
      <c r="EC620" s="0" t="s">
        <v>2593</v>
      </c>
      <c r="ED620" s="0" t="s">
        <v>2594</v>
      </c>
      <c r="EE620" s="0" t="s">
        <v>567</v>
      </c>
      <c r="EF620" s="0" t="s">
        <v>2959</v>
      </c>
      <c r="EG620" s="0" t="n">
        <v>1</v>
      </c>
      <c r="EH620" s="0" t="n">
        <v>1</v>
      </c>
      <c r="EI620" s="0" t="n">
        <v>1</v>
      </c>
      <c r="EJ620" s="0" t="n">
        <v>1</v>
      </c>
    </row>
    <row r="621" customFormat="false" ht="15" hidden="false" customHeight="false" outlineLevel="0" collapsed="false">
      <c r="DG621" s="0" t="s">
        <v>5469</v>
      </c>
      <c r="DH621" s="0" t="s">
        <v>87</v>
      </c>
      <c r="DI621" s="0" t="s">
        <v>1145</v>
      </c>
      <c r="DJ621" s="0" t="s">
        <v>1146</v>
      </c>
      <c r="DK621" s="0" t="s">
        <v>705</v>
      </c>
      <c r="DL621" s="0" t="n">
        <v>38.46</v>
      </c>
      <c r="DM621" s="0" t="s">
        <v>675</v>
      </c>
      <c r="DN621" s="0" t="s">
        <v>676</v>
      </c>
      <c r="DO621" s="0" t="n">
        <v>10</v>
      </c>
      <c r="DP621" s="0" t="n">
        <v>170</v>
      </c>
      <c r="DQ621" s="0" t="n">
        <v>170</v>
      </c>
      <c r="DR621" s="0" t="s">
        <v>5470</v>
      </c>
      <c r="EB621" s="0" t="s">
        <v>5471</v>
      </c>
      <c r="EC621" s="0" t="s">
        <v>2593</v>
      </c>
      <c r="EE621" s="0" t="s">
        <v>569</v>
      </c>
    </row>
    <row r="622" customFormat="false" ht="15" hidden="false" customHeight="false" outlineLevel="0" collapsed="false">
      <c r="DG622" s="0" t="s">
        <v>5472</v>
      </c>
      <c r="DH622" s="0" t="s">
        <v>87</v>
      </c>
      <c r="DI622" s="0" t="s">
        <v>1148</v>
      </c>
      <c r="DJ622" s="0" t="s">
        <v>1149</v>
      </c>
      <c r="DK622" s="0" t="s">
        <v>705</v>
      </c>
      <c r="DL622" s="0" t="n">
        <v>38.46</v>
      </c>
      <c r="DM622" s="0" t="s">
        <v>675</v>
      </c>
      <c r="DN622" s="0" t="s">
        <v>676</v>
      </c>
      <c r="DO622" s="0" t="n">
        <v>1</v>
      </c>
      <c r="DP622" s="0" t="n">
        <v>4.31</v>
      </c>
      <c r="DQ622" s="0" t="n">
        <v>4.31</v>
      </c>
      <c r="DR622" s="0" t="s">
        <v>5473</v>
      </c>
      <c r="EB622" s="0" t="s">
        <v>5474</v>
      </c>
      <c r="EC622" s="0" t="s">
        <v>2593</v>
      </c>
      <c r="ED622" s="0" t="s">
        <v>2594</v>
      </c>
      <c r="EE622" s="0" t="s">
        <v>562</v>
      </c>
      <c r="EF622" s="0" t="s">
        <v>2986</v>
      </c>
      <c r="EG622" s="0" t="n">
        <v>1</v>
      </c>
      <c r="EH622" s="0" t="n">
        <v>1</v>
      </c>
      <c r="EI622" s="0" t="n">
        <v>1</v>
      </c>
      <c r="EJ622" s="0" t="n">
        <v>1</v>
      </c>
    </row>
    <row r="623" customFormat="false" ht="15" hidden="false" customHeight="false" outlineLevel="0" collapsed="false">
      <c r="DG623" s="0" t="s">
        <v>5475</v>
      </c>
      <c r="DH623" s="0" t="s">
        <v>87</v>
      </c>
      <c r="DI623" s="0" t="s">
        <v>1151</v>
      </c>
      <c r="DJ623" s="0" t="s">
        <v>1152</v>
      </c>
      <c r="DK623" s="0" t="s">
        <v>705</v>
      </c>
      <c r="DL623" s="0" t="n">
        <v>38.46</v>
      </c>
      <c r="DM623" s="0" t="s">
        <v>676</v>
      </c>
      <c r="DN623" s="0" t="s">
        <v>675</v>
      </c>
      <c r="DO623" s="0" t="n">
        <v>0</v>
      </c>
      <c r="DP623" s="0" t="n">
        <v>0</v>
      </c>
      <c r="DQ623" s="0" t="n">
        <v>205.5</v>
      </c>
      <c r="DR623" s="0" t="s">
        <v>5476</v>
      </c>
      <c r="EB623" s="0" t="s">
        <v>5477</v>
      </c>
      <c r="EC623" s="0" t="s">
        <v>2593</v>
      </c>
      <c r="EE623" s="0" t="s">
        <v>557</v>
      </c>
    </row>
    <row r="624" customFormat="false" ht="15" hidden="false" customHeight="false" outlineLevel="0" collapsed="false">
      <c r="DG624" s="0" t="s">
        <v>5478</v>
      </c>
      <c r="DH624" s="0" t="s">
        <v>87</v>
      </c>
      <c r="DI624" s="0" t="s">
        <v>1155</v>
      </c>
      <c r="DJ624" s="0" t="s">
        <v>195</v>
      </c>
      <c r="DK624" s="0" t="s">
        <v>705</v>
      </c>
      <c r="DL624" s="0" t="n">
        <v>38.46</v>
      </c>
      <c r="DM624" s="0" t="s">
        <v>675</v>
      </c>
      <c r="DN624" s="0" t="s">
        <v>676</v>
      </c>
      <c r="DO624" s="0" t="n">
        <v>2</v>
      </c>
      <c r="DP624" s="0" t="n">
        <v>53250</v>
      </c>
      <c r="DQ624" s="0" t="n">
        <v>53250</v>
      </c>
      <c r="DR624" s="0" t="s">
        <v>5479</v>
      </c>
      <c r="EB624" s="0" t="s">
        <v>5480</v>
      </c>
      <c r="EC624" s="0" t="s">
        <v>2593</v>
      </c>
      <c r="EE624" s="0" t="s">
        <v>290</v>
      </c>
    </row>
    <row r="625" customFormat="false" ht="15" hidden="false" customHeight="false" outlineLevel="0" collapsed="false">
      <c r="DG625" s="0" t="s">
        <v>5481</v>
      </c>
      <c r="DH625" s="0" t="s">
        <v>87</v>
      </c>
      <c r="DI625" s="0" t="s">
        <v>1158</v>
      </c>
      <c r="DJ625" s="0" t="s">
        <v>1159</v>
      </c>
      <c r="DK625" s="0" t="s">
        <v>705</v>
      </c>
      <c r="DL625" s="0" t="n">
        <v>38.46</v>
      </c>
      <c r="DM625" s="0" t="s">
        <v>676</v>
      </c>
      <c r="DN625" s="0" t="s">
        <v>676</v>
      </c>
      <c r="DO625" s="0" t="n">
        <v>1</v>
      </c>
      <c r="DP625" s="0" t="n">
        <v>169.69</v>
      </c>
      <c r="DQ625" s="0" t="n">
        <v>172.84</v>
      </c>
      <c r="DR625" s="0" t="s">
        <v>5482</v>
      </c>
      <c r="EB625" s="0" t="s">
        <v>5483</v>
      </c>
      <c r="EC625" s="0" t="s">
        <v>2593</v>
      </c>
      <c r="EE625" s="0" t="s">
        <v>275</v>
      </c>
    </row>
    <row r="626" customFormat="false" ht="15" hidden="false" customHeight="false" outlineLevel="0" collapsed="false">
      <c r="DG626" s="0" t="s">
        <v>5484</v>
      </c>
      <c r="DH626" s="0" t="s">
        <v>87</v>
      </c>
      <c r="DI626" s="0" t="s">
        <v>1164</v>
      </c>
      <c r="DJ626" s="0" t="s">
        <v>1165</v>
      </c>
      <c r="DK626" s="0" t="s">
        <v>705</v>
      </c>
      <c r="DL626" s="0" t="n">
        <v>38.46</v>
      </c>
      <c r="DM626" s="0" t="s">
        <v>676</v>
      </c>
      <c r="DN626" s="0" t="s">
        <v>675</v>
      </c>
      <c r="DO626" s="0" t="n">
        <v>0</v>
      </c>
      <c r="DP626" s="0" t="n">
        <v>0</v>
      </c>
      <c r="DQ626" s="0" t="n">
        <v>175.5</v>
      </c>
      <c r="DR626" s="0" t="s">
        <v>5485</v>
      </c>
      <c r="EB626" s="0" t="s">
        <v>5486</v>
      </c>
      <c r="EC626" s="0" t="s">
        <v>2593</v>
      </c>
      <c r="EE626" s="0" t="s">
        <v>298</v>
      </c>
    </row>
    <row r="627" customFormat="false" ht="15" hidden="false" customHeight="false" outlineLevel="0" collapsed="false">
      <c r="DG627" s="0" t="s">
        <v>5487</v>
      </c>
      <c r="DH627" s="0" t="s">
        <v>87</v>
      </c>
      <c r="DJ627" s="0" t="s">
        <v>881</v>
      </c>
      <c r="DK627" s="0" t="s">
        <v>674</v>
      </c>
      <c r="DL627" s="0" t="n">
        <v>34.62</v>
      </c>
      <c r="DM627" s="0" t="s">
        <v>675</v>
      </c>
      <c r="DN627" s="0" t="s">
        <v>675</v>
      </c>
      <c r="DO627" s="0" t="n">
        <v>0</v>
      </c>
      <c r="DP627" s="0" t="n">
        <v>0</v>
      </c>
      <c r="DQ627" s="0" t="n">
        <v>0</v>
      </c>
      <c r="DR627" s="0" t="s">
        <v>5286</v>
      </c>
      <c r="EB627" s="0" t="s">
        <v>5488</v>
      </c>
      <c r="EC627" s="0" t="s">
        <v>2593</v>
      </c>
      <c r="EE627" s="0" t="s">
        <v>286</v>
      </c>
    </row>
    <row r="628" customFormat="false" ht="15" hidden="false" customHeight="false" outlineLevel="0" collapsed="false">
      <c r="DG628" s="0" t="s">
        <v>5489</v>
      </c>
      <c r="DH628" s="0" t="s">
        <v>87</v>
      </c>
      <c r="DI628" s="0" t="s">
        <v>1171</v>
      </c>
      <c r="DJ628" s="0" t="s">
        <v>1172</v>
      </c>
      <c r="DK628" s="0" t="s">
        <v>674</v>
      </c>
      <c r="DL628" s="0" t="n">
        <v>34.62</v>
      </c>
      <c r="DM628" s="0" t="s">
        <v>676</v>
      </c>
      <c r="DN628" s="0" t="s">
        <v>675</v>
      </c>
      <c r="DO628" s="0" t="n">
        <v>0</v>
      </c>
      <c r="DP628" s="0" t="n">
        <v>0</v>
      </c>
      <c r="DQ628" s="0" t="n">
        <v>2.64</v>
      </c>
      <c r="DR628" s="0" t="s">
        <v>5490</v>
      </c>
      <c r="EB628" s="0" t="s">
        <v>5491</v>
      </c>
      <c r="EC628" s="0" t="s">
        <v>2593</v>
      </c>
      <c r="EE628" s="0" t="s">
        <v>272</v>
      </c>
    </row>
    <row r="629" customFormat="false" ht="15" hidden="false" customHeight="false" outlineLevel="0" collapsed="false">
      <c r="DG629" s="0" t="s">
        <v>5492</v>
      </c>
      <c r="DH629" s="0" t="s">
        <v>87</v>
      </c>
      <c r="DI629" s="0" t="s">
        <v>1176</v>
      </c>
      <c r="DJ629" s="0" t="s">
        <v>1177</v>
      </c>
      <c r="DK629" s="0" t="s">
        <v>674</v>
      </c>
      <c r="DL629" s="0" t="n">
        <v>34.62</v>
      </c>
      <c r="DM629" s="0" t="s">
        <v>676</v>
      </c>
      <c r="DN629" s="0" t="s">
        <v>676</v>
      </c>
      <c r="DO629" s="0" t="n">
        <v>0</v>
      </c>
      <c r="DP629" s="0" t="n">
        <v>0</v>
      </c>
      <c r="DQ629" s="0" t="n">
        <v>420</v>
      </c>
      <c r="DR629" s="0" t="s">
        <v>5493</v>
      </c>
      <c r="EB629" s="0" t="s">
        <v>5494</v>
      </c>
      <c r="EC629" s="0" t="s">
        <v>2593</v>
      </c>
      <c r="EE629" s="0" t="s">
        <v>283</v>
      </c>
    </row>
    <row r="630" customFormat="false" ht="15" hidden="false" customHeight="false" outlineLevel="0" collapsed="false">
      <c r="DG630" s="0" t="s">
        <v>5495</v>
      </c>
      <c r="DH630" s="0" t="s">
        <v>87</v>
      </c>
      <c r="DI630" s="0" t="s">
        <v>476</v>
      </c>
      <c r="DJ630" s="0" t="s">
        <v>1180</v>
      </c>
      <c r="DK630" s="0" t="s">
        <v>1181</v>
      </c>
      <c r="DL630" s="0" t="n">
        <v>34.62</v>
      </c>
      <c r="DM630" s="0" t="s">
        <v>675</v>
      </c>
      <c r="DN630" s="0" t="s">
        <v>676</v>
      </c>
      <c r="DO630" s="0" t="n">
        <v>1</v>
      </c>
      <c r="DP630" s="0" t="n">
        <v>5730</v>
      </c>
      <c r="DQ630" s="0" t="n">
        <v>5730</v>
      </c>
      <c r="DR630" s="0" t="s">
        <v>5496</v>
      </c>
      <c r="EB630" s="0" t="s">
        <v>5497</v>
      </c>
      <c r="EC630" s="0" t="s">
        <v>2593</v>
      </c>
      <c r="EE630" s="0" t="s">
        <v>267</v>
      </c>
    </row>
    <row r="631" customFormat="false" ht="15" hidden="false" customHeight="false" outlineLevel="0" collapsed="false">
      <c r="DG631" s="0" t="s">
        <v>5498</v>
      </c>
      <c r="DH631" s="0" t="s">
        <v>87</v>
      </c>
      <c r="DI631" s="0" t="s">
        <v>982</v>
      </c>
      <c r="DJ631" s="0" t="s">
        <v>1183</v>
      </c>
      <c r="DK631" s="0" t="s">
        <v>705</v>
      </c>
      <c r="DL631" s="0" t="n">
        <v>34.62</v>
      </c>
      <c r="DM631" s="0" t="s">
        <v>676</v>
      </c>
      <c r="DN631" s="0" t="s">
        <v>675</v>
      </c>
      <c r="DO631" s="0" t="n">
        <v>0</v>
      </c>
      <c r="DP631" s="0" t="n">
        <v>0</v>
      </c>
      <c r="DQ631" s="0" t="n">
        <v>100</v>
      </c>
      <c r="DR631" s="0" t="s">
        <v>5499</v>
      </c>
      <c r="EB631" s="0" t="s">
        <v>5500</v>
      </c>
      <c r="EC631" s="0" t="s">
        <v>2593</v>
      </c>
      <c r="EE631" s="0" t="s">
        <v>258</v>
      </c>
    </row>
    <row r="632" customFormat="false" ht="15" hidden="false" customHeight="false" outlineLevel="0" collapsed="false">
      <c r="DG632" s="0" t="s">
        <v>5501</v>
      </c>
      <c r="DH632" s="0" t="s">
        <v>87</v>
      </c>
      <c r="DI632" s="0" t="s">
        <v>1184</v>
      </c>
      <c r="DJ632" s="0" t="s">
        <v>1185</v>
      </c>
      <c r="DK632" s="0" t="s">
        <v>705</v>
      </c>
      <c r="DL632" s="0" t="n">
        <v>34.62</v>
      </c>
      <c r="DM632" s="0" t="s">
        <v>676</v>
      </c>
      <c r="DN632" s="0" t="s">
        <v>675</v>
      </c>
      <c r="DO632" s="0" t="n">
        <v>0</v>
      </c>
      <c r="DP632" s="0" t="n">
        <v>0</v>
      </c>
      <c r="DQ632" s="0" t="n">
        <v>187</v>
      </c>
      <c r="DR632" s="0" t="s">
        <v>5502</v>
      </c>
      <c r="EB632" s="0" t="s">
        <v>5503</v>
      </c>
      <c r="EC632" s="0" t="s">
        <v>2593</v>
      </c>
      <c r="EE632" s="0" t="s">
        <v>222</v>
      </c>
    </row>
    <row r="633" customFormat="false" ht="15" hidden="false" customHeight="false" outlineLevel="0" collapsed="false">
      <c r="DG633" s="0" t="s">
        <v>5504</v>
      </c>
      <c r="DH633" s="0" t="s">
        <v>87</v>
      </c>
      <c r="DI633" s="0" t="s">
        <v>1187</v>
      </c>
      <c r="DJ633" s="0" t="s">
        <v>1188</v>
      </c>
      <c r="DK633" s="0" t="s">
        <v>705</v>
      </c>
      <c r="DL633" s="0" t="n">
        <v>34.62</v>
      </c>
      <c r="DM633" s="0" t="s">
        <v>675</v>
      </c>
      <c r="DN633" s="0" t="s">
        <v>676</v>
      </c>
      <c r="DO633" s="0" t="n">
        <v>1</v>
      </c>
      <c r="DP633" s="0" t="n">
        <v>150</v>
      </c>
      <c r="DQ633" s="0" t="n">
        <v>150</v>
      </c>
      <c r="DR633" s="0" t="s">
        <v>5505</v>
      </c>
      <c r="EB633" s="0" t="s">
        <v>5506</v>
      </c>
      <c r="EC633" s="0" t="s">
        <v>2593</v>
      </c>
      <c r="EE633" s="0" t="s">
        <v>233</v>
      </c>
    </row>
    <row r="634" customFormat="false" ht="15" hidden="false" customHeight="false" outlineLevel="0" collapsed="false">
      <c r="DG634" s="0" t="s">
        <v>5507</v>
      </c>
      <c r="DH634" s="0" t="s">
        <v>87</v>
      </c>
      <c r="DI634" s="0" t="s">
        <v>1190</v>
      </c>
      <c r="DJ634" s="0" t="s">
        <v>1191</v>
      </c>
      <c r="DK634" s="0" t="s">
        <v>705</v>
      </c>
      <c r="DL634" s="0" t="n">
        <v>34.62</v>
      </c>
      <c r="DM634" s="0" t="s">
        <v>675</v>
      </c>
      <c r="DN634" s="0" t="s">
        <v>676</v>
      </c>
      <c r="DO634" s="0" t="n">
        <v>1</v>
      </c>
      <c r="DP634" s="0" t="n">
        <v>1063.13</v>
      </c>
      <c r="DQ634" s="0" t="n">
        <v>1063.13</v>
      </c>
      <c r="DR634" s="0" t="s">
        <v>5508</v>
      </c>
      <c r="EB634" s="0" t="s">
        <v>5509</v>
      </c>
      <c r="EC634" s="0" t="s">
        <v>2593</v>
      </c>
      <c r="EE634" s="0" t="s">
        <v>225</v>
      </c>
    </row>
    <row r="635" customFormat="false" ht="15" hidden="false" customHeight="false" outlineLevel="0" collapsed="false">
      <c r="DG635" s="0" t="s">
        <v>5510</v>
      </c>
      <c r="DH635" s="0" t="s">
        <v>87</v>
      </c>
      <c r="DI635" s="0" t="s">
        <v>1195</v>
      </c>
      <c r="DJ635" s="0" t="s">
        <v>1196</v>
      </c>
      <c r="DK635" s="0" t="s">
        <v>705</v>
      </c>
      <c r="DL635" s="0" t="n">
        <v>34.62</v>
      </c>
      <c r="DM635" s="0" t="s">
        <v>675</v>
      </c>
      <c r="DN635" s="0" t="s">
        <v>676</v>
      </c>
      <c r="DO635" s="0" t="n">
        <v>1</v>
      </c>
      <c r="DP635" s="0" t="n">
        <v>464</v>
      </c>
      <c r="DQ635" s="0" t="n">
        <v>464</v>
      </c>
      <c r="DR635" s="0" t="s">
        <v>5511</v>
      </c>
      <c r="EB635" s="0" t="s">
        <v>5512</v>
      </c>
      <c r="EC635" s="0" t="s">
        <v>2593</v>
      </c>
      <c r="EE635" s="0" t="s">
        <v>288</v>
      </c>
    </row>
    <row r="636" customFormat="false" ht="15" hidden="false" customHeight="false" outlineLevel="0" collapsed="false">
      <c r="DG636" s="0" t="s">
        <v>5513</v>
      </c>
      <c r="DH636" s="0" t="s">
        <v>87</v>
      </c>
      <c r="DI636" s="0" t="s">
        <v>1198</v>
      </c>
      <c r="DJ636" s="0" t="s">
        <v>1199</v>
      </c>
      <c r="DK636" s="0" t="s">
        <v>705</v>
      </c>
      <c r="DL636" s="0" t="n">
        <v>34.62</v>
      </c>
      <c r="DM636" s="0" t="s">
        <v>675</v>
      </c>
      <c r="DN636" s="0" t="s">
        <v>676</v>
      </c>
      <c r="DO636" s="0" t="n">
        <v>1</v>
      </c>
      <c r="DP636" s="0" t="n">
        <v>221.72</v>
      </c>
      <c r="DQ636" s="0" t="n">
        <v>221.72</v>
      </c>
      <c r="DR636" s="0" t="s">
        <v>5514</v>
      </c>
      <c r="EB636" s="0" t="s">
        <v>5515</v>
      </c>
      <c r="EC636" s="0" t="s">
        <v>2593</v>
      </c>
      <c r="EE636" s="0" t="s">
        <v>269</v>
      </c>
    </row>
    <row r="637" customFormat="false" ht="15" hidden="false" customHeight="false" outlineLevel="0" collapsed="false">
      <c r="DG637" s="0" t="s">
        <v>5516</v>
      </c>
      <c r="DH637" s="0" t="s">
        <v>87</v>
      </c>
      <c r="DI637" s="0" t="s">
        <v>1200</v>
      </c>
      <c r="DJ637" s="0" t="s">
        <v>1201</v>
      </c>
      <c r="DK637" s="0" t="s">
        <v>705</v>
      </c>
      <c r="DL637" s="0" t="n">
        <v>34.62</v>
      </c>
      <c r="DM637" s="0" t="s">
        <v>675</v>
      </c>
      <c r="DN637" s="0" t="s">
        <v>676</v>
      </c>
      <c r="DO637" s="0" t="n">
        <v>3</v>
      </c>
      <c r="DP637" s="0" t="n">
        <v>273</v>
      </c>
      <c r="DQ637" s="0" t="n">
        <v>273</v>
      </c>
      <c r="DR637" s="0" t="s">
        <v>5517</v>
      </c>
      <c r="EB637" s="0" t="s">
        <v>5518</v>
      </c>
      <c r="EC637" s="0" t="s">
        <v>2593</v>
      </c>
      <c r="EE637" s="0" t="s">
        <v>237</v>
      </c>
    </row>
    <row r="638" customFormat="false" ht="15" hidden="false" customHeight="false" outlineLevel="0" collapsed="false">
      <c r="DG638" s="0" t="s">
        <v>5519</v>
      </c>
      <c r="DH638" s="0" t="s">
        <v>87</v>
      </c>
      <c r="DI638" s="0" t="s">
        <v>1203</v>
      </c>
      <c r="DJ638" s="0" t="s">
        <v>1204</v>
      </c>
      <c r="DK638" s="0" t="s">
        <v>705</v>
      </c>
      <c r="DL638" s="0" t="n">
        <v>34.62</v>
      </c>
      <c r="DM638" s="0" t="s">
        <v>676</v>
      </c>
      <c r="DN638" s="0" t="s">
        <v>676</v>
      </c>
      <c r="DO638" s="0" t="n">
        <v>8</v>
      </c>
      <c r="DP638" s="0" t="n">
        <v>728</v>
      </c>
      <c r="DQ638" s="0" t="n">
        <v>819</v>
      </c>
      <c r="DR638" s="0" t="s">
        <v>5520</v>
      </c>
      <c r="EB638" s="0" t="s">
        <v>5521</v>
      </c>
      <c r="EC638" s="0" t="s">
        <v>2593</v>
      </c>
      <c r="EE638" s="0" t="s">
        <v>249</v>
      </c>
    </row>
    <row r="639" customFormat="false" ht="15" hidden="false" customHeight="false" outlineLevel="0" collapsed="false">
      <c r="DG639" s="0" t="s">
        <v>5522</v>
      </c>
      <c r="DH639" s="0" t="s">
        <v>87</v>
      </c>
      <c r="DI639" s="0" t="s">
        <v>1208</v>
      </c>
      <c r="DJ639" s="0" t="s">
        <v>1209</v>
      </c>
      <c r="DK639" s="0" t="s">
        <v>705</v>
      </c>
      <c r="DL639" s="0" t="n">
        <v>34.62</v>
      </c>
      <c r="DM639" s="0" t="s">
        <v>675</v>
      </c>
      <c r="DN639" s="0" t="s">
        <v>676</v>
      </c>
      <c r="DO639" s="0" t="n">
        <v>1</v>
      </c>
      <c r="DP639" s="0" t="n">
        <v>767</v>
      </c>
      <c r="DQ639" s="0" t="n">
        <v>767</v>
      </c>
      <c r="DR639" s="0" t="s">
        <v>5523</v>
      </c>
      <c r="EB639" s="0" t="s">
        <v>5524</v>
      </c>
      <c r="EC639" s="0" t="s">
        <v>2593</v>
      </c>
      <c r="EE639" s="0" t="s">
        <v>293</v>
      </c>
    </row>
    <row r="640" customFormat="false" ht="15" hidden="false" customHeight="false" outlineLevel="0" collapsed="false">
      <c r="DG640" s="0" t="s">
        <v>5525</v>
      </c>
      <c r="DH640" s="0" t="s">
        <v>87</v>
      </c>
      <c r="DJ640" s="0" t="s">
        <v>688</v>
      </c>
      <c r="DK640" s="0" t="s">
        <v>674</v>
      </c>
      <c r="DL640" s="0" t="n">
        <v>30.77</v>
      </c>
      <c r="DM640" s="0" t="s">
        <v>675</v>
      </c>
      <c r="DN640" s="0" t="s">
        <v>675</v>
      </c>
      <c r="DO640" s="0" t="n">
        <v>0</v>
      </c>
      <c r="DP640" s="0" t="n">
        <v>0</v>
      </c>
      <c r="DQ640" s="0" t="n">
        <v>0</v>
      </c>
      <c r="DR640" s="0" t="s">
        <v>5175</v>
      </c>
      <c r="EB640" s="0" t="s">
        <v>5526</v>
      </c>
      <c r="EC640" s="0" t="s">
        <v>2593</v>
      </c>
      <c r="EE640" s="0" t="s">
        <v>280</v>
      </c>
    </row>
    <row r="641" customFormat="false" ht="15" hidden="false" customHeight="false" outlineLevel="0" collapsed="false">
      <c r="DG641" s="0" t="s">
        <v>5527</v>
      </c>
      <c r="DH641" s="0" t="s">
        <v>87</v>
      </c>
      <c r="DJ641" s="0" t="s">
        <v>1044</v>
      </c>
      <c r="DK641" s="0" t="s">
        <v>674</v>
      </c>
      <c r="DL641" s="0" t="n">
        <v>30.77</v>
      </c>
      <c r="DM641" s="0" t="s">
        <v>675</v>
      </c>
      <c r="DN641" s="0" t="s">
        <v>675</v>
      </c>
      <c r="DO641" s="0" t="n">
        <v>0</v>
      </c>
      <c r="DP641" s="0" t="n">
        <v>0</v>
      </c>
      <c r="DQ641" s="0" t="n">
        <v>0</v>
      </c>
      <c r="DR641" s="0" t="s">
        <v>5390</v>
      </c>
      <c r="EB641" s="0" t="s">
        <v>5528</v>
      </c>
      <c r="EC641" s="0" t="s">
        <v>2593</v>
      </c>
      <c r="EE641" s="0" t="s">
        <v>264</v>
      </c>
    </row>
    <row r="642" customFormat="false" ht="15" hidden="false" customHeight="false" outlineLevel="0" collapsed="false">
      <c r="DG642" s="0" t="s">
        <v>5529</v>
      </c>
      <c r="DH642" s="0" t="s">
        <v>87</v>
      </c>
      <c r="DI642" s="0" t="s">
        <v>1212</v>
      </c>
      <c r="DJ642" s="0" t="s">
        <v>1213</v>
      </c>
      <c r="DK642" s="0" t="s">
        <v>674</v>
      </c>
      <c r="DL642" s="0" t="n">
        <v>30.77</v>
      </c>
      <c r="DM642" s="0" t="s">
        <v>676</v>
      </c>
      <c r="DN642" s="0" t="s">
        <v>676</v>
      </c>
      <c r="DO642" s="0" t="n">
        <v>0</v>
      </c>
      <c r="DP642" s="0" t="n">
        <v>0</v>
      </c>
      <c r="DQ642" s="0" t="n">
        <v>120</v>
      </c>
      <c r="DR642" s="0" t="s">
        <v>5530</v>
      </c>
      <c r="EB642" s="0" t="s">
        <v>5531</v>
      </c>
      <c r="EC642" s="0" t="s">
        <v>2593</v>
      </c>
      <c r="EE642" s="0" t="s">
        <v>278</v>
      </c>
    </row>
    <row r="643" customFormat="false" ht="15" hidden="false" customHeight="false" outlineLevel="0" collapsed="false">
      <c r="DG643" s="0" t="s">
        <v>5532</v>
      </c>
      <c r="DH643" s="0" t="s">
        <v>87</v>
      </c>
      <c r="DI643" s="0" t="s">
        <v>1218</v>
      </c>
      <c r="DJ643" s="0" t="s">
        <v>1219</v>
      </c>
      <c r="DK643" s="0" t="s">
        <v>674</v>
      </c>
      <c r="DL643" s="0" t="n">
        <v>30.77</v>
      </c>
      <c r="DM643" s="0" t="s">
        <v>676</v>
      </c>
      <c r="DN643" s="0" t="s">
        <v>675</v>
      </c>
      <c r="DO643" s="0" t="n">
        <v>0</v>
      </c>
      <c r="DP643" s="0" t="n">
        <v>0</v>
      </c>
      <c r="DQ643" s="0" t="n">
        <v>2669.03</v>
      </c>
      <c r="DR643" s="0" t="s">
        <v>5533</v>
      </c>
      <c r="EB643" s="0" t="s">
        <v>5534</v>
      </c>
      <c r="EC643" s="0" t="s">
        <v>2593</v>
      </c>
      <c r="EE643" s="0" t="s">
        <v>240</v>
      </c>
    </row>
    <row r="644" customFormat="false" ht="15" hidden="false" customHeight="false" outlineLevel="0" collapsed="false">
      <c r="DG644" s="0" t="s">
        <v>5535</v>
      </c>
      <c r="DH644" s="0" t="s">
        <v>87</v>
      </c>
      <c r="DI644" s="0" t="s">
        <v>1222</v>
      </c>
      <c r="DJ644" s="0" t="s">
        <v>1223</v>
      </c>
      <c r="DK644" s="0" t="s">
        <v>674</v>
      </c>
      <c r="DL644" s="0" t="n">
        <v>30.77</v>
      </c>
      <c r="DM644" s="0" t="s">
        <v>675</v>
      </c>
      <c r="DN644" s="0" t="s">
        <v>676</v>
      </c>
      <c r="DO644" s="0" t="n">
        <v>1</v>
      </c>
      <c r="DP644" s="0" t="n">
        <v>31.55</v>
      </c>
      <c r="DQ644" s="0" t="n">
        <v>31.55</v>
      </c>
      <c r="DR644" s="0" t="s">
        <v>5536</v>
      </c>
      <c r="EB644" s="0" t="s">
        <v>5537</v>
      </c>
      <c r="EC644" s="0" t="s">
        <v>2593</v>
      </c>
      <c r="EE644" s="0" t="s">
        <v>252</v>
      </c>
    </row>
    <row r="645" customFormat="false" ht="15" hidden="false" customHeight="false" outlineLevel="0" collapsed="false">
      <c r="DG645" s="0" t="s">
        <v>5538</v>
      </c>
      <c r="DH645" s="0" t="s">
        <v>87</v>
      </c>
      <c r="DI645" s="0" t="s">
        <v>1225</v>
      </c>
      <c r="DJ645" s="0" t="s">
        <v>1226</v>
      </c>
      <c r="DK645" s="0" t="s">
        <v>674</v>
      </c>
      <c r="DL645" s="0" t="n">
        <v>30.77</v>
      </c>
      <c r="DM645" s="0" t="s">
        <v>676</v>
      </c>
      <c r="DN645" s="0" t="s">
        <v>676</v>
      </c>
      <c r="DO645" s="0" t="n">
        <v>1.5</v>
      </c>
      <c r="DP645" s="0" t="n">
        <v>67.39</v>
      </c>
      <c r="DQ645" s="0" t="n">
        <v>336.98</v>
      </c>
      <c r="DR645" s="0" t="s">
        <v>5539</v>
      </c>
      <c r="EB645" s="0" t="s">
        <v>5540</v>
      </c>
      <c r="EC645" s="0" t="s">
        <v>2593</v>
      </c>
      <c r="EE645" s="0" t="s">
        <v>229</v>
      </c>
    </row>
    <row r="646" customFormat="false" ht="15" hidden="false" customHeight="false" outlineLevel="0" collapsed="false">
      <c r="DG646" s="0" t="s">
        <v>5541</v>
      </c>
      <c r="DH646" s="0" t="s">
        <v>87</v>
      </c>
      <c r="DI646" s="0" t="s">
        <v>1232</v>
      </c>
      <c r="DJ646" s="0" t="s">
        <v>1233</v>
      </c>
      <c r="DK646" s="0" t="s">
        <v>674</v>
      </c>
      <c r="DL646" s="0" t="n">
        <v>30.77</v>
      </c>
      <c r="DM646" s="0" t="s">
        <v>675</v>
      </c>
      <c r="DN646" s="0" t="s">
        <v>676</v>
      </c>
      <c r="DO646" s="0" t="n">
        <v>1</v>
      </c>
      <c r="DP646" s="0" t="n">
        <v>62.24</v>
      </c>
      <c r="DQ646" s="0" t="n">
        <v>62.24</v>
      </c>
      <c r="DR646" s="0" t="s">
        <v>5542</v>
      </c>
      <c r="EB646" s="0" t="s">
        <v>5543</v>
      </c>
      <c r="EC646" s="0" t="s">
        <v>2593</v>
      </c>
      <c r="EE646" s="0" t="s">
        <v>246</v>
      </c>
    </row>
    <row r="647" customFormat="false" ht="15" hidden="false" customHeight="false" outlineLevel="0" collapsed="false">
      <c r="DG647" s="0" t="s">
        <v>5544</v>
      </c>
      <c r="DH647" s="0" t="s">
        <v>87</v>
      </c>
      <c r="DI647" s="0" t="s">
        <v>1235</v>
      </c>
      <c r="DJ647" s="0" t="s">
        <v>1236</v>
      </c>
      <c r="DK647" s="0" t="s">
        <v>674</v>
      </c>
      <c r="DL647" s="0" t="n">
        <v>30.77</v>
      </c>
      <c r="DM647" s="0" t="s">
        <v>675</v>
      </c>
      <c r="DN647" s="0" t="s">
        <v>676</v>
      </c>
      <c r="DO647" s="0" t="n">
        <v>1</v>
      </c>
      <c r="DP647" s="0" t="n">
        <v>21.02</v>
      </c>
      <c r="DQ647" s="0" t="n">
        <v>21.02</v>
      </c>
      <c r="DR647" s="0" t="s">
        <v>5545</v>
      </c>
      <c r="EB647" s="0" t="s">
        <v>5546</v>
      </c>
      <c r="EC647" s="0" t="s">
        <v>2593</v>
      </c>
      <c r="EE647" s="0" t="s">
        <v>255</v>
      </c>
    </row>
    <row r="648" customFormat="false" ht="15" hidden="false" customHeight="false" outlineLevel="0" collapsed="false">
      <c r="DG648" s="0" t="s">
        <v>5547</v>
      </c>
      <c r="DH648" s="0" t="s">
        <v>87</v>
      </c>
      <c r="DI648" s="0" t="s">
        <v>1238</v>
      </c>
      <c r="DJ648" s="0" t="s">
        <v>1239</v>
      </c>
      <c r="DK648" s="0" t="s">
        <v>674</v>
      </c>
      <c r="DL648" s="0" t="n">
        <v>30.77</v>
      </c>
      <c r="DM648" s="0" t="s">
        <v>676</v>
      </c>
      <c r="DN648" s="0" t="s">
        <v>675</v>
      </c>
      <c r="DO648" s="0" t="n">
        <v>0</v>
      </c>
      <c r="DP648" s="0" t="n">
        <v>0</v>
      </c>
      <c r="DQ648" s="0" t="n">
        <v>14.57</v>
      </c>
      <c r="DR648" s="0" t="s">
        <v>5548</v>
      </c>
      <c r="EB648" s="0" t="s">
        <v>5549</v>
      </c>
      <c r="EC648" s="0" t="s">
        <v>2593</v>
      </c>
      <c r="EE648" s="0" t="s">
        <v>243</v>
      </c>
    </row>
    <row r="649" customFormat="false" ht="15" hidden="false" customHeight="false" outlineLevel="0" collapsed="false">
      <c r="DG649" s="0" t="s">
        <v>5550</v>
      </c>
      <c r="DH649" s="0" t="s">
        <v>87</v>
      </c>
      <c r="DI649" s="0" t="s">
        <v>1242</v>
      </c>
      <c r="DJ649" s="0" t="s">
        <v>1243</v>
      </c>
      <c r="DK649" s="0" t="s">
        <v>674</v>
      </c>
      <c r="DL649" s="0" t="n">
        <v>30.77</v>
      </c>
      <c r="DM649" s="0" t="s">
        <v>676</v>
      </c>
      <c r="DN649" s="0" t="s">
        <v>675</v>
      </c>
      <c r="DO649" s="0" t="n">
        <v>0</v>
      </c>
      <c r="DP649" s="0" t="n">
        <v>0</v>
      </c>
      <c r="DQ649" s="0" t="n">
        <v>88.19</v>
      </c>
      <c r="DR649" s="0" t="s">
        <v>5551</v>
      </c>
      <c r="EB649" s="0" t="s">
        <v>5552</v>
      </c>
      <c r="EC649" s="0" t="s">
        <v>2593</v>
      </c>
      <c r="ED649" s="0" t="s">
        <v>2594</v>
      </c>
      <c r="EE649" s="0" t="s">
        <v>261</v>
      </c>
      <c r="EF649" s="0" t="s">
        <v>259</v>
      </c>
      <c r="EG649" s="0" t="n">
        <v>1</v>
      </c>
      <c r="EH649" s="0" t="n">
        <v>1</v>
      </c>
      <c r="EI649" s="0" t="n">
        <v>1</v>
      </c>
      <c r="EJ649" s="0" t="n">
        <v>1</v>
      </c>
    </row>
    <row r="650" customFormat="false" ht="15" hidden="false" customHeight="false" outlineLevel="0" collapsed="false">
      <c r="DG650" s="0" t="s">
        <v>5553</v>
      </c>
      <c r="DH650" s="0" t="s">
        <v>87</v>
      </c>
      <c r="DI650" s="0" t="s">
        <v>474</v>
      </c>
      <c r="DJ650" s="0" t="s">
        <v>475</v>
      </c>
      <c r="DK650" s="0" t="s">
        <v>1181</v>
      </c>
      <c r="DL650" s="0" t="n">
        <v>30.77</v>
      </c>
      <c r="DM650" s="0" t="s">
        <v>675</v>
      </c>
      <c r="DN650" s="0" t="s">
        <v>676</v>
      </c>
      <c r="DO650" s="0" t="n">
        <v>1</v>
      </c>
      <c r="DP650" s="0" t="n">
        <v>0.1</v>
      </c>
      <c r="DQ650" s="0" t="n">
        <v>0.1</v>
      </c>
      <c r="DR650" s="0" t="s">
        <v>5554</v>
      </c>
      <c r="EB650" s="0" t="s">
        <v>5555</v>
      </c>
      <c r="EC650" s="0" t="s">
        <v>2593</v>
      </c>
      <c r="EE650" s="0" t="s">
        <v>296</v>
      </c>
    </row>
    <row r="651" customFormat="false" ht="15" hidden="false" customHeight="false" outlineLevel="0" collapsed="false">
      <c r="DG651" s="0" t="s">
        <v>5556</v>
      </c>
      <c r="DH651" s="0" t="s">
        <v>87</v>
      </c>
      <c r="DJ651" s="0" t="s">
        <v>753</v>
      </c>
      <c r="DK651" s="0" t="s">
        <v>705</v>
      </c>
      <c r="DL651" s="0" t="n">
        <v>30.77</v>
      </c>
      <c r="DM651" s="0" t="s">
        <v>675</v>
      </c>
      <c r="DN651" s="0" t="s">
        <v>675</v>
      </c>
      <c r="DO651" s="0" t="n">
        <v>0</v>
      </c>
      <c r="DP651" s="0" t="n">
        <v>0</v>
      </c>
      <c r="DQ651" s="0" t="n">
        <v>0</v>
      </c>
      <c r="DR651" s="0" t="s">
        <v>5214</v>
      </c>
      <c r="EB651" s="0" t="s">
        <v>5557</v>
      </c>
      <c r="EC651" s="0" t="s">
        <v>2710</v>
      </c>
      <c r="EE651" s="0" t="s">
        <v>626</v>
      </c>
    </row>
    <row r="652" customFormat="false" ht="15" hidden="false" customHeight="false" outlineLevel="0" collapsed="false">
      <c r="DG652" s="0" t="s">
        <v>5558</v>
      </c>
      <c r="DH652" s="0" t="s">
        <v>87</v>
      </c>
      <c r="DI652" s="0" t="s">
        <v>1249</v>
      </c>
      <c r="DJ652" s="0" t="s">
        <v>1250</v>
      </c>
      <c r="DK652" s="0" t="s">
        <v>705</v>
      </c>
      <c r="DL652" s="0" t="n">
        <v>30.77</v>
      </c>
      <c r="DM652" s="0" t="s">
        <v>675</v>
      </c>
      <c r="DN652" s="0" t="s">
        <v>676</v>
      </c>
      <c r="DO652" s="0" t="n">
        <v>40</v>
      </c>
      <c r="DP652" s="0" t="n">
        <v>937.2</v>
      </c>
      <c r="DQ652" s="0" t="n">
        <v>937.2</v>
      </c>
      <c r="DR652" s="0" t="s">
        <v>5559</v>
      </c>
      <c r="EB652" s="0" t="s">
        <v>5560</v>
      </c>
      <c r="EC652" s="0" t="s">
        <v>2710</v>
      </c>
      <c r="EE652" s="0" t="s">
        <v>624</v>
      </c>
    </row>
    <row r="653" customFormat="false" ht="15" hidden="false" customHeight="false" outlineLevel="0" collapsed="false">
      <c r="DG653" s="0" t="s">
        <v>5561</v>
      </c>
      <c r="DH653" s="0" t="s">
        <v>87</v>
      </c>
      <c r="DI653" s="0" t="s">
        <v>1253</v>
      </c>
      <c r="DJ653" s="0" t="s">
        <v>1254</v>
      </c>
      <c r="DK653" s="0" t="s">
        <v>705</v>
      </c>
      <c r="DL653" s="0" t="n">
        <v>30.77</v>
      </c>
      <c r="DM653" s="0" t="s">
        <v>675</v>
      </c>
      <c r="DN653" s="0" t="s">
        <v>676</v>
      </c>
      <c r="DO653" s="0" t="n">
        <v>1</v>
      </c>
      <c r="DP653" s="0" t="n">
        <v>5.32</v>
      </c>
      <c r="DQ653" s="0" t="n">
        <v>5.32</v>
      </c>
      <c r="DR653" s="0" t="s">
        <v>5562</v>
      </c>
      <c r="EB653" s="0" t="s">
        <v>5563</v>
      </c>
      <c r="EC653" s="0" t="s">
        <v>2710</v>
      </c>
      <c r="EE653" s="0" t="s">
        <v>622</v>
      </c>
    </row>
    <row r="654" customFormat="false" ht="15" hidden="false" customHeight="false" outlineLevel="0" collapsed="false">
      <c r="DG654" s="0" t="s">
        <v>5564</v>
      </c>
      <c r="DH654" s="0" t="s">
        <v>87</v>
      </c>
      <c r="DI654" s="0" t="s">
        <v>1256</v>
      </c>
      <c r="DJ654" s="0" t="s">
        <v>1257</v>
      </c>
      <c r="DK654" s="0" t="s">
        <v>705</v>
      </c>
      <c r="DL654" s="0" t="n">
        <v>30.77</v>
      </c>
      <c r="DM654" s="0" t="s">
        <v>675</v>
      </c>
      <c r="DN654" s="0" t="s">
        <v>676</v>
      </c>
      <c r="DO654" s="0" t="n">
        <v>1</v>
      </c>
      <c r="DP654" s="0" t="n">
        <v>3.98</v>
      </c>
      <c r="DQ654" s="0" t="n">
        <v>3.98</v>
      </c>
      <c r="DR654" s="0" t="s">
        <v>5565</v>
      </c>
      <c r="EB654" s="0" t="s">
        <v>5566</v>
      </c>
      <c r="EC654" s="0" t="s">
        <v>2710</v>
      </c>
      <c r="EE654" s="0" t="s">
        <v>620</v>
      </c>
    </row>
    <row r="655" customFormat="false" ht="15" hidden="false" customHeight="false" outlineLevel="0" collapsed="false">
      <c r="DG655" s="0" t="s">
        <v>5567</v>
      </c>
      <c r="DH655" s="0" t="s">
        <v>87</v>
      </c>
      <c r="DJ655" s="0" t="s">
        <v>970</v>
      </c>
      <c r="DK655" s="0" t="s">
        <v>674</v>
      </c>
      <c r="DL655" s="0" t="n">
        <v>26.92</v>
      </c>
      <c r="DM655" s="0" t="s">
        <v>675</v>
      </c>
      <c r="DN655" s="0" t="s">
        <v>675</v>
      </c>
      <c r="DO655" s="0" t="n">
        <v>0</v>
      </c>
      <c r="DP655" s="0" t="n">
        <v>0</v>
      </c>
      <c r="DQ655" s="0" t="n">
        <v>0</v>
      </c>
      <c r="DR655" s="0" t="s">
        <v>5339</v>
      </c>
      <c r="EB655" s="0" t="s">
        <v>5568</v>
      </c>
      <c r="EC655" s="0" t="s">
        <v>2710</v>
      </c>
      <c r="EE655" s="0" t="s">
        <v>618</v>
      </c>
    </row>
    <row r="656" customFormat="false" ht="15" hidden="false" customHeight="false" outlineLevel="0" collapsed="false">
      <c r="DG656" s="0" t="s">
        <v>5569</v>
      </c>
      <c r="DH656" s="0" t="s">
        <v>87</v>
      </c>
      <c r="DI656" s="0" t="s">
        <v>1260</v>
      </c>
      <c r="DJ656" s="0" t="s">
        <v>1261</v>
      </c>
      <c r="DK656" s="0" t="s">
        <v>674</v>
      </c>
      <c r="DL656" s="0" t="n">
        <v>26.92</v>
      </c>
      <c r="DM656" s="0" t="s">
        <v>676</v>
      </c>
      <c r="DN656" s="0" t="s">
        <v>675</v>
      </c>
      <c r="DO656" s="0" t="n">
        <v>0</v>
      </c>
      <c r="DP656" s="0" t="n">
        <v>0</v>
      </c>
      <c r="DQ656" s="0" t="n">
        <v>33.2</v>
      </c>
      <c r="DR656" s="0" t="s">
        <v>5570</v>
      </c>
      <c r="EB656" s="0" t="s">
        <v>5571</v>
      </c>
      <c r="EC656" s="0" t="s">
        <v>2710</v>
      </c>
      <c r="ED656" s="0" t="s">
        <v>2711</v>
      </c>
      <c r="EE656" s="0" t="s">
        <v>616</v>
      </c>
      <c r="EF656" s="0" t="s">
        <v>2612</v>
      </c>
      <c r="EG656" s="0" t="n">
        <v>460</v>
      </c>
      <c r="EH656" s="0" t="n">
        <v>500</v>
      </c>
      <c r="EI656" s="0" t="n">
        <v>550</v>
      </c>
      <c r="EJ656" s="0" t="n">
        <v>570</v>
      </c>
    </row>
    <row r="657" customFormat="false" ht="15" hidden="false" customHeight="false" outlineLevel="0" collapsed="false">
      <c r="DG657" s="0" t="s">
        <v>5572</v>
      </c>
      <c r="DH657" s="0" t="s">
        <v>87</v>
      </c>
      <c r="DI657" s="0" t="s">
        <v>1264</v>
      </c>
      <c r="DJ657" s="0" t="s">
        <v>1265</v>
      </c>
      <c r="DK657" s="0" t="s">
        <v>705</v>
      </c>
      <c r="DL657" s="0" t="n">
        <v>26.92</v>
      </c>
      <c r="DM657" s="0" t="s">
        <v>676</v>
      </c>
      <c r="DN657" s="0" t="s">
        <v>675</v>
      </c>
      <c r="DO657" s="0" t="n">
        <v>0</v>
      </c>
      <c r="DP657" s="0" t="n">
        <v>0</v>
      </c>
      <c r="DQ657" s="0" t="n">
        <v>570</v>
      </c>
      <c r="DR657" s="0" t="s">
        <v>5573</v>
      </c>
      <c r="EB657" s="0" t="s">
        <v>5574</v>
      </c>
      <c r="EC657" s="0" t="s">
        <v>2710</v>
      </c>
      <c r="ED657" s="0" t="s">
        <v>2711</v>
      </c>
      <c r="EE657" s="0" t="s">
        <v>614</v>
      </c>
      <c r="EF657" s="0" t="s">
        <v>2628</v>
      </c>
      <c r="EG657" s="0" t="n">
        <v>980</v>
      </c>
      <c r="EH657" s="0" t="n">
        <v>1080</v>
      </c>
      <c r="EI657" s="0" t="n">
        <v>1170</v>
      </c>
      <c r="EJ657" s="0" t="n">
        <v>1170</v>
      </c>
    </row>
    <row r="658" customFormat="false" ht="15" hidden="false" customHeight="false" outlineLevel="0" collapsed="false">
      <c r="DG658" s="0" t="s">
        <v>5575</v>
      </c>
      <c r="DH658" s="0" t="s">
        <v>87</v>
      </c>
      <c r="DI658" s="0" t="s">
        <v>1269</v>
      </c>
      <c r="DJ658" s="0" t="s">
        <v>1270</v>
      </c>
      <c r="DK658" s="0" t="s">
        <v>705</v>
      </c>
      <c r="DL658" s="0" t="n">
        <v>26.92</v>
      </c>
      <c r="DM658" s="0" t="s">
        <v>675</v>
      </c>
      <c r="DN658" s="0" t="s">
        <v>676</v>
      </c>
      <c r="DO658" s="0" t="n">
        <v>1</v>
      </c>
      <c r="DP658" s="0" t="n">
        <v>277</v>
      </c>
      <c r="DQ658" s="0" t="n">
        <v>277</v>
      </c>
      <c r="DR658" s="0" t="s">
        <v>5576</v>
      </c>
      <c r="EB658" s="0" t="s">
        <v>5577</v>
      </c>
      <c r="EC658" s="0" t="s">
        <v>2710</v>
      </c>
      <c r="ED658" s="0" t="s">
        <v>2711</v>
      </c>
      <c r="EE658" s="0" t="s">
        <v>612</v>
      </c>
      <c r="EF658" s="0" t="s">
        <v>2647</v>
      </c>
      <c r="EG658" s="0" t="n">
        <v>740</v>
      </c>
      <c r="EH658" s="0" t="n">
        <v>740</v>
      </c>
      <c r="EI658" s="0" t="n">
        <v>740</v>
      </c>
      <c r="EJ658" s="0" t="n">
        <v>770</v>
      </c>
    </row>
    <row r="659" customFormat="false" ht="15" hidden="false" customHeight="false" outlineLevel="0" collapsed="false">
      <c r="DG659" s="0" t="s">
        <v>5578</v>
      </c>
      <c r="DH659" s="0" t="s">
        <v>87</v>
      </c>
      <c r="DI659" s="0" t="s">
        <v>1272</v>
      </c>
      <c r="DJ659" s="0" t="s">
        <v>1273</v>
      </c>
      <c r="DK659" s="0" t="s">
        <v>705</v>
      </c>
      <c r="DL659" s="0" t="n">
        <v>26.92</v>
      </c>
      <c r="DM659" s="0" t="s">
        <v>675</v>
      </c>
      <c r="DN659" s="0" t="s">
        <v>676</v>
      </c>
      <c r="DO659" s="0" t="n">
        <v>1</v>
      </c>
      <c r="DP659" s="0" t="n">
        <v>650</v>
      </c>
      <c r="DQ659" s="0" t="n">
        <v>650</v>
      </c>
      <c r="DR659" s="0" t="s">
        <v>5579</v>
      </c>
      <c r="EB659" s="0" t="s">
        <v>5580</v>
      </c>
      <c r="EC659" s="0" t="s">
        <v>2710</v>
      </c>
      <c r="ED659" s="0" t="s">
        <v>2711</v>
      </c>
      <c r="EE659" s="0" t="s">
        <v>609</v>
      </c>
      <c r="EF659" s="0" t="s">
        <v>2663</v>
      </c>
      <c r="EG659" s="0" t="n">
        <v>280</v>
      </c>
      <c r="EH659" s="0" t="n">
        <v>280</v>
      </c>
      <c r="EI659" s="0" t="n">
        <v>280</v>
      </c>
      <c r="EJ659" s="0" t="n">
        <v>280</v>
      </c>
    </row>
    <row r="660" customFormat="false" ht="15" hidden="false" customHeight="false" outlineLevel="0" collapsed="false">
      <c r="DG660" s="0" t="s">
        <v>5581</v>
      </c>
      <c r="DH660" s="0" t="s">
        <v>87</v>
      </c>
      <c r="DI660" s="0" t="s">
        <v>1276</v>
      </c>
      <c r="DJ660" s="0" t="s">
        <v>204</v>
      </c>
      <c r="DK660" s="0" t="s">
        <v>705</v>
      </c>
      <c r="DL660" s="0" t="n">
        <v>26.92</v>
      </c>
      <c r="DM660" s="0" t="s">
        <v>675</v>
      </c>
      <c r="DN660" s="0" t="s">
        <v>676</v>
      </c>
      <c r="DO660" s="0" t="n">
        <v>1</v>
      </c>
      <c r="DP660" s="0" t="n">
        <v>4218.6</v>
      </c>
      <c r="DQ660" s="0" t="n">
        <v>4218.6</v>
      </c>
      <c r="DR660" s="0" t="s">
        <v>5582</v>
      </c>
      <c r="EB660" s="0" t="s">
        <v>5583</v>
      </c>
      <c r="EC660" s="0" t="s">
        <v>2710</v>
      </c>
      <c r="ED660" s="0" t="s">
        <v>2711</v>
      </c>
      <c r="EE660" s="0" t="s">
        <v>607</v>
      </c>
      <c r="EF660" s="0" t="s">
        <v>2680</v>
      </c>
      <c r="EG660" s="0" t="n">
        <v>1</v>
      </c>
      <c r="EH660" s="0" t="n">
        <v>1</v>
      </c>
      <c r="EI660" s="0" t="n">
        <v>1</v>
      </c>
      <c r="EJ660" s="0" t="n">
        <v>1</v>
      </c>
    </row>
    <row r="661" customFormat="false" ht="15" hidden="false" customHeight="false" outlineLevel="0" collapsed="false">
      <c r="DG661" s="0" t="s">
        <v>5584</v>
      </c>
      <c r="DH661" s="0" t="s">
        <v>87</v>
      </c>
      <c r="DI661" s="0" t="s">
        <v>1280</v>
      </c>
      <c r="DJ661" s="0" t="s">
        <v>201</v>
      </c>
      <c r="DK661" s="0" t="s">
        <v>705</v>
      </c>
      <c r="DL661" s="0" t="n">
        <v>26.92</v>
      </c>
      <c r="DM661" s="0" t="s">
        <v>675</v>
      </c>
      <c r="DN661" s="0" t="s">
        <v>676</v>
      </c>
      <c r="DO661" s="0" t="n">
        <v>3</v>
      </c>
      <c r="DP661" s="0" t="n">
        <v>10578</v>
      </c>
      <c r="DQ661" s="0" t="n">
        <v>10578</v>
      </c>
      <c r="DR661" s="0" t="s">
        <v>5585</v>
      </c>
      <c r="EB661" s="0" t="s">
        <v>5586</v>
      </c>
      <c r="EC661" s="0" t="s">
        <v>2710</v>
      </c>
      <c r="ED661" s="0" t="s">
        <v>2711</v>
      </c>
      <c r="EE661" s="0" t="s">
        <v>605</v>
      </c>
      <c r="EF661" s="0" t="s">
        <v>2697</v>
      </c>
      <c r="EG661" s="0" t="n">
        <v>930</v>
      </c>
      <c r="EH661" s="0" t="n">
        <v>930</v>
      </c>
      <c r="EI661" s="0" t="n">
        <v>930</v>
      </c>
      <c r="EJ661" s="0" t="n">
        <v>930</v>
      </c>
    </row>
    <row r="662" customFormat="false" ht="15" hidden="false" customHeight="false" outlineLevel="0" collapsed="false">
      <c r="DG662" s="0" t="s">
        <v>5587</v>
      </c>
      <c r="DH662" s="0" t="s">
        <v>87</v>
      </c>
      <c r="DI662" s="0" t="s">
        <v>1283</v>
      </c>
      <c r="DJ662" s="0" t="s">
        <v>1284</v>
      </c>
      <c r="DK662" s="0" t="s">
        <v>705</v>
      </c>
      <c r="DL662" s="0" t="n">
        <v>26.92</v>
      </c>
      <c r="DM662" s="0" t="s">
        <v>675</v>
      </c>
      <c r="DN662" s="0" t="s">
        <v>676</v>
      </c>
      <c r="DO662" s="0" t="n">
        <v>1</v>
      </c>
      <c r="DP662" s="0" t="n">
        <v>221.5</v>
      </c>
      <c r="DQ662" s="0" t="n">
        <v>221.5</v>
      </c>
      <c r="DR662" s="0" t="s">
        <v>5588</v>
      </c>
      <c r="EB662" s="0" t="s">
        <v>5589</v>
      </c>
      <c r="EC662" s="0" t="s">
        <v>2710</v>
      </c>
      <c r="ED662" s="0" t="s">
        <v>2711</v>
      </c>
      <c r="EE662" s="0" t="s">
        <v>629</v>
      </c>
      <c r="EF662" s="0" t="s">
        <v>2713</v>
      </c>
      <c r="EG662" s="0" t="n">
        <v>1200</v>
      </c>
      <c r="EH662" s="0" t="n">
        <v>1200</v>
      </c>
      <c r="EI662" s="0" t="n">
        <v>1200</v>
      </c>
      <c r="EJ662" s="0" t="n">
        <v>1200</v>
      </c>
    </row>
    <row r="663" customFormat="false" ht="15" hidden="false" customHeight="false" outlineLevel="0" collapsed="false">
      <c r="DG663" s="0" t="s">
        <v>5590</v>
      </c>
      <c r="DH663" s="0" t="s">
        <v>87</v>
      </c>
      <c r="DI663" s="0" t="s">
        <v>1285</v>
      </c>
      <c r="DJ663" s="0" t="s">
        <v>1286</v>
      </c>
      <c r="DK663" s="0" t="s">
        <v>705</v>
      </c>
      <c r="DL663" s="0" t="n">
        <v>26.92</v>
      </c>
      <c r="DM663" s="0" t="s">
        <v>675</v>
      </c>
      <c r="DN663" s="0" t="s">
        <v>676</v>
      </c>
      <c r="DO663" s="0" t="n">
        <v>4</v>
      </c>
      <c r="DP663" s="0" t="n">
        <v>363.76</v>
      </c>
      <c r="DQ663" s="0" t="n">
        <v>363.76</v>
      </c>
      <c r="DR663" s="0" t="s">
        <v>5591</v>
      </c>
      <c r="EB663" s="0" t="s">
        <v>5592</v>
      </c>
      <c r="EC663" s="0" t="s">
        <v>2710</v>
      </c>
      <c r="EE663" s="0" t="s">
        <v>602</v>
      </c>
    </row>
    <row r="664" customFormat="false" ht="15" hidden="false" customHeight="false" outlineLevel="0" collapsed="false">
      <c r="DG664" s="0" t="s">
        <v>5593</v>
      </c>
      <c r="DH664" s="0" t="s">
        <v>87</v>
      </c>
      <c r="DI664" s="0" t="s">
        <v>1288</v>
      </c>
      <c r="DJ664" s="0" t="s">
        <v>1289</v>
      </c>
      <c r="DK664" s="0" t="s">
        <v>705</v>
      </c>
      <c r="DL664" s="0" t="n">
        <v>26.92</v>
      </c>
      <c r="DM664" s="0" t="s">
        <v>676</v>
      </c>
      <c r="DN664" s="0" t="s">
        <v>676</v>
      </c>
      <c r="DO664" s="0" t="n">
        <v>0</v>
      </c>
      <c r="DP664" s="0" t="n">
        <v>0</v>
      </c>
      <c r="DQ664" s="0" t="n">
        <v>75.75</v>
      </c>
      <c r="DR664" s="0" t="s">
        <v>5594</v>
      </c>
      <c r="EB664" s="0" t="s">
        <v>5595</v>
      </c>
      <c r="EC664" s="0" t="s">
        <v>2710</v>
      </c>
      <c r="ED664" s="0" t="s">
        <v>2711</v>
      </c>
      <c r="EE664" s="0" t="s">
        <v>599</v>
      </c>
      <c r="EF664" s="0" t="s">
        <v>2745</v>
      </c>
      <c r="EG664" s="0" t="n">
        <v>1</v>
      </c>
      <c r="EH664" s="0" t="n">
        <v>1</v>
      </c>
      <c r="EI664" s="0" t="n">
        <v>1</v>
      </c>
      <c r="EJ664" s="0" t="n">
        <v>1</v>
      </c>
    </row>
    <row r="665" customFormat="false" ht="15" hidden="false" customHeight="false" outlineLevel="0" collapsed="false">
      <c r="DG665" s="0" t="s">
        <v>5596</v>
      </c>
      <c r="DH665" s="0" t="s">
        <v>87</v>
      </c>
      <c r="DI665" s="0" t="s">
        <v>1293</v>
      </c>
      <c r="DJ665" s="0" t="s">
        <v>1294</v>
      </c>
      <c r="DK665" s="0" t="s">
        <v>705</v>
      </c>
      <c r="DL665" s="0" t="n">
        <v>26.92</v>
      </c>
      <c r="DM665" s="0" t="s">
        <v>676</v>
      </c>
      <c r="DN665" s="0" t="s">
        <v>675</v>
      </c>
      <c r="DO665" s="0" t="n">
        <v>0</v>
      </c>
      <c r="DP665" s="0" t="n">
        <v>0</v>
      </c>
      <c r="DQ665" s="0" t="n">
        <v>1650</v>
      </c>
      <c r="DR665" s="0" t="s">
        <v>5597</v>
      </c>
      <c r="EB665" s="0" t="s">
        <v>5598</v>
      </c>
      <c r="EC665" s="0" t="s">
        <v>2710</v>
      </c>
      <c r="ED665" s="0" t="s">
        <v>2711</v>
      </c>
      <c r="EE665" s="0" t="s">
        <v>597</v>
      </c>
      <c r="EF665" s="0" t="s">
        <v>3308</v>
      </c>
      <c r="EG665" s="0" t="n">
        <v>1000</v>
      </c>
      <c r="EH665" s="0" t="n">
        <v>1000</v>
      </c>
      <c r="EI665" s="0" t="n">
        <v>1000</v>
      </c>
      <c r="EJ665" s="0" t="n">
        <v>1000</v>
      </c>
    </row>
    <row r="666" customFormat="false" ht="15" hidden="false" customHeight="false" outlineLevel="0" collapsed="false">
      <c r="DG666" s="0" t="s">
        <v>5599</v>
      </c>
      <c r="DH666" s="0" t="s">
        <v>87</v>
      </c>
      <c r="DI666" s="0" t="s">
        <v>1298</v>
      </c>
      <c r="DJ666" s="0" t="s">
        <v>1299</v>
      </c>
      <c r="DK666" s="0" t="s">
        <v>674</v>
      </c>
      <c r="DL666" s="0" t="n">
        <v>23.08</v>
      </c>
      <c r="DM666" s="0" t="s">
        <v>675</v>
      </c>
      <c r="DN666" s="0" t="s">
        <v>676</v>
      </c>
      <c r="DO666" s="0" t="n">
        <v>1</v>
      </c>
      <c r="DP666" s="0" t="n">
        <v>96.8</v>
      </c>
      <c r="DQ666" s="0" t="n">
        <v>96.8</v>
      </c>
      <c r="DR666" s="0" t="s">
        <v>5600</v>
      </c>
      <c r="EB666" s="0" t="s">
        <v>5601</v>
      </c>
      <c r="EC666" s="0" t="s">
        <v>2710</v>
      </c>
      <c r="ED666" s="0" t="s">
        <v>2711</v>
      </c>
      <c r="EE666" s="0" t="s">
        <v>2699</v>
      </c>
      <c r="EF666" s="0" t="s">
        <v>2700</v>
      </c>
      <c r="EG666" s="0" t="n">
        <v>45900</v>
      </c>
      <c r="EH666" s="0" t="n">
        <v>45900</v>
      </c>
      <c r="EI666" s="0" t="n">
        <v>45900</v>
      </c>
      <c r="EJ666" s="0" t="n">
        <v>45900</v>
      </c>
    </row>
    <row r="667" customFormat="false" ht="15" hidden="false" customHeight="false" outlineLevel="0" collapsed="false">
      <c r="DG667" s="0" t="s">
        <v>5602</v>
      </c>
      <c r="DH667" s="0" t="s">
        <v>87</v>
      </c>
      <c r="DI667" s="0" t="s">
        <v>1304</v>
      </c>
      <c r="DJ667" s="0" t="s">
        <v>1305</v>
      </c>
      <c r="DK667" s="0" t="s">
        <v>674</v>
      </c>
      <c r="DL667" s="0" t="n">
        <v>23.08</v>
      </c>
      <c r="DM667" s="0" t="s">
        <v>676</v>
      </c>
      <c r="DN667" s="0" t="s">
        <v>675</v>
      </c>
      <c r="DO667" s="0" t="n">
        <v>0</v>
      </c>
      <c r="DP667" s="0" t="n">
        <v>0</v>
      </c>
      <c r="DQ667" s="0" t="n">
        <v>71.43</v>
      </c>
      <c r="DR667" s="0" t="s">
        <v>5603</v>
      </c>
      <c r="EB667" s="0" t="s">
        <v>5604</v>
      </c>
      <c r="EC667" s="0" t="s">
        <v>2710</v>
      </c>
      <c r="EE667" s="0" t="s">
        <v>590</v>
      </c>
    </row>
    <row r="668" customFormat="false" ht="15" hidden="false" customHeight="false" outlineLevel="0" collapsed="false">
      <c r="DG668" s="0" t="s">
        <v>5605</v>
      </c>
      <c r="DH668" s="0" t="s">
        <v>87</v>
      </c>
      <c r="DI668" s="0" t="s">
        <v>1310</v>
      </c>
      <c r="DJ668" s="0" t="s">
        <v>1311</v>
      </c>
      <c r="DK668" s="0" t="s">
        <v>674</v>
      </c>
      <c r="DL668" s="0" t="n">
        <v>23.08</v>
      </c>
      <c r="DM668" s="0" t="s">
        <v>675</v>
      </c>
      <c r="DN668" s="0" t="s">
        <v>676</v>
      </c>
      <c r="DO668" s="0" t="n">
        <v>1</v>
      </c>
      <c r="DP668" s="0" t="n">
        <v>31.59</v>
      </c>
      <c r="DQ668" s="0" t="n">
        <v>31.59</v>
      </c>
      <c r="DR668" s="0" t="s">
        <v>5606</v>
      </c>
      <c r="EB668" s="0" t="s">
        <v>5607</v>
      </c>
      <c r="EC668" s="0" t="s">
        <v>2710</v>
      </c>
      <c r="ED668" s="0" t="s">
        <v>2711</v>
      </c>
      <c r="EE668" s="0" t="s">
        <v>588</v>
      </c>
      <c r="EF668" s="0" t="s">
        <v>2801</v>
      </c>
      <c r="EG668" s="0" t="n">
        <v>1</v>
      </c>
      <c r="EH668" s="0" t="n">
        <v>1</v>
      </c>
      <c r="EI668" s="0" t="n">
        <v>1</v>
      </c>
      <c r="EJ668" s="0" t="n">
        <v>1</v>
      </c>
    </row>
    <row r="669" customFormat="false" ht="15" hidden="false" customHeight="false" outlineLevel="0" collapsed="false">
      <c r="DG669" s="0" t="s">
        <v>5608</v>
      </c>
      <c r="DH669" s="0" t="s">
        <v>87</v>
      </c>
      <c r="DI669" s="0" t="s">
        <v>1313</v>
      </c>
      <c r="DJ669" s="0" t="s">
        <v>1314</v>
      </c>
      <c r="DK669" s="0" t="s">
        <v>674</v>
      </c>
      <c r="DL669" s="0" t="n">
        <v>23.08</v>
      </c>
      <c r="DM669" s="0" t="s">
        <v>676</v>
      </c>
      <c r="DN669" s="0" t="s">
        <v>676</v>
      </c>
      <c r="DO669" s="0" t="n">
        <v>1</v>
      </c>
      <c r="DP669" s="0" t="n">
        <v>93.94</v>
      </c>
      <c r="DQ669" s="0" t="n">
        <v>140.91</v>
      </c>
      <c r="DR669" s="0" t="s">
        <v>5609</v>
      </c>
      <c r="EB669" s="0" t="s">
        <v>5610</v>
      </c>
      <c r="EC669" s="0" t="s">
        <v>2710</v>
      </c>
      <c r="ED669" s="0" t="s">
        <v>2711</v>
      </c>
      <c r="EE669" s="0" t="s">
        <v>586</v>
      </c>
      <c r="EF669" s="0" t="s">
        <v>2815</v>
      </c>
      <c r="EG669" s="0" t="n">
        <v>1</v>
      </c>
      <c r="EH669" s="0" t="n">
        <v>1</v>
      </c>
      <c r="EI669" s="0" t="n">
        <v>1</v>
      </c>
      <c r="EJ669" s="0" t="n">
        <v>1</v>
      </c>
    </row>
    <row r="670" customFormat="false" ht="15" hidden="false" customHeight="false" outlineLevel="0" collapsed="false">
      <c r="DG670" s="0" t="s">
        <v>5611</v>
      </c>
      <c r="DH670" s="0" t="s">
        <v>87</v>
      </c>
      <c r="DI670" s="0" t="s">
        <v>1319</v>
      </c>
      <c r="DJ670" s="0" t="s">
        <v>1320</v>
      </c>
      <c r="DK670" s="0" t="s">
        <v>674</v>
      </c>
      <c r="DL670" s="0" t="n">
        <v>23.08</v>
      </c>
      <c r="DM670" s="0" t="s">
        <v>675</v>
      </c>
      <c r="DN670" s="0" t="s">
        <v>676</v>
      </c>
      <c r="DO670" s="0" t="n">
        <v>1</v>
      </c>
      <c r="DP670" s="0" t="n">
        <v>747.44</v>
      </c>
      <c r="DQ670" s="0" t="n">
        <v>747.44</v>
      </c>
      <c r="DR670" s="0" t="s">
        <v>5612</v>
      </c>
      <c r="EB670" s="0" t="s">
        <v>5613</v>
      </c>
      <c r="EC670" s="0" t="s">
        <v>2710</v>
      </c>
      <c r="ED670" s="0" t="s">
        <v>2711</v>
      </c>
      <c r="EE670" s="0" t="s">
        <v>584</v>
      </c>
      <c r="EF670" s="0" t="s">
        <v>583</v>
      </c>
      <c r="EG670" s="0" t="n">
        <v>120000</v>
      </c>
      <c r="EH670" s="0" t="n">
        <v>120000</v>
      </c>
      <c r="EI670" s="0" t="n">
        <v>120000</v>
      </c>
      <c r="EJ670" s="0" t="n">
        <v>120000</v>
      </c>
    </row>
    <row r="671" customFormat="false" ht="15" hidden="false" customHeight="false" outlineLevel="0" collapsed="false">
      <c r="DG671" s="0" t="s">
        <v>5614</v>
      </c>
      <c r="DH671" s="0" t="s">
        <v>87</v>
      </c>
      <c r="DI671" s="0" t="s">
        <v>1322</v>
      </c>
      <c r="DJ671" s="0" t="s">
        <v>1323</v>
      </c>
      <c r="DK671" s="0" t="s">
        <v>674</v>
      </c>
      <c r="DL671" s="0" t="n">
        <v>23.08</v>
      </c>
      <c r="DM671" s="0" t="s">
        <v>676</v>
      </c>
      <c r="DN671" s="0" t="s">
        <v>676</v>
      </c>
      <c r="DO671" s="0" t="n">
        <v>1</v>
      </c>
      <c r="DP671" s="0" t="n">
        <v>93.92</v>
      </c>
      <c r="DQ671" s="0" t="n">
        <v>281.76</v>
      </c>
      <c r="DR671" s="0" t="s">
        <v>5615</v>
      </c>
      <c r="EB671" s="0" t="s">
        <v>5616</v>
      </c>
      <c r="EC671" s="0" t="s">
        <v>2710</v>
      </c>
      <c r="EE671" s="0" t="s">
        <v>330</v>
      </c>
    </row>
    <row r="672" customFormat="false" ht="15" hidden="false" customHeight="false" outlineLevel="0" collapsed="false">
      <c r="DG672" s="0" t="s">
        <v>5617</v>
      </c>
      <c r="DH672" s="0" t="s">
        <v>87</v>
      </c>
      <c r="DI672" s="0" t="s">
        <v>1327</v>
      </c>
      <c r="DJ672" s="0" t="s">
        <v>1328</v>
      </c>
      <c r="DK672" s="0" t="s">
        <v>674</v>
      </c>
      <c r="DL672" s="0" t="n">
        <v>23.08</v>
      </c>
      <c r="DM672" s="0" t="s">
        <v>676</v>
      </c>
      <c r="DN672" s="0" t="s">
        <v>675</v>
      </c>
      <c r="DO672" s="0" t="n">
        <v>0</v>
      </c>
      <c r="DP672" s="0" t="n">
        <v>0</v>
      </c>
      <c r="DQ672" s="0" t="n">
        <v>3.51</v>
      </c>
      <c r="DR672" s="0" t="s">
        <v>5618</v>
      </c>
      <c r="EB672" s="0" t="s">
        <v>5619</v>
      </c>
      <c r="EC672" s="0" t="s">
        <v>2710</v>
      </c>
      <c r="EE672" s="0" t="s">
        <v>334</v>
      </c>
    </row>
    <row r="673" customFormat="false" ht="15" hidden="false" customHeight="false" outlineLevel="0" collapsed="false">
      <c r="DG673" s="0" t="s">
        <v>5620</v>
      </c>
      <c r="DH673" s="0" t="s">
        <v>87</v>
      </c>
      <c r="DI673" s="0" t="s">
        <v>518</v>
      </c>
      <c r="DJ673" s="0" t="s">
        <v>1333</v>
      </c>
      <c r="DK673" s="0" t="s">
        <v>1181</v>
      </c>
      <c r="DL673" s="0" t="n">
        <v>23.08</v>
      </c>
      <c r="DM673" s="0" t="s">
        <v>675</v>
      </c>
      <c r="DN673" s="0" t="s">
        <v>676</v>
      </c>
      <c r="DO673" s="0" t="n">
        <v>1</v>
      </c>
      <c r="DP673" s="0" t="n">
        <v>1406.25</v>
      </c>
      <c r="DQ673" s="0" t="n">
        <v>1406.25</v>
      </c>
      <c r="DR673" s="0" t="s">
        <v>5621</v>
      </c>
      <c r="EB673" s="0" t="s">
        <v>5622</v>
      </c>
      <c r="EC673" s="0" t="s">
        <v>2710</v>
      </c>
      <c r="EE673" s="0" t="s">
        <v>582</v>
      </c>
    </row>
    <row r="674" customFormat="false" ht="15" hidden="false" customHeight="false" outlineLevel="0" collapsed="false">
      <c r="DG674" s="0" t="s">
        <v>5623</v>
      </c>
      <c r="DH674" s="0" t="s">
        <v>87</v>
      </c>
      <c r="DI674" s="0" t="s">
        <v>472</v>
      </c>
      <c r="DJ674" s="0" t="s">
        <v>473</v>
      </c>
      <c r="DK674" s="0" t="s">
        <v>1181</v>
      </c>
      <c r="DL674" s="0" t="n">
        <v>23.08</v>
      </c>
      <c r="DM674" s="0" t="s">
        <v>675</v>
      </c>
      <c r="DN674" s="0" t="s">
        <v>676</v>
      </c>
      <c r="DO674" s="0" t="n">
        <v>1</v>
      </c>
      <c r="DP674" s="0" t="n">
        <v>0.1</v>
      </c>
      <c r="DQ674" s="0" t="n">
        <v>0.1</v>
      </c>
      <c r="DR674" s="0" t="s">
        <v>5624</v>
      </c>
      <c r="EB674" s="0" t="s">
        <v>5625</v>
      </c>
      <c r="EC674" s="0" t="s">
        <v>2710</v>
      </c>
      <c r="ED674" s="0" t="s">
        <v>2711</v>
      </c>
      <c r="EE674" s="0" t="s">
        <v>579</v>
      </c>
      <c r="EF674" s="0" t="s">
        <v>2889</v>
      </c>
      <c r="EG674" s="0" t="n">
        <v>1300</v>
      </c>
      <c r="EH674" s="0" t="n">
        <v>1300</v>
      </c>
      <c r="EI674" s="0" t="n">
        <v>1300</v>
      </c>
      <c r="EJ674" s="0" t="n">
        <v>1300</v>
      </c>
    </row>
    <row r="675" customFormat="false" ht="15" hidden="false" customHeight="false" outlineLevel="0" collapsed="false">
      <c r="DG675" s="0" t="s">
        <v>5626</v>
      </c>
      <c r="DH675" s="0" t="s">
        <v>87</v>
      </c>
      <c r="DJ675" s="0" t="s">
        <v>1165</v>
      </c>
      <c r="DK675" s="0" t="s">
        <v>705</v>
      </c>
      <c r="DL675" s="0" t="n">
        <v>23.08</v>
      </c>
      <c r="DM675" s="0" t="s">
        <v>675</v>
      </c>
      <c r="DN675" s="0" t="s">
        <v>675</v>
      </c>
      <c r="DO675" s="0" t="n">
        <v>0</v>
      </c>
      <c r="DP675" s="0" t="n">
        <v>0</v>
      </c>
      <c r="DQ675" s="0" t="n">
        <v>0</v>
      </c>
      <c r="DR675" s="0" t="s">
        <v>5485</v>
      </c>
      <c r="EB675" s="0" t="s">
        <v>5627</v>
      </c>
      <c r="EC675" s="0" t="s">
        <v>2710</v>
      </c>
      <c r="ED675" s="0" t="s">
        <v>2711</v>
      </c>
      <c r="EE675" s="0" t="s">
        <v>575</v>
      </c>
      <c r="EF675" s="0" t="s">
        <v>573</v>
      </c>
      <c r="EG675" s="0" t="n">
        <v>1</v>
      </c>
      <c r="EH675" s="0" t="n">
        <v>1</v>
      </c>
      <c r="EI675" s="0" t="n">
        <v>1</v>
      </c>
      <c r="EJ675" s="0" t="n">
        <v>1</v>
      </c>
    </row>
    <row r="676" customFormat="false" ht="15" hidden="false" customHeight="false" outlineLevel="0" collapsed="false">
      <c r="DG676" s="0" t="s">
        <v>5628</v>
      </c>
      <c r="DH676" s="0" t="s">
        <v>87</v>
      </c>
      <c r="DI676" s="0" t="s">
        <v>1339</v>
      </c>
      <c r="DJ676" s="0" t="s">
        <v>1340</v>
      </c>
      <c r="DK676" s="0" t="s">
        <v>705</v>
      </c>
      <c r="DL676" s="0" t="n">
        <v>23.08</v>
      </c>
      <c r="DM676" s="0" t="s">
        <v>675</v>
      </c>
      <c r="DN676" s="0" t="s">
        <v>676</v>
      </c>
      <c r="DO676" s="0" t="n">
        <v>1</v>
      </c>
      <c r="DP676" s="0" t="n">
        <v>117.19</v>
      </c>
      <c r="DQ676" s="0" t="n">
        <v>117.19</v>
      </c>
      <c r="DR676" s="0" t="s">
        <v>5629</v>
      </c>
      <c r="EB676" s="0" t="s">
        <v>5630</v>
      </c>
      <c r="EC676" s="0" t="s">
        <v>2710</v>
      </c>
      <c r="ED676" s="0" t="s">
        <v>2711</v>
      </c>
      <c r="EE676" s="0" t="s">
        <v>2917</v>
      </c>
      <c r="EF676" s="0" t="s">
        <v>4761</v>
      </c>
      <c r="EG676" s="0" t="n">
        <v>2950</v>
      </c>
      <c r="EH676" s="0" t="n">
        <v>2950</v>
      </c>
      <c r="EI676" s="0" t="n">
        <v>2950</v>
      </c>
      <c r="EJ676" s="0" t="n">
        <v>2950</v>
      </c>
    </row>
    <row r="677" customFormat="false" ht="15" hidden="false" customHeight="false" outlineLevel="0" collapsed="false">
      <c r="DG677" s="0" t="s">
        <v>5631</v>
      </c>
      <c r="DH677" s="0" t="s">
        <v>87</v>
      </c>
      <c r="DI677" s="0" t="s">
        <v>1343</v>
      </c>
      <c r="DJ677" s="0" t="s">
        <v>1344</v>
      </c>
      <c r="DK677" s="0" t="s">
        <v>705</v>
      </c>
      <c r="DL677" s="0" t="n">
        <v>23.08</v>
      </c>
      <c r="DM677" s="0" t="s">
        <v>675</v>
      </c>
      <c r="DN677" s="0" t="s">
        <v>676</v>
      </c>
      <c r="DO677" s="0" t="n">
        <v>4</v>
      </c>
      <c r="DP677" s="0" t="n">
        <v>462</v>
      </c>
      <c r="DQ677" s="0" t="n">
        <v>462</v>
      </c>
      <c r="DR677" s="0" t="s">
        <v>5632</v>
      </c>
      <c r="EB677" s="0" t="s">
        <v>5633</v>
      </c>
      <c r="EC677" s="0" t="s">
        <v>2710</v>
      </c>
      <c r="ED677" s="0" t="s">
        <v>2711</v>
      </c>
      <c r="EE677" s="0" t="s">
        <v>2932</v>
      </c>
      <c r="EF677" s="0" t="s">
        <v>3383</v>
      </c>
      <c r="EG677" s="0" t="n">
        <v>5950</v>
      </c>
      <c r="EH677" s="0" t="n">
        <v>5950</v>
      </c>
      <c r="EI677" s="0" t="n">
        <v>5950</v>
      </c>
      <c r="EJ677" s="0" t="n">
        <v>5950</v>
      </c>
    </row>
    <row r="678" customFormat="false" ht="15" hidden="false" customHeight="false" outlineLevel="0" collapsed="false">
      <c r="DG678" s="0" t="s">
        <v>5634</v>
      </c>
      <c r="DH678" s="0" t="s">
        <v>87</v>
      </c>
      <c r="DI678" s="0" t="s">
        <v>1347</v>
      </c>
      <c r="DJ678" s="0" t="s">
        <v>1348</v>
      </c>
      <c r="DK678" s="0" t="s">
        <v>705</v>
      </c>
      <c r="DL678" s="0" t="n">
        <v>23.08</v>
      </c>
      <c r="DM678" s="0" t="s">
        <v>675</v>
      </c>
      <c r="DN678" s="0" t="s">
        <v>676</v>
      </c>
      <c r="DO678" s="0" t="n">
        <v>5</v>
      </c>
      <c r="DP678" s="0" t="n">
        <v>75</v>
      </c>
      <c r="DQ678" s="0" t="n">
        <v>75</v>
      </c>
      <c r="DR678" s="0" t="s">
        <v>5635</v>
      </c>
      <c r="EB678" s="0" t="s">
        <v>5636</v>
      </c>
      <c r="EC678" s="0" t="s">
        <v>2710</v>
      </c>
      <c r="ED678" s="0" t="s">
        <v>2711</v>
      </c>
      <c r="EE678" s="0" t="s">
        <v>2946</v>
      </c>
      <c r="EF678" s="0" t="s">
        <v>4768</v>
      </c>
      <c r="EG678" s="0" t="n">
        <v>9000</v>
      </c>
      <c r="EH678" s="0" t="n">
        <v>9000</v>
      </c>
      <c r="EI678" s="0" t="n">
        <v>9000</v>
      </c>
      <c r="EJ678" s="0" t="n">
        <v>9000</v>
      </c>
    </row>
    <row r="679" customFormat="false" ht="15" hidden="false" customHeight="false" outlineLevel="0" collapsed="false">
      <c r="DG679" s="0" t="s">
        <v>5637</v>
      </c>
      <c r="DH679" s="0" t="s">
        <v>87</v>
      </c>
      <c r="DI679" s="0" t="s">
        <v>1350</v>
      </c>
      <c r="DJ679" s="0" t="s">
        <v>1351</v>
      </c>
      <c r="DK679" s="0" t="s">
        <v>705</v>
      </c>
      <c r="DL679" s="0" t="n">
        <v>23.08</v>
      </c>
      <c r="DM679" s="0" t="s">
        <v>675</v>
      </c>
      <c r="DN679" s="0" t="s">
        <v>676</v>
      </c>
      <c r="DO679" s="0" t="n">
        <v>45</v>
      </c>
      <c r="DP679" s="0" t="n">
        <v>1476</v>
      </c>
      <c r="DQ679" s="0" t="n">
        <v>1476</v>
      </c>
      <c r="DR679" s="0" t="s">
        <v>5638</v>
      </c>
      <c r="EB679" s="0" t="s">
        <v>5639</v>
      </c>
      <c r="EC679" s="0" t="s">
        <v>2710</v>
      </c>
      <c r="ED679" s="0" t="s">
        <v>2711</v>
      </c>
      <c r="EE679" s="0" t="s">
        <v>567</v>
      </c>
      <c r="EF679" s="0" t="s">
        <v>2959</v>
      </c>
      <c r="EG679" s="0" t="n">
        <v>1</v>
      </c>
      <c r="EH679" s="0" t="n">
        <v>1</v>
      </c>
      <c r="EI679" s="0" t="n">
        <v>1</v>
      </c>
      <c r="EJ679" s="0" t="n">
        <v>1</v>
      </c>
    </row>
    <row r="680" customFormat="false" ht="15" hidden="false" customHeight="false" outlineLevel="0" collapsed="false">
      <c r="DG680" s="0" t="s">
        <v>5640</v>
      </c>
      <c r="DH680" s="0" t="s">
        <v>87</v>
      </c>
      <c r="DI680" s="0" t="s">
        <v>1355</v>
      </c>
      <c r="DJ680" s="0" t="s">
        <v>1356</v>
      </c>
      <c r="DK680" s="0" t="s">
        <v>705</v>
      </c>
      <c r="DL680" s="0" t="n">
        <v>23.08</v>
      </c>
      <c r="DM680" s="0" t="s">
        <v>675</v>
      </c>
      <c r="DN680" s="0" t="s">
        <v>676</v>
      </c>
      <c r="DO680" s="0" t="n">
        <v>1</v>
      </c>
      <c r="DP680" s="0" t="n">
        <v>534</v>
      </c>
      <c r="DQ680" s="0" t="n">
        <v>534</v>
      </c>
      <c r="DR680" s="0" t="s">
        <v>5641</v>
      </c>
      <c r="EB680" s="0" t="s">
        <v>5642</v>
      </c>
      <c r="EC680" s="0" t="s">
        <v>2710</v>
      </c>
      <c r="ED680" s="0" t="s">
        <v>2711</v>
      </c>
      <c r="EE680" s="0" t="s">
        <v>569</v>
      </c>
      <c r="EF680" s="0" t="s">
        <v>4775</v>
      </c>
      <c r="EG680" s="0" t="n">
        <v>17000</v>
      </c>
      <c r="EH680" s="0" t="n">
        <v>17000</v>
      </c>
      <c r="EI680" s="0" t="n">
        <v>17000</v>
      </c>
      <c r="EJ680" s="0" t="n">
        <v>17000</v>
      </c>
    </row>
    <row r="681" customFormat="false" ht="15" hidden="false" customHeight="false" outlineLevel="0" collapsed="false">
      <c r="DG681" s="0" t="s">
        <v>5643</v>
      </c>
      <c r="DH681" s="0" t="s">
        <v>87</v>
      </c>
      <c r="DI681" s="0" t="s">
        <v>1360</v>
      </c>
      <c r="DJ681" s="0" t="s">
        <v>198</v>
      </c>
      <c r="DK681" s="0" t="s">
        <v>705</v>
      </c>
      <c r="DL681" s="0" t="n">
        <v>23.08</v>
      </c>
      <c r="DM681" s="0" t="s">
        <v>675</v>
      </c>
      <c r="DN681" s="0" t="s">
        <v>676</v>
      </c>
      <c r="DO681" s="0" t="n">
        <v>1</v>
      </c>
      <c r="DP681" s="0" t="n">
        <v>28040</v>
      </c>
      <c r="DQ681" s="0" t="n">
        <v>28040</v>
      </c>
      <c r="DR681" s="0" t="s">
        <v>5644</v>
      </c>
      <c r="EB681" s="0" t="s">
        <v>5645</v>
      </c>
      <c r="EC681" s="0" t="s">
        <v>2710</v>
      </c>
      <c r="ED681" s="0" t="s">
        <v>2711</v>
      </c>
      <c r="EE681" s="0" t="s">
        <v>562</v>
      </c>
      <c r="EF681" s="0" t="s">
        <v>2986</v>
      </c>
      <c r="EG681" s="0" t="n">
        <v>1</v>
      </c>
      <c r="EH681" s="0" t="n">
        <v>1</v>
      </c>
      <c r="EI681" s="0" t="n">
        <v>1</v>
      </c>
      <c r="EJ681" s="0" t="n">
        <v>1</v>
      </c>
    </row>
    <row r="682" customFormat="false" ht="15" hidden="false" customHeight="false" outlineLevel="0" collapsed="false">
      <c r="DG682" s="0" t="s">
        <v>5646</v>
      </c>
      <c r="DH682" s="0" t="s">
        <v>87</v>
      </c>
      <c r="DI682" s="0" t="s">
        <v>1362</v>
      </c>
      <c r="DJ682" s="0" t="s">
        <v>1363</v>
      </c>
      <c r="DK682" s="0" t="s">
        <v>705</v>
      </c>
      <c r="DL682" s="0" t="n">
        <v>23.08</v>
      </c>
      <c r="DM682" s="0" t="s">
        <v>675</v>
      </c>
      <c r="DN682" s="0" t="s">
        <v>676</v>
      </c>
      <c r="DO682" s="0" t="n">
        <v>1</v>
      </c>
      <c r="DP682" s="0" t="n">
        <v>3862</v>
      </c>
      <c r="DQ682" s="0" t="n">
        <v>3862</v>
      </c>
      <c r="DR682" s="0" t="s">
        <v>5647</v>
      </c>
      <c r="EB682" s="0" t="s">
        <v>5648</v>
      </c>
      <c r="EC682" s="0" t="s">
        <v>2710</v>
      </c>
      <c r="EE682" s="0" t="s">
        <v>557</v>
      </c>
    </row>
    <row r="683" customFormat="false" ht="15" hidden="false" customHeight="false" outlineLevel="0" collapsed="false">
      <c r="DG683" s="0" t="s">
        <v>5649</v>
      </c>
      <c r="DH683" s="0" t="s">
        <v>87</v>
      </c>
      <c r="DI683" s="0" t="s">
        <v>1365</v>
      </c>
      <c r="DJ683" s="0" t="s">
        <v>1366</v>
      </c>
      <c r="DK683" s="0" t="s">
        <v>705</v>
      </c>
      <c r="DL683" s="0" t="n">
        <v>23.08</v>
      </c>
      <c r="DM683" s="0" t="s">
        <v>675</v>
      </c>
      <c r="DN683" s="0" t="s">
        <v>676</v>
      </c>
      <c r="DO683" s="0" t="n">
        <v>5</v>
      </c>
      <c r="DP683" s="0" t="n">
        <v>38.35</v>
      </c>
      <c r="DQ683" s="0" t="n">
        <v>38.35</v>
      </c>
      <c r="DR683" s="0" t="s">
        <v>5650</v>
      </c>
      <c r="EB683" s="0" t="s">
        <v>5651</v>
      </c>
      <c r="EC683" s="0" t="s">
        <v>2710</v>
      </c>
      <c r="EE683" s="0" t="s">
        <v>290</v>
      </c>
    </row>
    <row r="684" customFormat="false" ht="15" hidden="false" customHeight="false" outlineLevel="0" collapsed="false">
      <c r="DG684" s="0" t="s">
        <v>5652</v>
      </c>
      <c r="DH684" s="0" t="s">
        <v>87</v>
      </c>
      <c r="DI684" s="0" t="s">
        <v>1368</v>
      </c>
      <c r="DJ684" s="0" t="s">
        <v>1369</v>
      </c>
      <c r="DK684" s="0" t="s">
        <v>705</v>
      </c>
      <c r="DL684" s="0" t="n">
        <v>23.08</v>
      </c>
      <c r="DM684" s="0" t="s">
        <v>676</v>
      </c>
      <c r="DN684" s="0" t="s">
        <v>675</v>
      </c>
      <c r="DO684" s="0" t="n">
        <v>0</v>
      </c>
      <c r="DP684" s="0" t="n">
        <v>0</v>
      </c>
      <c r="DQ684" s="0" t="n">
        <v>222.25</v>
      </c>
      <c r="DR684" s="0" t="s">
        <v>5653</v>
      </c>
      <c r="EB684" s="0" t="s">
        <v>5654</v>
      </c>
      <c r="EC684" s="0" t="s">
        <v>2710</v>
      </c>
      <c r="EE684" s="0" t="s">
        <v>275</v>
      </c>
    </row>
    <row r="685" customFormat="false" ht="15" hidden="false" customHeight="false" outlineLevel="0" collapsed="false">
      <c r="DG685" s="0" t="s">
        <v>5655</v>
      </c>
      <c r="DH685" s="0" t="s">
        <v>87</v>
      </c>
      <c r="DI685" s="0" t="s">
        <v>1374</v>
      </c>
      <c r="DJ685" s="0" t="s">
        <v>1375</v>
      </c>
      <c r="DK685" s="0" t="s">
        <v>705</v>
      </c>
      <c r="DL685" s="0" t="n">
        <v>23.08</v>
      </c>
      <c r="DM685" s="0" t="s">
        <v>676</v>
      </c>
      <c r="DN685" s="0" t="s">
        <v>675</v>
      </c>
      <c r="DO685" s="0" t="n">
        <v>0</v>
      </c>
      <c r="DP685" s="0" t="n">
        <v>0</v>
      </c>
      <c r="DQ685" s="0" t="n">
        <v>56.25</v>
      </c>
      <c r="DR685" s="0" t="s">
        <v>5656</v>
      </c>
      <c r="EB685" s="0" t="s">
        <v>5657</v>
      </c>
      <c r="EC685" s="0" t="s">
        <v>2710</v>
      </c>
      <c r="EE685" s="0" t="s">
        <v>298</v>
      </c>
    </row>
    <row r="686" customFormat="false" ht="15" hidden="false" customHeight="false" outlineLevel="0" collapsed="false">
      <c r="DG686" s="0" t="s">
        <v>5658</v>
      </c>
      <c r="DH686" s="0" t="s">
        <v>87</v>
      </c>
      <c r="DI686" s="0" t="s">
        <v>1377</v>
      </c>
      <c r="DJ686" s="0" t="s">
        <v>1378</v>
      </c>
      <c r="DK686" s="0" t="s">
        <v>705</v>
      </c>
      <c r="DL686" s="0" t="n">
        <v>23.08</v>
      </c>
      <c r="DM686" s="0" t="s">
        <v>676</v>
      </c>
      <c r="DN686" s="0" t="s">
        <v>675</v>
      </c>
      <c r="DO686" s="0" t="n">
        <v>0</v>
      </c>
      <c r="DP686" s="0" t="n">
        <v>0</v>
      </c>
      <c r="DQ686" s="0" t="n">
        <v>276.57</v>
      </c>
      <c r="DR686" s="0" t="s">
        <v>5659</v>
      </c>
      <c r="EB686" s="0" t="s">
        <v>5660</v>
      </c>
      <c r="EC686" s="0" t="s">
        <v>2710</v>
      </c>
      <c r="EE686" s="0" t="s">
        <v>286</v>
      </c>
    </row>
    <row r="687" customFormat="false" ht="15" hidden="false" customHeight="false" outlineLevel="0" collapsed="false">
      <c r="DG687" s="0" t="s">
        <v>5661</v>
      </c>
      <c r="DH687" s="0" t="s">
        <v>87</v>
      </c>
      <c r="DI687" s="0" t="s">
        <v>1382</v>
      </c>
      <c r="DJ687" s="0" t="s">
        <v>1383</v>
      </c>
      <c r="DK687" s="0" t="s">
        <v>705</v>
      </c>
      <c r="DL687" s="0" t="n">
        <v>23.08</v>
      </c>
      <c r="DM687" s="0" t="s">
        <v>675</v>
      </c>
      <c r="DN687" s="0" t="s">
        <v>676</v>
      </c>
      <c r="DO687" s="0" t="n">
        <v>1</v>
      </c>
      <c r="DP687" s="0" t="n">
        <v>3393.25</v>
      </c>
      <c r="DQ687" s="0" t="n">
        <v>3393.25</v>
      </c>
      <c r="DR687" s="0" t="s">
        <v>5662</v>
      </c>
      <c r="EB687" s="0" t="s">
        <v>5663</v>
      </c>
      <c r="EC687" s="0" t="s">
        <v>2710</v>
      </c>
      <c r="EE687" s="0" t="s">
        <v>272</v>
      </c>
    </row>
    <row r="688" customFormat="false" ht="15" hidden="false" customHeight="false" outlineLevel="0" collapsed="false">
      <c r="DG688" s="0" t="s">
        <v>5664</v>
      </c>
      <c r="DH688" s="0" t="s">
        <v>87</v>
      </c>
      <c r="DI688" s="0" t="s">
        <v>1388</v>
      </c>
      <c r="DJ688" s="0" t="s">
        <v>1389</v>
      </c>
      <c r="DK688" s="0" t="s">
        <v>705</v>
      </c>
      <c r="DL688" s="0" t="n">
        <v>23.08</v>
      </c>
      <c r="DM688" s="0" t="s">
        <v>676</v>
      </c>
      <c r="DN688" s="0" t="s">
        <v>675</v>
      </c>
      <c r="DO688" s="0" t="n">
        <v>0</v>
      </c>
      <c r="DP688" s="0" t="n">
        <v>0</v>
      </c>
      <c r="DQ688" s="0" t="n">
        <v>245</v>
      </c>
      <c r="DR688" s="0" t="s">
        <v>5665</v>
      </c>
      <c r="EB688" s="0" t="s">
        <v>5666</v>
      </c>
      <c r="EC688" s="0" t="s">
        <v>2710</v>
      </c>
      <c r="EE688" s="0" t="s">
        <v>283</v>
      </c>
    </row>
    <row r="689" customFormat="false" ht="15" hidden="false" customHeight="false" outlineLevel="0" collapsed="false">
      <c r="DG689" s="0" t="s">
        <v>5667</v>
      </c>
      <c r="DH689" s="0" t="s">
        <v>87</v>
      </c>
      <c r="DI689" s="0" t="s">
        <v>1390</v>
      </c>
      <c r="DJ689" s="0" t="s">
        <v>1391</v>
      </c>
      <c r="DK689" s="0" t="s">
        <v>705</v>
      </c>
      <c r="DL689" s="0" t="n">
        <v>23.08</v>
      </c>
      <c r="DM689" s="0" t="s">
        <v>676</v>
      </c>
      <c r="DN689" s="0" t="s">
        <v>676</v>
      </c>
      <c r="DO689" s="0" t="n">
        <v>0</v>
      </c>
      <c r="DP689" s="0" t="n">
        <v>0</v>
      </c>
      <c r="DQ689" s="0" t="n">
        <v>490.5</v>
      </c>
      <c r="DR689" s="0" t="s">
        <v>5668</v>
      </c>
      <c r="EB689" s="0" t="s">
        <v>5669</v>
      </c>
      <c r="EC689" s="0" t="s">
        <v>2710</v>
      </c>
      <c r="EE689" s="0" t="s">
        <v>267</v>
      </c>
    </row>
    <row r="690" customFormat="false" ht="15" hidden="false" customHeight="false" outlineLevel="0" collapsed="false">
      <c r="DG690" s="0" t="s">
        <v>5670</v>
      </c>
      <c r="DH690" s="0" t="s">
        <v>87</v>
      </c>
      <c r="DJ690" s="0" t="s">
        <v>683</v>
      </c>
      <c r="DK690" s="0" t="s">
        <v>674</v>
      </c>
      <c r="DL690" s="0" t="n">
        <v>19.23</v>
      </c>
      <c r="DM690" s="0" t="s">
        <v>675</v>
      </c>
      <c r="DN690" s="0" t="s">
        <v>675</v>
      </c>
      <c r="DO690" s="0" t="n">
        <v>0</v>
      </c>
      <c r="DP690" s="0" t="n">
        <v>0</v>
      </c>
      <c r="DQ690" s="0" t="n">
        <v>0</v>
      </c>
      <c r="DR690" s="0" t="s">
        <v>5172</v>
      </c>
      <c r="EB690" s="0" t="s">
        <v>5671</v>
      </c>
      <c r="EC690" s="0" t="s">
        <v>2710</v>
      </c>
      <c r="EE690" s="0" t="s">
        <v>258</v>
      </c>
    </row>
    <row r="691" customFormat="false" ht="15" hidden="false" customHeight="false" outlineLevel="0" collapsed="false">
      <c r="DG691" s="0" t="s">
        <v>5672</v>
      </c>
      <c r="DH691" s="0" t="s">
        <v>87</v>
      </c>
      <c r="DI691" s="0" t="s">
        <v>1394</v>
      </c>
      <c r="DJ691" s="0" t="s">
        <v>1395</v>
      </c>
      <c r="DK691" s="0" t="s">
        <v>674</v>
      </c>
      <c r="DL691" s="0" t="n">
        <v>19.23</v>
      </c>
      <c r="DM691" s="0" t="s">
        <v>676</v>
      </c>
      <c r="DN691" s="0" t="s">
        <v>675</v>
      </c>
      <c r="DO691" s="0" t="n">
        <v>0</v>
      </c>
      <c r="DP691" s="0" t="n">
        <v>0</v>
      </c>
      <c r="DQ691" s="0" t="n">
        <v>5.86</v>
      </c>
      <c r="DR691" s="0" t="s">
        <v>5673</v>
      </c>
      <c r="EB691" s="0" t="s">
        <v>5674</v>
      </c>
      <c r="EC691" s="0" t="s">
        <v>2710</v>
      </c>
      <c r="EE691" s="0" t="s">
        <v>222</v>
      </c>
    </row>
    <row r="692" customFormat="false" ht="15" hidden="false" customHeight="false" outlineLevel="0" collapsed="false">
      <c r="DG692" s="0" t="s">
        <v>5675</v>
      </c>
      <c r="DH692" s="0" t="s">
        <v>87</v>
      </c>
      <c r="DI692" s="0" t="s">
        <v>1399</v>
      </c>
      <c r="DJ692" s="0" t="s">
        <v>1400</v>
      </c>
      <c r="DK692" s="0" t="s">
        <v>674</v>
      </c>
      <c r="DL692" s="0" t="n">
        <v>19.23</v>
      </c>
      <c r="DM692" s="0" t="s">
        <v>675</v>
      </c>
      <c r="DN692" s="0" t="s">
        <v>676</v>
      </c>
      <c r="DO692" s="0" t="n">
        <v>3</v>
      </c>
      <c r="DP692" s="0" t="n">
        <v>186.72</v>
      </c>
      <c r="DQ692" s="0" t="n">
        <v>186.72</v>
      </c>
      <c r="DR692" s="0" t="s">
        <v>5676</v>
      </c>
      <c r="EB692" s="0" t="s">
        <v>5677</v>
      </c>
      <c r="EC692" s="0" t="s">
        <v>2710</v>
      </c>
      <c r="EE692" s="0" t="s">
        <v>233</v>
      </c>
    </row>
    <row r="693" customFormat="false" ht="15" hidden="false" customHeight="false" outlineLevel="0" collapsed="false">
      <c r="DG693" s="0" t="s">
        <v>5678</v>
      </c>
      <c r="DH693" s="0" t="s">
        <v>87</v>
      </c>
      <c r="DI693" s="0" t="s">
        <v>1402</v>
      </c>
      <c r="DJ693" s="0" t="s">
        <v>1403</v>
      </c>
      <c r="DK693" s="0" t="s">
        <v>674</v>
      </c>
      <c r="DL693" s="0" t="n">
        <v>19.23</v>
      </c>
      <c r="DM693" s="0" t="s">
        <v>676</v>
      </c>
      <c r="DN693" s="0" t="s">
        <v>676</v>
      </c>
      <c r="DO693" s="0" t="n">
        <v>1</v>
      </c>
      <c r="DP693" s="0" t="n">
        <v>93.92</v>
      </c>
      <c r="DQ693" s="0" t="n">
        <v>375.68</v>
      </c>
      <c r="DR693" s="0" t="s">
        <v>5679</v>
      </c>
      <c r="EB693" s="0" t="s">
        <v>5680</v>
      </c>
      <c r="EC693" s="0" t="s">
        <v>2710</v>
      </c>
      <c r="EE693" s="0" t="s">
        <v>225</v>
      </c>
    </row>
    <row r="694" customFormat="false" ht="15" hidden="false" customHeight="false" outlineLevel="0" collapsed="false">
      <c r="DG694" s="0" t="s">
        <v>5681</v>
      </c>
      <c r="DH694" s="0" t="s">
        <v>87</v>
      </c>
      <c r="DI694" s="0" t="s">
        <v>1405</v>
      </c>
      <c r="DJ694" s="0" t="s">
        <v>1406</v>
      </c>
      <c r="DK694" s="0" t="s">
        <v>705</v>
      </c>
      <c r="DL694" s="0" t="n">
        <v>19.23</v>
      </c>
      <c r="DM694" s="0" t="s">
        <v>675</v>
      </c>
      <c r="DN694" s="0" t="s">
        <v>676</v>
      </c>
      <c r="DO694" s="0" t="n">
        <v>1</v>
      </c>
      <c r="DP694" s="0" t="n">
        <v>1063.13</v>
      </c>
      <c r="DQ694" s="0" t="n">
        <v>1063.13</v>
      </c>
      <c r="DR694" s="0" t="s">
        <v>5682</v>
      </c>
      <c r="EB694" s="0" t="s">
        <v>5683</v>
      </c>
      <c r="EC694" s="0" t="s">
        <v>2710</v>
      </c>
      <c r="EE694" s="0" t="s">
        <v>288</v>
      </c>
    </row>
    <row r="695" customFormat="false" ht="15" hidden="false" customHeight="false" outlineLevel="0" collapsed="false">
      <c r="DG695" s="0" t="s">
        <v>5684</v>
      </c>
      <c r="DH695" s="0" t="s">
        <v>87</v>
      </c>
      <c r="DI695" s="0" t="s">
        <v>1407</v>
      </c>
      <c r="DJ695" s="0" t="s">
        <v>1408</v>
      </c>
      <c r="DK695" s="0" t="s">
        <v>705</v>
      </c>
      <c r="DL695" s="0" t="n">
        <v>19.23</v>
      </c>
      <c r="DM695" s="0" t="s">
        <v>676</v>
      </c>
      <c r="DN695" s="0" t="s">
        <v>676</v>
      </c>
      <c r="DO695" s="0" t="n">
        <v>1</v>
      </c>
      <c r="DP695" s="0" t="n">
        <v>90.94</v>
      </c>
      <c r="DQ695" s="0" t="n">
        <v>90.94</v>
      </c>
      <c r="DR695" s="0" t="s">
        <v>5685</v>
      </c>
      <c r="EB695" s="0" t="s">
        <v>5686</v>
      </c>
      <c r="EC695" s="0" t="s">
        <v>2710</v>
      </c>
      <c r="ED695" s="0" t="s">
        <v>2711</v>
      </c>
      <c r="EE695" s="0" t="s">
        <v>269</v>
      </c>
      <c r="EF695" s="0" t="s">
        <v>268</v>
      </c>
      <c r="EG695" s="0" t="n">
        <v>280</v>
      </c>
      <c r="EH695" s="0" t="n">
        <v>280</v>
      </c>
      <c r="EI695" s="0" t="n">
        <v>280</v>
      </c>
      <c r="EJ695" s="0" t="n">
        <v>280</v>
      </c>
    </row>
    <row r="696" customFormat="false" ht="15" hidden="false" customHeight="false" outlineLevel="0" collapsed="false">
      <c r="DG696" s="0" t="s">
        <v>5687</v>
      </c>
      <c r="DH696" s="0" t="s">
        <v>87</v>
      </c>
      <c r="DI696" s="0" t="s">
        <v>1409</v>
      </c>
      <c r="DJ696" s="0" t="s">
        <v>1410</v>
      </c>
      <c r="DK696" s="0" t="s">
        <v>705</v>
      </c>
      <c r="DL696" s="0" t="n">
        <v>19.23</v>
      </c>
      <c r="DM696" s="0" t="s">
        <v>676</v>
      </c>
      <c r="DN696" s="0" t="s">
        <v>675</v>
      </c>
      <c r="DO696" s="0" t="n">
        <v>0</v>
      </c>
      <c r="DP696" s="0" t="n">
        <v>0</v>
      </c>
      <c r="DQ696" s="0" t="n">
        <v>135</v>
      </c>
      <c r="DR696" s="0" t="s">
        <v>5688</v>
      </c>
      <c r="EB696" s="0" t="s">
        <v>5689</v>
      </c>
      <c r="EC696" s="0" t="s">
        <v>2710</v>
      </c>
      <c r="ED696" s="0" t="s">
        <v>2711</v>
      </c>
      <c r="EE696" s="0" t="s">
        <v>237</v>
      </c>
      <c r="EF696" s="0" t="s">
        <v>235</v>
      </c>
      <c r="EG696" s="0" t="n">
        <v>2650</v>
      </c>
      <c r="EH696" s="0" t="n">
        <v>2650</v>
      </c>
      <c r="EI696" s="0" t="n">
        <v>2650</v>
      </c>
      <c r="EJ696" s="0" t="n">
        <v>2650</v>
      </c>
    </row>
    <row r="697" customFormat="false" ht="15" hidden="false" customHeight="false" outlineLevel="0" collapsed="false">
      <c r="DG697" s="0" t="s">
        <v>5690</v>
      </c>
      <c r="DH697" s="0" t="s">
        <v>87</v>
      </c>
      <c r="DI697" s="0" t="s">
        <v>1413</v>
      </c>
      <c r="DJ697" s="0" t="s">
        <v>1414</v>
      </c>
      <c r="DK697" s="0" t="s">
        <v>674</v>
      </c>
      <c r="DL697" s="0" t="n">
        <v>15.38</v>
      </c>
      <c r="DM697" s="0" t="s">
        <v>676</v>
      </c>
      <c r="DN697" s="0" t="s">
        <v>675</v>
      </c>
      <c r="DO697" s="0" t="n">
        <v>0</v>
      </c>
      <c r="DP697" s="0" t="n">
        <v>0</v>
      </c>
      <c r="DQ697" s="0" t="n">
        <v>349.5</v>
      </c>
      <c r="DR697" s="0" t="s">
        <v>5691</v>
      </c>
      <c r="EB697" s="0" t="s">
        <v>5692</v>
      </c>
      <c r="EC697" s="0" t="s">
        <v>2710</v>
      </c>
      <c r="EE697" s="0" t="s">
        <v>249</v>
      </c>
    </row>
    <row r="698" customFormat="false" ht="15" hidden="false" customHeight="false" outlineLevel="0" collapsed="false">
      <c r="DG698" s="0" t="s">
        <v>5693</v>
      </c>
      <c r="DH698" s="0" t="s">
        <v>87</v>
      </c>
      <c r="DI698" s="0" t="s">
        <v>1419</v>
      </c>
      <c r="DJ698" s="0" t="s">
        <v>1420</v>
      </c>
      <c r="DK698" s="0" t="s">
        <v>674</v>
      </c>
      <c r="DL698" s="0" t="n">
        <v>15.38</v>
      </c>
      <c r="DM698" s="0" t="s">
        <v>675</v>
      </c>
      <c r="DN698" s="0" t="s">
        <v>676</v>
      </c>
      <c r="DO698" s="0" t="n">
        <v>1</v>
      </c>
      <c r="DP698" s="0" t="n">
        <v>56.84</v>
      </c>
      <c r="DQ698" s="0" t="n">
        <v>56.84</v>
      </c>
      <c r="DR698" s="0" t="s">
        <v>5694</v>
      </c>
      <c r="EB698" s="0" t="s">
        <v>5695</v>
      </c>
      <c r="EC698" s="0" t="s">
        <v>2710</v>
      </c>
      <c r="EE698" s="0" t="s">
        <v>293</v>
      </c>
    </row>
    <row r="699" customFormat="false" ht="15" hidden="false" customHeight="false" outlineLevel="0" collapsed="false">
      <c r="DG699" s="0" t="s">
        <v>5696</v>
      </c>
      <c r="DH699" s="0" t="s">
        <v>87</v>
      </c>
      <c r="DI699" s="0" t="s">
        <v>1425</v>
      </c>
      <c r="DJ699" s="0" t="s">
        <v>1426</v>
      </c>
      <c r="DK699" s="0" t="s">
        <v>674</v>
      </c>
      <c r="DL699" s="0" t="n">
        <v>15.38</v>
      </c>
      <c r="DM699" s="0" t="s">
        <v>675</v>
      </c>
      <c r="DN699" s="0" t="s">
        <v>676</v>
      </c>
      <c r="DO699" s="0" t="n">
        <v>1</v>
      </c>
      <c r="DP699" s="0" t="n">
        <v>270</v>
      </c>
      <c r="DQ699" s="0" t="n">
        <v>270</v>
      </c>
      <c r="DR699" s="0" t="s">
        <v>5697</v>
      </c>
      <c r="EB699" s="0" t="s">
        <v>5698</v>
      </c>
      <c r="EC699" s="0" t="s">
        <v>2710</v>
      </c>
      <c r="EE699" s="0" t="s">
        <v>280</v>
      </c>
    </row>
    <row r="700" customFormat="false" ht="15" hidden="false" customHeight="false" outlineLevel="0" collapsed="false">
      <c r="DG700" s="0" t="s">
        <v>5699</v>
      </c>
      <c r="DH700" s="0" t="s">
        <v>87</v>
      </c>
      <c r="DI700" s="0" t="s">
        <v>1313</v>
      </c>
      <c r="DJ700" s="0" t="s">
        <v>1427</v>
      </c>
      <c r="DK700" s="0" t="s">
        <v>674</v>
      </c>
      <c r="DL700" s="0" t="n">
        <v>15.38</v>
      </c>
      <c r="DM700" s="0" t="s">
        <v>675</v>
      </c>
      <c r="DN700" s="0" t="s">
        <v>676</v>
      </c>
      <c r="DO700" s="0" t="n">
        <v>1</v>
      </c>
      <c r="DP700" s="0" t="n">
        <v>94.01</v>
      </c>
      <c r="DQ700" s="0" t="n">
        <v>94.01</v>
      </c>
      <c r="DR700" s="0" t="s">
        <v>5700</v>
      </c>
      <c r="EB700" s="0" t="s">
        <v>5701</v>
      </c>
      <c r="EC700" s="0" t="s">
        <v>2710</v>
      </c>
      <c r="ED700" s="0" t="s">
        <v>2711</v>
      </c>
      <c r="EE700" s="0" t="s">
        <v>264</v>
      </c>
      <c r="EF700" s="0" t="s">
        <v>262</v>
      </c>
      <c r="EG700" s="0" t="n">
        <v>1650</v>
      </c>
      <c r="EH700" s="0" t="n">
        <v>1900</v>
      </c>
      <c r="EI700" s="0" t="n">
        <v>2150</v>
      </c>
      <c r="EJ700" s="0" t="n">
        <v>2310</v>
      </c>
    </row>
    <row r="701" customFormat="false" ht="15" hidden="false" customHeight="false" outlineLevel="0" collapsed="false">
      <c r="DG701" s="0" t="s">
        <v>5702</v>
      </c>
      <c r="DH701" s="0" t="s">
        <v>87</v>
      </c>
      <c r="DI701" s="0" t="s">
        <v>1428</v>
      </c>
      <c r="DJ701" s="0" t="s">
        <v>1429</v>
      </c>
      <c r="DK701" s="0" t="s">
        <v>674</v>
      </c>
      <c r="DL701" s="0" t="n">
        <v>15.38</v>
      </c>
      <c r="DM701" s="0" t="s">
        <v>675</v>
      </c>
      <c r="DN701" s="0" t="s">
        <v>676</v>
      </c>
      <c r="DO701" s="0" t="n">
        <v>1</v>
      </c>
      <c r="DP701" s="0" t="n">
        <v>697.55</v>
      </c>
      <c r="DQ701" s="0" t="n">
        <v>697.55</v>
      </c>
      <c r="DR701" s="0" t="s">
        <v>5703</v>
      </c>
      <c r="EB701" s="0" t="s">
        <v>5704</v>
      </c>
      <c r="EC701" s="0" t="s">
        <v>2710</v>
      </c>
      <c r="EE701" s="0" t="s">
        <v>278</v>
      </c>
    </row>
    <row r="702" customFormat="false" ht="15" hidden="false" customHeight="false" outlineLevel="0" collapsed="false">
      <c r="DG702" s="0" t="s">
        <v>5705</v>
      </c>
      <c r="DH702" s="0" t="s">
        <v>87</v>
      </c>
      <c r="DI702" s="0" t="s">
        <v>1431</v>
      </c>
      <c r="DJ702" s="0" t="s">
        <v>1432</v>
      </c>
      <c r="DK702" s="0" t="s">
        <v>674</v>
      </c>
      <c r="DL702" s="0" t="n">
        <v>15.38</v>
      </c>
      <c r="DM702" s="0" t="s">
        <v>676</v>
      </c>
      <c r="DN702" s="0" t="s">
        <v>675</v>
      </c>
      <c r="DO702" s="0" t="n">
        <v>0</v>
      </c>
      <c r="DP702" s="0" t="n">
        <v>0</v>
      </c>
      <c r="DQ702" s="0" t="n">
        <v>56.25</v>
      </c>
      <c r="DR702" s="0" t="s">
        <v>5706</v>
      </c>
      <c r="EB702" s="0" t="s">
        <v>5707</v>
      </c>
      <c r="EC702" s="0" t="s">
        <v>2710</v>
      </c>
      <c r="ED702" s="0" t="s">
        <v>2711</v>
      </c>
      <c r="EE702" s="0" t="s">
        <v>240</v>
      </c>
      <c r="EF702" s="0" t="s">
        <v>238</v>
      </c>
      <c r="EG702" s="0" t="n">
        <v>3620</v>
      </c>
      <c r="EH702" s="0" t="n">
        <v>3620</v>
      </c>
      <c r="EI702" s="0" t="n">
        <v>3620</v>
      </c>
      <c r="EJ702" s="0" t="n">
        <v>3620</v>
      </c>
    </row>
    <row r="703" customFormat="false" ht="15" hidden="false" customHeight="false" outlineLevel="0" collapsed="false">
      <c r="DG703" s="0" t="s">
        <v>5708</v>
      </c>
      <c r="DH703" s="0" t="s">
        <v>87</v>
      </c>
      <c r="DI703" s="0" t="s">
        <v>484</v>
      </c>
      <c r="DJ703" s="0" t="s">
        <v>485</v>
      </c>
      <c r="DK703" s="0" t="s">
        <v>1181</v>
      </c>
      <c r="DL703" s="0" t="n">
        <v>15.38</v>
      </c>
      <c r="DM703" s="0" t="s">
        <v>675</v>
      </c>
      <c r="DN703" s="0" t="s">
        <v>676</v>
      </c>
      <c r="DO703" s="0" t="n">
        <v>1</v>
      </c>
      <c r="DP703" s="0" t="n">
        <v>43628</v>
      </c>
      <c r="DQ703" s="0" t="n">
        <v>43628</v>
      </c>
      <c r="DR703" s="0" t="s">
        <v>5709</v>
      </c>
      <c r="EB703" s="0" t="s">
        <v>5710</v>
      </c>
      <c r="EC703" s="0" t="s">
        <v>2710</v>
      </c>
      <c r="ED703" s="0" t="s">
        <v>2711</v>
      </c>
      <c r="EE703" s="0" t="s">
        <v>252</v>
      </c>
      <c r="EF703" s="0" t="s">
        <v>250</v>
      </c>
      <c r="EG703" s="0" t="n">
        <v>370</v>
      </c>
      <c r="EH703" s="0" t="n">
        <v>370</v>
      </c>
      <c r="EI703" s="0" t="n">
        <v>370</v>
      </c>
      <c r="EJ703" s="0" t="n">
        <v>370</v>
      </c>
    </row>
    <row r="704" customFormat="false" ht="15" hidden="false" customHeight="false" outlineLevel="0" collapsed="false">
      <c r="DG704" s="0" t="s">
        <v>5711</v>
      </c>
      <c r="DH704" s="0" t="s">
        <v>87</v>
      </c>
      <c r="DJ704" s="0" t="s">
        <v>911</v>
      </c>
      <c r="DK704" s="0" t="s">
        <v>705</v>
      </c>
      <c r="DL704" s="0" t="n">
        <v>15.38</v>
      </c>
      <c r="DM704" s="0" t="s">
        <v>675</v>
      </c>
      <c r="DN704" s="0" t="s">
        <v>675</v>
      </c>
      <c r="DO704" s="0" t="n">
        <v>0</v>
      </c>
      <c r="DP704" s="0" t="n">
        <v>0</v>
      </c>
      <c r="DQ704" s="0" t="n">
        <v>0</v>
      </c>
      <c r="DR704" s="0" t="s">
        <v>5301</v>
      </c>
      <c r="EB704" s="0" t="s">
        <v>5712</v>
      </c>
      <c r="EC704" s="0" t="s">
        <v>2710</v>
      </c>
      <c r="ED704" s="0" t="s">
        <v>2711</v>
      </c>
      <c r="EE704" s="0" t="s">
        <v>229</v>
      </c>
      <c r="EF704" s="0" t="s">
        <v>227</v>
      </c>
      <c r="EG704" s="0" t="n">
        <v>170</v>
      </c>
      <c r="EH704" s="0" t="n">
        <v>200</v>
      </c>
      <c r="EI704" s="0" t="n">
        <v>220</v>
      </c>
      <c r="EJ704" s="0" t="n">
        <v>240</v>
      </c>
    </row>
    <row r="705" customFormat="false" ht="15" hidden="false" customHeight="false" outlineLevel="0" collapsed="false">
      <c r="DG705" s="0" t="s">
        <v>5713</v>
      </c>
      <c r="DH705" s="0" t="s">
        <v>87</v>
      </c>
      <c r="DJ705" s="0" t="s">
        <v>1289</v>
      </c>
      <c r="DK705" s="0" t="s">
        <v>705</v>
      </c>
      <c r="DL705" s="0" t="n">
        <v>15.38</v>
      </c>
      <c r="DM705" s="0" t="s">
        <v>675</v>
      </c>
      <c r="DN705" s="0" t="s">
        <v>675</v>
      </c>
      <c r="DO705" s="0" t="n">
        <v>0</v>
      </c>
      <c r="DP705" s="0" t="n">
        <v>0</v>
      </c>
      <c r="DQ705" s="0" t="n">
        <v>0</v>
      </c>
      <c r="DR705" s="0" t="s">
        <v>5594</v>
      </c>
      <c r="EB705" s="0" t="s">
        <v>5714</v>
      </c>
      <c r="EC705" s="0" t="s">
        <v>2710</v>
      </c>
      <c r="ED705" s="0" t="s">
        <v>2711</v>
      </c>
      <c r="EE705" s="0" t="s">
        <v>246</v>
      </c>
      <c r="EF705" s="0" t="s">
        <v>244</v>
      </c>
      <c r="EG705" s="0" t="n">
        <v>620</v>
      </c>
      <c r="EH705" s="0" t="n">
        <v>620</v>
      </c>
      <c r="EI705" s="0" t="n">
        <v>620</v>
      </c>
      <c r="EJ705" s="0" t="n">
        <v>620</v>
      </c>
    </row>
    <row r="706" customFormat="false" ht="15" hidden="false" customHeight="false" outlineLevel="0" collapsed="false">
      <c r="DG706" s="0" t="s">
        <v>5715</v>
      </c>
      <c r="DH706" s="0" t="s">
        <v>87</v>
      </c>
      <c r="DI706" s="0" t="s">
        <v>1435</v>
      </c>
      <c r="DJ706" s="0" t="s">
        <v>1436</v>
      </c>
      <c r="DK706" s="0" t="s">
        <v>705</v>
      </c>
      <c r="DL706" s="0" t="n">
        <v>15.38</v>
      </c>
      <c r="DM706" s="0" t="s">
        <v>676</v>
      </c>
      <c r="DN706" s="0" t="s">
        <v>675</v>
      </c>
      <c r="DO706" s="0" t="n">
        <v>0</v>
      </c>
      <c r="DP706" s="0" t="n">
        <v>0</v>
      </c>
      <c r="DQ706" s="0" t="n">
        <v>436</v>
      </c>
      <c r="DR706" s="0" t="s">
        <v>5716</v>
      </c>
      <c r="EB706" s="0" t="s">
        <v>5717</v>
      </c>
      <c r="EC706" s="0" t="s">
        <v>2710</v>
      </c>
      <c r="ED706" s="0" t="s">
        <v>2711</v>
      </c>
      <c r="EE706" s="0" t="s">
        <v>255</v>
      </c>
      <c r="EF706" s="0" t="s">
        <v>253</v>
      </c>
      <c r="EG706" s="0" t="n">
        <v>430</v>
      </c>
      <c r="EH706" s="0" t="n">
        <v>500</v>
      </c>
      <c r="EI706" s="0" t="n">
        <v>560</v>
      </c>
      <c r="EJ706" s="0" t="n">
        <v>600</v>
      </c>
    </row>
    <row r="707" customFormat="false" ht="15" hidden="false" customHeight="false" outlineLevel="0" collapsed="false">
      <c r="DG707" s="0" t="s">
        <v>5718</v>
      </c>
      <c r="DH707" s="0" t="s">
        <v>87</v>
      </c>
      <c r="DI707" s="0" t="s">
        <v>1441</v>
      </c>
      <c r="DJ707" s="0" t="s">
        <v>1442</v>
      </c>
      <c r="DK707" s="0" t="s">
        <v>705</v>
      </c>
      <c r="DL707" s="0" t="n">
        <v>15.38</v>
      </c>
      <c r="DM707" s="0" t="s">
        <v>676</v>
      </c>
      <c r="DN707" s="0" t="s">
        <v>675</v>
      </c>
      <c r="DO707" s="0" t="n">
        <v>0</v>
      </c>
      <c r="DP707" s="0" t="n">
        <v>0</v>
      </c>
      <c r="DQ707" s="0" t="n">
        <v>420</v>
      </c>
      <c r="DR707" s="0" t="s">
        <v>5719</v>
      </c>
      <c r="EB707" s="0" t="s">
        <v>5720</v>
      </c>
      <c r="EC707" s="0" t="s">
        <v>2710</v>
      </c>
      <c r="EE707" s="0" t="s">
        <v>243</v>
      </c>
    </row>
    <row r="708" customFormat="false" ht="15" hidden="false" customHeight="false" outlineLevel="0" collapsed="false">
      <c r="DG708" s="0" t="s">
        <v>5721</v>
      </c>
      <c r="DH708" s="0" t="s">
        <v>87</v>
      </c>
      <c r="DI708" s="0" t="s">
        <v>1443</v>
      </c>
      <c r="DJ708" s="0" t="s">
        <v>1444</v>
      </c>
      <c r="DK708" s="0" t="s">
        <v>705</v>
      </c>
      <c r="DL708" s="0" t="n">
        <v>15.38</v>
      </c>
      <c r="DM708" s="0" t="s">
        <v>675</v>
      </c>
      <c r="DN708" s="0" t="s">
        <v>676</v>
      </c>
      <c r="DO708" s="0" t="n">
        <v>1</v>
      </c>
      <c r="DP708" s="0" t="n">
        <v>4500</v>
      </c>
      <c r="DQ708" s="0" t="n">
        <v>4500</v>
      </c>
      <c r="DR708" s="0" t="s">
        <v>5722</v>
      </c>
      <c r="EB708" s="0" t="s">
        <v>5723</v>
      </c>
      <c r="EC708" s="0" t="s">
        <v>2710</v>
      </c>
      <c r="ED708" s="0" t="s">
        <v>2711</v>
      </c>
      <c r="EE708" s="0" t="s">
        <v>261</v>
      </c>
      <c r="EF708" s="0" t="s">
        <v>259</v>
      </c>
      <c r="EG708" s="0" t="n">
        <v>1</v>
      </c>
      <c r="EH708" s="0" t="n">
        <v>1</v>
      </c>
      <c r="EI708" s="0" t="n">
        <v>1</v>
      </c>
      <c r="EJ708" s="0" t="n">
        <v>1</v>
      </c>
    </row>
    <row r="709" customFormat="false" ht="15" hidden="false" customHeight="false" outlineLevel="0" collapsed="false">
      <c r="DG709" s="0" t="s">
        <v>5724</v>
      </c>
      <c r="DH709" s="0" t="s">
        <v>87</v>
      </c>
      <c r="DI709" s="0" t="s">
        <v>1446</v>
      </c>
      <c r="DJ709" s="0" t="s">
        <v>203</v>
      </c>
      <c r="DK709" s="0" t="s">
        <v>705</v>
      </c>
      <c r="DL709" s="0" t="n">
        <v>15.38</v>
      </c>
      <c r="DM709" s="0" t="s">
        <v>675</v>
      </c>
      <c r="DN709" s="0" t="s">
        <v>676</v>
      </c>
      <c r="DO709" s="0" t="n">
        <v>3</v>
      </c>
      <c r="DP709" s="0" t="n">
        <v>9999.99</v>
      </c>
      <c r="DQ709" s="0" t="n">
        <v>9999.99</v>
      </c>
      <c r="DR709" s="0" t="s">
        <v>5725</v>
      </c>
      <c r="EB709" s="0" t="s">
        <v>5726</v>
      </c>
      <c r="EC709" s="0" t="s">
        <v>2710</v>
      </c>
      <c r="EE709" s="0" t="s">
        <v>296</v>
      </c>
    </row>
    <row r="710" customFormat="false" ht="15" hidden="false" customHeight="false" outlineLevel="0" collapsed="false">
      <c r="DG710" s="0" t="s">
        <v>5727</v>
      </c>
      <c r="DH710" s="0" t="s">
        <v>87</v>
      </c>
      <c r="DI710" s="0" t="s">
        <v>1449</v>
      </c>
      <c r="DJ710" s="0" t="s">
        <v>199</v>
      </c>
      <c r="DK710" s="0" t="s">
        <v>705</v>
      </c>
      <c r="DL710" s="0" t="n">
        <v>15.38</v>
      </c>
      <c r="DM710" s="0" t="s">
        <v>675</v>
      </c>
      <c r="DN710" s="0" t="s">
        <v>676</v>
      </c>
      <c r="DO710" s="0" t="n">
        <v>1</v>
      </c>
      <c r="DP710" s="0" t="n">
        <v>28040</v>
      </c>
      <c r="DQ710" s="0" t="n">
        <v>28040</v>
      </c>
      <c r="DR710" s="0" t="s">
        <v>5728</v>
      </c>
      <c r="EB710" s="0" t="s">
        <v>5729</v>
      </c>
      <c r="EC710" s="0" t="s">
        <v>2660</v>
      </c>
      <c r="EE710" s="0" t="s">
        <v>626</v>
      </c>
    </row>
    <row r="711" customFormat="false" ht="15" hidden="false" customHeight="false" outlineLevel="0" collapsed="false">
      <c r="DG711" s="0" t="s">
        <v>5730</v>
      </c>
      <c r="DH711" s="0" t="s">
        <v>87</v>
      </c>
      <c r="DI711" s="0" t="s">
        <v>1450</v>
      </c>
      <c r="DJ711" s="0" t="s">
        <v>1451</v>
      </c>
      <c r="DK711" s="0" t="s">
        <v>705</v>
      </c>
      <c r="DL711" s="0" t="n">
        <v>15.38</v>
      </c>
      <c r="DM711" s="0" t="s">
        <v>675</v>
      </c>
      <c r="DN711" s="0" t="s">
        <v>676</v>
      </c>
      <c r="DO711" s="0" t="n">
        <v>2</v>
      </c>
      <c r="DP711" s="0" t="n">
        <v>1120</v>
      </c>
      <c r="DQ711" s="0" t="n">
        <v>1120</v>
      </c>
      <c r="DR711" s="0" t="s">
        <v>5731</v>
      </c>
      <c r="EB711" s="0" t="s">
        <v>5732</v>
      </c>
      <c r="EC711" s="0" t="s">
        <v>2660</v>
      </c>
      <c r="EE711" s="0" t="s">
        <v>624</v>
      </c>
    </row>
    <row r="712" customFormat="false" ht="15" hidden="false" customHeight="false" outlineLevel="0" collapsed="false">
      <c r="DG712" s="0" t="s">
        <v>5733</v>
      </c>
      <c r="DH712" s="0" t="s">
        <v>87</v>
      </c>
      <c r="DI712" s="0" t="s">
        <v>1454</v>
      </c>
      <c r="DJ712" s="0" t="s">
        <v>1455</v>
      </c>
      <c r="DK712" s="0" t="s">
        <v>705</v>
      </c>
      <c r="DL712" s="0" t="n">
        <v>15.38</v>
      </c>
      <c r="DM712" s="0" t="s">
        <v>676</v>
      </c>
      <c r="DN712" s="0" t="s">
        <v>675</v>
      </c>
      <c r="DO712" s="0" t="n">
        <v>0</v>
      </c>
      <c r="DP712" s="0" t="n">
        <v>0</v>
      </c>
      <c r="DQ712" s="0" t="n">
        <v>79.43</v>
      </c>
      <c r="DR712" s="0" t="s">
        <v>5734</v>
      </c>
      <c r="EB712" s="0" t="s">
        <v>5735</v>
      </c>
      <c r="EC712" s="0" t="s">
        <v>2660</v>
      </c>
      <c r="EE712" s="0" t="s">
        <v>622</v>
      </c>
    </row>
    <row r="713" customFormat="false" ht="15" hidden="false" customHeight="false" outlineLevel="0" collapsed="false">
      <c r="DG713" s="0" t="s">
        <v>5736</v>
      </c>
      <c r="DH713" s="0" t="s">
        <v>87</v>
      </c>
      <c r="DI713" s="0" t="s">
        <v>1459</v>
      </c>
      <c r="DJ713" s="0" t="s">
        <v>1460</v>
      </c>
      <c r="DK713" s="0" t="s">
        <v>705</v>
      </c>
      <c r="DL713" s="0" t="n">
        <v>15.38</v>
      </c>
      <c r="DM713" s="0" t="s">
        <v>676</v>
      </c>
      <c r="DN713" s="0" t="s">
        <v>676</v>
      </c>
      <c r="DO713" s="0" t="n">
        <v>0</v>
      </c>
      <c r="DP713" s="0" t="n">
        <v>0</v>
      </c>
      <c r="DQ713" s="0" t="n">
        <v>107.43</v>
      </c>
      <c r="DR713" s="0" t="s">
        <v>5737</v>
      </c>
      <c r="EB713" s="0" t="s">
        <v>5738</v>
      </c>
      <c r="EC713" s="0" t="s">
        <v>2660</v>
      </c>
      <c r="EE713" s="0" t="s">
        <v>620</v>
      </c>
    </row>
    <row r="714" customFormat="false" ht="15" hidden="false" customHeight="false" outlineLevel="0" collapsed="false">
      <c r="DG714" s="0" t="s">
        <v>5739</v>
      </c>
      <c r="DH714" s="0" t="s">
        <v>87</v>
      </c>
      <c r="DJ714" s="0" t="s">
        <v>1119</v>
      </c>
      <c r="DK714" s="0" t="s">
        <v>674</v>
      </c>
      <c r="DL714" s="0" t="n">
        <v>11.54</v>
      </c>
      <c r="DM714" s="0" t="s">
        <v>675</v>
      </c>
      <c r="DN714" s="0" t="s">
        <v>675</v>
      </c>
      <c r="DO714" s="0" t="n">
        <v>0</v>
      </c>
      <c r="DP714" s="0" t="n">
        <v>0</v>
      </c>
      <c r="DQ714" s="0" t="n">
        <v>0</v>
      </c>
      <c r="DR714" s="0" t="s">
        <v>5447</v>
      </c>
      <c r="EB714" s="0" t="s">
        <v>5740</v>
      </c>
      <c r="EC714" s="0" t="s">
        <v>2660</v>
      </c>
      <c r="EE714" s="0" t="s">
        <v>618</v>
      </c>
    </row>
    <row r="715" customFormat="false" ht="15" hidden="false" customHeight="false" outlineLevel="0" collapsed="false">
      <c r="DG715" s="0" t="s">
        <v>5741</v>
      </c>
      <c r="DH715" s="0" t="s">
        <v>87</v>
      </c>
      <c r="DJ715" s="0" t="s">
        <v>1122</v>
      </c>
      <c r="DK715" s="0" t="s">
        <v>674</v>
      </c>
      <c r="DL715" s="0" t="n">
        <v>11.54</v>
      </c>
      <c r="DM715" s="0" t="s">
        <v>675</v>
      </c>
      <c r="DN715" s="0" t="s">
        <v>675</v>
      </c>
      <c r="DO715" s="0" t="n">
        <v>0</v>
      </c>
      <c r="DP715" s="0" t="n">
        <v>0</v>
      </c>
      <c r="DQ715" s="0" t="n">
        <v>0</v>
      </c>
      <c r="DR715" s="0" t="s">
        <v>5450</v>
      </c>
      <c r="EB715" s="0" t="s">
        <v>5742</v>
      </c>
      <c r="EC715" s="0" t="s">
        <v>2660</v>
      </c>
      <c r="EE715" s="0" t="s">
        <v>616</v>
      </c>
    </row>
    <row r="716" customFormat="false" ht="15" hidden="false" customHeight="false" outlineLevel="0" collapsed="false">
      <c r="DG716" s="0" t="s">
        <v>5743</v>
      </c>
      <c r="DH716" s="0" t="s">
        <v>87</v>
      </c>
      <c r="DI716" s="0" t="s">
        <v>1464</v>
      </c>
      <c r="DJ716" s="0" t="s">
        <v>1465</v>
      </c>
      <c r="DK716" s="0" t="s">
        <v>674</v>
      </c>
      <c r="DL716" s="0" t="n">
        <v>11.54</v>
      </c>
      <c r="DM716" s="0" t="s">
        <v>675</v>
      </c>
      <c r="DN716" s="0" t="s">
        <v>676</v>
      </c>
      <c r="DO716" s="0" t="n">
        <v>4</v>
      </c>
      <c r="DP716" s="0" t="n">
        <v>52.2</v>
      </c>
      <c r="DQ716" s="0" t="n">
        <v>52.2</v>
      </c>
      <c r="DR716" s="0" t="s">
        <v>5744</v>
      </c>
      <c r="EB716" s="0" t="s">
        <v>5745</v>
      </c>
      <c r="EC716" s="0" t="s">
        <v>2660</v>
      </c>
      <c r="EE716" s="0" t="s">
        <v>614</v>
      </c>
    </row>
    <row r="717" customFormat="false" ht="15" hidden="false" customHeight="false" outlineLevel="0" collapsed="false">
      <c r="DG717" s="0" t="s">
        <v>5746</v>
      </c>
      <c r="DH717" s="0" t="s">
        <v>87</v>
      </c>
      <c r="DI717" s="0" t="s">
        <v>1468</v>
      </c>
      <c r="DJ717" s="0" t="s">
        <v>1469</v>
      </c>
      <c r="DK717" s="0" t="s">
        <v>674</v>
      </c>
      <c r="DL717" s="0" t="n">
        <v>11.54</v>
      </c>
      <c r="DM717" s="0" t="s">
        <v>676</v>
      </c>
      <c r="DN717" s="0" t="s">
        <v>675</v>
      </c>
      <c r="DO717" s="0" t="n">
        <v>0</v>
      </c>
      <c r="DP717" s="0" t="n">
        <v>0</v>
      </c>
      <c r="DQ717" s="0" t="n">
        <v>22.91</v>
      </c>
      <c r="DR717" s="0" t="s">
        <v>5747</v>
      </c>
      <c r="EB717" s="0" t="s">
        <v>5748</v>
      </c>
      <c r="EC717" s="0" t="s">
        <v>2660</v>
      </c>
      <c r="EE717" s="0" t="s">
        <v>612</v>
      </c>
    </row>
    <row r="718" customFormat="false" ht="15" hidden="false" customHeight="false" outlineLevel="0" collapsed="false">
      <c r="DG718" s="0" t="s">
        <v>5749</v>
      </c>
      <c r="DH718" s="0" t="s">
        <v>87</v>
      </c>
      <c r="DI718" s="0" t="s">
        <v>1473</v>
      </c>
      <c r="DJ718" s="0" t="s">
        <v>1474</v>
      </c>
      <c r="DK718" s="0" t="s">
        <v>674</v>
      </c>
      <c r="DL718" s="0" t="n">
        <v>11.54</v>
      </c>
      <c r="DM718" s="0" t="s">
        <v>675</v>
      </c>
      <c r="DN718" s="0" t="s">
        <v>676</v>
      </c>
      <c r="DO718" s="0" t="n">
        <v>1</v>
      </c>
      <c r="DP718" s="0" t="n">
        <v>687</v>
      </c>
      <c r="DQ718" s="0" t="n">
        <v>687</v>
      </c>
      <c r="DR718" s="0" t="s">
        <v>5750</v>
      </c>
      <c r="EB718" s="0" t="s">
        <v>5751</v>
      </c>
      <c r="EC718" s="0" t="s">
        <v>2660</v>
      </c>
      <c r="EE718" s="0" t="s">
        <v>609</v>
      </c>
    </row>
    <row r="719" customFormat="false" ht="15" hidden="false" customHeight="false" outlineLevel="0" collapsed="false">
      <c r="DG719" s="0" t="s">
        <v>5752</v>
      </c>
      <c r="DH719" s="0" t="s">
        <v>87</v>
      </c>
      <c r="DI719" s="0" t="s">
        <v>1478</v>
      </c>
      <c r="DJ719" s="0" t="s">
        <v>1479</v>
      </c>
      <c r="DK719" s="0" t="s">
        <v>674</v>
      </c>
      <c r="DL719" s="0" t="n">
        <v>11.54</v>
      </c>
      <c r="DM719" s="0" t="s">
        <v>675</v>
      </c>
      <c r="DN719" s="0" t="s">
        <v>676</v>
      </c>
      <c r="DO719" s="0" t="n">
        <v>1</v>
      </c>
      <c r="DP719" s="0" t="n">
        <v>14.5</v>
      </c>
      <c r="DQ719" s="0" t="n">
        <v>14.5</v>
      </c>
      <c r="DR719" s="0" t="s">
        <v>5753</v>
      </c>
      <c r="EB719" s="0" t="s">
        <v>5754</v>
      </c>
      <c r="EC719" s="0" t="s">
        <v>2660</v>
      </c>
      <c r="ED719" s="0" t="s">
        <v>2661</v>
      </c>
      <c r="EE719" s="0" t="s">
        <v>607</v>
      </c>
      <c r="EF719" s="0" t="s">
        <v>2680</v>
      </c>
      <c r="EG719" s="0" t="n">
        <v>1</v>
      </c>
      <c r="EH719" s="0" t="n">
        <v>1</v>
      </c>
      <c r="EI719" s="0" t="n">
        <v>1</v>
      </c>
      <c r="EJ719" s="0" t="n">
        <v>1</v>
      </c>
    </row>
    <row r="720" customFormat="false" ht="15" hidden="false" customHeight="false" outlineLevel="0" collapsed="false">
      <c r="DG720" s="0" t="s">
        <v>5755</v>
      </c>
      <c r="DH720" s="0" t="s">
        <v>87</v>
      </c>
      <c r="DI720" s="0" t="s">
        <v>1413</v>
      </c>
      <c r="DJ720" s="0" t="s">
        <v>1481</v>
      </c>
      <c r="DK720" s="0" t="s">
        <v>674</v>
      </c>
      <c r="DL720" s="0" t="n">
        <v>11.54</v>
      </c>
      <c r="DM720" s="0" t="s">
        <v>676</v>
      </c>
      <c r="DN720" s="0" t="s">
        <v>675</v>
      </c>
      <c r="DO720" s="0" t="n">
        <v>0</v>
      </c>
      <c r="DP720" s="0" t="n">
        <v>0</v>
      </c>
      <c r="DQ720" s="0" t="n">
        <v>699</v>
      </c>
      <c r="DR720" s="0" t="s">
        <v>5756</v>
      </c>
      <c r="EB720" s="0" t="s">
        <v>5757</v>
      </c>
      <c r="EC720" s="0" t="s">
        <v>2660</v>
      </c>
      <c r="EE720" s="0" t="s">
        <v>605</v>
      </c>
    </row>
    <row r="721" customFormat="false" ht="15" hidden="false" customHeight="false" outlineLevel="0" collapsed="false">
      <c r="DG721" s="0" t="s">
        <v>5758</v>
      </c>
      <c r="DH721" s="0" t="s">
        <v>87</v>
      </c>
      <c r="DI721" s="0" t="s">
        <v>1482</v>
      </c>
      <c r="DJ721" s="0" t="s">
        <v>1483</v>
      </c>
      <c r="DK721" s="0" t="s">
        <v>674</v>
      </c>
      <c r="DL721" s="0" t="n">
        <v>11.54</v>
      </c>
      <c r="DM721" s="0" t="s">
        <v>675</v>
      </c>
      <c r="DN721" s="0" t="s">
        <v>676</v>
      </c>
      <c r="DO721" s="0" t="n">
        <v>1</v>
      </c>
      <c r="DP721" s="0" t="n">
        <v>37.24</v>
      </c>
      <c r="DQ721" s="0" t="n">
        <v>37.24</v>
      </c>
      <c r="DR721" s="0" t="s">
        <v>5759</v>
      </c>
      <c r="EB721" s="0" t="s">
        <v>5760</v>
      </c>
      <c r="EC721" s="0" t="s">
        <v>2660</v>
      </c>
      <c r="EE721" s="0" t="s">
        <v>629</v>
      </c>
    </row>
    <row r="722" customFormat="false" ht="15" hidden="false" customHeight="false" outlineLevel="0" collapsed="false">
      <c r="DG722" s="0" t="s">
        <v>5761</v>
      </c>
      <c r="DH722" s="0" t="s">
        <v>87</v>
      </c>
      <c r="DI722" s="0" t="s">
        <v>1485</v>
      </c>
      <c r="DJ722" s="0" t="s">
        <v>1486</v>
      </c>
      <c r="DK722" s="0" t="s">
        <v>674</v>
      </c>
      <c r="DL722" s="0" t="n">
        <v>11.54</v>
      </c>
      <c r="DM722" s="0" t="s">
        <v>675</v>
      </c>
      <c r="DN722" s="0" t="s">
        <v>676</v>
      </c>
      <c r="DO722" s="0" t="n">
        <v>1</v>
      </c>
      <c r="DP722" s="0" t="n">
        <v>37.25</v>
      </c>
      <c r="DQ722" s="0" t="n">
        <v>37.25</v>
      </c>
      <c r="DR722" s="0" t="s">
        <v>5762</v>
      </c>
      <c r="EB722" s="0" t="s">
        <v>5763</v>
      </c>
      <c r="EC722" s="0" t="s">
        <v>2660</v>
      </c>
      <c r="EE722" s="0" t="s">
        <v>602</v>
      </c>
    </row>
    <row r="723" customFormat="false" ht="15" hidden="false" customHeight="false" outlineLevel="0" collapsed="false">
      <c r="DG723" s="0" t="s">
        <v>5764</v>
      </c>
      <c r="DH723" s="0" t="s">
        <v>87</v>
      </c>
      <c r="DI723" s="0" t="s">
        <v>1488</v>
      </c>
      <c r="DJ723" s="0" t="s">
        <v>1489</v>
      </c>
      <c r="DK723" s="0" t="s">
        <v>674</v>
      </c>
      <c r="DL723" s="0" t="n">
        <v>11.54</v>
      </c>
      <c r="DM723" s="0" t="s">
        <v>676</v>
      </c>
      <c r="DN723" s="0" t="s">
        <v>675</v>
      </c>
      <c r="DO723" s="0" t="n">
        <v>0</v>
      </c>
      <c r="DP723" s="0" t="n">
        <v>0</v>
      </c>
      <c r="DQ723" s="0" t="n">
        <v>60.35</v>
      </c>
      <c r="DR723" s="0" t="s">
        <v>5765</v>
      </c>
      <c r="EB723" s="0" t="s">
        <v>5766</v>
      </c>
      <c r="EC723" s="0" t="s">
        <v>2660</v>
      </c>
      <c r="ED723" s="0" t="s">
        <v>2661</v>
      </c>
      <c r="EE723" s="0" t="s">
        <v>599</v>
      </c>
      <c r="EF723" s="0" t="s">
        <v>2745</v>
      </c>
      <c r="EG723" s="0" t="n">
        <v>1</v>
      </c>
      <c r="EH723" s="0" t="n">
        <v>1</v>
      </c>
      <c r="EI723" s="0" t="n">
        <v>1</v>
      </c>
      <c r="EJ723" s="0" t="n">
        <v>1</v>
      </c>
    </row>
    <row r="724" customFormat="false" ht="15" hidden="false" customHeight="false" outlineLevel="0" collapsed="false">
      <c r="DG724" s="0" t="s">
        <v>5767</v>
      </c>
      <c r="DH724" s="0" t="s">
        <v>87</v>
      </c>
      <c r="DI724" s="0" t="s">
        <v>1491</v>
      </c>
      <c r="DJ724" s="0" t="s">
        <v>1492</v>
      </c>
      <c r="DK724" s="0" t="s">
        <v>674</v>
      </c>
      <c r="DL724" s="0" t="n">
        <v>11.54</v>
      </c>
      <c r="DM724" s="0" t="s">
        <v>676</v>
      </c>
      <c r="DN724" s="0" t="s">
        <v>675</v>
      </c>
      <c r="DO724" s="0" t="n">
        <v>0</v>
      </c>
      <c r="DP724" s="0" t="n">
        <v>0</v>
      </c>
      <c r="DQ724" s="0" t="n">
        <v>24.28</v>
      </c>
      <c r="DR724" s="0" t="s">
        <v>5768</v>
      </c>
      <c r="EB724" s="0" t="s">
        <v>5769</v>
      </c>
      <c r="EC724" s="0" t="s">
        <v>2660</v>
      </c>
      <c r="EE724" s="0" t="s">
        <v>597</v>
      </c>
    </row>
    <row r="725" customFormat="false" ht="15" hidden="false" customHeight="false" outlineLevel="0" collapsed="false">
      <c r="DG725" s="0" t="s">
        <v>5770</v>
      </c>
      <c r="DH725" s="0" t="s">
        <v>87</v>
      </c>
      <c r="DI725" s="0" t="s">
        <v>1496</v>
      </c>
      <c r="DJ725" s="0" t="s">
        <v>1497</v>
      </c>
      <c r="DK725" s="0" t="s">
        <v>674</v>
      </c>
      <c r="DL725" s="0" t="n">
        <v>11.54</v>
      </c>
      <c r="DM725" s="0" t="s">
        <v>676</v>
      </c>
      <c r="DN725" s="0" t="s">
        <v>675</v>
      </c>
      <c r="DO725" s="0" t="n">
        <v>0</v>
      </c>
      <c r="DP725" s="0" t="n">
        <v>0</v>
      </c>
      <c r="DQ725" s="0" t="n">
        <v>2.5</v>
      </c>
      <c r="DR725" s="0" t="s">
        <v>5771</v>
      </c>
      <c r="EB725" s="0" t="s">
        <v>5772</v>
      </c>
      <c r="EC725" s="0" t="s">
        <v>2660</v>
      </c>
      <c r="EE725" s="0" t="s">
        <v>2699</v>
      </c>
    </row>
    <row r="726" customFormat="false" ht="15" hidden="false" customHeight="false" outlineLevel="0" collapsed="false">
      <c r="DG726" s="0" t="s">
        <v>5773</v>
      </c>
      <c r="DH726" s="0" t="s">
        <v>87</v>
      </c>
      <c r="DI726" s="0" t="s">
        <v>1501</v>
      </c>
      <c r="DJ726" s="0" t="s">
        <v>1502</v>
      </c>
      <c r="DK726" s="0" t="s">
        <v>674</v>
      </c>
      <c r="DL726" s="0" t="n">
        <v>11.54</v>
      </c>
      <c r="DM726" s="0" t="s">
        <v>676</v>
      </c>
      <c r="DN726" s="0" t="s">
        <v>675</v>
      </c>
      <c r="DO726" s="0" t="n">
        <v>0</v>
      </c>
      <c r="DP726" s="0" t="n">
        <v>0</v>
      </c>
      <c r="DQ726" s="0" t="n">
        <v>181.39</v>
      </c>
      <c r="DR726" s="0" t="s">
        <v>5774</v>
      </c>
      <c r="EB726" s="0" t="s">
        <v>5775</v>
      </c>
      <c r="EC726" s="0" t="s">
        <v>2660</v>
      </c>
      <c r="EE726" s="0" t="s">
        <v>590</v>
      </c>
    </row>
    <row r="727" customFormat="false" ht="15" hidden="false" customHeight="false" outlineLevel="0" collapsed="false">
      <c r="DG727" s="0" t="s">
        <v>5776</v>
      </c>
      <c r="DH727" s="0" t="s">
        <v>87</v>
      </c>
      <c r="DI727" s="0" t="s">
        <v>468</v>
      </c>
      <c r="DJ727" s="0" t="s">
        <v>469</v>
      </c>
      <c r="DK727" s="0" t="s">
        <v>1181</v>
      </c>
      <c r="DL727" s="0" t="n">
        <v>11.54</v>
      </c>
      <c r="DM727" s="0" t="s">
        <v>675</v>
      </c>
      <c r="DN727" s="0" t="s">
        <v>676</v>
      </c>
      <c r="DO727" s="0" t="n">
        <v>1</v>
      </c>
      <c r="DP727" s="0" t="n">
        <v>13340.05</v>
      </c>
      <c r="DQ727" s="0" t="n">
        <v>13340.05</v>
      </c>
      <c r="DR727" s="0" t="s">
        <v>5777</v>
      </c>
      <c r="EB727" s="0" t="s">
        <v>5778</v>
      </c>
      <c r="EC727" s="0" t="s">
        <v>2660</v>
      </c>
      <c r="ED727" s="0" t="s">
        <v>2661</v>
      </c>
      <c r="EE727" s="0" t="s">
        <v>588</v>
      </c>
      <c r="EF727" s="0" t="s">
        <v>2801</v>
      </c>
      <c r="EG727" s="0" t="n">
        <v>1</v>
      </c>
      <c r="EH727" s="0" t="n">
        <v>1</v>
      </c>
      <c r="EI727" s="0" t="n">
        <v>1</v>
      </c>
      <c r="EJ727" s="0" t="n">
        <v>1</v>
      </c>
    </row>
    <row r="728" customFormat="false" ht="15" hidden="false" customHeight="false" outlineLevel="0" collapsed="false">
      <c r="DG728" s="0" t="s">
        <v>5779</v>
      </c>
      <c r="DH728" s="0" t="s">
        <v>87</v>
      </c>
      <c r="DI728" s="0" t="s">
        <v>412</v>
      </c>
      <c r="DJ728" s="0" t="s">
        <v>413</v>
      </c>
      <c r="DK728" s="0" t="s">
        <v>1181</v>
      </c>
      <c r="DL728" s="0" t="n">
        <v>11.54</v>
      </c>
      <c r="DM728" s="0" t="s">
        <v>675</v>
      </c>
      <c r="DN728" s="0" t="s">
        <v>676</v>
      </c>
      <c r="DO728" s="0" t="n">
        <v>1</v>
      </c>
      <c r="DP728" s="0" t="n">
        <v>36130</v>
      </c>
      <c r="DQ728" s="0" t="n">
        <v>36130</v>
      </c>
      <c r="DR728" s="0" t="s">
        <v>5780</v>
      </c>
      <c r="EB728" s="0" t="s">
        <v>5781</v>
      </c>
      <c r="EC728" s="0" t="s">
        <v>2660</v>
      </c>
      <c r="ED728" s="0" t="s">
        <v>2661</v>
      </c>
      <c r="EE728" s="0" t="s">
        <v>586</v>
      </c>
      <c r="EF728" s="0" t="s">
        <v>2815</v>
      </c>
      <c r="EG728" s="0" t="n">
        <v>1</v>
      </c>
      <c r="EH728" s="0" t="n">
        <v>1</v>
      </c>
      <c r="EI728" s="0" t="n">
        <v>1</v>
      </c>
      <c r="EJ728" s="0" t="n">
        <v>1</v>
      </c>
    </row>
    <row r="729" customFormat="false" ht="15" hidden="false" customHeight="false" outlineLevel="0" collapsed="false">
      <c r="DG729" s="0" t="s">
        <v>5782</v>
      </c>
      <c r="DH729" s="0" t="s">
        <v>87</v>
      </c>
      <c r="DI729" s="0" t="s">
        <v>500</v>
      </c>
      <c r="DJ729" s="0" t="s">
        <v>1507</v>
      </c>
      <c r="DK729" s="0" t="s">
        <v>1181</v>
      </c>
      <c r="DL729" s="0" t="n">
        <v>11.54</v>
      </c>
      <c r="DM729" s="0" t="s">
        <v>675</v>
      </c>
      <c r="DN729" s="0" t="s">
        <v>676</v>
      </c>
      <c r="DO729" s="0" t="n">
        <v>1</v>
      </c>
      <c r="DP729" s="0" t="n">
        <v>39660</v>
      </c>
      <c r="DQ729" s="0" t="n">
        <v>39660</v>
      </c>
      <c r="DR729" s="0" t="s">
        <v>5783</v>
      </c>
      <c r="EB729" s="0" t="s">
        <v>5784</v>
      </c>
      <c r="EC729" s="0" t="s">
        <v>2660</v>
      </c>
      <c r="EE729" s="0" t="s">
        <v>584</v>
      </c>
    </row>
    <row r="730" customFormat="false" ht="15" hidden="false" customHeight="false" outlineLevel="0" collapsed="false">
      <c r="DG730" s="0" t="s">
        <v>5785</v>
      </c>
      <c r="DH730" s="0" t="s">
        <v>87</v>
      </c>
      <c r="DI730" s="0" t="s">
        <v>502</v>
      </c>
      <c r="DJ730" s="0" t="s">
        <v>503</v>
      </c>
      <c r="DK730" s="0" t="s">
        <v>1181</v>
      </c>
      <c r="DL730" s="0" t="n">
        <v>11.54</v>
      </c>
      <c r="DM730" s="0" t="s">
        <v>675</v>
      </c>
      <c r="DN730" s="0" t="s">
        <v>676</v>
      </c>
      <c r="DO730" s="0" t="n">
        <v>1</v>
      </c>
      <c r="DP730" s="0" t="n">
        <v>39660</v>
      </c>
      <c r="DQ730" s="0" t="n">
        <v>39660</v>
      </c>
      <c r="DR730" s="0" t="s">
        <v>5786</v>
      </c>
      <c r="EB730" s="0" t="s">
        <v>5787</v>
      </c>
      <c r="EC730" s="0" t="s">
        <v>2660</v>
      </c>
      <c r="EE730" s="0" t="s">
        <v>330</v>
      </c>
    </row>
    <row r="731" customFormat="false" ht="15" hidden="false" customHeight="false" outlineLevel="0" collapsed="false">
      <c r="DG731" s="0" t="s">
        <v>5788</v>
      </c>
      <c r="DH731" s="0" t="s">
        <v>87</v>
      </c>
      <c r="DJ731" s="0" t="s">
        <v>1136</v>
      </c>
      <c r="DK731" s="0" t="s">
        <v>705</v>
      </c>
      <c r="DL731" s="0" t="n">
        <v>11.54</v>
      </c>
      <c r="DM731" s="0" t="s">
        <v>675</v>
      </c>
      <c r="DN731" s="0" t="s">
        <v>675</v>
      </c>
      <c r="DO731" s="0" t="n">
        <v>0</v>
      </c>
      <c r="DP731" s="0" t="n">
        <v>0</v>
      </c>
      <c r="DQ731" s="0" t="n">
        <v>0</v>
      </c>
      <c r="DR731" s="0" t="s">
        <v>5464</v>
      </c>
      <c r="EB731" s="0" t="s">
        <v>5789</v>
      </c>
      <c r="EC731" s="0" t="s">
        <v>2660</v>
      </c>
      <c r="EE731" s="0" t="s">
        <v>334</v>
      </c>
    </row>
    <row r="732" customFormat="false" ht="15" hidden="false" customHeight="false" outlineLevel="0" collapsed="false">
      <c r="DG732" s="0" t="s">
        <v>5790</v>
      </c>
      <c r="DH732" s="0" t="s">
        <v>87</v>
      </c>
      <c r="DJ732" s="0" t="s">
        <v>1070</v>
      </c>
      <c r="DK732" s="0" t="s">
        <v>705</v>
      </c>
      <c r="DL732" s="0" t="n">
        <v>11.54</v>
      </c>
      <c r="DM732" s="0" t="s">
        <v>675</v>
      </c>
      <c r="DN732" s="0" t="s">
        <v>675</v>
      </c>
      <c r="DO732" s="0" t="n">
        <v>0</v>
      </c>
      <c r="DP732" s="0" t="n">
        <v>0</v>
      </c>
      <c r="DQ732" s="0" t="n">
        <v>0</v>
      </c>
      <c r="DR732" s="0" t="s">
        <v>5408</v>
      </c>
      <c r="EB732" s="0" t="s">
        <v>5791</v>
      </c>
      <c r="EC732" s="0" t="s">
        <v>2660</v>
      </c>
      <c r="EE732" s="0" t="s">
        <v>582</v>
      </c>
    </row>
    <row r="733" customFormat="false" ht="15" hidden="false" customHeight="false" outlineLevel="0" collapsed="false">
      <c r="DG733" s="0" t="s">
        <v>5792</v>
      </c>
      <c r="DH733" s="0" t="s">
        <v>87</v>
      </c>
      <c r="DI733" s="0" t="s">
        <v>1509</v>
      </c>
      <c r="DJ733" s="0" t="s">
        <v>1510</v>
      </c>
      <c r="DK733" s="0" t="s">
        <v>705</v>
      </c>
      <c r="DL733" s="0" t="n">
        <v>11.54</v>
      </c>
      <c r="DM733" s="0" t="s">
        <v>676</v>
      </c>
      <c r="DN733" s="0" t="s">
        <v>675</v>
      </c>
      <c r="DO733" s="0" t="n">
        <v>0</v>
      </c>
      <c r="DP733" s="0" t="n">
        <v>0</v>
      </c>
      <c r="DQ733" s="0" t="n">
        <v>971</v>
      </c>
      <c r="DR733" s="0" t="s">
        <v>5793</v>
      </c>
      <c r="EB733" s="0" t="s">
        <v>5794</v>
      </c>
      <c r="EC733" s="0" t="s">
        <v>2660</v>
      </c>
      <c r="EE733" s="0" t="s">
        <v>579</v>
      </c>
    </row>
    <row r="734" customFormat="false" ht="15" hidden="false" customHeight="false" outlineLevel="0" collapsed="false">
      <c r="DG734" s="0" t="s">
        <v>5795</v>
      </c>
      <c r="DH734" s="0" t="s">
        <v>87</v>
      </c>
      <c r="DI734" s="0" t="s">
        <v>1512</v>
      </c>
      <c r="DJ734" s="0" t="s">
        <v>1513</v>
      </c>
      <c r="DK734" s="0" t="s">
        <v>705</v>
      </c>
      <c r="DL734" s="0" t="n">
        <v>11.54</v>
      </c>
      <c r="DM734" s="0" t="s">
        <v>675</v>
      </c>
      <c r="DN734" s="0" t="s">
        <v>676</v>
      </c>
      <c r="DO734" s="0" t="n">
        <v>1</v>
      </c>
      <c r="DP734" s="0" t="n">
        <v>1817.81</v>
      </c>
      <c r="DQ734" s="0" t="n">
        <v>1817.81</v>
      </c>
      <c r="DR734" s="0" t="s">
        <v>5796</v>
      </c>
      <c r="EB734" s="0" t="s">
        <v>5797</v>
      </c>
      <c r="EC734" s="0" t="s">
        <v>2660</v>
      </c>
      <c r="ED734" s="0" t="s">
        <v>2661</v>
      </c>
      <c r="EE734" s="0" t="s">
        <v>575</v>
      </c>
      <c r="EF734" s="0" t="s">
        <v>573</v>
      </c>
      <c r="EG734" s="0" t="n">
        <v>1</v>
      </c>
      <c r="EH734" s="0" t="n">
        <v>1</v>
      </c>
      <c r="EI734" s="0" t="n">
        <v>1</v>
      </c>
      <c r="EJ734" s="0" t="n">
        <v>1</v>
      </c>
    </row>
    <row r="735" customFormat="false" ht="15" hidden="false" customHeight="false" outlineLevel="0" collapsed="false">
      <c r="DG735" s="0" t="s">
        <v>5798</v>
      </c>
      <c r="DH735" s="0" t="s">
        <v>87</v>
      </c>
      <c r="DI735" s="0" t="s">
        <v>1517</v>
      </c>
      <c r="DJ735" s="0" t="s">
        <v>1518</v>
      </c>
      <c r="DK735" s="0" t="s">
        <v>705</v>
      </c>
      <c r="DL735" s="0" t="n">
        <v>11.54</v>
      </c>
      <c r="DM735" s="0" t="s">
        <v>676</v>
      </c>
      <c r="DN735" s="0" t="s">
        <v>675</v>
      </c>
      <c r="DO735" s="0" t="n">
        <v>0</v>
      </c>
      <c r="DP735" s="0" t="n">
        <v>0</v>
      </c>
      <c r="DQ735" s="0" t="n">
        <v>617</v>
      </c>
      <c r="DR735" s="0" t="s">
        <v>5799</v>
      </c>
      <c r="EB735" s="0" t="s">
        <v>5800</v>
      </c>
      <c r="EC735" s="0" t="s">
        <v>2660</v>
      </c>
      <c r="EE735" s="0" t="s">
        <v>2917</v>
      </c>
    </row>
    <row r="736" customFormat="false" ht="15" hidden="false" customHeight="false" outlineLevel="0" collapsed="false">
      <c r="DG736" s="0" t="s">
        <v>5801</v>
      </c>
      <c r="DH736" s="0" t="s">
        <v>87</v>
      </c>
      <c r="DI736" s="0" t="s">
        <v>1520</v>
      </c>
      <c r="DJ736" s="0" t="s">
        <v>1521</v>
      </c>
      <c r="DK736" s="0" t="s">
        <v>705</v>
      </c>
      <c r="DL736" s="0" t="n">
        <v>11.54</v>
      </c>
      <c r="DM736" s="0" t="s">
        <v>675</v>
      </c>
      <c r="DN736" s="0" t="s">
        <v>676</v>
      </c>
      <c r="DO736" s="0" t="n">
        <v>1</v>
      </c>
      <c r="DP736" s="0" t="n">
        <v>210</v>
      </c>
      <c r="DQ736" s="0" t="n">
        <v>210</v>
      </c>
      <c r="DR736" s="0" t="s">
        <v>5802</v>
      </c>
      <c r="EB736" s="0" t="s">
        <v>5803</v>
      </c>
      <c r="EC736" s="0" t="s">
        <v>2660</v>
      </c>
      <c r="EE736" s="0" t="s">
        <v>2932</v>
      </c>
    </row>
    <row r="737" customFormat="false" ht="15" hidden="false" customHeight="false" outlineLevel="0" collapsed="false">
      <c r="DG737" s="0" t="s">
        <v>5804</v>
      </c>
      <c r="DH737" s="0" t="s">
        <v>87</v>
      </c>
      <c r="DI737" s="0" t="s">
        <v>1522</v>
      </c>
      <c r="DJ737" s="0" t="s">
        <v>1523</v>
      </c>
      <c r="DK737" s="0" t="s">
        <v>705</v>
      </c>
      <c r="DL737" s="0" t="n">
        <v>11.54</v>
      </c>
      <c r="DM737" s="0" t="s">
        <v>676</v>
      </c>
      <c r="DN737" s="0" t="s">
        <v>675</v>
      </c>
      <c r="DO737" s="0" t="n">
        <v>0</v>
      </c>
      <c r="DP737" s="0" t="n">
        <v>0</v>
      </c>
      <c r="DQ737" s="0" t="n">
        <v>768</v>
      </c>
      <c r="DR737" s="0" t="s">
        <v>5805</v>
      </c>
      <c r="EB737" s="0" t="s">
        <v>5806</v>
      </c>
      <c r="EC737" s="0" t="s">
        <v>2660</v>
      </c>
      <c r="EE737" s="0" t="s">
        <v>2946</v>
      </c>
    </row>
    <row r="738" customFormat="false" ht="15" hidden="false" customHeight="false" outlineLevel="0" collapsed="false">
      <c r="DG738" s="0" t="s">
        <v>5807</v>
      </c>
      <c r="DH738" s="0" t="s">
        <v>87</v>
      </c>
      <c r="DI738" s="0" t="s">
        <v>1525</v>
      </c>
      <c r="DJ738" s="0" t="s">
        <v>200</v>
      </c>
      <c r="DK738" s="0" t="s">
        <v>705</v>
      </c>
      <c r="DL738" s="0" t="n">
        <v>11.54</v>
      </c>
      <c r="DM738" s="0" t="s">
        <v>675</v>
      </c>
      <c r="DN738" s="0" t="s">
        <v>676</v>
      </c>
      <c r="DO738" s="0" t="n">
        <v>1</v>
      </c>
      <c r="DP738" s="0" t="n">
        <v>30093</v>
      </c>
      <c r="DQ738" s="0" t="n">
        <v>30093</v>
      </c>
      <c r="DR738" s="0" t="s">
        <v>5808</v>
      </c>
      <c r="EB738" s="0" t="s">
        <v>5809</v>
      </c>
      <c r="EC738" s="0" t="s">
        <v>2660</v>
      </c>
      <c r="ED738" s="0" t="s">
        <v>2661</v>
      </c>
      <c r="EE738" s="0" t="s">
        <v>567</v>
      </c>
      <c r="EF738" s="0" t="s">
        <v>2959</v>
      </c>
      <c r="EG738" s="0" t="n">
        <v>1</v>
      </c>
      <c r="EH738" s="0" t="n">
        <v>1</v>
      </c>
      <c r="EI738" s="0" t="n">
        <v>1</v>
      </c>
      <c r="EJ738" s="0" t="n">
        <v>1</v>
      </c>
    </row>
    <row r="739" customFormat="false" ht="15" hidden="false" customHeight="false" outlineLevel="0" collapsed="false">
      <c r="DG739" s="0" t="s">
        <v>5810</v>
      </c>
      <c r="DH739" s="0" t="s">
        <v>87</v>
      </c>
      <c r="DI739" s="0" t="s">
        <v>1527</v>
      </c>
      <c r="DJ739" s="0" t="s">
        <v>1528</v>
      </c>
      <c r="DK739" s="0" t="s">
        <v>705</v>
      </c>
      <c r="DL739" s="0" t="n">
        <v>11.54</v>
      </c>
      <c r="DM739" s="0" t="s">
        <v>675</v>
      </c>
      <c r="DN739" s="0" t="s">
        <v>676</v>
      </c>
      <c r="DO739" s="0" t="n">
        <v>1</v>
      </c>
      <c r="DP739" s="0" t="n">
        <v>460</v>
      </c>
      <c r="DQ739" s="0" t="n">
        <v>460</v>
      </c>
      <c r="DR739" s="0" t="s">
        <v>5811</v>
      </c>
      <c r="EB739" s="0" t="s">
        <v>5812</v>
      </c>
      <c r="EC739" s="0" t="s">
        <v>2660</v>
      </c>
      <c r="EE739" s="0" t="s">
        <v>569</v>
      </c>
    </row>
    <row r="740" customFormat="false" ht="15" hidden="false" customHeight="false" outlineLevel="0" collapsed="false">
      <c r="DG740" s="0" t="s">
        <v>5813</v>
      </c>
      <c r="DH740" s="0" t="s">
        <v>87</v>
      </c>
      <c r="DI740" s="0" t="s">
        <v>1529</v>
      </c>
      <c r="DJ740" s="0" t="s">
        <v>1530</v>
      </c>
      <c r="DK740" s="0" t="s">
        <v>705</v>
      </c>
      <c r="DL740" s="0" t="n">
        <v>11.54</v>
      </c>
      <c r="DM740" s="0" t="s">
        <v>675</v>
      </c>
      <c r="DN740" s="0" t="s">
        <v>676</v>
      </c>
      <c r="DO740" s="0" t="n">
        <v>1</v>
      </c>
      <c r="DP740" s="0" t="n">
        <v>327</v>
      </c>
      <c r="DQ740" s="0" t="n">
        <v>327</v>
      </c>
      <c r="DR740" s="0" t="s">
        <v>5814</v>
      </c>
      <c r="EB740" s="0" t="s">
        <v>5815</v>
      </c>
      <c r="EC740" s="0" t="s">
        <v>2660</v>
      </c>
      <c r="ED740" s="0" t="s">
        <v>2661</v>
      </c>
      <c r="EE740" s="0" t="s">
        <v>562</v>
      </c>
      <c r="EF740" s="0" t="s">
        <v>2986</v>
      </c>
      <c r="EG740" s="0" t="n">
        <v>1</v>
      </c>
      <c r="EH740" s="0" t="n">
        <v>1</v>
      </c>
      <c r="EI740" s="0" t="n">
        <v>1</v>
      </c>
      <c r="EJ740" s="0" t="n">
        <v>1</v>
      </c>
    </row>
    <row r="741" customFormat="false" ht="15" hidden="false" customHeight="false" outlineLevel="0" collapsed="false">
      <c r="DG741" s="0" t="s">
        <v>5816</v>
      </c>
      <c r="DH741" s="0" t="s">
        <v>87</v>
      </c>
      <c r="DI741" s="0" t="s">
        <v>1531</v>
      </c>
      <c r="DJ741" s="0" t="s">
        <v>1532</v>
      </c>
      <c r="DK741" s="0" t="s">
        <v>705</v>
      </c>
      <c r="DL741" s="0" t="n">
        <v>11.54</v>
      </c>
      <c r="DM741" s="0" t="s">
        <v>675</v>
      </c>
      <c r="DN741" s="0" t="s">
        <v>676</v>
      </c>
      <c r="DO741" s="0" t="n">
        <v>1</v>
      </c>
      <c r="DP741" s="0" t="n">
        <v>4285</v>
      </c>
      <c r="DQ741" s="0" t="n">
        <v>4285</v>
      </c>
      <c r="DR741" s="0" t="s">
        <v>5817</v>
      </c>
      <c r="EB741" s="0" t="s">
        <v>5818</v>
      </c>
      <c r="EC741" s="0" t="s">
        <v>2660</v>
      </c>
      <c r="EE741" s="0" t="s">
        <v>557</v>
      </c>
    </row>
    <row r="742" customFormat="false" ht="15" hidden="false" customHeight="false" outlineLevel="0" collapsed="false">
      <c r="DG742" s="0" t="s">
        <v>5819</v>
      </c>
      <c r="DH742" s="0" t="s">
        <v>87</v>
      </c>
      <c r="DI742" s="0" t="s">
        <v>1534</v>
      </c>
      <c r="DJ742" s="0" t="s">
        <v>1535</v>
      </c>
      <c r="DK742" s="0" t="s">
        <v>705</v>
      </c>
      <c r="DL742" s="0" t="n">
        <v>11.54</v>
      </c>
      <c r="DM742" s="0" t="s">
        <v>676</v>
      </c>
      <c r="DN742" s="0" t="s">
        <v>676</v>
      </c>
      <c r="DO742" s="0" t="n">
        <v>1</v>
      </c>
      <c r="DP742" s="0" t="n">
        <v>2.58</v>
      </c>
      <c r="DQ742" s="0" t="n">
        <v>5.24</v>
      </c>
      <c r="DR742" s="0" t="s">
        <v>5820</v>
      </c>
      <c r="EB742" s="0" t="s">
        <v>5821</v>
      </c>
      <c r="EC742" s="0" t="s">
        <v>2660</v>
      </c>
      <c r="EE742" s="0" t="s">
        <v>290</v>
      </c>
    </row>
    <row r="743" customFormat="false" ht="15" hidden="false" customHeight="false" outlineLevel="0" collapsed="false">
      <c r="DG743" s="0" t="s">
        <v>5822</v>
      </c>
      <c r="DH743" s="0" t="s">
        <v>87</v>
      </c>
      <c r="DI743" s="0" t="s">
        <v>1540</v>
      </c>
      <c r="DJ743" s="0" t="s">
        <v>1541</v>
      </c>
      <c r="DK743" s="0" t="s">
        <v>705</v>
      </c>
      <c r="DL743" s="0" t="n">
        <v>11.54</v>
      </c>
      <c r="DM743" s="0" t="s">
        <v>675</v>
      </c>
      <c r="DN743" s="0" t="s">
        <v>676</v>
      </c>
      <c r="DO743" s="0" t="n">
        <v>10</v>
      </c>
      <c r="DP743" s="0" t="n">
        <v>1020</v>
      </c>
      <c r="DQ743" s="0" t="n">
        <v>1020</v>
      </c>
      <c r="DR743" s="0" t="s">
        <v>5823</v>
      </c>
      <c r="EB743" s="0" t="s">
        <v>5824</v>
      </c>
      <c r="EC743" s="0" t="s">
        <v>2660</v>
      </c>
      <c r="EE743" s="0" t="s">
        <v>275</v>
      </c>
    </row>
    <row r="744" customFormat="false" ht="15" hidden="false" customHeight="false" outlineLevel="0" collapsed="false">
      <c r="DG744" s="0" t="s">
        <v>5825</v>
      </c>
      <c r="DH744" s="0" t="s">
        <v>87</v>
      </c>
      <c r="DI744" s="0" t="s">
        <v>1542</v>
      </c>
      <c r="DJ744" s="0" t="s">
        <v>1543</v>
      </c>
      <c r="DK744" s="0" t="s">
        <v>705</v>
      </c>
      <c r="DL744" s="0" t="n">
        <v>11.54</v>
      </c>
      <c r="DM744" s="0" t="s">
        <v>675</v>
      </c>
      <c r="DN744" s="0" t="s">
        <v>676</v>
      </c>
      <c r="DO744" s="0" t="n">
        <v>4</v>
      </c>
      <c r="DP744" s="0" t="n">
        <v>2920</v>
      </c>
      <c r="DQ744" s="0" t="n">
        <v>2920</v>
      </c>
      <c r="DR744" s="0" t="s">
        <v>5826</v>
      </c>
      <c r="EB744" s="0" t="s">
        <v>5827</v>
      </c>
      <c r="EC744" s="0" t="s">
        <v>2660</v>
      </c>
      <c r="EE744" s="0" t="s">
        <v>298</v>
      </c>
    </row>
    <row r="745" customFormat="false" ht="15" hidden="false" customHeight="false" outlineLevel="0" collapsed="false">
      <c r="DG745" s="0" t="s">
        <v>5828</v>
      </c>
      <c r="DH745" s="0" t="s">
        <v>87</v>
      </c>
      <c r="DI745" s="0" t="s">
        <v>1546</v>
      </c>
      <c r="DJ745" s="0" t="s">
        <v>1547</v>
      </c>
      <c r="DK745" s="0" t="s">
        <v>705</v>
      </c>
      <c r="DL745" s="0" t="n">
        <v>11.54</v>
      </c>
      <c r="DM745" s="0" t="s">
        <v>676</v>
      </c>
      <c r="DN745" s="0" t="s">
        <v>676</v>
      </c>
      <c r="DO745" s="0" t="n">
        <v>0</v>
      </c>
      <c r="DP745" s="0" t="n">
        <v>0</v>
      </c>
      <c r="DQ745" s="0" t="n">
        <v>264</v>
      </c>
      <c r="DR745" s="0" t="s">
        <v>5829</v>
      </c>
      <c r="EB745" s="0" t="s">
        <v>5830</v>
      </c>
      <c r="EC745" s="0" t="s">
        <v>2660</v>
      </c>
      <c r="EE745" s="0" t="s">
        <v>286</v>
      </c>
    </row>
    <row r="746" customFormat="false" ht="15" hidden="false" customHeight="false" outlineLevel="0" collapsed="false">
      <c r="DG746" s="0" t="s">
        <v>5831</v>
      </c>
      <c r="DH746" s="0" t="s">
        <v>87</v>
      </c>
      <c r="DI746" s="0" t="s">
        <v>1550</v>
      </c>
      <c r="DJ746" s="0" t="s">
        <v>1551</v>
      </c>
      <c r="DK746" s="0" t="s">
        <v>705</v>
      </c>
      <c r="DL746" s="0" t="n">
        <v>11.54</v>
      </c>
      <c r="DM746" s="0" t="s">
        <v>676</v>
      </c>
      <c r="DN746" s="0" t="s">
        <v>675</v>
      </c>
      <c r="DO746" s="0" t="n">
        <v>0</v>
      </c>
      <c r="DP746" s="0" t="n">
        <v>0</v>
      </c>
      <c r="DQ746" s="0" t="n">
        <v>393.86</v>
      </c>
      <c r="DR746" s="0" t="s">
        <v>5832</v>
      </c>
      <c r="EB746" s="0" t="s">
        <v>5833</v>
      </c>
      <c r="EC746" s="0" t="s">
        <v>2660</v>
      </c>
      <c r="EE746" s="0" t="s">
        <v>272</v>
      </c>
    </row>
    <row r="747" customFormat="false" ht="15" hidden="false" customHeight="false" outlineLevel="0" collapsed="false">
      <c r="DG747" s="0" t="s">
        <v>5834</v>
      </c>
      <c r="DH747" s="0" t="s">
        <v>87</v>
      </c>
      <c r="DI747" s="0" t="s">
        <v>1553</v>
      </c>
      <c r="DJ747" s="0" t="s">
        <v>1554</v>
      </c>
      <c r="DK747" s="0" t="s">
        <v>705</v>
      </c>
      <c r="DL747" s="0" t="n">
        <v>11.54</v>
      </c>
      <c r="DM747" s="0" t="s">
        <v>676</v>
      </c>
      <c r="DN747" s="0" t="s">
        <v>675</v>
      </c>
      <c r="DO747" s="0" t="n">
        <v>0</v>
      </c>
      <c r="DP747" s="0" t="n">
        <v>0</v>
      </c>
      <c r="DQ747" s="0" t="n">
        <v>292.03</v>
      </c>
      <c r="DR747" s="0" t="s">
        <v>5835</v>
      </c>
      <c r="EB747" s="0" t="s">
        <v>5836</v>
      </c>
      <c r="EC747" s="0" t="s">
        <v>2660</v>
      </c>
      <c r="EE747" s="0" t="s">
        <v>283</v>
      </c>
    </row>
    <row r="748" customFormat="false" ht="15" hidden="false" customHeight="false" outlineLevel="0" collapsed="false">
      <c r="DG748" s="0" t="s">
        <v>5837</v>
      </c>
      <c r="DH748" s="0" t="s">
        <v>87</v>
      </c>
      <c r="DJ748" s="0" t="s">
        <v>1213</v>
      </c>
      <c r="DK748" s="0" t="s">
        <v>674</v>
      </c>
      <c r="DL748" s="0" t="n">
        <v>7.69</v>
      </c>
      <c r="DM748" s="0" t="s">
        <v>675</v>
      </c>
      <c r="DN748" s="0" t="s">
        <v>675</v>
      </c>
      <c r="DO748" s="0" t="n">
        <v>0</v>
      </c>
      <c r="DP748" s="0" t="n">
        <v>0</v>
      </c>
      <c r="DQ748" s="0" t="n">
        <v>0</v>
      </c>
      <c r="DR748" s="0" t="s">
        <v>5530</v>
      </c>
      <c r="EB748" s="0" t="s">
        <v>5838</v>
      </c>
      <c r="EC748" s="0" t="s">
        <v>2660</v>
      </c>
      <c r="EE748" s="0" t="s">
        <v>267</v>
      </c>
    </row>
    <row r="749" customFormat="false" ht="15" hidden="false" customHeight="false" outlineLevel="0" collapsed="false">
      <c r="DG749" s="0" t="s">
        <v>5839</v>
      </c>
      <c r="DH749" s="0" t="s">
        <v>87</v>
      </c>
      <c r="DJ749" s="0" t="s">
        <v>1177</v>
      </c>
      <c r="DK749" s="0" t="s">
        <v>674</v>
      </c>
      <c r="DL749" s="0" t="n">
        <v>7.69</v>
      </c>
      <c r="DM749" s="0" t="s">
        <v>675</v>
      </c>
      <c r="DN749" s="0" t="s">
        <v>675</v>
      </c>
      <c r="DO749" s="0" t="n">
        <v>0</v>
      </c>
      <c r="DP749" s="0" t="n">
        <v>0</v>
      </c>
      <c r="DQ749" s="0" t="n">
        <v>0</v>
      </c>
      <c r="DR749" s="0" t="s">
        <v>5493</v>
      </c>
      <c r="EB749" s="0" t="s">
        <v>5840</v>
      </c>
      <c r="EC749" s="0" t="s">
        <v>2660</v>
      </c>
      <c r="EE749" s="0" t="s">
        <v>258</v>
      </c>
    </row>
    <row r="750" customFormat="false" ht="15" hidden="false" customHeight="false" outlineLevel="0" collapsed="false">
      <c r="DG750" s="0" t="s">
        <v>5841</v>
      </c>
      <c r="DH750" s="0" t="s">
        <v>87</v>
      </c>
      <c r="DJ750" s="0" t="s">
        <v>1489</v>
      </c>
      <c r="DK750" s="0" t="s">
        <v>674</v>
      </c>
      <c r="DL750" s="0" t="n">
        <v>7.69</v>
      </c>
      <c r="DM750" s="0" t="s">
        <v>675</v>
      </c>
      <c r="DN750" s="0" t="s">
        <v>675</v>
      </c>
      <c r="DO750" s="0" t="n">
        <v>0</v>
      </c>
      <c r="DP750" s="0" t="n">
        <v>0</v>
      </c>
      <c r="DQ750" s="0" t="n">
        <v>0</v>
      </c>
      <c r="DR750" s="0" t="s">
        <v>5765</v>
      </c>
      <c r="EB750" s="0" t="s">
        <v>5842</v>
      </c>
      <c r="EC750" s="0" t="s">
        <v>2660</v>
      </c>
      <c r="EE750" s="0" t="s">
        <v>222</v>
      </c>
    </row>
    <row r="751" customFormat="false" ht="15" hidden="false" customHeight="false" outlineLevel="0" collapsed="false">
      <c r="DG751" s="0" t="s">
        <v>5843</v>
      </c>
      <c r="DH751" s="0" t="s">
        <v>87</v>
      </c>
      <c r="DJ751" s="0" t="s">
        <v>1243</v>
      </c>
      <c r="DK751" s="0" t="s">
        <v>674</v>
      </c>
      <c r="DL751" s="0" t="n">
        <v>7.69</v>
      </c>
      <c r="DM751" s="0" t="s">
        <v>675</v>
      </c>
      <c r="DN751" s="0" t="s">
        <v>675</v>
      </c>
      <c r="DO751" s="0" t="n">
        <v>0</v>
      </c>
      <c r="DP751" s="0" t="n">
        <v>0</v>
      </c>
      <c r="DQ751" s="0" t="n">
        <v>0</v>
      </c>
      <c r="DR751" s="0" t="s">
        <v>5551</v>
      </c>
      <c r="EB751" s="0" t="s">
        <v>5844</v>
      </c>
      <c r="EC751" s="0" t="s">
        <v>2660</v>
      </c>
      <c r="EE751" s="0" t="s">
        <v>233</v>
      </c>
    </row>
    <row r="752" customFormat="false" ht="15" hidden="false" customHeight="false" outlineLevel="0" collapsed="false">
      <c r="DG752" s="0" t="s">
        <v>5845</v>
      </c>
      <c r="DH752" s="0" t="s">
        <v>87</v>
      </c>
      <c r="DI752" s="0" t="s">
        <v>1558</v>
      </c>
      <c r="DJ752" s="0" t="s">
        <v>1559</v>
      </c>
      <c r="DK752" s="0" t="s">
        <v>674</v>
      </c>
      <c r="DL752" s="0" t="n">
        <v>7.69</v>
      </c>
      <c r="DM752" s="0" t="s">
        <v>675</v>
      </c>
      <c r="DN752" s="0" t="s">
        <v>676</v>
      </c>
      <c r="DO752" s="0" t="n">
        <v>2</v>
      </c>
      <c r="DP752" s="0" t="n">
        <v>118.3</v>
      </c>
      <c r="DQ752" s="0" t="n">
        <v>118.3</v>
      </c>
      <c r="DR752" s="0" t="s">
        <v>5846</v>
      </c>
      <c r="EB752" s="0" t="s">
        <v>5847</v>
      </c>
      <c r="EC752" s="0" t="s">
        <v>2660</v>
      </c>
      <c r="EE752" s="0" t="s">
        <v>225</v>
      </c>
    </row>
    <row r="753" customFormat="false" ht="15" hidden="false" customHeight="false" outlineLevel="0" collapsed="false">
      <c r="DG753" s="0" t="s">
        <v>5848</v>
      </c>
      <c r="DH753" s="0" t="s">
        <v>87</v>
      </c>
      <c r="DI753" s="0" t="s">
        <v>1562</v>
      </c>
      <c r="DJ753" s="0" t="s">
        <v>1563</v>
      </c>
      <c r="DK753" s="0" t="s">
        <v>674</v>
      </c>
      <c r="DL753" s="0" t="n">
        <v>7.69</v>
      </c>
      <c r="DM753" s="0" t="s">
        <v>676</v>
      </c>
      <c r="DN753" s="0" t="s">
        <v>675</v>
      </c>
      <c r="DO753" s="0" t="n">
        <v>0</v>
      </c>
      <c r="DP753" s="0" t="n">
        <v>0</v>
      </c>
      <c r="DQ753" s="0" t="n">
        <v>1.35</v>
      </c>
      <c r="DR753" s="0" t="s">
        <v>5849</v>
      </c>
      <c r="EB753" s="0" t="s">
        <v>5850</v>
      </c>
      <c r="EC753" s="0" t="s">
        <v>2660</v>
      </c>
      <c r="EE753" s="0" t="s">
        <v>288</v>
      </c>
    </row>
    <row r="754" customFormat="false" ht="15" hidden="false" customHeight="false" outlineLevel="0" collapsed="false">
      <c r="DG754" s="0" t="s">
        <v>5851</v>
      </c>
      <c r="DH754" s="0" t="s">
        <v>87</v>
      </c>
      <c r="DI754" s="0" t="s">
        <v>1565</v>
      </c>
      <c r="DJ754" s="0" t="s">
        <v>1566</v>
      </c>
      <c r="DK754" s="0" t="s">
        <v>674</v>
      </c>
      <c r="DL754" s="0" t="n">
        <v>7.69</v>
      </c>
      <c r="DM754" s="0" t="s">
        <v>676</v>
      </c>
      <c r="DN754" s="0" t="s">
        <v>675</v>
      </c>
      <c r="DO754" s="0" t="n">
        <v>0</v>
      </c>
      <c r="DP754" s="0" t="n">
        <v>0</v>
      </c>
      <c r="DQ754" s="0" t="n">
        <v>8</v>
      </c>
      <c r="DR754" s="0" t="s">
        <v>5852</v>
      </c>
      <c r="EB754" s="0" t="s">
        <v>5853</v>
      </c>
      <c r="EC754" s="0" t="s">
        <v>2660</v>
      </c>
      <c r="EE754" s="0" t="s">
        <v>269</v>
      </c>
    </row>
    <row r="755" customFormat="false" ht="15" hidden="false" customHeight="false" outlineLevel="0" collapsed="false">
      <c r="DG755" s="0" t="s">
        <v>5854</v>
      </c>
      <c r="DH755" s="0" t="s">
        <v>87</v>
      </c>
      <c r="DI755" s="0" t="s">
        <v>1567</v>
      </c>
      <c r="DJ755" s="0" t="s">
        <v>1568</v>
      </c>
      <c r="DK755" s="0" t="s">
        <v>674</v>
      </c>
      <c r="DL755" s="0" t="n">
        <v>7.69</v>
      </c>
      <c r="DM755" s="0" t="s">
        <v>676</v>
      </c>
      <c r="DN755" s="0" t="s">
        <v>675</v>
      </c>
      <c r="DO755" s="0" t="n">
        <v>0</v>
      </c>
      <c r="DP755" s="0" t="n">
        <v>0</v>
      </c>
      <c r="DQ755" s="0" t="n">
        <v>13.6</v>
      </c>
      <c r="DR755" s="0" t="s">
        <v>5855</v>
      </c>
      <c r="EB755" s="0" t="s">
        <v>5856</v>
      </c>
      <c r="EC755" s="0" t="s">
        <v>2660</v>
      </c>
      <c r="EE755" s="0" t="s">
        <v>237</v>
      </c>
    </row>
    <row r="756" customFormat="false" ht="15" hidden="false" customHeight="false" outlineLevel="0" collapsed="false">
      <c r="DG756" s="0" t="s">
        <v>5857</v>
      </c>
      <c r="DH756" s="0" t="s">
        <v>87</v>
      </c>
      <c r="DI756" s="0" t="s">
        <v>1573</v>
      </c>
      <c r="DJ756" s="0" t="s">
        <v>1574</v>
      </c>
      <c r="DK756" s="0" t="s">
        <v>674</v>
      </c>
      <c r="DL756" s="0" t="n">
        <v>7.69</v>
      </c>
      <c r="DM756" s="0" t="s">
        <v>675</v>
      </c>
      <c r="DN756" s="0" t="s">
        <v>676</v>
      </c>
      <c r="DO756" s="0" t="n">
        <v>1</v>
      </c>
      <c r="DP756" s="0" t="n">
        <v>53.88</v>
      </c>
      <c r="DQ756" s="0" t="n">
        <v>53.88</v>
      </c>
      <c r="DR756" s="0" t="s">
        <v>5858</v>
      </c>
      <c r="EB756" s="0" t="s">
        <v>5859</v>
      </c>
      <c r="EC756" s="0" t="s">
        <v>2660</v>
      </c>
      <c r="EE756" s="0" t="s">
        <v>249</v>
      </c>
    </row>
    <row r="757" customFormat="false" ht="15" hidden="false" customHeight="false" outlineLevel="0" collapsed="false">
      <c r="DG757" s="0" t="s">
        <v>5860</v>
      </c>
      <c r="DH757" s="0" t="s">
        <v>87</v>
      </c>
      <c r="DI757" s="0" t="s">
        <v>1576</v>
      </c>
      <c r="DJ757" s="0" t="s">
        <v>1577</v>
      </c>
      <c r="DK757" s="0" t="s">
        <v>674</v>
      </c>
      <c r="DL757" s="0" t="n">
        <v>7.69</v>
      </c>
      <c r="DM757" s="0" t="s">
        <v>676</v>
      </c>
      <c r="DN757" s="0" t="s">
        <v>675</v>
      </c>
      <c r="DO757" s="0" t="n">
        <v>0</v>
      </c>
      <c r="DP757" s="0" t="n">
        <v>0</v>
      </c>
      <c r="DQ757" s="0" t="n">
        <v>1499</v>
      </c>
      <c r="DR757" s="0" t="s">
        <v>5861</v>
      </c>
      <c r="EB757" s="0" t="s">
        <v>5862</v>
      </c>
      <c r="EC757" s="0" t="s">
        <v>2660</v>
      </c>
      <c r="EE757" s="0" t="s">
        <v>293</v>
      </c>
    </row>
    <row r="758" customFormat="false" ht="15" hidden="false" customHeight="false" outlineLevel="0" collapsed="false">
      <c r="DG758" s="0" t="s">
        <v>5863</v>
      </c>
      <c r="DH758" s="0" t="s">
        <v>87</v>
      </c>
      <c r="DI758" s="0" t="s">
        <v>1579</v>
      </c>
      <c r="DJ758" s="0" t="s">
        <v>1580</v>
      </c>
      <c r="DK758" s="0" t="s">
        <v>674</v>
      </c>
      <c r="DL758" s="0" t="n">
        <v>7.69</v>
      </c>
      <c r="DM758" s="0" t="s">
        <v>676</v>
      </c>
      <c r="DN758" s="0" t="s">
        <v>676</v>
      </c>
      <c r="DO758" s="0" t="n">
        <v>1</v>
      </c>
      <c r="DP758" s="0" t="n">
        <v>7.13</v>
      </c>
      <c r="DQ758" s="0" t="n">
        <v>10.7</v>
      </c>
      <c r="DR758" s="0" t="s">
        <v>5864</v>
      </c>
      <c r="EB758" s="0" t="s">
        <v>5865</v>
      </c>
      <c r="EC758" s="0" t="s">
        <v>2660</v>
      </c>
      <c r="EE758" s="0" t="s">
        <v>280</v>
      </c>
    </row>
    <row r="759" customFormat="false" ht="15" hidden="false" customHeight="false" outlineLevel="0" collapsed="false">
      <c r="DG759" s="0" t="s">
        <v>5866</v>
      </c>
      <c r="DH759" s="0" t="s">
        <v>87</v>
      </c>
      <c r="DI759" s="0" t="s">
        <v>1584</v>
      </c>
      <c r="DJ759" s="0" t="s">
        <v>1585</v>
      </c>
      <c r="DK759" s="0" t="s">
        <v>674</v>
      </c>
      <c r="DL759" s="0" t="n">
        <v>7.69</v>
      </c>
      <c r="DM759" s="0" t="s">
        <v>676</v>
      </c>
      <c r="DN759" s="0" t="s">
        <v>676</v>
      </c>
      <c r="DO759" s="0" t="n">
        <v>1</v>
      </c>
      <c r="DP759" s="0" t="n">
        <v>47.7</v>
      </c>
      <c r="DQ759" s="0" t="n">
        <v>71.55</v>
      </c>
      <c r="DR759" s="0" t="s">
        <v>5867</v>
      </c>
      <c r="EB759" s="0" t="s">
        <v>5868</v>
      </c>
      <c r="EC759" s="0" t="s">
        <v>2660</v>
      </c>
      <c r="EE759" s="0" t="s">
        <v>264</v>
      </c>
    </row>
    <row r="760" customFormat="false" ht="15" hidden="false" customHeight="false" outlineLevel="0" collapsed="false">
      <c r="DG760" s="0" t="s">
        <v>5869</v>
      </c>
      <c r="DH760" s="0" t="s">
        <v>87</v>
      </c>
      <c r="DI760" s="0" t="s">
        <v>1589</v>
      </c>
      <c r="DJ760" s="0" t="s">
        <v>1590</v>
      </c>
      <c r="DK760" s="0" t="s">
        <v>674</v>
      </c>
      <c r="DL760" s="0" t="n">
        <v>7.69</v>
      </c>
      <c r="DM760" s="0" t="s">
        <v>676</v>
      </c>
      <c r="DN760" s="0" t="s">
        <v>675</v>
      </c>
      <c r="DO760" s="0" t="n">
        <v>0</v>
      </c>
      <c r="DP760" s="0" t="n">
        <v>0</v>
      </c>
      <c r="DQ760" s="0" t="n">
        <v>261.6</v>
      </c>
      <c r="DR760" s="0" t="s">
        <v>5870</v>
      </c>
      <c r="EB760" s="0" t="s">
        <v>5871</v>
      </c>
      <c r="EC760" s="0" t="s">
        <v>2660</v>
      </c>
      <c r="EE760" s="0" t="s">
        <v>278</v>
      </c>
    </row>
    <row r="761" customFormat="false" ht="15" hidden="false" customHeight="false" outlineLevel="0" collapsed="false">
      <c r="DG761" s="0" t="s">
        <v>5872</v>
      </c>
      <c r="DH761" s="0" t="s">
        <v>87</v>
      </c>
      <c r="DI761" s="0" t="s">
        <v>1593</v>
      </c>
      <c r="DJ761" s="0" t="s">
        <v>1594</v>
      </c>
      <c r="DK761" s="0" t="s">
        <v>674</v>
      </c>
      <c r="DL761" s="0" t="n">
        <v>7.69</v>
      </c>
      <c r="DM761" s="0" t="s">
        <v>676</v>
      </c>
      <c r="DN761" s="0" t="s">
        <v>675</v>
      </c>
      <c r="DO761" s="0" t="n">
        <v>0</v>
      </c>
      <c r="DP761" s="0" t="n">
        <v>0</v>
      </c>
      <c r="DQ761" s="0" t="n">
        <v>78.4</v>
      </c>
      <c r="DR761" s="0" t="s">
        <v>5873</v>
      </c>
      <c r="EB761" s="0" t="s">
        <v>5874</v>
      </c>
      <c r="EC761" s="0" t="s">
        <v>2660</v>
      </c>
      <c r="EE761" s="0" t="s">
        <v>240</v>
      </c>
    </row>
    <row r="762" customFormat="false" ht="15" hidden="false" customHeight="false" outlineLevel="0" collapsed="false">
      <c r="DG762" s="0" t="s">
        <v>5875</v>
      </c>
      <c r="DH762" s="0" t="s">
        <v>87</v>
      </c>
      <c r="DI762" s="0" t="s">
        <v>1597</v>
      </c>
      <c r="DJ762" s="0" t="s">
        <v>1598</v>
      </c>
      <c r="DK762" s="0" t="s">
        <v>674</v>
      </c>
      <c r="DL762" s="0" t="n">
        <v>7.69</v>
      </c>
      <c r="DM762" s="0" t="s">
        <v>676</v>
      </c>
      <c r="DN762" s="0" t="s">
        <v>675</v>
      </c>
      <c r="DO762" s="0" t="n">
        <v>0</v>
      </c>
      <c r="DP762" s="0" t="n">
        <v>0</v>
      </c>
      <c r="DQ762" s="0" t="n">
        <v>277.93</v>
      </c>
      <c r="DR762" s="0" t="s">
        <v>5876</v>
      </c>
      <c r="EB762" s="0" t="s">
        <v>5877</v>
      </c>
      <c r="EC762" s="0" t="s">
        <v>2660</v>
      </c>
      <c r="EE762" s="0" t="s">
        <v>252</v>
      </c>
    </row>
    <row r="763" customFormat="false" ht="15" hidden="false" customHeight="false" outlineLevel="0" collapsed="false">
      <c r="DG763" s="0" t="s">
        <v>5878</v>
      </c>
      <c r="DH763" s="0" t="s">
        <v>87</v>
      </c>
      <c r="DI763" s="0" t="s">
        <v>1603</v>
      </c>
      <c r="DJ763" s="0" t="s">
        <v>1604</v>
      </c>
      <c r="DK763" s="0" t="s">
        <v>674</v>
      </c>
      <c r="DL763" s="0" t="n">
        <v>7.69</v>
      </c>
      <c r="DM763" s="0" t="s">
        <v>676</v>
      </c>
      <c r="DN763" s="0" t="s">
        <v>675</v>
      </c>
      <c r="DO763" s="0" t="n">
        <v>0</v>
      </c>
      <c r="DP763" s="0" t="n">
        <v>0</v>
      </c>
      <c r="DQ763" s="0" t="n">
        <v>11.19</v>
      </c>
      <c r="DR763" s="0" t="s">
        <v>5879</v>
      </c>
      <c r="EB763" s="0" t="s">
        <v>5880</v>
      </c>
      <c r="EC763" s="0" t="s">
        <v>2660</v>
      </c>
      <c r="EE763" s="0" t="s">
        <v>229</v>
      </c>
    </row>
    <row r="764" customFormat="false" ht="15" hidden="false" customHeight="false" outlineLevel="0" collapsed="false">
      <c r="DG764" s="0" t="s">
        <v>5881</v>
      </c>
      <c r="DH764" s="0" t="s">
        <v>87</v>
      </c>
      <c r="DI764" s="0" t="s">
        <v>1606</v>
      </c>
      <c r="DJ764" s="0" t="s">
        <v>1607</v>
      </c>
      <c r="DK764" s="0" t="s">
        <v>674</v>
      </c>
      <c r="DL764" s="0" t="n">
        <v>7.69</v>
      </c>
      <c r="DM764" s="0" t="s">
        <v>676</v>
      </c>
      <c r="DN764" s="0" t="s">
        <v>675</v>
      </c>
      <c r="DO764" s="0" t="n">
        <v>0</v>
      </c>
      <c r="DP764" s="0" t="n">
        <v>0</v>
      </c>
      <c r="DQ764" s="0" t="n">
        <v>47.81</v>
      </c>
      <c r="DR764" s="0" t="s">
        <v>5882</v>
      </c>
      <c r="EB764" s="0" t="s">
        <v>5883</v>
      </c>
      <c r="EC764" s="0" t="s">
        <v>2660</v>
      </c>
      <c r="EE764" s="0" t="s">
        <v>246</v>
      </c>
    </row>
    <row r="765" customFormat="false" ht="15" hidden="false" customHeight="false" outlineLevel="0" collapsed="false">
      <c r="DG765" s="0" t="s">
        <v>5884</v>
      </c>
      <c r="DH765" s="0" t="s">
        <v>87</v>
      </c>
      <c r="DI765" s="0" t="s">
        <v>1609</v>
      </c>
      <c r="DJ765" s="0" t="s">
        <v>1610</v>
      </c>
      <c r="DK765" s="0" t="s">
        <v>674</v>
      </c>
      <c r="DL765" s="0" t="n">
        <v>7.69</v>
      </c>
      <c r="DM765" s="0" t="s">
        <v>675</v>
      </c>
      <c r="DN765" s="0" t="s">
        <v>676</v>
      </c>
      <c r="DO765" s="0" t="n">
        <v>1</v>
      </c>
      <c r="DP765" s="0" t="n">
        <v>32.8</v>
      </c>
      <c r="DQ765" s="0" t="n">
        <v>32.8</v>
      </c>
      <c r="DR765" s="0" t="s">
        <v>5885</v>
      </c>
      <c r="EB765" s="0" t="s">
        <v>5886</v>
      </c>
      <c r="EC765" s="0" t="s">
        <v>2660</v>
      </c>
      <c r="EE765" s="0" t="s">
        <v>255</v>
      </c>
    </row>
    <row r="766" customFormat="false" ht="15" hidden="false" customHeight="false" outlineLevel="0" collapsed="false">
      <c r="DG766" s="0" t="s">
        <v>5887</v>
      </c>
      <c r="DH766" s="0" t="s">
        <v>87</v>
      </c>
      <c r="DI766" s="0" t="s">
        <v>1611</v>
      </c>
      <c r="DJ766" s="0" t="s">
        <v>1612</v>
      </c>
      <c r="DK766" s="0" t="s">
        <v>674</v>
      </c>
      <c r="DL766" s="0" t="n">
        <v>7.69</v>
      </c>
      <c r="DM766" s="0" t="s">
        <v>675</v>
      </c>
      <c r="DN766" s="0" t="s">
        <v>676</v>
      </c>
      <c r="DO766" s="0" t="n">
        <v>2</v>
      </c>
      <c r="DP766" s="0" t="n">
        <v>67.2</v>
      </c>
      <c r="DQ766" s="0" t="n">
        <v>67.2</v>
      </c>
      <c r="DR766" s="0" t="s">
        <v>5888</v>
      </c>
      <c r="EB766" s="0" t="s">
        <v>5889</v>
      </c>
      <c r="EC766" s="0" t="s">
        <v>2660</v>
      </c>
      <c r="EE766" s="0" t="s">
        <v>243</v>
      </c>
    </row>
    <row r="767" customFormat="false" ht="15" hidden="false" customHeight="false" outlineLevel="0" collapsed="false">
      <c r="DG767" s="0" t="s">
        <v>5890</v>
      </c>
      <c r="DH767" s="0" t="s">
        <v>87</v>
      </c>
      <c r="DI767" s="0" t="s">
        <v>1615</v>
      </c>
      <c r="DJ767" s="0" t="s">
        <v>1616</v>
      </c>
      <c r="DK767" s="0" t="s">
        <v>674</v>
      </c>
      <c r="DL767" s="0" t="n">
        <v>7.69</v>
      </c>
      <c r="DM767" s="0" t="s">
        <v>676</v>
      </c>
      <c r="DN767" s="0" t="s">
        <v>675</v>
      </c>
      <c r="DO767" s="0" t="n">
        <v>0</v>
      </c>
      <c r="DP767" s="0" t="n">
        <v>0</v>
      </c>
      <c r="DQ767" s="0" t="n">
        <v>47.65</v>
      </c>
      <c r="DR767" s="0" t="s">
        <v>5891</v>
      </c>
      <c r="EB767" s="0" t="s">
        <v>5892</v>
      </c>
      <c r="EC767" s="0" t="s">
        <v>2660</v>
      </c>
      <c r="ED767" s="0" t="s">
        <v>2661</v>
      </c>
      <c r="EE767" s="0" t="s">
        <v>261</v>
      </c>
      <c r="EF767" s="0" t="s">
        <v>259</v>
      </c>
      <c r="EG767" s="0" t="n">
        <v>1</v>
      </c>
      <c r="EH767" s="0" t="n">
        <v>1</v>
      </c>
      <c r="EI767" s="0" t="n">
        <v>1</v>
      </c>
      <c r="EJ767" s="0" t="n">
        <v>1</v>
      </c>
    </row>
    <row r="768" customFormat="false" ht="15" hidden="false" customHeight="false" outlineLevel="0" collapsed="false">
      <c r="DG768" s="0" t="s">
        <v>5893</v>
      </c>
      <c r="DH768" s="0" t="s">
        <v>87</v>
      </c>
      <c r="DI768" s="0" t="s">
        <v>1618</v>
      </c>
      <c r="DJ768" s="0" t="s">
        <v>1619</v>
      </c>
      <c r="DK768" s="0" t="s">
        <v>674</v>
      </c>
      <c r="DL768" s="0" t="n">
        <v>7.69</v>
      </c>
      <c r="DM768" s="0" t="s">
        <v>675</v>
      </c>
      <c r="DN768" s="0" t="s">
        <v>676</v>
      </c>
      <c r="DO768" s="0" t="n">
        <v>3.5</v>
      </c>
      <c r="DP768" s="0" t="n">
        <v>36.33</v>
      </c>
      <c r="DQ768" s="0" t="n">
        <v>36.33</v>
      </c>
      <c r="DR768" s="0" t="s">
        <v>5894</v>
      </c>
      <c r="EB768" s="0" t="s">
        <v>5895</v>
      </c>
      <c r="EC768" s="0" t="s">
        <v>2660</v>
      </c>
      <c r="EE768" s="0" t="s">
        <v>296</v>
      </c>
    </row>
    <row r="769" customFormat="false" ht="15" hidden="false" customHeight="false" outlineLevel="0" collapsed="false">
      <c r="DG769" s="0" t="s">
        <v>5896</v>
      </c>
      <c r="DH769" s="0" t="s">
        <v>87</v>
      </c>
      <c r="DI769" s="0" t="s">
        <v>1622</v>
      </c>
      <c r="DJ769" s="0" t="s">
        <v>1623</v>
      </c>
      <c r="DK769" s="0" t="s">
        <v>674</v>
      </c>
      <c r="DL769" s="0" t="n">
        <v>7.69</v>
      </c>
      <c r="DM769" s="0" t="s">
        <v>676</v>
      </c>
      <c r="DN769" s="0" t="s">
        <v>675</v>
      </c>
      <c r="DO769" s="0" t="n">
        <v>0</v>
      </c>
      <c r="DP769" s="0" t="n">
        <v>0</v>
      </c>
      <c r="DQ769" s="0" t="n">
        <v>41.34</v>
      </c>
      <c r="DR769" s="0" t="s">
        <v>5897</v>
      </c>
      <c r="EB769" s="0" t="s">
        <v>5898</v>
      </c>
      <c r="EC769" s="0" t="s">
        <v>2522</v>
      </c>
      <c r="EE769" s="0" t="s">
        <v>626</v>
      </c>
    </row>
    <row r="770" customFormat="false" ht="15" hidden="false" customHeight="false" outlineLevel="0" collapsed="false">
      <c r="DG770" s="0" t="s">
        <v>5899</v>
      </c>
      <c r="DH770" s="0" t="s">
        <v>87</v>
      </c>
      <c r="DI770" s="0" t="s">
        <v>1627</v>
      </c>
      <c r="DJ770" s="0" t="s">
        <v>1628</v>
      </c>
      <c r="DK770" s="0" t="s">
        <v>674</v>
      </c>
      <c r="DL770" s="0" t="n">
        <v>7.69</v>
      </c>
      <c r="DM770" s="0" t="s">
        <v>676</v>
      </c>
      <c r="DN770" s="0" t="s">
        <v>675</v>
      </c>
      <c r="DO770" s="0" t="n">
        <v>0</v>
      </c>
      <c r="DP770" s="0" t="n">
        <v>0</v>
      </c>
      <c r="DQ770" s="0" t="n">
        <v>4.54</v>
      </c>
      <c r="DR770" s="0" t="s">
        <v>5900</v>
      </c>
      <c r="EB770" s="0" t="s">
        <v>5901</v>
      </c>
      <c r="EC770" s="0" t="s">
        <v>2522</v>
      </c>
      <c r="EE770" s="0" t="s">
        <v>624</v>
      </c>
    </row>
    <row r="771" customFormat="false" ht="15" hidden="false" customHeight="false" outlineLevel="0" collapsed="false">
      <c r="DG771" s="0" t="s">
        <v>5902</v>
      </c>
      <c r="DH771" s="0" t="s">
        <v>87</v>
      </c>
      <c r="DI771" s="0" t="s">
        <v>1633</v>
      </c>
      <c r="DJ771" s="0" t="s">
        <v>1634</v>
      </c>
      <c r="DK771" s="0" t="s">
        <v>674</v>
      </c>
      <c r="DL771" s="0" t="n">
        <v>7.69</v>
      </c>
      <c r="DM771" s="0" t="s">
        <v>676</v>
      </c>
      <c r="DN771" s="0" t="s">
        <v>675</v>
      </c>
      <c r="DO771" s="0" t="n">
        <v>0</v>
      </c>
      <c r="DP771" s="0" t="n">
        <v>0</v>
      </c>
      <c r="DQ771" s="0" t="n">
        <v>30.18</v>
      </c>
      <c r="DR771" s="0" t="s">
        <v>5903</v>
      </c>
      <c r="EB771" s="0" t="s">
        <v>5904</v>
      </c>
      <c r="EC771" s="0" t="s">
        <v>2522</v>
      </c>
      <c r="EE771" s="0" t="s">
        <v>622</v>
      </c>
    </row>
    <row r="772" customFormat="false" ht="15" hidden="false" customHeight="false" outlineLevel="0" collapsed="false">
      <c r="DG772" s="0" t="s">
        <v>5905</v>
      </c>
      <c r="DH772" s="0" t="s">
        <v>87</v>
      </c>
      <c r="DI772" s="0" t="s">
        <v>1636</v>
      </c>
      <c r="DJ772" s="0" t="s">
        <v>1637</v>
      </c>
      <c r="DK772" s="0" t="s">
        <v>674</v>
      </c>
      <c r="DL772" s="0" t="n">
        <v>7.69</v>
      </c>
      <c r="DM772" s="0" t="s">
        <v>675</v>
      </c>
      <c r="DN772" s="0" t="s">
        <v>676</v>
      </c>
      <c r="DO772" s="0" t="n">
        <v>3.5</v>
      </c>
      <c r="DP772" s="0" t="n">
        <v>286.86</v>
      </c>
      <c r="DQ772" s="0" t="n">
        <v>286.86</v>
      </c>
      <c r="DR772" s="0" t="s">
        <v>5906</v>
      </c>
      <c r="EB772" s="0" t="s">
        <v>5907</v>
      </c>
      <c r="EC772" s="0" t="s">
        <v>2522</v>
      </c>
      <c r="EE772" s="0" t="s">
        <v>620</v>
      </c>
    </row>
    <row r="773" customFormat="false" ht="15" hidden="false" customHeight="false" outlineLevel="0" collapsed="false">
      <c r="DG773" s="0" t="s">
        <v>5908</v>
      </c>
      <c r="DH773" s="0" t="s">
        <v>87</v>
      </c>
      <c r="DI773" s="0" t="s">
        <v>1640</v>
      </c>
      <c r="DJ773" s="0" t="s">
        <v>1641</v>
      </c>
      <c r="DK773" s="0" t="s">
        <v>674</v>
      </c>
      <c r="DL773" s="0" t="n">
        <v>7.69</v>
      </c>
      <c r="DM773" s="0" t="s">
        <v>675</v>
      </c>
      <c r="DN773" s="0" t="s">
        <v>676</v>
      </c>
      <c r="DO773" s="0" t="n">
        <v>1.5</v>
      </c>
      <c r="DP773" s="0" t="n">
        <v>469.68</v>
      </c>
      <c r="DQ773" s="0" t="n">
        <v>469.68</v>
      </c>
      <c r="DR773" s="0" t="s">
        <v>5909</v>
      </c>
      <c r="EB773" s="0" t="s">
        <v>5910</v>
      </c>
      <c r="EC773" s="0" t="s">
        <v>2522</v>
      </c>
      <c r="EE773" s="0" t="s">
        <v>618</v>
      </c>
    </row>
    <row r="774" customFormat="false" ht="15" hidden="false" customHeight="false" outlineLevel="0" collapsed="false">
      <c r="DG774" s="0" t="s">
        <v>5911</v>
      </c>
      <c r="DH774" s="0" t="s">
        <v>87</v>
      </c>
      <c r="DI774" s="0" t="s">
        <v>1643</v>
      </c>
      <c r="DJ774" s="0" t="s">
        <v>1644</v>
      </c>
      <c r="DK774" s="0" t="s">
        <v>674</v>
      </c>
      <c r="DL774" s="0" t="n">
        <v>7.69</v>
      </c>
      <c r="DM774" s="0" t="s">
        <v>676</v>
      </c>
      <c r="DN774" s="0" t="s">
        <v>675</v>
      </c>
      <c r="DO774" s="0" t="n">
        <v>0</v>
      </c>
      <c r="DP774" s="0" t="n">
        <v>0</v>
      </c>
      <c r="DQ774" s="0" t="n">
        <v>23.88</v>
      </c>
      <c r="DR774" s="0" t="s">
        <v>5912</v>
      </c>
      <c r="EB774" s="0" t="s">
        <v>5913</v>
      </c>
      <c r="EC774" s="0" t="s">
        <v>2522</v>
      </c>
      <c r="ED774" s="0" t="s">
        <v>2523</v>
      </c>
      <c r="EE774" s="0" t="s">
        <v>616</v>
      </c>
      <c r="EF774" s="0" t="s">
        <v>2612</v>
      </c>
      <c r="EG774" s="0" t="n">
        <v>460</v>
      </c>
      <c r="EH774" s="0" t="n">
        <v>500</v>
      </c>
      <c r="EI774" s="0" t="n">
        <v>550</v>
      </c>
      <c r="EJ774" s="0" t="n">
        <v>570</v>
      </c>
    </row>
    <row r="775" customFormat="false" ht="15" hidden="false" customHeight="false" outlineLevel="0" collapsed="false">
      <c r="DG775" s="0" t="s">
        <v>5914</v>
      </c>
      <c r="DH775" s="0" t="s">
        <v>87</v>
      </c>
      <c r="DI775" s="0" t="s">
        <v>1647</v>
      </c>
      <c r="DJ775" s="0" t="s">
        <v>1648</v>
      </c>
      <c r="DK775" s="0" t="s">
        <v>674</v>
      </c>
      <c r="DL775" s="0" t="n">
        <v>7.69</v>
      </c>
      <c r="DM775" s="0" t="s">
        <v>676</v>
      </c>
      <c r="DN775" s="0" t="s">
        <v>675</v>
      </c>
      <c r="DO775" s="0" t="n">
        <v>0</v>
      </c>
      <c r="DP775" s="0" t="n">
        <v>0</v>
      </c>
      <c r="DQ775" s="0" t="n">
        <v>5.32</v>
      </c>
      <c r="DR775" s="0" t="s">
        <v>5915</v>
      </c>
      <c r="EB775" s="0" t="s">
        <v>5916</v>
      </c>
      <c r="EC775" s="0" t="s">
        <v>2522</v>
      </c>
      <c r="ED775" s="0" t="s">
        <v>2523</v>
      </c>
      <c r="EE775" s="0" t="s">
        <v>614</v>
      </c>
      <c r="EF775" s="0" t="s">
        <v>2628</v>
      </c>
      <c r="EG775" s="0" t="n">
        <v>980</v>
      </c>
      <c r="EH775" s="0" t="n">
        <v>1080</v>
      </c>
      <c r="EI775" s="0" t="n">
        <v>1170</v>
      </c>
      <c r="EJ775" s="0" t="n">
        <v>1170</v>
      </c>
    </row>
    <row r="776" customFormat="false" ht="15" hidden="false" customHeight="false" outlineLevel="0" collapsed="false">
      <c r="DG776" s="0" t="s">
        <v>5917</v>
      </c>
      <c r="DH776" s="0" t="s">
        <v>87</v>
      </c>
      <c r="DI776" s="0" t="s">
        <v>1650</v>
      </c>
      <c r="DJ776" s="0" t="s">
        <v>1651</v>
      </c>
      <c r="DK776" s="0" t="s">
        <v>674</v>
      </c>
      <c r="DL776" s="0" t="n">
        <v>7.69</v>
      </c>
      <c r="DM776" s="0" t="s">
        <v>675</v>
      </c>
      <c r="DN776" s="0" t="s">
        <v>676</v>
      </c>
      <c r="DO776" s="0" t="n">
        <v>2</v>
      </c>
      <c r="DP776" s="0" t="n">
        <v>280</v>
      </c>
      <c r="DQ776" s="0" t="n">
        <v>280</v>
      </c>
      <c r="DR776" s="0" t="s">
        <v>5918</v>
      </c>
      <c r="EB776" s="0" t="s">
        <v>5919</v>
      </c>
      <c r="EC776" s="0" t="s">
        <v>2522</v>
      </c>
      <c r="ED776" s="0" t="s">
        <v>2523</v>
      </c>
      <c r="EE776" s="0" t="s">
        <v>612</v>
      </c>
      <c r="EF776" s="0" t="s">
        <v>2647</v>
      </c>
      <c r="EG776" s="0" t="n">
        <v>740</v>
      </c>
      <c r="EH776" s="0" t="n">
        <v>740</v>
      </c>
      <c r="EI776" s="0" t="n">
        <v>740</v>
      </c>
      <c r="EJ776" s="0" t="n">
        <v>740</v>
      </c>
    </row>
    <row r="777" customFormat="false" ht="15" hidden="false" customHeight="false" outlineLevel="0" collapsed="false">
      <c r="DG777" s="0" t="s">
        <v>5920</v>
      </c>
      <c r="DH777" s="0" t="s">
        <v>87</v>
      </c>
      <c r="DI777" s="0" t="s">
        <v>1653</v>
      </c>
      <c r="DJ777" s="0" t="s">
        <v>1654</v>
      </c>
      <c r="DK777" s="0" t="s">
        <v>674</v>
      </c>
      <c r="DL777" s="0" t="n">
        <v>7.69</v>
      </c>
      <c r="DM777" s="0" t="s">
        <v>676</v>
      </c>
      <c r="DN777" s="0" t="s">
        <v>675</v>
      </c>
      <c r="DO777" s="0" t="n">
        <v>0</v>
      </c>
      <c r="DP777" s="0" t="n">
        <v>0</v>
      </c>
      <c r="DQ777" s="0" t="n">
        <v>4.26</v>
      </c>
      <c r="DR777" s="0" t="s">
        <v>5921</v>
      </c>
      <c r="EB777" s="0" t="s">
        <v>5922</v>
      </c>
      <c r="EC777" s="0" t="s">
        <v>2522</v>
      </c>
      <c r="ED777" s="0" t="s">
        <v>2523</v>
      </c>
      <c r="EE777" s="0" t="s">
        <v>609</v>
      </c>
      <c r="EF777" s="0" t="s">
        <v>2663</v>
      </c>
      <c r="EG777" s="0" t="n">
        <v>280</v>
      </c>
      <c r="EH777" s="0" t="n">
        <v>280</v>
      </c>
      <c r="EI777" s="0" t="n">
        <v>280</v>
      </c>
      <c r="EJ777" s="0" t="n">
        <v>280</v>
      </c>
    </row>
    <row r="778" customFormat="false" ht="15" hidden="false" customHeight="false" outlineLevel="0" collapsed="false">
      <c r="DG778" s="0" t="s">
        <v>5923</v>
      </c>
      <c r="DH778" s="0" t="s">
        <v>87</v>
      </c>
      <c r="DI778" s="0" t="s">
        <v>1657</v>
      </c>
      <c r="DJ778" s="0" t="s">
        <v>1658</v>
      </c>
      <c r="DK778" s="0" t="s">
        <v>674</v>
      </c>
      <c r="DL778" s="0" t="n">
        <v>7.69</v>
      </c>
      <c r="DM778" s="0" t="s">
        <v>676</v>
      </c>
      <c r="DN778" s="0" t="s">
        <v>675</v>
      </c>
      <c r="DO778" s="0" t="n">
        <v>0</v>
      </c>
      <c r="DP778" s="0" t="n">
        <v>0</v>
      </c>
      <c r="DQ778" s="0" t="n">
        <v>2.2</v>
      </c>
      <c r="DR778" s="0" t="s">
        <v>5924</v>
      </c>
      <c r="EB778" s="0" t="s">
        <v>5925</v>
      </c>
      <c r="EC778" s="0" t="s">
        <v>2522</v>
      </c>
      <c r="ED778" s="0" t="s">
        <v>2523</v>
      </c>
      <c r="EE778" s="0" t="s">
        <v>607</v>
      </c>
      <c r="EF778" s="0" t="s">
        <v>2680</v>
      </c>
      <c r="EG778" s="0" t="n">
        <v>1</v>
      </c>
      <c r="EH778" s="0" t="n">
        <v>1</v>
      </c>
      <c r="EI778" s="0" t="n">
        <v>1</v>
      </c>
      <c r="EJ778" s="0" t="n">
        <v>1</v>
      </c>
    </row>
    <row r="779" customFormat="false" ht="15" hidden="false" customHeight="false" outlineLevel="0" collapsed="false">
      <c r="DG779" s="0" t="s">
        <v>5926</v>
      </c>
      <c r="DH779" s="0" t="s">
        <v>87</v>
      </c>
      <c r="DI779" s="0" t="s">
        <v>1661</v>
      </c>
      <c r="DJ779" s="0" t="s">
        <v>1662</v>
      </c>
      <c r="DK779" s="0" t="s">
        <v>674</v>
      </c>
      <c r="DL779" s="0" t="n">
        <v>7.69</v>
      </c>
      <c r="DM779" s="0" t="s">
        <v>676</v>
      </c>
      <c r="DN779" s="0" t="s">
        <v>675</v>
      </c>
      <c r="DO779" s="0" t="n">
        <v>0</v>
      </c>
      <c r="DP779" s="0" t="n">
        <v>0</v>
      </c>
      <c r="DQ779" s="0" t="n">
        <v>7.02</v>
      </c>
      <c r="DR779" s="0" t="s">
        <v>5927</v>
      </c>
      <c r="EB779" s="0" t="s">
        <v>5928</v>
      </c>
      <c r="EC779" s="0" t="s">
        <v>2522</v>
      </c>
      <c r="ED779" s="0" t="s">
        <v>2523</v>
      </c>
      <c r="EE779" s="0" t="s">
        <v>605</v>
      </c>
      <c r="EF779" s="0" t="s">
        <v>2697</v>
      </c>
      <c r="EG779" s="0" t="n">
        <v>930</v>
      </c>
      <c r="EH779" s="0" t="n">
        <v>930</v>
      </c>
      <c r="EI779" s="0" t="n">
        <v>930</v>
      </c>
      <c r="EJ779" s="0" t="n">
        <v>930</v>
      </c>
    </row>
    <row r="780" customFormat="false" ht="15" hidden="false" customHeight="false" outlineLevel="0" collapsed="false">
      <c r="DG780" s="0" t="s">
        <v>5929</v>
      </c>
      <c r="DH780" s="0" t="s">
        <v>87</v>
      </c>
      <c r="DI780" s="0" t="s">
        <v>1667</v>
      </c>
      <c r="DJ780" s="0" t="s">
        <v>1668</v>
      </c>
      <c r="DK780" s="0" t="s">
        <v>674</v>
      </c>
      <c r="DL780" s="0" t="n">
        <v>7.69</v>
      </c>
      <c r="DM780" s="0" t="s">
        <v>676</v>
      </c>
      <c r="DN780" s="0" t="s">
        <v>675</v>
      </c>
      <c r="DO780" s="0" t="n">
        <v>0</v>
      </c>
      <c r="DP780" s="0" t="n">
        <v>0</v>
      </c>
      <c r="DQ780" s="0" t="n">
        <v>1729.7</v>
      </c>
      <c r="DR780" s="0" t="s">
        <v>5930</v>
      </c>
      <c r="EB780" s="0" t="s">
        <v>5931</v>
      </c>
      <c r="EC780" s="0" t="s">
        <v>2522</v>
      </c>
      <c r="ED780" s="0" t="s">
        <v>2523</v>
      </c>
      <c r="EE780" s="0" t="s">
        <v>629</v>
      </c>
      <c r="EF780" s="0" t="s">
        <v>2713</v>
      </c>
      <c r="EG780" s="0" t="n">
        <v>1200</v>
      </c>
      <c r="EH780" s="0" t="n">
        <v>1200</v>
      </c>
      <c r="EI780" s="0" t="n">
        <v>1200</v>
      </c>
      <c r="EJ780" s="0" t="n">
        <v>1200</v>
      </c>
    </row>
    <row r="781" customFormat="false" ht="15" hidden="false" customHeight="false" outlineLevel="0" collapsed="false">
      <c r="DG781" s="0" t="s">
        <v>5932</v>
      </c>
      <c r="DH781" s="0" t="s">
        <v>87</v>
      </c>
      <c r="DI781" s="0" t="s">
        <v>356</v>
      </c>
      <c r="DJ781" s="0" t="s">
        <v>1671</v>
      </c>
      <c r="DK781" s="0" t="s">
        <v>1181</v>
      </c>
      <c r="DL781" s="0" t="n">
        <v>7.69</v>
      </c>
      <c r="DM781" s="0" t="s">
        <v>675</v>
      </c>
      <c r="DN781" s="0" t="s">
        <v>676</v>
      </c>
      <c r="DO781" s="0" t="n">
        <v>1</v>
      </c>
      <c r="DP781" s="0" t="n">
        <v>36136</v>
      </c>
      <c r="DQ781" s="0" t="n">
        <v>36136</v>
      </c>
      <c r="DR781" s="0" t="s">
        <v>5933</v>
      </c>
      <c r="EB781" s="0" t="s">
        <v>5934</v>
      </c>
      <c r="EC781" s="0" t="s">
        <v>2522</v>
      </c>
      <c r="EE781" s="0" t="s">
        <v>602</v>
      </c>
    </row>
    <row r="782" customFormat="false" ht="15" hidden="false" customHeight="false" outlineLevel="0" collapsed="false">
      <c r="DG782" s="0" t="s">
        <v>5935</v>
      </c>
      <c r="DH782" s="0" t="s">
        <v>87</v>
      </c>
      <c r="DI782" s="0" t="s">
        <v>376</v>
      </c>
      <c r="DJ782" s="0" t="s">
        <v>377</v>
      </c>
      <c r="DK782" s="0" t="s">
        <v>1181</v>
      </c>
      <c r="DL782" s="0" t="n">
        <v>7.69</v>
      </c>
      <c r="DM782" s="0" t="s">
        <v>675</v>
      </c>
      <c r="DN782" s="0" t="s">
        <v>676</v>
      </c>
      <c r="DO782" s="0" t="n">
        <v>1</v>
      </c>
      <c r="DP782" s="0" t="n">
        <v>36136</v>
      </c>
      <c r="DQ782" s="0" t="n">
        <v>36136</v>
      </c>
      <c r="DR782" s="0" t="s">
        <v>5936</v>
      </c>
      <c r="EB782" s="0" t="s">
        <v>5937</v>
      </c>
      <c r="EC782" s="0" t="s">
        <v>2522</v>
      </c>
      <c r="ED782" s="0" t="s">
        <v>2523</v>
      </c>
      <c r="EE782" s="0" t="s">
        <v>599</v>
      </c>
      <c r="EF782" s="0" t="s">
        <v>2745</v>
      </c>
      <c r="EG782" s="0" t="n">
        <v>1</v>
      </c>
      <c r="EH782" s="0" t="n">
        <v>1</v>
      </c>
      <c r="EI782" s="0" t="n">
        <v>1</v>
      </c>
      <c r="EJ782" s="0" t="n">
        <v>1</v>
      </c>
    </row>
    <row r="783" customFormat="false" ht="15" hidden="false" customHeight="false" outlineLevel="0" collapsed="false">
      <c r="DG783" s="0" t="s">
        <v>5938</v>
      </c>
      <c r="DH783" s="0" t="s">
        <v>87</v>
      </c>
      <c r="DI783" s="0" t="s">
        <v>382</v>
      </c>
      <c r="DJ783" s="0" t="s">
        <v>383</v>
      </c>
      <c r="DK783" s="0" t="s">
        <v>1181</v>
      </c>
      <c r="DL783" s="0" t="n">
        <v>7.69</v>
      </c>
      <c r="DM783" s="0" t="s">
        <v>675</v>
      </c>
      <c r="DN783" s="0" t="s">
        <v>676</v>
      </c>
      <c r="DO783" s="0" t="n">
        <v>1</v>
      </c>
      <c r="DP783" s="0" t="n">
        <v>36136</v>
      </c>
      <c r="DQ783" s="0" t="n">
        <v>36136</v>
      </c>
      <c r="DR783" s="0" t="s">
        <v>5939</v>
      </c>
      <c r="EB783" s="0" t="s">
        <v>5940</v>
      </c>
      <c r="EC783" s="0" t="s">
        <v>2522</v>
      </c>
      <c r="ED783" s="0" t="s">
        <v>2523</v>
      </c>
      <c r="EE783" s="0" t="s">
        <v>597</v>
      </c>
      <c r="EF783" s="0" t="s">
        <v>3308</v>
      </c>
      <c r="EG783" s="0" t="n">
        <v>3500</v>
      </c>
      <c r="EH783" s="0" t="n">
        <v>3500</v>
      </c>
      <c r="EI783" s="0" t="n">
        <v>3500</v>
      </c>
      <c r="EJ783" s="0" t="n">
        <v>3500</v>
      </c>
    </row>
    <row r="784" customFormat="false" ht="15" hidden="false" customHeight="false" outlineLevel="0" collapsed="false">
      <c r="DG784" s="0" t="s">
        <v>5941</v>
      </c>
      <c r="DH784" s="0" t="s">
        <v>87</v>
      </c>
      <c r="DI784" s="0" t="s">
        <v>421</v>
      </c>
      <c r="DJ784" s="0" t="s">
        <v>422</v>
      </c>
      <c r="DK784" s="0" t="s">
        <v>1181</v>
      </c>
      <c r="DL784" s="0" t="n">
        <v>7.69</v>
      </c>
      <c r="DM784" s="0" t="s">
        <v>675</v>
      </c>
      <c r="DN784" s="0" t="s">
        <v>676</v>
      </c>
      <c r="DO784" s="0" t="n">
        <v>1</v>
      </c>
      <c r="DP784" s="0" t="n">
        <v>36130</v>
      </c>
      <c r="DQ784" s="0" t="n">
        <v>36130</v>
      </c>
      <c r="DR784" s="0" t="s">
        <v>5942</v>
      </c>
      <c r="EB784" s="0" t="s">
        <v>5943</v>
      </c>
      <c r="EC784" s="0" t="s">
        <v>2522</v>
      </c>
      <c r="ED784" s="0" t="s">
        <v>2523</v>
      </c>
      <c r="EE784" s="0" t="s">
        <v>2699</v>
      </c>
      <c r="EF784" s="0" t="s">
        <v>2700</v>
      </c>
      <c r="EG784" s="0" t="n">
        <v>30000</v>
      </c>
      <c r="EH784" s="0" t="n">
        <v>30000</v>
      </c>
      <c r="EI784" s="0" t="n">
        <v>30000</v>
      </c>
      <c r="EJ784" s="0" t="n">
        <v>30000</v>
      </c>
    </row>
    <row r="785" customFormat="false" ht="15" hidden="false" customHeight="false" outlineLevel="0" collapsed="false">
      <c r="DG785" s="0" t="s">
        <v>5944</v>
      </c>
      <c r="DH785" s="0" t="s">
        <v>87</v>
      </c>
      <c r="DI785" s="0" t="s">
        <v>409</v>
      </c>
      <c r="DJ785" s="0" t="s">
        <v>410</v>
      </c>
      <c r="DK785" s="0" t="s">
        <v>1181</v>
      </c>
      <c r="DL785" s="0" t="n">
        <v>7.69</v>
      </c>
      <c r="DM785" s="0" t="s">
        <v>675</v>
      </c>
      <c r="DN785" s="0" t="s">
        <v>676</v>
      </c>
      <c r="DO785" s="0" t="n">
        <v>1</v>
      </c>
      <c r="DP785" s="0" t="n">
        <v>36130</v>
      </c>
      <c r="DQ785" s="0" t="n">
        <v>36130</v>
      </c>
      <c r="DR785" s="0" t="s">
        <v>5945</v>
      </c>
      <c r="EB785" s="0" t="s">
        <v>5946</v>
      </c>
      <c r="EC785" s="0" t="s">
        <v>2522</v>
      </c>
      <c r="EE785" s="0" t="s">
        <v>590</v>
      </c>
    </row>
    <row r="786" customFormat="false" ht="15" hidden="false" customHeight="false" outlineLevel="0" collapsed="false">
      <c r="DG786" s="0" t="s">
        <v>5947</v>
      </c>
      <c r="DH786" s="0" t="s">
        <v>87</v>
      </c>
      <c r="DI786" s="0" t="s">
        <v>409</v>
      </c>
      <c r="DJ786" s="0" t="s">
        <v>1673</v>
      </c>
      <c r="DK786" s="0" t="s">
        <v>1181</v>
      </c>
      <c r="DL786" s="0" t="n">
        <v>7.69</v>
      </c>
      <c r="DM786" s="0" t="s">
        <v>675</v>
      </c>
      <c r="DN786" s="0" t="s">
        <v>676</v>
      </c>
      <c r="DO786" s="0" t="n">
        <v>1</v>
      </c>
      <c r="DP786" s="0" t="n">
        <v>36130</v>
      </c>
      <c r="DQ786" s="0" t="n">
        <v>36130</v>
      </c>
      <c r="DR786" s="0" t="s">
        <v>5948</v>
      </c>
      <c r="EB786" s="0" t="s">
        <v>5949</v>
      </c>
      <c r="EC786" s="0" t="s">
        <v>2522</v>
      </c>
      <c r="ED786" s="0" t="s">
        <v>2523</v>
      </c>
      <c r="EE786" s="0" t="s">
        <v>588</v>
      </c>
      <c r="EF786" s="0" t="s">
        <v>2801</v>
      </c>
      <c r="EG786" s="0" t="n">
        <v>1</v>
      </c>
      <c r="EH786" s="0" t="n">
        <v>1</v>
      </c>
      <c r="EI786" s="0" t="n">
        <v>1</v>
      </c>
      <c r="EJ786" s="0" t="n">
        <v>1</v>
      </c>
    </row>
    <row r="787" customFormat="false" ht="15" hidden="false" customHeight="false" outlineLevel="0" collapsed="false">
      <c r="DG787" s="0" t="s">
        <v>5950</v>
      </c>
      <c r="DH787" s="0" t="s">
        <v>87</v>
      </c>
      <c r="DI787" s="0" t="s">
        <v>456</v>
      </c>
      <c r="DJ787" s="0" t="s">
        <v>1674</v>
      </c>
      <c r="DK787" s="0" t="s">
        <v>1181</v>
      </c>
      <c r="DL787" s="0" t="n">
        <v>7.69</v>
      </c>
      <c r="DM787" s="0" t="s">
        <v>675</v>
      </c>
      <c r="DN787" s="0" t="s">
        <v>676</v>
      </c>
      <c r="DO787" s="0" t="n">
        <v>1</v>
      </c>
      <c r="DP787" s="0" t="n">
        <v>13340.05</v>
      </c>
      <c r="DQ787" s="0" t="n">
        <v>13340.05</v>
      </c>
      <c r="DR787" s="0" t="s">
        <v>5951</v>
      </c>
      <c r="EB787" s="0" t="s">
        <v>5952</v>
      </c>
      <c r="EC787" s="0" t="s">
        <v>2522</v>
      </c>
      <c r="ED787" s="0" t="s">
        <v>2523</v>
      </c>
      <c r="EE787" s="0" t="s">
        <v>586</v>
      </c>
      <c r="EF787" s="0" t="s">
        <v>2815</v>
      </c>
      <c r="EG787" s="0" t="n">
        <v>1</v>
      </c>
      <c r="EH787" s="0" t="n">
        <v>1</v>
      </c>
      <c r="EI787" s="0" t="n">
        <v>1</v>
      </c>
      <c r="EJ787" s="0" t="n">
        <v>1</v>
      </c>
    </row>
    <row r="788" customFormat="false" ht="15" hidden="false" customHeight="false" outlineLevel="0" collapsed="false">
      <c r="DG788" s="0" t="s">
        <v>5953</v>
      </c>
      <c r="DH788" s="0" t="s">
        <v>87</v>
      </c>
      <c r="DI788" s="0" t="s">
        <v>510</v>
      </c>
      <c r="DJ788" s="0" t="s">
        <v>511</v>
      </c>
      <c r="DK788" s="0" t="s">
        <v>1181</v>
      </c>
      <c r="DL788" s="0" t="n">
        <v>7.69</v>
      </c>
      <c r="DM788" s="0" t="s">
        <v>675</v>
      </c>
      <c r="DN788" s="0" t="s">
        <v>676</v>
      </c>
      <c r="DO788" s="0" t="n">
        <v>1</v>
      </c>
      <c r="DP788" s="0" t="n">
        <v>0.06</v>
      </c>
      <c r="DQ788" s="0" t="n">
        <v>0.06</v>
      </c>
      <c r="DR788" s="0" t="s">
        <v>5954</v>
      </c>
      <c r="EB788" s="0" t="s">
        <v>5955</v>
      </c>
      <c r="EC788" s="0" t="s">
        <v>2522</v>
      </c>
      <c r="ED788" s="0" t="s">
        <v>2523</v>
      </c>
      <c r="EE788" s="0" t="s">
        <v>584</v>
      </c>
      <c r="EF788" s="0" t="s">
        <v>583</v>
      </c>
      <c r="EG788" s="0" t="n">
        <v>120000</v>
      </c>
      <c r="EH788" s="0" t="n">
        <v>120000</v>
      </c>
      <c r="EI788" s="0" t="n">
        <v>120000</v>
      </c>
      <c r="EJ788" s="0" t="n">
        <v>120000</v>
      </c>
    </row>
    <row r="789" customFormat="false" ht="15" hidden="false" customHeight="false" outlineLevel="0" collapsed="false">
      <c r="DG789" s="0" t="s">
        <v>5956</v>
      </c>
      <c r="DH789" s="0" t="s">
        <v>87</v>
      </c>
      <c r="DJ789" s="0" t="s">
        <v>1056</v>
      </c>
      <c r="DK789" s="0" t="s">
        <v>705</v>
      </c>
      <c r="DL789" s="0" t="n">
        <v>7.69</v>
      </c>
      <c r="DM789" s="0" t="s">
        <v>675</v>
      </c>
      <c r="DN789" s="0" t="s">
        <v>675</v>
      </c>
      <c r="DO789" s="0" t="n">
        <v>0</v>
      </c>
      <c r="DP789" s="0" t="n">
        <v>0</v>
      </c>
      <c r="DQ789" s="0" t="n">
        <v>0</v>
      </c>
      <c r="DR789" s="0" t="s">
        <v>5396</v>
      </c>
      <c r="EB789" s="0" t="s">
        <v>5957</v>
      </c>
      <c r="EC789" s="0" t="s">
        <v>2522</v>
      </c>
      <c r="EE789" s="0" t="s">
        <v>330</v>
      </c>
    </row>
    <row r="790" customFormat="false" ht="15" hidden="false" customHeight="false" outlineLevel="0" collapsed="false">
      <c r="DG790" s="0" t="s">
        <v>5958</v>
      </c>
      <c r="DH790" s="0" t="s">
        <v>87</v>
      </c>
      <c r="DJ790" s="0" t="s">
        <v>1159</v>
      </c>
      <c r="DK790" s="0" t="s">
        <v>705</v>
      </c>
      <c r="DL790" s="0" t="n">
        <v>7.69</v>
      </c>
      <c r="DM790" s="0" t="s">
        <v>675</v>
      </c>
      <c r="DN790" s="0" t="s">
        <v>675</v>
      </c>
      <c r="DO790" s="0" t="n">
        <v>0</v>
      </c>
      <c r="DP790" s="0" t="n">
        <v>0</v>
      </c>
      <c r="DQ790" s="0" t="n">
        <v>0</v>
      </c>
      <c r="DR790" s="0" t="s">
        <v>5482</v>
      </c>
      <c r="EB790" s="0" t="s">
        <v>5959</v>
      </c>
      <c r="EC790" s="0" t="s">
        <v>2522</v>
      </c>
      <c r="EE790" s="0" t="s">
        <v>334</v>
      </c>
    </row>
    <row r="791" customFormat="false" ht="15" hidden="false" customHeight="false" outlineLevel="0" collapsed="false">
      <c r="DG791" s="0" t="s">
        <v>5960</v>
      </c>
      <c r="DH791" s="0" t="s">
        <v>87</v>
      </c>
      <c r="DJ791" s="0" t="s">
        <v>1676</v>
      </c>
      <c r="DK791" s="0" t="s">
        <v>705</v>
      </c>
      <c r="DL791" s="0" t="n">
        <v>7.69</v>
      </c>
      <c r="DM791" s="0" t="s">
        <v>675</v>
      </c>
      <c r="DN791" s="0" t="s">
        <v>675</v>
      </c>
      <c r="DO791" s="0" t="n">
        <v>0</v>
      </c>
      <c r="DP791" s="0" t="n">
        <v>0</v>
      </c>
      <c r="DQ791" s="0" t="n">
        <v>0</v>
      </c>
      <c r="DR791" s="0" t="s">
        <v>5961</v>
      </c>
      <c r="EB791" s="0" t="s">
        <v>5962</v>
      </c>
      <c r="EC791" s="0" t="s">
        <v>2522</v>
      </c>
      <c r="ED791" s="0" t="s">
        <v>2523</v>
      </c>
      <c r="EE791" s="0" t="s">
        <v>582</v>
      </c>
      <c r="EF791" s="0" t="s">
        <v>580</v>
      </c>
      <c r="EG791" s="0" t="n">
        <v>2030</v>
      </c>
      <c r="EH791" s="0" t="n">
        <v>2210</v>
      </c>
      <c r="EI791" s="0" t="n">
        <v>2380</v>
      </c>
      <c r="EJ791" s="0" t="n">
        <v>2560</v>
      </c>
    </row>
    <row r="792" customFormat="false" ht="15" hidden="false" customHeight="false" outlineLevel="0" collapsed="false">
      <c r="DG792" s="0" t="s">
        <v>5963</v>
      </c>
      <c r="DH792" s="0" t="s">
        <v>87</v>
      </c>
      <c r="DJ792" s="0" t="s">
        <v>1547</v>
      </c>
      <c r="DK792" s="0" t="s">
        <v>705</v>
      </c>
      <c r="DL792" s="0" t="n">
        <v>7.69</v>
      </c>
      <c r="DM792" s="0" t="s">
        <v>675</v>
      </c>
      <c r="DN792" s="0" t="s">
        <v>675</v>
      </c>
      <c r="DO792" s="0" t="n">
        <v>0</v>
      </c>
      <c r="DP792" s="0" t="n">
        <v>0</v>
      </c>
      <c r="DQ792" s="0" t="n">
        <v>0</v>
      </c>
      <c r="DR792" s="0" t="s">
        <v>5829</v>
      </c>
      <c r="EB792" s="0" t="s">
        <v>5964</v>
      </c>
      <c r="EC792" s="0" t="s">
        <v>2522</v>
      </c>
      <c r="ED792" s="0" t="s">
        <v>2523</v>
      </c>
      <c r="EE792" s="0" t="s">
        <v>579</v>
      </c>
      <c r="EF792" s="0" t="s">
        <v>2889</v>
      </c>
      <c r="EG792" s="0" t="n">
        <v>1300</v>
      </c>
      <c r="EH792" s="0" t="n">
        <v>1300</v>
      </c>
      <c r="EI792" s="0" t="n">
        <v>1300</v>
      </c>
      <c r="EJ792" s="0" t="n">
        <v>1300</v>
      </c>
    </row>
    <row r="793" customFormat="false" ht="15" hidden="false" customHeight="false" outlineLevel="0" collapsed="false">
      <c r="DG793" s="0" t="s">
        <v>5965</v>
      </c>
      <c r="DH793" s="0" t="s">
        <v>87</v>
      </c>
      <c r="DJ793" s="0" t="s">
        <v>1369</v>
      </c>
      <c r="DK793" s="0" t="s">
        <v>705</v>
      </c>
      <c r="DL793" s="0" t="n">
        <v>7.69</v>
      </c>
      <c r="DM793" s="0" t="s">
        <v>675</v>
      </c>
      <c r="DN793" s="0" t="s">
        <v>675</v>
      </c>
      <c r="DO793" s="0" t="n">
        <v>0</v>
      </c>
      <c r="DP793" s="0" t="n">
        <v>0</v>
      </c>
      <c r="DQ793" s="0" t="n">
        <v>0</v>
      </c>
      <c r="DR793" s="0" t="s">
        <v>5653</v>
      </c>
      <c r="EB793" s="0" t="s">
        <v>5966</v>
      </c>
      <c r="EC793" s="0" t="s">
        <v>2522</v>
      </c>
      <c r="ED793" s="0" t="s">
        <v>2523</v>
      </c>
      <c r="EE793" s="0" t="s">
        <v>575</v>
      </c>
      <c r="EF793" s="0" t="s">
        <v>573</v>
      </c>
      <c r="EG793" s="0" t="n">
        <v>1</v>
      </c>
      <c r="EH793" s="0" t="n">
        <v>1</v>
      </c>
      <c r="EI793" s="0" t="n">
        <v>1</v>
      </c>
      <c r="EJ793" s="0" t="n">
        <v>1</v>
      </c>
    </row>
    <row r="794" customFormat="false" ht="15" hidden="false" customHeight="false" outlineLevel="0" collapsed="false">
      <c r="DG794" s="0" t="s">
        <v>5967</v>
      </c>
      <c r="DH794" s="0" t="s">
        <v>87</v>
      </c>
      <c r="DJ794" s="0" t="s">
        <v>1677</v>
      </c>
      <c r="DK794" s="0" t="s">
        <v>705</v>
      </c>
      <c r="DL794" s="0" t="n">
        <v>7.69</v>
      </c>
      <c r="DM794" s="0" t="s">
        <v>675</v>
      </c>
      <c r="DN794" s="0" t="s">
        <v>675</v>
      </c>
      <c r="DO794" s="0" t="n">
        <v>0</v>
      </c>
      <c r="DP794" s="0" t="n">
        <v>0</v>
      </c>
      <c r="DQ794" s="0" t="n">
        <v>0</v>
      </c>
      <c r="DR794" s="0" t="s">
        <v>5968</v>
      </c>
      <c r="EB794" s="0" t="s">
        <v>5969</v>
      </c>
      <c r="EC794" s="0" t="s">
        <v>2522</v>
      </c>
      <c r="ED794" s="0" t="s">
        <v>2523</v>
      </c>
      <c r="EE794" s="0" t="s">
        <v>2917</v>
      </c>
      <c r="EF794" s="0" t="s">
        <v>3375</v>
      </c>
      <c r="EG794" s="0" t="n">
        <v>3000</v>
      </c>
      <c r="EH794" s="0" t="n">
        <v>3000</v>
      </c>
      <c r="EI794" s="0" t="n">
        <v>3000</v>
      </c>
      <c r="EJ794" s="0" t="n">
        <v>3000</v>
      </c>
    </row>
    <row r="795" customFormat="false" ht="15" hidden="false" customHeight="false" outlineLevel="0" collapsed="false">
      <c r="DG795" s="0" t="s">
        <v>5970</v>
      </c>
      <c r="DH795" s="0" t="s">
        <v>87</v>
      </c>
      <c r="DJ795" s="0" t="s">
        <v>1460</v>
      </c>
      <c r="DK795" s="0" t="s">
        <v>705</v>
      </c>
      <c r="DL795" s="0" t="n">
        <v>7.69</v>
      </c>
      <c r="DM795" s="0" t="s">
        <v>675</v>
      </c>
      <c r="DN795" s="0" t="s">
        <v>675</v>
      </c>
      <c r="DO795" s="0" t="n">
        <v>0</v>
      </c>
      <c r="DP795" s="0" t="n">
        <v>0</v>
      </c>
      <c r="DQ795" s="0" t="n">
        <v>0</v>
      </c>
      <c r="DR795" s="0" t="s">
        <v>5737</v>
      </c>
      <c r="EB795" s="0" t="s">
        <v>5971</v>
      </c>
      <c r="EC795" s="0" t="s">
        <v>2522</v>
      </c>
      <c r="ED795" s="0" t="s">
        <v>2523</v>
      </c>
      <c r="EE795" s="0" t="s">
        <v>2932</v>
      </c>
      <c r="EF795" s="0" t="s">
        <v>3383</v>
      </c>
      <c r="EG795" s="0" t="n">
        <v>6000</v>
      </c>
      <c r="EH795" s="0" t="n">
        <v>6000</v>
      </c>
      <c r="EI795" s="0" t="n">
        <v>6000</v>
      </c>
      <c r="EJ795" s="0" t="n">
        <v>6000</v>
      </c>
    </row>
    <row r="796" customFormat="false" ht="15" hidden="false" customHeight="false" outlineLevel="0" collapsed="false">
      <c r="DG796" s="0" t="s">
        <v>5972</v>
      </c>
      <c r="DH796" s="0" t="s">
        <v>87</v>
      </c>
      <c r="DJ796" s="0" t="s">
        <v>1410</v>
      </c>
      <c r="DK796" s="0" t="s">
        <v>705</v>
      </c>
      <c r="DL796" s="0" t="n">
        <v>7.69</v>
      </c>
      <c r="DM796" s="0" t="s">
        <v>675</v>
      </c>
      <c r="DN796" s="0" t="s">
        <v>675</v>
      </c>
      <c r="DO796" s="0" t="n">
        <v>0</v>
      </c>
      <c r="DP796" s="0" t="n">
        <v>0</v>
      </c>
      <c r="DQ796" s="0" t="n">
        <v>0</v>
      </c>
      <c r="DR796" s="0" t="s">
        <v>5688</v>
      </c>
      <c r="EB796" s="0" t="s">
        <v>5973</v>
      </c>
      <c r="EC796" s="0" t="s">
        <v>2522</v>
      </c>
      <c r="ED796" s="0" t="s">
        <v>2523</v>
      </c>
      <c r="EE796" s="0" t="s">
        <v>2946</v>
      </c>
      <c r="EF796" s="0" t="s">
        <v>3389</v>
      </c>
      <c r="EG796" s="0" t="n">
        <v>8500</v>
      </c>
      <c r="EH796" s="0" t="n">
        <v>8500</v>
      </c>
      <c r="EI796" s="0" t="n">
        <v>8500</v>
      </c>
      <c r="EJ796" s="0" t="n">
        <v>8500</v>
      </c>
    </row>
    <row r="797" customFormat="false" ht="15" hidden="false" customHeight="false" outlineLevel="0" collapsed="false">
      <c r="DG797" s="0" t="s">
        <v>5974</v>
      </c>
      <c r="DH797" s="0" t="s">
        <v>87</v>
      </c>
      <c r="DI797" s="0" t="s">
        <v>1678</v>
      </c>
      <c r="DJ797" s="0" t="s">
        <v>1679</v>
      </c>
      <c r="DK797" s="0" t="s">
        <v>705</v>
      </c>
      <c r="DL797" s="0" t="n">
        <v>7.69</v>
      </c>
      <c r="DM797" s="0" t="s">
        <v>675</v>
      </c>
      <c r="DN797" s="0" t="s">
        <v>676</v>
      </c>
      <c r="DO797" s="0" t="n">
        <v>1</v>
      </c>
      <c r="DP797" s="0" t="n">
        <v>12985.31</v>
      </c>
      <c r="DQ797" s="0" t="n">
        <v>12985.31</v>
      </c>
      <c r="DR797" s="0" t="s">
        <v>5975</v>
      </c>
      <c r="EB797" s="0" t="s">
        <v>5976</v>
      </c>
      <c r="EC797" s="0" t="s">
        <v>2522</v>
      </c>
      <c r="ED797" s="0" t="s">
        <v>2523</v>
      </c>
      <c r="EE797" s="0" t="s">
        <v>567</v>
      </c>
      <c r="EF797" s="0" t="s">
        <v>2959</v>
      </c>
      <c r="EG797" s="0" t="n">
        <v>1</v>
      </c>
      <c r="EH797" s="0" t="n">
        <v>1</v>
      </c>
      <c r="EI797" s="0" t="n">
        <v>1</v>
      </c>
      <c r="EJ797" s="0" t="n">
        <v>1</v>
      </c>
    </row>
    <row r="798" customFormat="false" ht="15" hidden="false" customHeight="false" outlineLevel="0" collapsed="false">
      <c r="DG798" s="0" t="s">
        <v>5977</v>
      </c>
      <c r="DH798" s="0" t="s">
        <v>87</v>
      </c>
      <c r="DI798" s="0" t="s">
        <v>1681</v>
      </c>
      <c r="DJ798" s="0" t="s">
        <v>1682</v>
      </c>
      <c r="DK798" s="0" t="s">
        <v>705</v>
      </c>
      <c r="DL798" s="0" t="n">
        <v>7.69</v>
      </c>
      <c r="DM798" s="0" t="s">
        <v>675</v>
      </c>
      <c r="DN798" s="0" t="s">
        <v>676</v>
      </c>
      <c r="DO798" s="0" t="n">
        <v>5</v>
      </c>
      <c r="DP798" s="0" t="n">
        <v>93.75</v>
      </c>
      <c r="DQ798" s="0" t="n">
        <v>93.75</v>
      </c>
      <c r="DR798" s="0" t="s">
        <v>5978</v>
      </c>
      <c r="EB798" s="0" t="s">
        <v>5979</v>
      </c>
      <c r="EC798" s="0" t="s">
        <v>2522</v>
      </c>
      <c r="ED798" s="0" t="s">
        <v>2523</v>
      </c>
      <c r="EE798" s="0" t="s">
        <v>569</v>
      </c>
      <c r="EF798" s="0" t="s">
        <v>2973</v>
      </c>
      <c r="EG798" s="0" t="n">
        <v>13000</v>
      </c>
      <c r="EH798" s="0" t="n">
        <v>13000</v>
      </c>
      <c r="EI798" s="0" t="n">
        <v>13000</v>
      </c>
      <c r="EJ798" s="0" t="n">
        <v>13000</v>
      </c>
    </row>
    <row r="799" customFormat="false" ht="15" hidden="false" customHeight="false" outlineLevel="0" collapsed="false">
      <c r="DG799" s="0" t="s">
        <v>5980</v>
      </c>
      <c r="DH799" s="0" t="s">
        <v>87</v>
      </c>
      <c r="DI799" s="0" t="s">
        <v>1685</v>
      </c>
      <c r="DJ799" s="0" t="s">
        <v>1686</v>
      </c>
      <c r="DK799" s="0" t="s">
        <v>705</v>
      </c>
      <c r="DL799" s="0" t="n">
        <v>7.69</v>
      </c>
      <c r="DM799" s="0" t="s">
        <v>676</v>
      </c>
      <c r="DN799" s="0" t="s">
        <v>675</v>
      </c>
      <c r="DO799" s="0" t="n">
        <v>0</v>
      </c>
      <c r="DP799" s="0" t="n">
        <v>0</v>
      </c>
      <c r="DQ799" s="0" t="n">
        <v>270.94</v>
      </c>
      <c r="DR799" s="0" t="s">
        <v>5981</v>
      </c>
      <c r="EB799" s="0" t="s">
        <v>5982</v>
      </c>
      <c r="EC799" s="0" t="s">
        <v>2522</v>
      </c>
      <c r="ED799" s="0" t="s">
        <v>2523</v>
      </c>
      <c r="EE799" s="0" t="s">
        <v>562</v>
      </c>
      <c r="EF799" s="0" t="s">
        <v>2986</v>
      </c>
      <c r="EG799" s="0" t="n">
        <v>1</v>
      </c>
      <c r="EH799" s="0" t="n">
        <v>1</v>
      </c>
      <c r="EI799" s="0" t="n">
        <v>1</v>
      </c>
      <c r="EJ799" s="0" t="n">
        <v>1</v>
      </c>
    </row>
    <row r="800" customFormat="false" ht="15" hidden="false" customHeight="false" outlineLevel="0" collapsed="false">
      <c r="DG800" s="0" t="s">
        <v>5983</v>
      </c>
      <c r="DH800" s="0" t="s">
        <v>87</v>
      </c>
      <c r="DI800" s="0" t="s">
        <v>1690</v>
      </c>
      <c r="DJ800" s="0" t="s">
        <v>1691</v>
      </c>
      <c r="DK800" s="0" t="s">
        <v>705</v>
      </c>
      <c r="DL800" s="0" t="n">
        <v>7.69</v>
      </c>
      <c r="DM800" s="0" t="s">
        <v>675</v>
      </c>
      <c r="DN800" s="0" t="s">
        <v>676</v>
      </c>
      <c r="DO800" s="0" t="n">
        <v>1</v>
      </c>
      <c r="DP800" s="0" t="n">
        <v>12946.87</v>
      </c>
      <c r="DQ800" s="0" t="n">
        <v>12946.87</v>
      </c>
      <c r="DR800" s="0" t="s">
        <v>5984</v>
      </c>
      <c r="EB800" s="0" t="s">
        <v>5985</v>
      </c>
      <c r="EC800" s="0" t="s">
        <v>2522</v>
      </c>
      <c r="EE800" s="0" t="s">
        <v>557</v>
      </c>
    </row>
    <row r="801" customFormat="false" ht="15" hidden="false" customHeight="false" outlineLevel="0" collapsed="false">
      <c r="DG801" s="0" t="s">
        <v>5986</v>
      </c>
      <c r="DH801" s="0" t="s">
        <v>87</v>
      </c>
      <c r="DI801" s="0" t="s">
        <v>1693</v>
      </c>
      <c r="DJ801" s="0" t="s">
        <v>1694</v>
      </c>
      <c r="DK801" s="0" t="s">
        <v>705</v>
      </c>
      <c r="DL801" s="0" t="n">
        <v>7.69</v>
      </c>
      <c r="DM801" s="0" t="s">
        <v>675</v>
      </c>
      <c r="DN801" s="0" t="s">
        <v>676</v>
      </c>
      <c r="DO801" s="0" t="n">
        <v>2.5</v>
      </c>
      <c r="DP801" s="0" t="n">
        <v>1427.32</v>
      </c>
      <c r="DQ801" s="0" t="n">
        <v>1427.32</v>
      </c>
      <c r="DR801" s="0" t="s">
        <v>5987</v>
      </c>
      <c r="EB801" s="0" t="s">
        <v>5988</v>
      </c>
      <c r="EC801" s="0" t="s">
        <v>2522</v>
      </c>
      <c r="EE801" s="0" t="s">
        <v>290</v>
      </c>
    </row>
    <row r="802" customFormat="false" ht="15" hidden="false" customHeight="false" outlineLevel="0" collapsed="false">
      <c r="DG802" s="0" t="s">
        <v>5989</v>
      </c>
      <c r="DH802" s="0" t="s">
        <v>87</v>
      </c>
      <c r="DI802" s="0" t="s">
        <v>1699</v>
      </c>
      <c r="DJ802" s="0" t="s">
        <v>1700</v>
      </c>
      <c r="DK802" s="0" t="s">
        <v>705</v>
      </c>
      <c r="DL802" s="0" t="n">
        <v>7.69</v>
      </c>
      <c r="DM802" s="0" t="s">
        <v>676</v>
      </c>
      <c r="DN802" s="0" t="s">
        <v>675</v>
      </c>
      <c r="DO802" s="0" t="n">
        <v>0</v>
      </c>
      <c r="DP802" s="0" t="n">
        <v>0</v>
      </c>
      <c r="DQ802" s="0" t="n">
        <v>246.38</v>
      </c>
      <c r="DR802" s="0" t="s">
        <v>5990</v>
      </c>
      <c r="EB802" s="0" t="s">
        <v>5991</v>
      </c>
      <c r="EC802" s="0" t="s">
        <v>2522</v>
      </c>
      <c r="EE802" s="0" t="s">
        <v>275</v>
      </c>
    </row>
    <row r="803" customFormat="false" ht="15" hidden="false" customHeight="false" outlineLevel="0" collapsed="false">
      <c r="DG803" s="0" t="s">
        <v>5992</v>
      </c>
      <c r="DH803" s="0" t="s">
        <v>87</v>
      </c>
      <c r="DI803" s="0" t="s">
        <v>1705</v>
      </c>
      <c r="DJ803" s="0" t="s">
        <v>1706</v>
      </c>
      <c r="DK803" s="0" t="s">
        <v>705</v>
      </c>
      <c r="DL803" s="0" t="n">
        <v>7.69</v>
      </c>
      <c r="DM803" s="0" t="s">
        <v>675</v>
      </c>
      <c r="DN803" s="0" t="s">
        <v>676</v>
      </c>
      <c r="DO803" s="0" t="n">
        <v>6.5</v>
      </c>
      <c r="DP803" s="0" t="n">
        <v>1045</v>
      </c>
      <c r="DQ803" s="0" t="n">
        <v>1045</v>
      </c>
      <c r="DR803" s="0" t="s">
        <v>5993</v>
      </c>
      <c r="EB803" s="0" t="s">
        <v>5994</v>
      </c>
      <c r="EC803" s="0" t="s">
        <v>2522</v>
      </c>
      <c r="EE803" s="0" t="s">
        <v>298</v>
      </c>
    </row>
    <row r="804" customFormat="false" ht="15" hidden="false" customHeight="false" outlineLevel="0" collapsed="false">
      <c r="DG804" s="0" t="s">
        <v>5995</v>
      </c>
      <c r="DH804" s="0" t="s">
        <v>87</v>
      </c>
      <c r="DI804" s="0" t="s">
        <v>1710</v>
      </c>
      <c r="DJ804" s="0" t="s">
        <v>1711</v>
      </c>
      <c r="DK804" s="0" t="s">
        <v>705</v>
      </c>
      <c r="DL804" s="0" t="n">
        <v>7.69</v>
      </c>
      <c r="DM804" s="0" t="s">
        <v>676</v>
      </c>
      <c r="DN804" s="0" t="s">
        <v>675</v>
      </c>
      <c r="DO804" s="0" t="n">
        <v>0</v>
      </c>
      <c r="DP804" s="0" t="n">
        <v>0</v>
      </c>
      <c r="DQ804" s="0" t="n">
        <v>63</v>
      </c>
      <c r="DR804" s="0" t="s">
        <v>5996</v>
      </c>
      <c r="EB804" s="0" t="s">
        <v>5997</v>
      </c>
      <c r="EC804" s="0" t="s">
        <v>2522</v>
      </c>
      <c r="EE804" s="0" t="s">
        <v>286</v>
      </c>
    </row>
    <row r="805" customFormat="false" ht="15" hidden="false" customHeight="false" outlineLevel="0" collapsed="false">
      <c r="DG805" s="0" t="s">
        <v>5998</v>
      </c>
      <c r="DH805" s="0" t="s">
        <v>87</v>
      </c>
      <c r="DI805" s="0" t="s">
        <v>1712</v>
      </c>
      <c r="DJ805" s="0" t="s">
        <v>1713</v>
      </c>
      <c r="DK805" s="0" t="s">
        <v>705</v>
      </c>
      <c r="DL805" s="0" t="n">
        <v>7.69</v>
      </c>
      <c r="DM805" s="0" t="s">
        <v>675</v>
      </c>
      <c r="DN805" s="0" t="s">
        <v>676</v>
      </c>
      <c r="DO805" s="0" t="n">
        <v>1</v>
      </c>
      <c r="DP805" s="0" t="n">
        <v>164</v>
      </c>
      <c r="DQ805" s="0" t="n">
        <v>164</v>
      </c>
      <c r="DR805" s="0" t="s">
        <v>5999</v>
      </c>
      <c r="EB805" s="0" t="s">
        <v>6000</v>
      </c>
      <c r="EC805" s="0" t="s">
        <v>2522</v>
      </c>
      <c r="EE805" s="0" t="s">
        <v>272</v>
      </c>
    </row>
    <row r="806" customFormat="false" ht="15" hidden="false" customHeight="false" outlineLevel="0" collapsed="false">
      <c r="DG806" s="0" t="s">
        <v>6001</v>
      </c>
      <c r="DH806" s="0" t="s">
        <v>87</v>
      </c>
      <c r="DI806" s="0" t="s">
        <v>1715</v>
      </c>
      <c r="DJ806" s="0" t="s">
        <v>1716</v>
      </c>
      <c r="DK806" s="0" t="s">
        <v>705</v>
      </c>
      <c r="DL806" s="0" t="n">
        <v>7.69</v>
      </c>
      <c r="DM806" s="0" t="s">
        <v>675</v>
      </c>
      <c r="DN806" s="0" t="s">
        <v>676</v>
      </c>
      <c r="DO806" s="0" t="n">
        <v>1</v>
      </c>
      <c r="DP806" s="0" t="n">
        <v>210</v>
      </c>
      <c r="DQ806" s="0" t="n">
        <v>210</v>
      </c>
      <c r="DR806" s="0" t="s">
        <v>6002</v>
      </c>
      <c r="EB806" s="0" t="s">
        <v>6003</v>
      </c>
      <c r="EC806" s="0" t="s">
        <v>2522</v>
      </c>
      <c r="EE806" s="0" t="s">
        <v>283</v>
      </c>
    </row>
    <row r="807" customFormat="false" ht="15" hidden="false" customHeight="false" outlineLevel="0" collapsed="false">
      <c r="DG807" s="0" t="s">
        <v>6004</v>
      </c>
      <c r="DH807" s="0" t="s">
        <v>87</v>
      </c>
      <c r="DI807" s="0" t="s">
        <v>1717</v>
      </c>
      <c r="DJ807" s="0" t="s">
        <v>1718</v>
      </c>
      <c r="DK807" s="0" t="s">
        <v>705</v>
      </c>
      <c r="DL807" s="0" t="n">
        <v>7.69</v>
      </c>
      <c r="DM807" s="0" t="s">
        <v>676</v>
      </c>
      <c r="DN807" s="0" t="s">
        <v>676</v>
      </c>
      <c r="DO807" s="0" t="n">
        <v>0.5</v>
      </c>
      <c r="DP807" s="0" t="n">
        <v>235</v>
      </c>
      <c r="DQ807" s="0" t="n">
        <v>470</v>
      </c>
      <c r="DR807" s="0" t="s">
        <v>6005</v>
      </c>
      <c r="EB807" s="0" t="s">
        <v>6006</v>
      </c>
      <c r="EC807" s="0" t="s">
        <v>2522</v>
      </c>
      <c r="EE807" s="0" t="s">
        <v>267</v>
      </c>
    </row>
    <row r="808" customFormat="false" ht="15" hidden="false" customHeight="false" outlineLevel="0" collapsed="false">
      <c r="DG808" s="0" t="s">
        <v>6007</v>
      </c>
      <c r="DH808" s="0" t="s">
        <v>87</v>
      </c>
      <c r="DI808" s="0" t="s">
        <v>1721</v>
      </c>
      <c r="DJ808" s="0" t="s">
        <v>1722</v>
      </c>
      <c r="DK808" s="0" t="s">
        <v>705</v>
      </c>
      <c r="DL808" s="0" t="n">
        <v>7.69</v>
      </c>
      <c r="DM808" s="0" t="s">
        <v>676</v>
      </c>
      <c r="DN808" s="0" t="s">
        <v>675</v>
      </c>
      <c r="DO808" s="0" t="n">
        <v>0</v>
      </c>
      <c r="DP808" s="0" t="n">
        <v>0</v>
      </c>
      <c r="DQ808" s="0" t="n">
        <v>113.19</v>
      </c>
      <c r="DR808" s="0" t="s">
        <v>6008</v>
      </c>
      <c r="EB808" s="0" t="s">
        <v>6009</v>
      </c>
      <c r="EC808" s="0" t="s">
        <v>2522</v>
      </c>
      <c r="EE808" s="0" t="s">
        <v>258</v>
      </c>
    </row>
    <row r="809" customFormat="false" ht="15" hidden="false" customHeight="false" outlineLevel="0" collapsed="false">
      <c r="DG809" s="0" t="s">
        <v>6010</v>
      </c>
      <c r="DH809" s="0" t="s">
        <v>87</v>
      </c>
      <c r="DI809" s="0" t="s">
        <v>1727</v>
      </c>
      <c r="DJ809" s="0" t="s">
        <v>1728</v>
      </c>
      <c r="DK809" s="0" t="s">
        <v>705</v>
      </c>
      <c r="DL809" s="0" t="n">
        <v>7.69</v>
      </c>
      <c r="DM809" s="0" t="s">
        <v>675</v>
      </c>
      <c r="DN809" s="0" t="s">
        <v>676</v>
      </c>
      <c r="DO809" s="0" t="n">
        <v>1</v>
      </c>
      <c r="DP809" s="0" t="n">
        <v>7734.18</v>
      </c>
      <c r="DQ809" s="0" t="n">
        <v>7734.18</v>
      </c>
      <c r="DR809" s="0" t="s">
        <v>6011</v>
      </c>
      <c r="EB809" s="0" t="s">
        <v>6012</v>
      </c>
      <c r="EC809" s="0" t="s">
        <v>2522</v>
      </c>
      <c r="EE809" s="0" t="s">
        <v>222</v>
      </c>
    </row>
    <row r="810" customFormat="false" ht="15" hidden="false" customHeight="false" outlineLevel="0" collapsed="false">
      <c r="DG810" s="0" t="s">
        <v>6013</v>
      </c>
      <c r="DH810" s="0" t="s">
        <v>87</v>
      </c>
      <c r="DI810" s="0" t="s">
        <v>1733</v>
      </c>
      <c r="DJ810" s="0" t="s">
        <v>1734</v>
      </c>
      <c r="DK810" s="0" t="s">
        <v>705</v>
      </c>
      <c r="DL810" s="0" t="n">
        <v>7.69</v>
      </c>
      <c r="DM810" s="0" t="s">
        <v>676</v>
      </c>
      <c r="DN810" s="0" t="s">
        <v>675</v>
      </c>
      <c r="DO810" s="0" t="n">
        <v>0</v>
      </c>
      <c r="DP810" s="0" t="n">
        <v>0</v>
      </c>
      <c r="DQ810" s="0" t="n">
        <v>936.5</v>
      </c>
      <c r="DR810" s="0" t="s">
        <v>6014</v>
      </c>
      <c r="EB810" s="0" t="s">
        <v>6015</v>
      </c>
      <c r="EC810" s="0" t="s">
        <v>2522</v>
      </c>
      <c r="EE810" s="0" t="s">
        <v>233</v>
      </c>
    </row>
    <row r="811" customFormat="false" ht="15" hidden="false" customHeight="false" outlineLevel="0" collapsed="false">
      <c r="DG811" s="0" t="s">
        <v>6016</v>
      </c>
      <c r="DH811" s="0" t="s">
        <v>87</v>
      </c>
      <c r="DI811" s="0" t="s">
        <v>1736</v>
      </c>
      <c r="DJ811" s="0" t="s">
        <v>1737</v>
      </c>
      <c r="DK811" s="0" t="s">
        <v>705</v>
      </c>
      <c r="DL811" s="0" t="n">
        <v>7.69</v>
      </c>
      <c r="DM811" s="0" t="s">
        <v>675</v>
      </c>
      <c r="DN811" s="0" t="s">
        <v>676</v>
      </c>
      <c r="DO811" s="0" t="n">
        <v>9</v>
      </c>
      <c r="DP811" s="0" t="n">
        <v>918</v>
      </c>
      <c r="DQ811" s="0" t="n">
        <v>918</v>
      </c>
      <c r="DR811" s="0" t="s">
        <v>6017</v>
      </c>
      <c r="EB811" s="0" t="s">
        <v>6018</v>
      </c>
      <c r="EC811" s="0" t="s">
        <v>2522</v>
      </c>
      <c r="EE811" s="0" t="s">
        <v>225</v>
      </c>
    </row>
    <row r="812" customFormat="false" ht="15" hidden="false" customHeight="false" outlineLevel="0" collapsed="false">
      <c r="DG812" s="0" t="s">
        <v>6019</v>
      </c>
      <c r="DH812" s="0" t="s">
        <v>87</v>
      </c>
      <c r="DI812" s="0" t="s">
        <v>1739</v>
      </c>
      <c r="DJ812" s="0" t="s">
        <v>1677</v>
      </c>
      <c r="DK812" s="0" t="s">
        <v>705</v>
      </c>
      <c r="DL812" s="0" t="n">
        <v>7.69</v>
      </c>
      <c r="DM812" s="0" t="s">
        <v>676</v>
      </c>
      <c r="DN812" s="0" t="s">
        <v>676</v>
      </c>
      <c r="DO812" s="0" t="n">
        <v>1</v>
      </c>
      <c r="DP812" s="0" t="n">
        <v>30.2</v>
      </c>
      <c r="DQ812" s="0" t="n">
        <v>181.2</v>
      </c>
      <c r="DR812" s="0" t="s">
        <v>5968</v>
      </c>
      <c r="EB812" s="0" t="s">
        <v>6020</v>
      </c>
      <c r="EC812" s="0" t="s">
        <v>2522</v>
      </c>
      <c r="EE812" s="0" t="s">
        <v>288</v>
      </c>
    </row>
    <row r="813" customFormat="false" ht="15" hidden="false" customHeight="false" outlineLevel="0" collapsed="false">
      <c r="DG813" s="0" t="s">
        <v>6021</v>
      </c>
      <c r="DH813" s="0" t="s">
        <v>87</v>
      </c>
      <c r="DI813" s="0" t="s">
        <v>1743</v>
      </c>
      <c r="DJ813" s="0" t="s">
        <v>1676</v>
      </c>
      <c r="DK813" s="0" t="s">
        <v>705</v>
      </c>
      <c r="DL813" s="0" t="n">
        <v>7.69</v>
      </c>
      <c r="DM813" s="0" t="s">
        <v>676</v>
      </c>
      <c r="DN813" s="0" t="s">
        <v>675</v>
      </c>
      <c r="DO813" s="0" t="n">
        <v>0</v>
      </c>
      <c r="DP813" s="0" t="n">
        <v>0</v>
      </c>
      <c r="DQ813" s="0" t="n">
        <v>313.3</v>
      </c>
      <c r="DR813" s="0" t="s">
        <v>5961</v>
      </c>
      <c r="EB813" s="0" t="s">
        <v>6022</v>
      </c>
      <c r="EC813" s="0" t="s">
        <v>2522</v>
      </c>
      <c r="ED813" s="0" t="s">
        <v>2523</v>
      </c>
      <c r="EE813" s="0" t="s">
        <v>269</v>
      </c>
      <c r="EF813" s="0" t="s">
        <v>268</v>
      </c>
      <c r="EG813" s="0" t="n">
        <v>280</v>
      </c>
      <c r="EH813" s="0" t="n">
        <v>280</v>
      </c>
      <c r="EI813" s="0" t="n">
        <v>280</v>
      </c>
      <c r="EJ813" s="0" t="n">
        <v>280</v>
      </c>
    </row>
    <row r="814" customFormat="false" ht="15" hidden="false" customHeight="false" outlineLevel="0" collapsed="false">
      <c r="DG814" s="0" t="s">
        <v>6023</v>
      </c>
      <c r="DH814" s="0" t="s">
        <v>87</v>
      </c>
      <c r="DI814" s="0" t="s">
        <v>1746</v>
      </c>
      <c r="DJ814" s="0" t="s">
        <v>1747</v>
      </c>
      <c r="DK814" s="0" t="s">
        <v>705</v>
      </c>
      <c r="DL814" s="0" t="n">
        <v>7.69</v>
      </c>
      <c r="DM814" s="0" t="s">
        <v>675</v>
      </c>
      <c r="DN814" s="0" t="s">
        <v>676</v>
      </c>
      <c r="DO814" s="0" t="n">
        <v>1</v>
      </c>
      <c r="DP814" s="0" t="n">
        <v>1066</v>
      </c>
      <c r="DQ814" s="0" t="n">
        <v>1066</v>
      </c>
      <c r="DR814" s="0" t="s">
        <v>6024</v>
      </c>
      <c r="EB814" s="0" t="s">
        <v>6025</v>
      </c>
      <c r="EC814" s="0" t="s">
        <v>2522</v>
      </c>
      <c r="ED814" s="0" t="s">
        <v>2523</v>
      </c>
      <c r="EE814" s="0" t="s">
        <v>237</v>
      </c>
      <c r="EF814" s="0" t="s">
        <v>235</v>
      </c>
      <c r="EG814" s="0" t="n">
        <v>2650</v>
      </c>
      <c r="EH814" s="0" t="n">
        <v>2650</v>
      </c>
      <c r="EI814" s="0" t="n">
        <v>2650</v>
      </c>
      <c r="EJ814" s="0" t="n">
        <v>2650</v>
      </c>
    </row>
    <row r="815" customFormat="false" ht="15" hidden="false" customHeight="false" outlineLevel="0" collapsed="false">
      <c r="DG815" s="0" t="s">
        <v>6026</v>
      </c>
      <c r="DH815" s="0" t="s">
        <v>87</v>
      </c>
      <c r="DI815" s="0" t="s">
        <v>1388</v>
      </c>
      <c r="DJ815" s="0" t="s">
        <v>1749</v>
      </c>
      <c r="DK815" s="0" t="s">
        <v>705</v>
      </c>
      <c r="DL815" s="0" t="n">
        <v>7.69</v>
      </c>
      <c r="DM815" s="0" t="s">
        <v>676</v>
      </c>
      <c r="DN815" s="0" t="s">
        <v>675</v>
      </c>
      <c r="DO815" s="0" t="n">
        <v>0</v>
      </c>
      <c r="DP815" s="0" t="n">
        <v>0</v>
      </c>
      <c r="DQ815" s="0" t="n">
        <v>245</v>
      </c>
      <c r="DR815" s="0" t="s">
        <v>6027</v>
      </c>
      <c r="EB815" s="0" t="s">
        <v>6028</v>
      </c>
      <c r="EC815" s="0" t="s">
        <v>2522</v>
      </c>
      <c r="EE815" s="0" t="s">
        <v>249</v>
      </c>
    </row>
    <row r="816" customFormat="false" ht="15" hidden="false" customHeight="false" outlineLevel="0" collapsed="false">
      <c r="DG816" s="0" t="s">
        <v>6029</v>
      </c>
      <c r="DH816" s="0" t="s">
        <v>87</v>
      </c>
      <c r="DJ816" s="0" t="s">
        <v>1113</v>
      </c>
      <c r="DK816" s="0" t="s">
        <v>674</v>
      </c>
      <c r="DL816" s="0" t="n">
        <v>3.85</v>
      </c>
      <c r="DM816" s="0" t="s">
        <v>675</v>
      </c>
      <c r="DN816" s="0" t="s">
        <v>675</v>
      </c>
      <c r="DO816" s="0" t="n">
        <v>0</v>
      </c>
      <c r="DP816" s="0" t="n">
        <v>0</v>
      </c>
      <c r="DQ816" s="0" t="n">
        <v>0</v>
      </c>
      <c r="DR816" s="0" t="s">
        <v>5444</v>
      </c>
      <c r="EB816" s="0" t="s">
        <v>6030</v>
      </c>
      <c r="EC816" s="0" t="s">
        <v>2522</v>
      </c>
      <c r="EE816" s="0" t="s">
        <v>293</v>
      </c>
    </row>
    <row r="817" customFormat="false" ht="15" hidden="false" customHeight="false" outlineLevel="0" collapsed="false">
      <c r="DG817" s="0" t="s">
        <v>6031</v>
      </c>
      <c r="DH817" s="0" t="s">
        <v>87</v>
      </c>
      <c r="DJ817" s="0" t="s">
        <v>1261</v>
      </c>
      <c r="DK817" s="0" t="s">
        <v>674</v>
      </c>
      <c r="DL817" s="0" t="n">
        <v>3.85</v>
      </c>
      <c r="DM817" s="0" t="s">
        <v>675</v>
      </c>
      <c r="DN817" s="0" t="s">
        <v>675</v>
      </c>
      <c r="DO817" s="0" t="n">
        <v>0</v>
      </c>
      <c r="DP817" s="0" t="n">
        <v>0</v>
      </c>
      <c r="DQ817" s="0" t="n">
        <v>0</v>
      </c>
      <c r="DR817" s="0" t="s">
        <v>5570</v>
      </c>
      <c r="EB817" s="0" t="s">
        <v>6032</v>
      </c>
      <c r="EC817" s="0" t="s">
        <v>2522</v>
      </c>
      <c r="EE817" s="0" t="s">
        <v>280</v>
      </c>
    </row>
    <row r="818" customFormat="false" ht="15" hidden="false" customHeight="false" outlineLevel="0" collapsed="false">
      <c r="DG818" s="0" t="s">
        <v>6033</v>
      </c>
      <c r="DH818" s="0" t="s">
        <v>87</v>
      </c>
      <c r="DJ818" s="0" t="s">
        <v>874</v>
      </c>
      <c r="DK818" s="0" t="s">
        <v>674</v>
      </c>
      <c r="DL818" s="0" t="n">
        <v>3.85</v>
      </c>
      <c r="DM818" s="0" t="s">
        <v>675</v>
      </c>
      <c r="DN818" s="0" t="s">
        <v>675</v>
      </c>
      <c r="DO818" s="0" t="n">
        <v>0</v>
      </c>
      <c r="DP818" s="0" t="n">
        <v>0</v>
      </c>
      <c r="DQ818" s="0" t="n">
        <v>0</v>
      </c>
      <c r="DR818" s="0" t="s">
        <v>5283</v>
      </c>
      <c r="EB818" s="0" t="s">
        <v>6034</v>
      </c>
      <c r="EC818" s="0" t="s">
        <v>2522</v>
      </c>
      <c r="ED818" s="0" t="s">
        <v>2523</v>
      </c>
      <c r="EE818" s="0" t="s">
        <v>264</v>
      </c>
      <c r="EF818" s="0" t="s">
        <v>262</v>
      </c>
      <c r="EG818" s="0" t="n">
        <v>680</v>
      </c>
      <c r="EH818" s="0" t="n">
        <v>750</v>
      </c>
      <c r="EI818" s="0" t="n">
        <v>810</v>
      </c>
      <c r="EJ818" s="0" t="n">
        <v>810</v>
      </c>
    </row>
    <row r="819" customFormat="false" ht="15" hidden="false" customHeight="false" outlineLevel="0" collapsed="false">
      <c r="DG819" s="0" t="s">
        <v>6035</v>
      </c>
      <c r="DH819" s="0" t="s">
        <v>87</v>
      </c>
      <c r="DJ819" s="0" t="s">
        <v>1414</v>
      </c>
      <c r="DK819" s="0" t="s">
        <v>674</v>
      </c>
      <c r="DL819" s="0" t="n">
        <v>3.85</v>
      </c>
      <c r="DM819" s="0" t="s">
        <v>675</v>
      </c>
      <c r="DN819" s="0" t="s">
        <v>675</v>
      </c>
      <c r="DO819" s="0" t="n">
        <v>0</v>
      </c>
      <c r="DP819" s="0" t="n">
        <v>0</v>
      </c>
      <c r="DQ819" s="0" t="n">
        <v>0</v>
      </c>
      <c r="DR819" s="0" t="s">
        <v>5691</v>
      </c>
      <c r="EB819" s="0" t="s">
        <v>6036</v>
      </c>
      <c r="EC819" s="0" t="s">
        <v>2522</v>
      </c>
      <c r="ED819" s="0" t="s">
        <v>2523</v>
      </c>
      <c r="EE819" s="0" t="s">
        <v>278</v>
      </c>
      <c r="EF819" s="0" t="s">
        <v>6037</v>
      </c>
      <c r="EG819" s="0" t="n">
        <v>1000</v>
      </c>
      <c r="EH819" s="0" t="n">
        <v>1000</v>
      </c>
      <c r="EI819" s="0" t="n">
        <v>1000</v>
      </c>
      <c r="EJ819" s="0" t="n">
        <v>1000</v>
      </c>
    </row>
    <row r="820" customFormat="false" ht="15" hidden="false" customHeight="false" outlineLevel="0" collapsed="false">
      <c r="DG820" s="0" t="s">
        <v>6038</v>
      </c>
      <c r="DH820" s="0" t="s">
        <v>87</v>
      </c>
      <c r="DJ820" s="0" t="s">
        <v>1219</v>
      </c>
      <c r="DK820" s="0" t="s">
        <v>674</v>
      </c>
      <c r="DL820" s="0" t="n">
        <v>3.85</v>
      </c>
      <c r="DM820" s="0" t="s">
        <v>675</v>
      </c>
      <c r="DN820" s="0" t="s">
        <v>675</v>
      </c>
      <c r="DO820" s="0" t="n">
        <v>0</v>
      </c>
      <c r="DP820" s="0" t="n">
        <v>0</v>
      </c>
      <c r="DQ820" s="0" t="n">
        <v>0</v>
      </c>
      <c r="DR820" s="0" t="s">
        <v>5533</v>
      </c>
      <c r="EB820" s="0" t="s">
        <v>6039</v>
      </c>
      <c r="EC820" s="0" t="s">
        <v>2522</v>
      </c>
      <c r="ED820" s="0" t="s">
        <v>2523</v>
      </c>
      <c r="EE820" s="0" t="s">
        <v>240</v>
      </c>
      <c r="EF820" s="0" t="s">
        <v>238</v>
      </c>
      <c r="EG820" s="0" t="n">
        <v>3710</v>
      </c>
      <c r="EH820" s="0" t="n">
        <v>3710</v>
      </c>
      <c r="EI820" s="0" t="n">
        <v>3710</v>
      </c>
      <c r="EJ820" s="0" t="n">
        <v>3710</v>
      </c>
    </row>
    <row r="821" customFormat="false" ht="15" hidden="false" customHeight="false" outlineLevel="0" collapsed="false">
      <c r="DG821" s="0" t="s">
        <v>6040</v>
      </c>
      <c r="DH821" s="0" t="s">
        <v>87</v>
      </c>
      <c r="DJ821" s="0" t="s">
        <v>1305</v>
      </c>
      <c r="DK821" s="0" t="s">
        <v>674</v>
      </c>
      <c r="DL821" s="0" t="n">
        <v>3.85</v>
      </c>
      <c r="DM821" s="0" t="s">
        <v>675</v>
      </c>
      <c r="DN821" s="0" t="s">
        <v>675</v>
      </c>
      <c r="DO821" s="0" t="n">
        <v>0</v>
      </c>
      <c r="DP821" s="0" t="n">
        <v>0</v>
      </c>
      <c r="DQ821" s="0" t="n">
        <v>0</v>
      </c>
      <c r="DR821" s="0" t="s">
        <v>5603</v>
      </c>
      <c r="EB821" s="0" t="s">
        <v>6041</v>
      </c>
      <c r="EC821" s="0" t="s">
        <v>2522</v>
      </c>
      <c r="ED821" s="0" t="s">
        <v>2523</v>
      </c>
      <c r="EE821" s="0" t="s">
        <v>252</v>
      </c>
      <c r="EF821" s="0" t="s">
        <v>250</v>
      </c>
      <c r="EG821" s="0" t="n">
        <v>370</v>
      </c>
      <c r="EH821" s="0" t="n">
        <v>370</v>
      </c>
      <c r="EI821" s="0" t="n">
        <v>370</v>
      </c>
      <c r="EJ821" s="0" t="n">
        <v>370</v>
      </c>
    </row>
    <row r="822" customFormat="false" ht="15" hidden="false" customHeight="false" outlineLevel="0" collapsed="false">
      <c r="DG822" s="0" t="s">
        <v>6042</v>
      </c>
      <c r="DH822" s="0" t="s">
        <v>87</v>
      </c>
      <c r="DJ822" s="0" t="s">
        <v>1751</v>
      </c>
      <c r="DK822" s="0" t="s">
        <v>674</v>
      </c>
      <c r="DL822" s="0" t="n">
        <v>3.85</v>
      </c>
      <c r="DM822" s="0" t="s">
        <v>675</v>
      </c>
      <c r="DN822" s="0" t="s">
        <v>675</v>
      </c>
      <c r="DO822" s="0" t="n">
        <v>0</v>
      </c>
      <c r="DP822" s="0" t="n">
        <v>0</v>
      </c>
      <c r="DQ822" s="0" t="n">
        <v>0</v>
      </c>
      <c r="DR822" s="0" t="s">
        <v>6043</v>
      </c>
      <c r="EB822" s="0" t="s">
        <v>6044</v>
      </c>
      <c r="EC822" s="0" t="s">
        <v>2522</v>
      </c>
      <c r="ED822" s="0" t="s">
        <v>2523</v>
      </c>
      <c r="EE822" s="0" t="s">
        <v>229</v>
      </c>
      <c r="EF822" s="0" t="s">
        <v>227</v>
      </c>
      <c r="EG822" s="0" t="n">
        <v>170</v>
      </c>
      <c r="EH822" s="0" t="n">
        <v>200</v>
      </c>
      <c r="EI822" s="0" t="n">
        <v>220</v>
      </c>
      <c r="EJ822" s="0" t="n">
        <v>240</v>
      </c>
    </row>
    <row r="823" customFormat="false" ht="15" hidden="false" customHeight="false" outlineLevel="0" collapsed="false">
      <c r="DG823" s="0" t="s">
        <v>6045</v>
      </c>
      <c r="DH823" s="0" t="s">
        <v>87</v>
      </c>
      <c r="DJ823" s="0" t="s">
        <v>1226</v>
      </c>
      <c r="DK823" s="0" t="s">
        <v>674</v>
      </c>
      <c r="DL823" s="0" t="n">
        <v>3.85</v>
      </c>
      <c r="DM823" s="0" t="s">
        <v>675</v>
      </c>
      <c r="DN823" s="0" t="s">
        <v>675</v>
      </c>
      <c r="DO823" s="0" t="n">
        <v>0</v>
      </c>
      <c r="DP823" s="0" t="n">
        <v>0</v>
      </c>
      <c r="DQ823" s="0" t="n">
        <v>0</v>
      </c>
      <c r="DR823" s="0" t="s">
        <v>5539</v>
      </c>
      <c r="EB823" s="0" t="s">
        <v>6046</v>
      </c>
      <c r="EC823" s="0" t="s">
        <v>2522</v>
      </c>
      <c r="ED823" s="0" t="s">
        <v>2523</v>
      </c>
      <c r="EE823" s="0" t="s">
        <v>246</v>
      </c>
      <c r="EF823" s="0" t="s">
        <v>244</v>
      </c>
      <c r="EG823" s="0" t="n">
        <v>620</v>
      </c>
      <c r="EH823" s="0" t="n">
        <v>620</v>
      </c>
      <c r="EI823" s="0" t="n">
        <v>620</v>
      </c>
      <c r="EJ823" s="0" t="n">
        <v>620</v>
      </c>
    </row>
    <row r="824" customFormat="false" ht="15" hidden="false" customHeight="false" outlineLevel="0" collapsed="false">
      <c r="DG824" s="0" t="s">
        <v>6047</v>
      </c>
      <c r="DH824" s="0" t="s">
        <v>87</v>
      </c>
      <c r="DJ824" s="0" t="s">
        <v>859</v>
      </c>
      <c r="DK824" s="0" t="s">
        <v>674</v>
      </c>
      <c r="DL824" s="0" t="n">
        <v>3.85</v>
      </c>
      <c r="DM824" s="0" t="s">
        <v>675</v>
      </c>
      <c r="DN824" s="0" t="s">
        <v>675</v>
      </c>
      <c r="DO824" s="0" t="n">
        <v>0</v>
      </c>
      <c r="DP824" s="0" t="n">
        <v>0</v>
      </c>
      <c r="DQ824" s="0" t="n">
        <v>0</v>
      </c>
      <c r="DR824" s="0" t="s">
        <v>5274</v>
      </c>
      <c r="EB824" s="0" t="s">
        <v>6048</v>
      </c>
      <c r="EC824" s="0" t="s">
        <v>2522</v>
      </c>
      <c r="ED824" s="0" t="s">
        <v>2523</v>
      </c>
      <c r="EE824" s="0" t="s">
        <v>255</v>
      </c>
      <c r="EF824" s="0" t="s">
        <v>253</v>
      </c>
      <c r="EG824" s="0" t="n">
        <v>430</v>
      </c>
      <c r="EH824" s="0" t="n">
        <v>500</v>
      </c>
      <c r="EI824" s="0" t="n">
        <v>560</v>
      </c>
      <c r="EJ824" s="0" t="n">
        <v>600</v>
      </c>
    </row>
    <row r="825" customFormat="false" ht="15" hidden="false" customHeight="false" outlineLevel="0" collapsed="false">
      <c r="DG825" s="0" t="s">
        <v>6049</v>
      </c>
      <c r="DH825" s="0" t="s">
        <v>87</v>
      </c>
      <c r="DJ825" s="0" t="s">
        <v>693</v>
      </c>
      <c r="DK825" s="0" t="s">
        <v>674</v>
      </c>
      <c r="DL825" s="0" t="n">
        <v>3.85</v>
      </c>
      <c r="DM825" s="0" t="s">
        <v>675</v>
      </c>
      <c r="DN825" s="0" t="s">
        <v>675</v>
      </c>
      <c r="DO825" s="0" t="n">
        <v>0</v>
      </c>
      <c r="DP825" s="0" t="n">
        <v>0</v>
      </c>
      <c r="DQ825" s="0" t="n">
        <v>0</v>
      </c>
      <c r="DR825" s="0" t="s">
        <v>5178</v>
      </c>
      <c r="EB825" s="0" t="s">
        <v>6050</v>
      </c>
      <c r="EC825" s="0" t="s">
        <v>2522</v>
      </c>
      <c r="EE825" s="0" t="s">
        <v>243</v>
      </c>
    </row>
    <row r="826" customFormat="false" ht="15" hidden="false" customHeight="false" outlineLevel="0" collapsed="false">
      <c r="DG826" s="0" t="s">
        <v>6051</v>
      </c>
      <c r="DH826" s="0" t="s">
        <v>87</v>
      </c>
      <c r="DJ826" s="0" t="s">
        <v>960</v>
      </c>
      <c r="DK826" s="0" t="s">
        <v>674</v>
      </c>
      <c r="DL826" s="0" t="n">
        <v>3.85</v>
      </c>
      <c r="DM826" s="0" t="s">
        <v>675</v>
      </c>
      <c r="DN826" s="0" t="s">
        <v>675</v>
      </c>
      <c r="DO826" s="0" t="n">
        <v>0</v>
      </c>
      <c r="DP826" s="0" t="n">
        <v>0</v>
      </c>
      <c r="DQ826" s="0" t="n">
        <v>0</v>
      </c>
      <c r="DR826" s="0" t="s">
        <v>5331</v>
      </c>
      <c r="EB826" s="0" t="s">
        <v>6052</v>
      </c>
      <c r="EC826" s="0" t="s">
        <v>2522</v>
      </c>
      <c r="ED826" s="0" t="s">
        <v>2523</v>
      </c>
      <c r="EE826" s="0" t="s">
        <v>261</v>
      </c>
      <c r="EF826" s="0" t="s">
        <v>259</v>
      </c>
      <c r="EG826" s="0" t="n">
        <v>1</v>
      </c>
      <c r="EH826" s="0" t="n">
        <v>1</v>
      </c>
      <c r="EI826" s="0" t="n">
        <v>1</v>
      </c>
      <c r="EJ826" s="0" t="n">
        <v>1</v>
      </c>
    </row>
    <row r="827" customFormat="false" ht="15" hidden="false" customHeight="false" outlineLevel="0" collapsed="false">
      <c r="DG827" s="0" t="s">
        <v>6053</v>
      </c>
      <c r="DH827" s="0" t="s">
        <v>87</v>
      </c>
      <c r="DJ827" s="0" t="s">
        <v>1432</v>
      </c>
      <c r="DK827" s="0" t="s">
        <v>674</v>
      </c>
      <c r="DL827" s="0" t="n">
        <v>3.85</v>
      </c>
      <c r="DM827" s="0" t="s">
        <v>675</v>
      </c>
      <c r="DN827" s="0" t="s">
        <v>675</v>
      </c>
      <c r="DO827" s="0" t="n">
        <v>0</v>
      </c>
      <c r="DP827" s="0" t="n">
        <v>0</v>
      </c>
      <c r="DQ827" s="0" t="n">
        <v>0</v>
      </c>
      <c r="DR827" s="0" t="s">
        <v>5706</v>
      </c>
      <c r="EB827" s="0" t="s">
        <v>6054</v>
      </c>
      <c r="EC827" s="0" t="s">
        <v>2522</v>
      </c>
      <c r="EE827" s="0" t="s">
        <v>296</v>
      </c>
    </row>
    <row r="828" customFormat="false" ht="15" hidden="false" customHeight="false" outlineLevel="0" collapsed="false">
      <c r="DG828" s="0" t="s">
        <v>6055</v>
      </c>
      <c r="DH828" s="0" t="s">
        <v>87</v>
      </c>
      <c r="DJ828" s="0" t="s">
        <v>1752</v>
      </c>
      <c r="DK828" s="0" t="s">
        <v>674</v>
      </c>
      <c r="DL828" s="0" t="n">
        <v>3.85</v>
      </c>
      <c r="DM828" s="0" t="s">
        <v>675</v>
      </c>
      <c r="DN828" s="0" t="s">
        <v>675</v>
      </c>
      <c r="DO828" s="0" t="n">
        <v>0</v>
      </c>
      <c r="DP828" s="0" t="n">
        <v>0</v>
      </c>
      <c r="DQ828" s="0" t="n">
        <v>0</v>
      </c>
      <c r="DR828" s="0" t="s">
        <v>6056</v>
      </c>
      <c r="EB828" s="0" t="s">
        <v>6057</v>
      </c>
      <c r="EC828" s="0" t="s">
        <v>3045</v>
      </c>
      <c r="ED828" s="0" t="s">
        <v>3046</v>
      </c>
      <c r="EE828" s="0" t="s">
        <v>626</v>
      </c>
      <c r="EF828" s="0" t="s">
        <v>2526</v>
      </c>
      <c r="EG828" s="0" t="n">
        <v>360</v>
      </c>
      <c r="EH828" s="0" t="n">
        <v>400</v>
      </c>
      <c r="EI828" s="0" t="n">
        <v>430</v>
      </c>
      <c r="EJ828" s="0" t="n">
        <v>430</v>
      </c>
    </row>
    <row r="829" customFormat="false" ht="15" hidden="false" customHeight="false" outlineLevel="0" collapsed="false">
      <c r="DG829" s="0" t="s">
        <v>6058</v>
      </c>
      <c r="DH829" s="0" t="s">
        <v>87</v>
      </c>
      <c r="DJ829" s="0" t="s">
        <v>1131</v>
      </c>
      <c r="DK829" s="0" t="s">
        <v>674</v>
      </c>
      <c r="DL829" s="0" t="n">
        <v>3.85</v>
      </c>
      <c r="DM829" s="0" t="s">
        <v>675</v>
      </c>
      <c r="DN829" s="0" t="s">
        <v>675</v>
      </c>
      <c r="DO829" s="0" t="n">
        <v>0</v>
      </c>
      <c r="DP829" s="0" t="n">
        <v>0</v>
      </c>
      <c r="DQ829" s="0" t="n">
        <v>0</v>
      </c>
      <c r="DR829" s="0" t="s">
        <v>5456</v>
      </c>
      <c r="EB829" s="0" t="s">
        <v>6059</v>
      </c>
      <c r="EC829" s="0" t="s">
        <v>3045</v>
      </c>
      <c r="ED829" s="0" t="s">
        <v>3046</v>
      </c>
      <c r="EE829" s="0" t="s">
        <v>624</v>
      </c>
      <c r="EF829" s="0" t="s">
        <v>2550</v>
      </c>
      <c r="EG829" s="0" t="n">
        <v>360</v>
      </c>
      <c r="EH829" s="0" t="n">
        <v>400</v>
      </c>
      <c r="EI829" s="0" t="n">
        <v>430</v>
      </c>
      <c r="EJ829" s="0" t="n">
        <v>430</v>
      </c>
    </row>
    <row r="830" customFormat="false" ht="15" hidden="false" customHeight="false" outlineLevel="0" collapsed="false">
      <c r="DG830" s="0" t="s">
        <v>6060</v>
      </c>
      <c r="DH830" s="0" t="s">
        <v>87</v>
      </c>
      <c r="DI830" s="0" t="s">
        <v>1753</v>
      </c>
      <c r="DJ830" s="0" t="s">
        <v>1754</v>
      </c>
      <c r="DK830" s="0" t="s">
        <v>674</v>
      </c>
      <c r="DL830" s="0" t="n">
        <v>3.85</v>
      </c>
      <c r="DM830" s="0" t="s">
        <v>676</v>
      </c>
      <c r="DN830" s="0" t="s">
        <v>675</v>
      </c>
      <c r="DO830" s="0" t="n">
        <v>0</v>
      </c>
      <c r="DP830" s="0" t="n">
        <v>0</v>
      </c>
      <c r="DQ830" s="0" t="n">
        <v>2.66</v>
      </c>
      <c r="DR830" s="0" t="s">
        <v>6061</v>
      </c>
      <c r="EB830" s="0" t="s">
        <v>6062</v>
      </c>
      <c r="EC830" s="0" t="s">
        <v>3045</v>
      </c>
      <c r="ED830" s="0" t="s">
        <v>3046</v>
      </c>
      <c r="EE830" s="0" t="s">
        <v>622</v>
      </c>
      <c r="EF830" s="0" t="s">
        <v>2567</v>
      </c>
      <c r="EG830" s="0" t="n">
        <v>1920</v>
      </c>
      <c r="EH830" s="0" t="n">
        <v>2090</v>
      </c>
      <c r="EI830" s="0" t="n">
        <v>2370</v>
      </c>
      <c r="EJ830" s="0" t="n">
        <v>2550</v>
      </c>
    </row>
    <row r="831" customFormat="false" ht="15" hidden="false" customHeight="false" outlineLevel="0" collapsed="false">
      <c r="DG831" s="0" t="s">
        <v>6063</v>
      </c>
      <c r="DH831" s="0" t="s">
        <v>87</v>
      </c>
      <c r="DI831" s="0" t="s">
        <v>1755</v>
      </c>
      <c r="DJ831" s="0" t="s">
        <v>1756</v>
      </c>
      <c r="DK831" s="0" t="s">
        <v>674</v>
      </c>
      <c r="DL831" s="0" t="n">
        <v>3.85</v>
      </c>
      <c r="DM831" s="0" t="s">
        <v>676</v>
      </c>
      <c r="DN831" s="0" t="s">
        <v>675</v>
      </c>
      <c r="DO831" s="0" t="n">
        <v>0</v>
      </c>
      <c r="DP831" s="0" t="n">
        <v>0</v>
      </c>
      <c r="DQ831" s="0" t="n">
        <v>1.57</v>
      </c>
      <c r="DR831" s="0" t="s">
        <v>6064</v>
      </c>
      <c r="EB831" s="0" t="s">
        <v>6065</v>
      </c>
      <c r="EC831" s="0" t="s">
        <v>3045</v>
      </c>
      <c r="ED831" s="0" t="s">
        <v>3046</v>
      </c>
      <c r="EE831" s="0" t="s">
        <v>620</v>
      </c>
      <c r="EF831" s="0" t="s">
        <v>2580</v>
      </c>
      <c r="EG831" s="0" t="n">
        <v>730</v>
      </c>
      <c r="EH831" s="0" t="n">
        <v>800</v>
      </c>
      <c r="EI831" s="0" t="n">
        <v>870</v>
      </c>
      <c r="EJ831" s="0" t="n">
        <v>870</v>
      </c>
    </row>
    <row r="832" customFormat="false" ht="15" hidden="false" customHeight="false" outlineLevel="0" collapsed="false">
      <c r="DG832" s="0" t="s">
        <v>6066</v>
      </c>
      <c r="DH832" s="0" t="s">
        <v>87</v>
      </c>
      <c r="DI832" s="0" t="s">
        <v>1758</v>
      </c>
      <c r="DJ832" s="0" t="s">
        <v>1759</v>
      </c>
      <c r="DK832" s="0" t="s">
        <v>674</v>
      </c>
      <c r="DL832" s="0" t="n">
        <v>3.85</v>
      </c>
      <c r="DM832" s="0" t="s">
        <v>675</v>
      </c>
      <c r="DN832" s="0" t="s">
        <v>676</v>
      </c>
      <c r="DO832" s="0" t="n">
        <v>5</v>
      </c>
      <c r="DP832" s="0" t="n">
        <v>5445</v>
      </c>
      <c r="DQ832" s="0" t="n">
        <v>5445</v>
      </c>
      <c r="DR832" s="0" t="s">
        <v>6067</v>
      </c>
      <c r="EB832" s="0" t="s">
        <v>6068</v>
      </c>
      <c r="EC832" s="0" t="s">
        <v>3045</v>
      </c>
      <c r="ED832" s="0" t="s">
        <v>3046</v>
      </c>
      <c r="EE832" s="0" t="s">
        <v>618</v>
      </c>
      <c r="EF832" s="0" t="s">
        <v>2596</v>
      </c>
      <c r="EG832" s="0" t="n">
        <v>360</v>
      </c>
      <c r="EH832" s="0" t="n">
        <v>400</v>
      </c>
      <c r="EI832" s="0" t="n">
        <v>430</v>
      </c>
      <c r="EJ832" s="0" t="n">
        <v>430</v>
      </c>
    </row>
    <row r="833" customFormat="false" ht="15" hidden="false" customHeight="false" outlineLevel="0" collapsed="false">
      <c r="DG833" s="0" t="s">
        <v>6069</v>
      </c>
      <c r="DH833" s="0" t="s">
        <v>87</v>
      </c>
      <c r="DI833" s="0" t="s">
        <v>1762</v>
      </c>
      <c r="DJ833" s="0" t="s">
        <v>1763</v>
      </c>
      <c r="DK833" s="0" t="s">
        <v>674</v>
      </c>
      <c r="DL833" s="0" t="n">
        <v>3.85</v>
      </c>
      <c r="DM833" s="0" t="s">
        <v>676</v>
      </c>
      <c r="DN833" s="0" t="s">
        <v>675</v>
      </c>
      <c r="DO833" s="0" t="n">
        <v>0</v>
      </c>
      <c r="DP833" s="0" t="n">
        <v>0</v>
      </c>
      <c r="DQ833" s="0" t="n">
        <v>20.6</v>
      </c>
      <c r="DR833" s="0" t="s">
        <v>6070</v>
      </c>
      <c r="EB833" s="0" t="s">
        <v>6071</v>
      </c>
      <c r="EC833" s="0" t="s">
        <v>3045</v>
      </c>
      <c r="ED833" s="0" t="s">
        <v>3046</v>
      </c>
      <c r="EE833" s="0" t="s">
        <v>616</v>
      </c>
      <c r="EF833" s="0" t="s">
        <v>2612</v>
      </c>
      <c r="EG833" s="0" t="n">
        <v>460</v>
      </c>
      <c r="EH833" s="0" t="n">
        <v>500</v>
      </c>
      <c r="EI833" s="0" t="n">
        <v>550</v>
      </c>
      <c r="EJ833" s="0" t="n">
        <v>570</v>
      </c>
    </row>
    <row r="834" customFormat="false" ht="15" hidden="false" customHeight="false" outlineLevel="0" collapsed="false">
      <c r="DG834" s="0" t="s">
        <v>6072</v>
      </c>
      <c r="DH834" s="0" t="s">
        <v>87</v>
      </c>
      <c r="DI834" s="0" t="s">
        <v>1765</v>
      </c>
      <c r="DJ834" s="0" t="s">
        <v>1766</v>
      </c>
      <c r="DK834" s="0" t="s">
        <v>674</v>
      </c>
      <c r="DL834" s="0" t="n">
        <v>3.85</v>
      </c>
      <c r="DM834" s="0" t="s">
        <v>676</v>
      </c>
      <c r="DN834" s="0" t="s">
        <v>675</v>
      </c>
      <c r="DO834" s="0" t="n">
        <v>0</v>
      </c>
      <c r="DP834" s="0" t="n">
        <v>0</v>
      </c>
      <c r="DQ834" s="0" t="n">
        <v>113.29</v>
      </c>
      <c r="DR834" s="0" t="s">
        <v>6073</v>
      </c>
      <c r="EB834" s="0" t="s">
        <v>6074</v>
      </c>
      <c r="EC834" s="0" t="s">
        <v>3045</v>
      </c>
      <c r="ED834" s="0" t="s">
        <v>3046</v>
      </c>
      <c r="EE834" s="0" t="s">
        <v>614</v>
      </c>
      <c r="EF834" s="0" t="s">
        <v>2628</v>
      </c>
      <c r="EG834" s="0" t="n">
        <v>980</v>
      </c>
      <c r="EH834" s="0" t="n">
        <v>1080</v>
      </c>
      <c r="EI834" s="0" t="n">
        <v>1170</v>
      </c>
      <c r="EJ834" s="0" t="n">
        <v>1170</v>
      </c>
    </row>
    <row r="835" customFormat="false" ht="15" hidden="false" customHeight="false" outlineLevel="0" collapsed="false">
      <c r="DG835" s="0" t="s">
        <v>6075</v>
      </c>
      <c r="DH835" s="0" t="s">
        <v>87</v>
      </c>
      <c r="DI835" s="0" t="s">
        <v>1768</v>
      </c>
      <c r="DJ835" s="0" t="s">
        <v>1769</v>
      </c>
      <c r="DK835" s="0" t="s">
        <v>674</v>
      </c>
      <c r="DL835" s="0" t="n">
        <v>3.85</v>
      </c>
      <c r="DM835" s="0" t="s">
        <v>676</v>
      </c>
      <c r="DN835" s="0" t="s">
        <v>675</v>
      </c>
      <c r="DO835" s="0" t="n">
        <v>0</v>
      </c>
      <c r="DP835" s="0" t="n">
        <v>0</v>
      </c>
      <c r="DQ835" s="0" t="n">
        <v>102.9</v>
      </c>
      <c r="DR835" s="0" t="s">
        <v>6076</v>
      </c>
      <c r="EB835" s="0" t="s">
        <v>6077</v>
      </c>
      <c r="EC835" s="0" t="s">
        <v>3045</v>
      </c>
      <c r="ED835" s="0" t="s">
        <v>3046</v>
      </c>
      <c r="EE835" s="0" t="s">
        <v>612</v>
      </c>
      <c r="EF835" s="0" t="s">
        <v>2647</v>
      </c>
      <c r="EG835" s="0" t="n">
        <v>740</v>
      </c>
      <c r="EH835" s="0" t="n">
        <v>740</v>
      </c>
      <c r="EI835" s="0" t="n">
        <v>740</v>
      </c>
      <c r="EJ835" s="0" t="n">
        <v>740</v>
      </c>
    </row>
    <row r="836" customFormat="false" ht="15" hidden="false" customHeight="false" outlineLevel="0" collapsed="false">
      <c r="DG836" s="0" t="s">
        <v>6078</v>
      </c>
      <c r="DH836" s="0" t="s">
        <v>87</v>
      </c>
      <c r="DI836" s="0" t="s">
        <v>1771</v>
      </c>
      <c r="DJ836" s="0" t="s">
        <v>1772</v>
      </c>
      <c r="DK836" s="0" t="s">
        <v>674</v>
      </c>
      <c r="DL836" s="0" t="n">
        <v>3.85</v>
      </c>
      <c r="DM836" s="0" t="s">
        <v>676</v>
      </c>
      <c r="DN836" s="0" t="s">
        <v>675</v>
      </c>
      <c r="DO836" s="0" t="n">
        <v>0</v>
      </c>
      <c r="DP836" s="0" t="n">
        <v>0</v>
      </c>
      <c r="DQ836" s="0" t="n">
        <v>56.22</v>
      </c>
      <c r="DR836" s="0" t="s">
        <v>6079</v>
      </c>
      <c r="EB836" s="0" t="s">
        <v>6080</v>
      </c>
      <c r="EC836" s="0" t="s">
        <v>3045</v>
      </c>
      <c r="ED836" s="0" t="s">
        <v>3046</v>
      </c>
      <c r="EE836" s="0" t="s">
        <v>609</v>
      </c>
      <c r="EF836" s="0" t="s">
        <v>2663</v>
      </c>
      <c r="EG836" s="0" t="n">
        <v>350</v>
      </c>
      <c r="EH836" s="0" t="n">
        <v>350</v>
      </c>
      <c r="EI836" s="0" t="n">
        <v>350</v>
      </c>
      <c r="EJ836" s="0" t="n">
        <v>350</v>
      </c>
    </row>
    <row r="837" customFormat="false" ht="15" hidden="false" customHeight="false" outlineLevel="0" collapsed="false">
      <c r="DG837" s="0" t="s">
        <v>6081</v>
      </c>
      <c r="DH837" s="0" t="s">
        <v>87</v>
      </c>
      <c r="DI837" s="0" t="s">
        <v>1775</v>
      </c>
      <c r="DJ837" s="0" t="s">
        <v>1776</v>
      </c>
      <c r="DK837" s="0" t="s">
        <v>674</v>
      </c>
      <c r="DL837" s="0" t="n">
        <v>3.85</v>
      </c>
      <c r="DM837" s="0" t="s">
        <v>676</v>
      </c>
      <c r="DN837" s="0" t="s">
        <v>675</v>
      </c>
      <c r="DO837" s="0" t="n">
        <v>0</v>
      </c>
      <c r="DP837" s="0" t="n">
        <v>0</v>
      </c>
      <c r="DQ837" s="0" t="n">
        <v>10.61</v>
      </c>
      <c r="DR837" s="0" t="s">
        <v>6082</v>
      </c>
      <c r="EB837" s="0" t="s">
        <v>6083</v>
      </c>
      <c r="EC837" s="0" t="s">
        <v>3045</v>
      </c>
      <c r="ED837" s="0" t="s">
        <v>3046</v>
      </c>
      <c r="EE837" s="0" t="s">
        <v>607</v>
      </c>
      <c r="EF837" s="0" t="s">
        <v>2680</v>
      </c>
      <c r="EG837" s="0" t="n">
        <v>1</v>
      </c>
      <c r="EH837" s="0" t="n">
        <v>1</v>
      </c>
      <c r="EI837" s="0" t="n">
        <v>1</v>
      </c>
      <c r="EJ837" s="0" t="n">
        <v>1</v>
      </c>
    </row>
    <row r="838" customFormat="false" ht="15" hidden="false" customHeight="false" outlineLevel="0" collapsed="false">
      <c r="DG838" s="0" t="s">
        <v>6084</v>
      </c>
      <c r="DH838" s="0" t="s">
        <v>87</v>
      </c>
      <c r="DI838" s="0" t="s">
        <v>1778</v>
      </c>
      <c r="DJ838" s="0" t="s">
        <v>1779</v>
      </c>
      <c r="DK838" s="0" t="s">
        <v>674</v>
      </c>
      <c r="DL838" s="0" t="n">
        <v>3.85</v>
      </c>
      <c r="DM838" s="0" t="s">
        <v>676</v>
      </c>
      <c r="DN838" s="0" t="s">
        <v>675</v>
      </c>
      <c r="DO838" s="0" t="n">
        <v>0</v>
      </c>
      <c r="DP838" s="0" t="n">
        <v>0</v>
      </c>
      <c r="DQ838" s="0" t="n">
        <v>6.94</v>
      </c>
      <c r="DR838" s="0" t="s">
        <v>6085</v>
      </c>
      <c r="EB838" s="0" t="s">
        <v>6086</v>
      </c>
      <c r="EC838" s="0" t="s">
        <v>3045</v>
      </c>
      <c r="EE838" s="0" t="s">
        <v>605</v>
      </c>
    </row>
    <row r="839" customFormat="false" ht="15" hidden="false" customHeight="false" outlineLevel="0" collapsed="false">
      <c r="DG839" s="0" t="s">
        <v>6087</v>
      </c>
      <c r="DH839" s="0" t="s">
        <v>87</v>
      </c>
      <c r="DI839" s="0" t="s">
        <v>1781</v>
      </c>
      <c r="DJ839" s="0" t="s">
        <v>1782</v>
      </c>
      <c r="DK839" s="0" t="s">
        <v>674</v>
      </c>
      <c r="DL839" s="0" t="n">
        <v>3.85</v>
      </c>
      <c r="DM839" s="0" t="s">
        <v>676</v>
      </c>
      <c r="DN839" s="0" t="s">
        <v>675</v>
      </c>
      <c r="DO839" s="0" t="n">
        <v>0</v>
      </c>
      <c r="DP839" s="0" t="n">
        <v>0</v>
      </c>
      <c r="DQ839" s="0" t="n">
        <v>272.24</v>
      </c>
      <c r="DR839" s="0" t="s">
        <v>6088</v>
      </c>
      <c r="EB839" s="0" t="s">
        <v>6089</v>
      </c>
      <c r="EC839" s="0" t="s">
        <v>3045</v>
      </c>
      <c r="ED839" s="0" t="s">
        <v>3046</v>
      </c>
      <c r="EE839" s="0" t="s">
        <v>629</v>
      </c>
      <c r="EF839" s="0" t="s">
        <v>2713</v>
      </c>
      <c r="EG839" s="0" t="n">
        <v>1200</v>
      </c>
      <c r="EH839" s="0" t="n">
        <v>1200</v>
      </c>
      <c r="EI839" s="0" t="n">
        <v>1200</v>
      </c>
      <c r="EJ839" s="0" t="n">
        <v>1200</v>
      </c>
    </row>
    <row r="840" customFormat="false" ht="15" hidden="false" customHeight="false" outlineLevel="0" collapsed="false">
      <c r="DG840" s="0" t="s">
        <v>6090</v>
      </c>
      <c r="DH840" s="0" t="s">
        <v>87</v>
      </c>
      <c r="DI840" s="0" t="s">
        <v>1785</v>
      </c>
      <c r="DJ840" s="0" t="s">
        <v>1786</v>
      </c>
      <c r="DK840" s="0" t="s">
        <v>674</v>
      </c>
      <c r="DL840" s="0" t="n">
        <v>3.85</v>
      </c>
      <c r="DM840" s="0" t="s">
        <v>676</v>
      </c>
      <c r="DN840" s="0" t="s">
        <v>675</v>
      </c>
      <c r="DO840" s="0" t="n">
        <v>0</v>
      </c>
      <c r="DP840" s="0" t="n">
        <v>0</v>
      </c>
      <c r="DQ840" s="0" t="n">
        <v>781.4</v>
      </c>
      <c r="DR840" s="0" t="s">
        <v>6091</v>
      </c>
      <c r="EB840" s="0" t="s">
        <v>6092</v>
      </c>
      <c r="EC840" s="0" t="s">
        <v>3045</v>
      </c>
      <c r="EE840" s="0" t="s">
        <v>602</v>
      </c>
    </row>
    <row r="841" customFormat="false" ht="15" hidden="false" customHeight="false" outlineLevel="0" collapsed="false">
      <c r="DG841" s="0" t="s">
        <v>6093</v>
      </c>
      <c r="DH841" s="0" t="s">
        <v>87</v>
      </c>
      <c r="DI841" s="0" t="s">
        <v>1788</v>
      </c>
      <c r="DJ841" s="0" t="s">
        <v>1789</v>
      </c>
      <c r="DK841" s="0" t="s">
        <v>674</v>
      </c>
      <c r="DL841" s="0" t="n">
        <v>3.85</v>
      </c>
      <c r="DM841" s="0" t="s">
        <v>676</v>
      </c>
      <c r="DN841" s="0" t="s">
        <v>675</v>
      </c>
      <c r="DO841" s="0" t="n">
        <v>0</v>
      </c>
      <c r="DP841" s="0" t="n">
        <v>0</v>
      </c>
      <c r="DQ841" s="0" t="n">
        <v>24</v>
      </c>
      <c r="DR841" s="0" t="s">
        <v>6094</v>
      </c>
      <c r="EB841" s="0" t="s">
        <v>6095</v>
      </c>
      <c r="EC841" s="0" t="s">
        <v>3045</v>
      </c>
      <c r="ED841" s="0" t="s">
        <v>3046</v>
      </c>
      <c r="EE841" s="0" t="s">
        <v>599</v>
      </c>
      <c r="EF841" s="0" t="s">
        <v>2745</v>
      </c>
      <c r="EG841" s="0" t="n">
        <v>1</v>
      </c>
      <c r="EH841" s="0" t="n">
        <v>1</v>
      </c>
      <c r="EI841" s="0" t="n">
        <v>1</v>
      </c>
      <c r="EJ841" s="0" t="n">
        <v>1</v>
      </c>
    </row>
    <row r="842" customFormat="false" ht="15" hidden="false" customHeight="false" outlineLevel="0" collapsed="false">
      <c r="DG842" s="0" t="s">
        <v>6096</v>
      </c>
      <c r="DH842" s="0" t="s">
        <v>87</v>
      </c>
      <c r="DI842" s="0" t="s">
        <v>1790</v>
      </c>
      <c r="DJ842" s="0" t="s">
        <v>1791</v>
      </c>
      <c r="DK842" s="0" t="s">
        <v>674</v>
      </c>
      <c r="DL842" s="0" t="n">
        <v>3.85</v>
      </c>
      <c r="DM842" s="0" t="s">
        <v>675</v>
      </c>
      <c r="DN842" s="0" t="s">
        <v>676</v>
      </c>
      <c r="DO842" s="0" t="n">
        <v>2</v>
      </c>
      <c r="DP842" s="0" t="n">
        <v>997.34</v>
      </c>
      <c r="DQ842" s="0" t="n">
        <v>997.34</v>
      </c>
      <c r="DR842" s="0" t="s">
        <v>6097</v>
      </c>
      <c r="EB842" s="0" t="s">
        <v>6098</v>
      </c>
      <c r="EC842" s="0" t="s">
        <v>3045</v>
      </c>
      <c r="ED842" s="0" t="s">
        <v>3046</v>
      </c>
      <c r="EE842" s="0" t="s">
        <v>597</v>
      </c>
      <c r="EF842" s="0" t="s">
        <v>3308</v>
      </c>
      <c r="EG842" s="0" t="n">
        <v>3000</v>
      </c>
      <c r="EH842" s="0" t="n">
        <v>3000</v>
      </c>
      <c r="EI842" s="0" t="n">
        <v>3000</v>
      </c>
      <c r="EJ842" s="0" t="n">
        <v>3000</v>
      </c>
    </row>
    <row r="843" customFormat="false" ht="15" hidden="false" customHeight="false" outlineLevel="0" collapsed="false">
      <c r="DG843" s="0" t="s">
        <v>6099</v>
      </c>
      <c r="DH843" s="0" t="s">
        <v>87</v>
      </c>
      <c r="DI843" s="0" t="s">
        <v>1794</v>
      </c>
      <c r="DJ843" s="0" t="s">
        <v>1795</v>
      </c>
      <c r="DK843" s="0" t="s">
        <v>674</v>
      </c>
      <c r="DL843" s="0" t="n">
        <v>3.85</v>
      </c>
      <c r="DM843" s="0" t="s">
        <v>676</v>
      </c>
      <c r="DN843" s="0" t="s">
        <v>675</v>
      </c>
      <c r="DO843" s="0" t="n">
        <v>0</v>
      </c>
      <c r="DP843" s="0" t="n">
        <v>0</v>
      </c>
      <c r="DQ843" s="0" t="n">
        <v>1629</v>
      </c>
      <c r="DR843" s="0" t="s">
        <v>6100</v>
      </c>
      <c r="EB843" s="0" t="s">
        <v>6101</v>
      </c>
      <c r="EC843" s="0" t="s">
        <v>3045</v>
      </c>
      <c r="ED843" s="0" t="s">
        <v>3046</v>
      </c>
      <c r="EE843" s="0" t="s">
        <v>2699</v>
      </c>
      <c r="EF843" s="0" t="s">
        <v>2700</v>
      </c>
      <c r="EG843" s="0" t="n">
        <v>30000</v>
      </c>
      <c r="EH843" s="0" t="n">
        <v>30000</v>
      </c>
      <c r="EI843" s="0" t="n">
        <v>30000</v>
      </c>
      <c r="EJ843" s="0" t="n">
        <v>30000</v>
      </c>
    </row>
    <row r="844" customFormat="false" ht="15" hidden="false" customHeight="false" outlineLevel="0" collapsed="false">
      <c r="DG844" s="0" t="s">
        <v>6102</v>
      </c>
      <c r="DH844" s="0" t="s">
        <v>87</v>
      </c>
      <c r="DI844" s="0" t="s">
        <v>1797</v>
      </c>
      <c r="DJ844" s="0" t="s">
        <v>1798</v>
      </c>
      <c r="DK844" s="0" t="s">
        <v>674</v>
      </c>
      <c r="DL844" s="0" t="n">
        <v>3.85</v>
      </c>
      <c r="DM844" s="0" t="s">
        <v>676</v>
      </c>
      <c r="DN844" s="0" t="s">
        <v>675</v>
      </c>
      <c r="DO844" s="0" t="n">
        <v>0</v>
      </c>
      <c r="DP844" s="0" t="n">
        <v>0</v>
      </c>
      <c r="DQ844" s="0" t="n">
        <v>1068</v>
      </c>
      <c r="DR844" s="0" t="s">
        <v>6103</v>
      </c>
      <c r="EB844" s="0" t="s">
        <v>6104</v>
      </c>
      <c r="EC844" s="0" t="s">
        <v>3045</v>
      </c>
      <c r="EE844" s="0" t="s">
        <v>590</v>
      </c>
    </row>
    <row r="845" customFormat="false" ht="15" hidden="false" customHeight="false" outlineLevel="0" collapsed="false">
      <c r="DG845" s="0" t="s">
        <v>6105</v>
      </c>
      <c r="DH845" s="0" t="s">
        <v>87</v>
      </c>
      <c r="DI845" s="0" t="s">
        <v>1800</v>
      </c>
      <c r="DJ845" s="0" t="s">
        <v>1801</v>
      </c>
      <c r="DK845" s="0" t="s">
        <v>674</v>
      </c>
      <c r="DL845" s="0" t="n">
        <v>3.85</v>
      </c>
      <c r="DM845" s="0" t="s">
        <v>676</v>
      </c>
      <c r="DN845" s="0" t="s">
        <v>675</v>
      </c>
      <c r="DO845" s="0" t="n">
        <v>0</v>
      </c>
      <c r="DP845" s="0" t="n">
        <v>0</v>
      </c>
      <c r="DQ845" s="0" t="n">
        <v>94.48</v>
      </c>
      <c r="DR845" s="0" t="s">
        <v>6106</v>
      </c>
      <c r="EB845" s="0" t="s">
        <v>6107</v>
      </c>
      <c r="EC845" s="0" t="s">
        <v>3045</v>
      </c>
      <c r="ED845" s="0" t="s">
        <v>3046</v>
      </c>
      <c r="EE845" s="0" t="s">
        <v>588</v>
      </c>
      <c r="EF845" s="0" t="s">
        <v>2801</v>
      </c>
      <c r="EG845" s="0" t="n">
        <v>1</v>
      </c>
      <c r="EH845" s="0" t="n">
        <v>1</v>
      </c>
      <c r="EI845" s="0" t="n">
        <v>1</v>
      </c>
      <c r="EJ845" s="0" t="n">
        <v>1</v>
      </c>
    </row>
    <row r="846" customFormat="false" ht="15" hidden="false" customHeight="false" outlineLevel="0" collapsed="false">
      <c r="DG846" s="0" t="s">
        <v>6108</v>
      </c>
      <c r="DH846" s="0" t="s">
        <v>87</v>
      </c>
      <c r="DI846" s="0" t="s">
        <v>1804</v>
      </c>
      <c r="DJ846" s="0" t="s">
        <v>1805</v>
      </c>
      <c r="DK846" s="0" t="s">
        <v>674</v>
      </c>
      <c r="DL846" s="0" t="n">
        <v>3.85</v>
      </c>
      <c r="DM846" s="0" t="s">
        <v>676</v>
      </c>
      <c r="DN846" s="0" t="s">
        <v>675</v>
      </c>
      <c r="DO846" s="0" t="n">
        <v>0</v>
      </c>
      <c r="DP846" s="0" t="n">
        <v>0</v>
      </c>
      <c r="DQ846" s="0" t="n">
        <v>39</v>
      </c>
      <c r="DR846" s="0" t="s">
        <v>6109</v>
      </c>
      <c r="EB846" s="0" t="s">
        <v>6110</v>
      </c>
      <c r="EC846" s="0" t="s">
        <v>3045</v>
      </c>
      <c r="ED846" s="0" t="s">
        <v>3046</v>
      </c>
      <c r="EE846" s="0" t="s">
        <v>586</v>
      </c>
      <c r="EF846" s="0" t="s">
        <v>2815</v>
      </c>
      <c r="EG846" s="0" t="n">
        <v>1</v>
      </c>
      <c r="EH846" s="0" t="n">
        <v>1</v>
      </c>
      <c r="EI846" s="0" t="n">
        <v>1</v>
      </c>
      <c r="EJ846" s="0" t="n">
        <v>1</v>
      </c>
    </row>
    <row r="847" customFormat="false" ht="15" hidden="false" customHeight="false" outlineLevel="0" collapsed="false">
      <c r="DG847" s="0" t="s">
        <v>6111</v>
      </c>
      <c r="DH847" s="0" t="s">
        <v>87</v>
      </c>
      <c r="DI847" s="0" t="s">
        <v>1807</v>
      </c>
      <c r="DJ847" s="0" t="s">
        <v>1808</v>
      </c>
      <c r="DK847" s="0" t="s">
        <v>674</v>
      </c>
      <c r="DL847" s="0" t="n">
        <v>3.85</v>
      </c>
      <c r="DM847" s="0" t="s">
        <v>676</v>
      </c>
      <c r="DN847" s="0" t="s">
        <v>675</v>
      </c>
      <c r="DO847" s="0" t="n">
        <v>0</v>
      </c>
      <c r="DP847" s="0" t="n">
        <v>0</v>
      </c>
      <c r="DQ847" s="0" t="n">
        <v>37.56</v>
      </c>
      <c r="DR847" s="0" t="s">
        <v>6112</v>
      </c>
      <c r="EB847" s="0" t="s">
        <v>6113</v>
      </c>
      <c r="EC847" s="0" t="s">
        <v>3045</v>
      </c>
      <c r="ED847" s="0" t="s">
        <v>3046</v>
      </c>
      <c r="EE847" s="0" t="s">
        <v>584</v>
      </c>
      <c r="EF847" s="0" t="s">
        <v>583</v>
      </c>
      <c r="EG847" s="0" t="n">
        <v>120000</v>
      </c>
      <c r="EH847" s="0" t="n">
        <v>120000</v>
      </c>
      <c r="EI847" s="0" t="n">
        <v>120000</v>
      </c>
      <c r="EJ847" s="0" t="n">
        <v>120000</v>
      </c>
    </row>
    <row r="848" customFormat="false" ht="15" hidden="false" customHeight="false" outlineLevel="0" collapsed="false">
      <c r="DG848" s="0" t="s">
        <v>6114</v>
      </c>
      <c r="DH848" s="0" t="s">
        <v>87</v>
      </c>
      <c r="DI848" s="0" t="s">
        <v>1811</v>
      </c>
      <c r="DJ848" s="0" t="s">
        <v>1812</v>
      </c>
      <c r="DK848" s="0" t="s">
        <v>674</v>
      </c>
      <c r="DL848" s="0" t="n">
        <v>3.85</v>
      </c>
      <c r="DM848" s="0" t="s">
        <v>676</v>
      </c>
      <c r="DN848" s="0" t="s">
        <v>675</v>
      </c>
      <c r="DO848" s="0" t="n">
        <v>0</v>
      </c>
      <c r="DP848" s="0" t="n">
        <v>0</v>
      </c>
      <c r="DQ848" s="0" t="n">
        <v>133.5</v>
      </c>
      <c r="DR848" s="0" t="s">
        <v>6115</v>
      </c>
      <c r="EB848" s="0" t="s">
        <v>6116</v>
      </c>
      <c r="EC848" s="0" t="s">
        <v>3045</v>
      </c>
      <c r="ED848" s="0" t="s">
        <v>3046</v>
      </c>
      <c r="EE848" s="0" t="s">
        <v>330</v>
      </c>
      <c r="EF848" s="0" t="s">
        <v>331</v>
      </c>
      <c r="EG848" s="0" t="n">
        <v>1030</v>
      </c>
      <c r="EH848" s="0" t="n">
        <v>1160</v>
      </c>
      <c r="EI848" s="0" t="n">
        <v>1250</v>
      </c>
      <c r="EJ848" s="0" t="n">
        <v>1250</v>
      </c>
    </row>
    <row r="849" customFormat="false" ht="15" hidden="false" customHeight="false" outlineLevel="0" collapsed="false">
      <c r="DG849" s="0" t="s">
        <v>6117</v>
      </c>
      <c r="DH849" s="0" t="s">
        <v>87</v>
      </c>
      <c r="DI849" s="0" t="s">
        <v>1815</v>
      </c>
      <c r="DJ849" s="0" t="s">
        <v>1816</v>
      </c>
      <c r="DK849" s="0" t="s">
        <v>674</v>
      </c>
      <c r="DL849" s="0" t="n">
        <v>3.85</v>
      </c>
      <c r="DM849" s="0" t="s">
        <v>676</v>
      </c>
      <c r="DN849" s="0" t="s">
        <v>675</v>
      </c>
      <c r="DO849" s="0" t="n">
        <v>0</v>
      </c>
      <c r="DP849" s="0" t="n">
        <v>0</v>
      </c>
      <c r="DQ849" s="0" t="n">
        <v>34</v>
      </c>
      <c r="DR849" s="0" t="s">
        <v>6118</v>
      </c>
      <c r="EB849" s="0" t="s">
        <v>6119</v>
      </c>
      <c r="EC849" s="0" t="s">
        <v>3045</v>
      </c>
      <c r="ED849" s="0" t="s">
        <v>3046</v>
      </c>
      <c r="EE849" s="0" t="s">
        <v>334</v>
      </c>
      <c r="EF849" s="0" t="s">
        <v>335</v>
      </c>
      <c r="EG849" s="0" t="n">
        <v>380</v>
      </c>
      <c r="EH849" s="0" t="n">
        <v>420</v>
      </c>
      <c r="EI849" s="0" t="n">
        <v>460</v>
      </c>
      <c r="EJ849" s="0" t="n">
        <v>460</v>
      </c>
    </row>
    <row r="850" customFormat="false" ht="15" hidden="false" customHeight="false" outlineLevel="0" collapsed="false">
      <c r="DG850" s="0" t="s">
        <v>6120</v>
      </c>
      <c r="DH850" s="0" t="s">
        <v>87</v>
      </c>
      <c r="DI850" s="0" t="s">
        <v>1818</v>
      </c>
      <c r="DJ850" s="0" t="s">
        <v>1819</v>
      </c>
      <c r="DK850" s="0" t="s">
        <v>674</v>
      </c>
      <c r="DL850" s="0" t="n">
        <v>3.85</v>
      </c>
      <c r="DM850" s="0" t="s">
        <v>676</v>
      </c>
      <c r="DN850" s="0" t="s">
        <v>675</v>
      </c>
      <c r="DO850" s="0" t="n">
        <v>0</v>
      </c>
      <c r="DP850" s="0" t="n">
        <v>0</v>
      </c>
      <c r="DQ850" s="0" t="n">
        <v>8</v>
      </c>
      <c r="DR850" s="0" t="s">
        <v>6121</v>
      </c>
      <c r="EB850" s="0" t="s">
        <v>6122</v>
      </c>
      <c r="EC850" s="0" t="s">
        <v>3045</v>
      </c>
      <c r="EE850" s="0" t="s">
        <v>582</v>
      </c>
    </row>
    <row r="851" customFormat="false" ht="15" hidden="false" customHeight="false" outlineLevel="0" collapsed="false">
      <c r="DG851" s="0" t="s">
        <v>6123</v>
      </c>
      <c r="DH851" s="0" t="s">
        <v>87</v>
      </c>
      <c r="DI851" s="0" t="s">
        <v>1820</v>
      </c>
      <c r="DJ851" s="0" t="s">
        <v>1821</v>
      </c>
      <c r="DK851" s="0" t="s">
        <v>674</v>
      </c>
      <c r="DL851" s="0" t="n">
        <v>3.85</v>
      </c>
      <c r="DM851" s="0" t="s">
        <v>676</v>
      </c>
      <c r="DN851" s="0" t="s">
        <v>675</v>
      </c>
      <c r="DO851" s="0" t="n">
        <v>0</v>
      </c>
      <c r="DP851" s="0" t="n">
        <v>0</v>
      </c>
      <c r="DQ851" s="0" t="n">
        <v>13.22</v>
      </c>
      <c r="DR851" s="0" t="s">
        <v>6124</v>
      </c>
      <c r="EB851" s="0" t="s">
        <v>6125</v>
      </c>
      <c r="EC851" s="0" t="s">
        <v>3045</v>
      </c>
      <c r="ED851" s="0" t="s">
        <v>3046</v>
      </c>
      <c r="EE851" s="0" t="s">
        <v>579</v>
      </c>
      <c r="EF851" s="0" t="s">
        <v>2889</v>
      </c>
      <c r="EG851" s="0" t="n">
        <v>1300</v>
      </c>
      <c r="EH851" s="0" t="n">
        <v>1300</v>
      </c>
      <c r="EI851" s="0" t="n">
        <v>1300</v>
      </c>
      <c r="EJ851" s="0" t="n">
        <v>1300</v>
      </c>
    </row>
    <row r="852" customFormat="false" ht="15" hidden="false" customHeight="false" outlineLevel="0" collapsed="false">
      <c r="DG852" s="0" t="s">
        <v>6126</v>
      </c>
      <c r="DH852" s="0" t="s">
        <v>87</v>
      </c>
      <c r="DI852" s="0" t="s">
        <v>1823</v>
      </c>
      <c r="DJ852" s="0" t="s">
        <v>1824</v>
      </c>
      <c r="DK852" s="0" t="s">
        <v>674</v>
      </c>
      <c r="DL852" s="0" t="n">
        <v>3.85</v>
      </c>
      <c r="DM852" s="0" t="s">
        <v>675</v>
      </c>
      <c r="DN852" s="0" t="s">
        <v>676</v>
      </c>
      <c r="DO852" s="0" t="n">
        <v>1</v>
      </c>
      <c r="DP852" s="0" t="n">
        <v>543.75</v>
      </c>
      <c r="DQ852" s="0" t="n">
        <v>543.75</v>
      </c>
      <c r="DR852" s="0" t="s">
        <v>6127</v>
      </c>
      <c r="EB852" s="0" t="s">
        <v>6128</v>
      </c>
      <c r="EC852" s="0" t="s">
        <v>3045</v>
      </c>
      <c r="ED852" s="0" t="s">
        <v>3046</v>
      </c>
      <c r="EE852" s="0" t="s">
        <v>575</v>
      </c>
      <c r="EF852" s="0" t="s">
        <v>573</v>
      </c>
      <c r="EG852" s="0" t="n">
        <v>1</v>
      </c>
      <c r="EH852" s="0" t="n">
        <v>1</v>
      </c>
      <c r="EI852" s="0" t="n">
        <v>1</v>
      </c>
      <c r="EJ852" s="0" t="n">
        <v>1</v>
      </c>
    </row>
    <row r="853" customFormat="false" ht="15" hidden="false" customHeight="false" outlineLevel="0" collapsed="false">
      <c r="DG853" s="0" t="s">
        <v>6129</v>
      </c>
      <c r="DH853" s="0" t="s">
        <v>87</v>
      </c>
      <c r="DI853" s="0" t="s">
        <v>1826</v>
      </c>
      <c r="DJ853" s="0" t="s">
        <v>1827</v>
      </c>
      <c r="DK853" s="0" t="s">
        <v>674</v>
      </c>
      <c r="DL853" s="0" t="n">
        <v>3.85</v>
      </c>
      <c r="DM853" s="0" t="s">
        <v>676</v>
      </c>
      <c r="DN853" s="0" t="s">
        <v>675</v>
      </c>
      <c r="DO853" s="0" t="n">
        <v>0</v>
      </c>
      <c r="DP853" s="0" t="n">
        <v>0</v>
      </c>
      <c r="DQ853" s="0" t="n">
        <v>2.46</v>
      </c>
      <c r="DR853" s="0" t="s">
        <v>6130</v>
      </c>
      <c r="EB853" s="0" t="s">
        <v>6131</v>
      </c>
      <c r="EC853" s="0" t="s">
        <v>3045</v>
      </c>
      <c r="ED853" s="0" t="s">
        <v>3046</v>
      </c>
      <c r="EE853" s="0" t="s">
        <v>2917</v>
      </c>
      <c r="EF853" s="0" t="s">
        <v>3375</v>
      </c>
      <c r="EG853" s="0" t="n">
        <v>3000</v>
      </c>
      <c r="EH853" s="0" t="n">
        <v>3000</v>
      </c>
      <c r="EI853" s="0" t="n">
        <v>3000</v>
      </c>
      <c r="EJ853" s="0" t="n">
        <v>3000</v>
      </c>
    </row>
    <row r="854" customFormat="false" ht="15" hidden="false" customHeight="false" outlineLevel="0" collapsed="false">
      <c r="DG854" s="0" t="s">
        <v>6132</v>
      </c>
      <c r="DH854" s="0" t="s">
        <v>87</v>
      </c>
      <c r="DI854" s="0" t="s">
        <v>1830</v>
      </c>
      <c r="DJ854" s="0" t="s">
        <v>1831</v>
      </c>
      <c r="DK854" s="0" t="s">
        <v>674</v>
      </c>
      <c r="DL854" s="0" t="n">
        <v>3.85</v>
      </c>
      <c r="DM854" s="0" t="s">
        <v>676</v>
      </c>
      <c r="DN854" s="0" t="s">
        <v>675</v>
      </c>
      <c r="DO854" s="0" t="n">
        <v>0</v>
      </c>
      <c r="DP854" s="0" t="n">
        <v>0</v>
      </c>
      <c r="DQ854" s="0" t="n">
        <v>10</v>
      </c>
      <c r="DR854" s="0" t="s">
        <v>6133</v>
      </c>
      <c r="EB854" s="0" t="s">
        <v>6134</v>
      </c>
      <c r="EC854" s="0" t="s">
        <v>3045</v>
      </c>
      <c r="ED854" s="0" t="s">
        <v>3046</v>
      </c>
      <c r="EE854" s="0" t="s">
        <v>2932</v>
      </c>
      <c r="EF854" s="0" t="s">
        <v>3383</v>
      </c>
      <c r="EG854" s="0" t="n">
        <v>6000</v>
      </c>
      <c r="EH854" s="0" t="n">
        <v>6000</v>
      </c>
      <c r="EI854" s="0" t="n">
        <v>6000</v>
      </c>
      <c r="EJ854" s="0" t="n">
        <v>6000</v>
      </c>
    </row>
    <row r="855" customFormat="false" ht="15" hidden="false" customHeight="false" outlineLevel="0" collapsed="false">
      <c r="DG855" s="0" t="s">
        <v>6135</v>
      </c>
      <c r="DH855" s="0" t="s">
        <v>87</v>
      </c>
      <c r="DI855" s="0" t="s">
        <v>1832</v>
      </c>
      <c r="DJ855" s="0" t="s">
        <v>1833</v>
      </c>
      <c r="DK855" s="0" t="s">
        <v>674</v>
      </c>
      <c r="DL855" s="0" t="n">
        <v>3.85</v>
      </c>
      <c r="DM855" s="0" t="s">
        <v>676</v>
      </c>
      <c r="DN855" s="0" t="s">
        <v>675</v>
      </c>
      <c r="DO855" s="0" t="n">
        <v>0</v>
      </c>
      <c r="DP855" s="0" t="n">
        <v>0</v>
      </c>
      <c r="DQ855" s="0" t="n">
        <v>0.74</v>
      </c>
      <c r="DR855" s="0" t="s">
        <v>6136</v>
      </c>
      <c r="EB855" s="0" t="s">
        <v>6137</v>
      </c>
      <c r="EC855" s="0" t="s">
        <v>3045</v>
      </c>
      <c r="ED855" s="0" t="s">
        <v>3046</v>
      </c>
      <c r="EE855" s="0" t="s">
        <v>2946</v>
      </c>
      <c r="EF855" s="0" t="s">
        <v>3389</v>
      </c>
      <c r="EG855" s="0" t="n">
        <v>8500</v>
      </c>
      <c r="EH855" s="0" t="n">
        <v>8500</v>
      </c>
      <c r="EI855" s="0" t="n">
        <v>8500</v>
      </c>
      <c r="EJ855" s="0" t="n">
        <v>8500</v>
      </c>
    </row>
    <row r="856" customFormat="false" ht="15" hidden="false" customHeight="false" outlineLevel="0" collapsed="false">
      <c r="DG856" s="0" t="s">
        <v>6138</v>
      </c>
      <c r="DH856" s="0" t="s">
        <v>87</v>
      </c>
      <c r="DI856" s="0" t="s">
        <v>1836</v>
      </c>
      <c r="DJ856" s="0" t="s">
        <v>1837</v>
      </c>
      <c r="DK856" s="0" t="s">
        <v>674</v>
      </c>
      <c r="DL856" s="0" t="n">
        <v>3.85</v>
      </c>
      <c r="DM856" s="0" t="s">
        <v>676</v>
      </c>
      <c r="DN856" s="0" t="s">
        <v>675</v>
      </c>
      <c r="DO856" s="0" t="n">
        <v>0</v>
      </c>
      <c r="DP856" s="0" t="n">
        <v>0</v>
      </c>
      <c r="DQ856" s="0" t="n">
        <v>48</v>
      </c>
      <c r="DR856" s="0" t="s">
        <v>6139</v>
      </c>
      <c r="EB856" s="0" t="s">
        <v>6140</v>
      </c>
      <c r="EC856" s="0" t="s">
        <v>3045</v>
      </c>
      <c r="ED856" s="0" t="s">
        <v>3046</v>
      </c>
      <c r="EE856" s="0" t="s">
        <v>567</v>
      </c>
      <c r="EF856" s="0" t="s">
        <v>2959</v>
      </c>
      <c r="EG856" s="0" t="n">
        <v>1</v>
      </c>
      <c r="EH856" s="0" t="n">
        <v>1</v>
      </c>
      <c r="EI856" s="0" t="n">
        <v>1</v>
      </c>
      <c r="EJ856" s="0" t="n">
        <v>1</v>
      </c>
    </row>
    <row r="857" customFormat="false" ht="15" hidden="false" customHeight="false" outlineLevel="0" collapsed="false">
      <c r="DG857" s="0" t="s">
        <v>6141</v>
      </c>
      <c r="DH857" s="0" t="s">
        <v>87</v>
      </c>
      <c r="DI857" s="0" t="s">
        <v>1839</v>
      </c>
      <c r="DJ857" s="0" t="s">
        <v>1840</v>
      </c>
      <c r="DK857" s="0" t="s">
        <v>674</v>
      </c>
      <c r="DL857" s="0" t="n">
        <v>3.85</v>
      </c>
      <c r="DM857" s="0" t="s">
        <v>675</v>
      </c>
      <c r="DN857" s="0" t="s">
        <v>676</v>
      </c>
      <c r="DO857" s="0" t="n">
        <v>1</v>
      </c>
      <c r="DP857" s="0" t="n">
        <v>138.75</v>
      </c>
      <c r="DQ857" s="0" t="n">
        <v>138.75</v>
      </c>
      <c r="DR857" s="0" t="s">
        <v>6142</v>
      </c>
      <c r="EB857" s="0" t="s">
        <v>6143</v>
      </c>
      <c r="EC857" s="0" t="s">
        <v>3045</v>
      </c>
      <c r="ED857" s="0" t="s">
        <v>3046</v>
      </c>
      <c r="EE857" s="0" t="s">
        <v>569</v>
      </c>
      <c r="EF857" s="0" t="s">
        <v>2973</v>
      </c>
      <c r="EG857" s="0" t="n">
        <v>13000</v>
      </c>
      <c r="EH857" s="0" t="n">
        <v>13000</v>
      </c>
      <c r="EI857" s="0" t="n">
        <v>13000</v>
      </c>
      <c r="EJ857" s="0" t="n">
        <v>13000</v>
      </c>
    </row>
    <row r="858" customFormat="false" ht="15" hidden="false" customHeight="false" outlineLevel="0" collapsed="false">
      <c r="DG858" s="0" t="s">
        <v>6144</v>
      </c>
      <c r="DH858" s="0" t="s">
        <v>87</v>
      </c>
      <c r="DI858" s="0" t="s">
        <v>1842</v>
      </c>
      <c r="DJ858" s="0" t="s">
        <v>1843</v>
      </c>
      <c r="DK858" s="0" t="s">
        <v>674</v>
      </c>
      <c r="DL858" s="0" t="n">
        <v>3.85</v>
      </c>
      <c r="DM858" s="0" t="s">
        <v>676</v>
      </c>
      <c r="DN858" s="0" t="s">
        <v>675</v>
      </c>
      <c r="DO858" s="0" t="n">
        <v>0</v>
      </c>
      <c r="DP858" s="0" t="n">
        <v>0</v>
      </c>
      <c r="DQ858" s="0" t="n">
        <v>12.42</v>
      </c>
      <c r="DR858" s="0" t="s">
        <v>6145</v>
      </c>
      <c r="EB858" s="0" t="s">
        <v>6146</v>
      </c>
      <c r="EC858" s="0" t="s">
        <v>3045</v>
      </c>
      <c r="ED858" s="0" t="s">
        <v>3046</v>
      </c>
      <c r="EE858" s="0" t="s">
        <v>562</v>
      </c>
      <c r="EF858" s="0" t="s">
        <v>2986</v>
      </c>
      <c r="EG858" s="0" t="n">
        <v>1</v>
      </c>
      <c r="EH858" s="0" t="n">
        <v>1</v>
      </c>
      <c r="EI858" s="0" t="n">
        <v>1</v>
      </c>
      <c r="EJ858" s="0" t="n">
        <v>1</v>
      </c>
    </row>
    <row r="859" customFormat="false" ht="15" hidden="false" customHeight="false" outlineLevel="0" collapsed="false">
      <c r="DG859" s="0" t="s">
        <v>6147</v>
      </c>
      <c r="DH859" s="0" t="s">
        <v>87</v>
      </c>
      <c r="DI859" s="0" t="s">
        <v>1846</v>
      </c>
      <c r="DJ859" s="0" t="s">
        <v>1847</v>
      </c>
      <c r="DK859" s="0" t="s">
        <v>674</v>
      </c>
      <c r="DL859" s="0" t="n">
        <v>3.85</v>
      </c>
      <c r="DM859" s="0" t="s">
        <v>676</v>
      </c>
      <c r="DN859" s="0" t="s">
        <v>675</v>
      </c>
      <c r="DO859" s="0" t="n">
        <v>0</v>
      </c>
      <c r="DP859" s="0" t="n">
        <v>0</v>
      </c>
      <c r="DQ859" s="0" t="n">
        <v>701</v>
      </c>
      <c r="DR859" s="0" t="s">
        <v>6148</v>
      </c>
      <c r="EB859" s="0" t="s">
        <v>6149</v>
      </c>
      <c r="EC859" s="0" t="s">
        <v>3045</v>
      </c>
      <c r="ED859" s="0" t="s">
        <v>3046</v>
      </c>
      <c r="EE859" s="0" t="s">
        <v>557</v>
      </c>
      <c r="EF859" s="0" t="s">
        <v>554</v>
      </c>
      <c r="EG859" s="0" t="n">
        <v>1440</v>
      </c>
      <c r="EH859" s="0" t="n">
        <v>1440</v>
      </c>
      <c r="EI859" s="0" t="n">
        <v>1440</v>
      </c>
      <c r="EJ859" s="0" t="n">
        <v>1440</v>
      </c>
    </row>
    <row r="860" customFormat="false" ht="15" hidden="false" customHeight="false" outlineLevel="0" collapsed="false">
      <c r="DG860" s="0" t="s">
        <v>6150</v>
      </c>
      <c r="DH860" s="0" t="s">
        <v>87</v>
      </c>
      <c r="DI860" s="0" t="s">
        <v>1849</v>
      </c>
      <c r="DJ860" s="0" t="s">
        <v>1850</v>
      </c>
      <c r="DK860" s="0" t="s">
        <v>674</v>
      </c>
      <c r="DL860" s="0" t="n">
        <v>3.85</v>
      </c>
      <c r="DM860" s="0" t="s">
        <v>676</v>
      </c>
      <c r="DN860" s="0" t="s">
        <v>675</v>
      </c>
      <c r="DO860" s="0" t="n">
        <v>0</v>
      </c>
      <c r="DP860" s="0" t="n">
        <v>0</v>
      </c>
      <c r="DQ860" s="0" t="n">
        <v>5.12</v>
      </c>
      <c r="DR860" s="0" t="s">
        <v>6151</v>
      </c>
      <c r="EB860" s="0" t="s">
        <v>6152</v>
      </c>
      <c r="EC860" s="0" t="s">
        <v>3045</v>
      </c>
      <c r="ED860" s="0" t="s">
        <v>3046</v>
      </c>
      <c r="EE860" s="0" t="s">
        <v>290</v>
      </c>
      <c r="EF860" s="0" t="s">
        <v>289</v>
      </c>
      <c r="EG860" s="0" t="n">
        <v>390</v>
      </c>
      <c r="EH860" s="0" t="n">
        <v>440</v>
      </c>
      <c r="EI860" s="0" t="n">
        <v>500</v>
      </c>
      <c r="EJ860" s="0" t="n">
        <v>500</v>
      </c>
    </row>
    <row r="861" customFormat="false" ht="15" hidden="false" customHeight="false" outlineLevel="0" collapsed="false">
      <c r="DG861" s="0" t="s">
        <v>6153</v>
      </c>
      <c r="DH861" s="0" t="s">
        <v>87</v>
      </c>
      <c r="DI861" s="0" t="s">
        <v>1853</v>
      </c>
      <c r="DJ861" s="0" t="s">
        <v>1854</v>
      </c>
      <c r="DK861" s="0" t="s">
        <v>674</v>
      </c>
      <c r="DL861" s="0" t="n">
        <v>3.85</v>
      </c>
      <c r="DM861" s="0" t="s">
        <v>676</v>
      </c>
      <c r="DN861" s="0" t="s">
        <v>675</v>
      </c>
      <c r="DO861" s="0" t="n">
        <v>0</v>
      </c>
      <c r="DP861" s="0" t="n">
        <v>0</v>
      </c>
      <c r="DQ861" s="0" t="n">
        <v>6.56</v>
      </c>
      <c r="DR861" s="0" t="s">
        <v>6154</v>
      </c>
      <c r="EB861" s="0" t="s">
        <v>6155</v>
      </c>
      <c r="EC861" s="0" t="s">
        <v>3045</v>
      </c>
      <c r="ED861" s="0" t="s">
        <v>3046</v>
      </c>
      <c r="EE861" s="0" t="s">
        <v>275</v>
      </c>
      <c r="EF861" s="0" t="s">
        <v>273</v>
      </c>
      <c r="EG861" s="0" t="n">
        <v>1320</v>
      </c>
      <c r="EH861" s="0" t="n">
        <v>1520</v>
      </c>
      <c r="EI861" s="0" t="n">
        <v>1720</v>
      </c>
      <c r="EJ861" s="0" t="n">
        <v>1850</v>
      </c>
    </row>
    <row r="862" customFormat="false" ht="15" hidden="false" customHeight="false" outlineLevel="0" collapsed="false">
      <c r="DG862" s="0" t="s">
        <v>6156</v>
      </c>
      <c r="DH862" s="0" t="s">
        <v>87</v>
      </c>
      <c r="DI862" s="0" t="s">
        <v>1857</v>
      </c>
      <c r="DJ862" s="0" t="s">
        <v>1858</v>
      </c>
      <c r="DK862" s="0" t="s">
        <v>674</v>
      </c>
      <c r="DL862" s="0" t="n">
        <v>3.85</v>
      </c>
      <c r="DM862" s="0" t="s">
        <v>676</v>
      </c>
      <c r="DN862" s="0" t="s">
        <v>675</v>
      </c>
      <c r="DO862" s="0" t="n">
        <v>0</v>
      </c>
      <c r="DP862" s="0" t="n">
        <v>0</v>
      </c>
      <c r="DQ862" s="0" t="n">
        <v>149.6</v>
      </c>
      <c r="DR862" s="0" t="s">
        <v>6157</v>
      </c>
      <c r="EB862" s="0" t="s">
        <v>6158</v>
      </c>
      <c r="EC862" s="0" t="s">
        <v>3045</v>
      </c>
      <c r="EE862" s="0" t="s">
        <v>298</v>
      </c>
    </row>
    <row r="863" customFormat="false" ht="15" hidden="false" customHeight="false" outlineLevel="0" collapsed="false">
      <c r="DG863" s="0" t="s">
        <v>6159</v>
      </c>
      <c r="DH863" s="0" t="s">
        <v>87</v>
      </c>
      <c r="DI863" s="0" t="s">
        <v>1861</v>
      </c>
      <c r="DJ863" s="0" t="s">
        <v>1862</v>
      </c>
      <c r="DK863" s="0" t="s">
        <v>674</v>
      </c>
      <c r="DL863" s="0" t="n">
        <v>3.85</v>
      </c>
      <c r="DM863" s="0" t="s">
        <v>676</v>
      </c>
      <c r="DN863" s="0" t="s">
        <v>675</v>
      </c>
      <c r="DO863" s="0" t="n">
        <v>0</v>
      </c>
      <c r="DP863" s="0" t="n">
        <v>0</v>
      </c>
      <c r="DQ863" s="0" t="n">
        <v>33.25</v>
      </c>
      <c r="DR863" s="0" t="s">
        <v>6160</v>
      </c>
      <c r="EB863" s="0" t="s">
        <v>6161</v>
      </c>
      <c r="EC863" s="0" t="s">
        <v>3045</v>
      </c>
      <c r="ED863" s="0" t="s">
        <v>3046</v>
      </c>
      <c r="EE863" s="0" t="s">
        <v>286</v>
      </c>
      <c r="EF863" s="0" t="s">
        <v>284</v>
      </c>
      <c r="EG863" s="0" t="n">
        <v>680</v>
      </c>
      <c r="EH863" s="0" t="n">
        <v>750</v>
      </c>
      <c r="EI863" s="0" t="n">
        <v>810</v>
      </c>
      <c r="EJ863" s="0" t="n">
        <v>810</v>
      </c>
    </row>
    <row r="864" customFormat="false" ht="15" hidden="false" customHeight="false" outlineLevel="0" collapsed="false">
      <c r="DG864" s="0" t="s">
        <v>6162</v>
      </c>
      <c r="DH864" s="0" t="s">
        <v>87</v>
      </c>
      <c r="DI864" s="0" t="s">
        <v>1864</v>
      </c>
      <c r="DJ864" s="0" t="s">
        <v>1865</v>
      </c>
      <c r="DK864" s="0" t="s">
        <v>674</v>
      </c>
      <c r="DL864" s="0" t="n">
        <v>3.85</v>
      </c>
      <c r="DM864" s="0" t="s">
        <v>676</v>
      </c>
      <c r="DN864" s="0" t="s">
        <v>675</v>
      </c>
      <c r="DO864" s="0" t="n">
        <v>0</v>
      </c>
      <c r="DP864" s="0" t="n">
        <v>0</v>
      </c>
      <c r="DQ864" s="0" t="n">
        <v>327.42</v>
      </c>
      <c r="DR864" s="0" t="s">
        <v>6163</v>
      </c>
      <c r="EB864" s="0" t="s">
        <v>6164</v>
      </c>
      <c r="EC864" s="0" t="s">
        <v>3045</v>
      </c>
      <c r="ED864" s="0" t="s">
        <v>3046</v>
      </c>
      <c r="EE864" s="0" t="s">
        <v>272</v>
      </c>
      <c r="EF864" s="0" t="s">
        <v>270</v>
      </c>
      <c r="EG864" s="0" t="n">
        <v>2110</v>
      </c>
      <c r="EH864" s="0" t="n">
        <v>2300</v>
      </c>
      <c r="EI864" s="0" t="n">
        <v>2600</v>
      </c>
      <c r="EJ864" s="0" t="n">
        <v>2800</v>
      </c>
    </row>
    <row r="865" customFormat="false" ht="15" hidden="false" customHeight="false" outlineLevel="0" collapsed="false">
      <c r="DG865" s="0" t="s">
        <v>6165</v>
      </c>
      <c r="DH865" s="0" t="s">
        <v>87</v>
      </c>
      <c r="DI865" s="0" t="s">
        <v>1867</v>
      </c>
      <c r="DJ865" s="0" t="s">
        <v>1868</v>
      </c>
      <c r="DK865" s="0" t="s">
        <v>674</v>
      </c>
      <c r="DL865" s="0" t="n">
        <v>3.85</v>
      </c>
      <c r="DM865" s="0" t="s">
        <v>675</v>
      </c>
      <c r="DN865" s="0" t="s">
        <v>676</v>
      </c>
      <c r="DO865" s="0" t="n">
        <v>2</v>
      </c>
      <c r="DP865" s="0" t="n">
        <v>36.3</v>
      </c>
      <c r="DQ865" s="0" t="n">
        <v>36.3</v>
      </c>
      <c r="DR865" s="0" t="s">
        <v>6166</v>
      </c>
      <c r="EB865" s="0" t="s">
        <v>6167</v>
      </c>
      <c r="EC865" s="0" t="s">
        <v>3045</v>
      </c>
      <c r="ED865" s="0" t="s">
        <v>3046</v>
      </c>
      <c r="EE865" s="0" t="s">
        <v>283</v>
      </c>
      <c r="EF865" s="0" t="s">
        <v>281</v>
      </c>
      <c r="EG865" s="0" t="n">
        <v>360</v>
      </c>
      <c r="EH865" s="0" t="n">
        <v>400</v>
      </c>
      <c r="EI865" s="0" t="n">
        <v>430</v>
      </c>
      <c r="EJ865" s="0" t="n">
        <v>430</v>
      </c>
    </row>
    <row r="866" customFormat="false" ht="15" hidden="false" customHeight="false" outlineLevel="0" collapsed="false">
      <c r="DG866" s="0" t="s">
        <v>6168</v>
      </c>
      <c r="DH866" s="0" t="s">
        <v>87</v>
      </c>
      <c r="DI866" s="0" t="s">
        <v>1871</v>
      </c>
      <c r="DJ866" s="0" t="s">
        <v>1872</v>
      </c>
      <c r="DK866" s="0" t="s">
        <v>674</v>
      </c>
      <c r="DL866" s="0" t="n">
        <v>3.85</v>
      </c>
      <c r="DM866" s="0" t="s">
        <v>676</v>
      </c>
      <c r="DN866" s="0" t="s">
        <v>675</v>
      </c>
      <c r="DO866" s="0" t="n">
        <v>0</v>
      </c>
      <c r="DP866" s="0" t="n">
        <v>0</v>
      </c>
      <c r="DQ866" s="0" t="n">
        <v>6.65</v>
      </c>
      <c r="DR866" s="0" t="s">
        <v>6169</v>
      </c>
      <c r="EB866" s="0" t="s">
        <v>6170</v>
      </c>
      <c r="EC866" s="0" t="s">
        <v>3045</v>
      </c>
      <c r="ED866" s="0" t="s">
        <v>3046</v>
      </c>
      <c r="EE866" s="0" t="s">
        <v>267</v>
      </c>
      <c r="EF866" s="0" t="s">
        <v>265</v>
      </c>
      <c r="EG866" s="0" t="n">
        <v>1920</v>
      </c>
      <c r="EH866" s="0" t="n">
        <v>2120</v>
      </c>
      <c r="EI866" s="0" t="n">
        <v>2290</v>
      </c>
      <c r="EJ866" s="0" t="n">
        <v>2290</v>
      </c>
    </row>
    <row r="867" customFormat="false" ht="15" hidden="false" customHeight="false" outlineLevel="0" collapsed="false">
      <c r="DG867" s="0" t="s">
        <v>6171</v>
      </c>
      <c r="DH867" s="0" t="s">
        <v>87</v>
      </c>
      <c r="DI867" s="0" t="s">
        <v>1874</v>
      </c>
      <c r="DJ867" s="0" t="s">
        <v>1875</v>
      </c>
      <c r="DK867" s="0" t="s">
        <v>674</v>
      </c>
      <c r="DL867" s="0" t="n">
        <v>3.85</v>
      </c>
      <c r="DM867" s="0" t="s">
        <v>676</v>
      </c>
      <c r="DN867" s="0" t="s">
        <v>675</v>
      </c>
      <c r="DO867" s="0" t="n">
        <v>0</v>
      </c>
      <c r="DP867" s="0" t="n">
        <v>0</v>
      </c>
      <c r="DQ867" s="0" t="n">
        <v>4.53</v>
      </c>
      <c r="DR867" s="0" t="s">
        <v>6172</v>
      </c>
      <c r="EB867" s="0" t="s">
        <v>6173</v>
      </c>
      <c r="EC867" s="0" t="s">
        <v>3045</v>
      </c>
      <c r="ED867" s="0" t="s">
        <v>3046</v>
      </c>
      <c r="EE867" s="0" t="s">
        <v>258</v>
      </c>
      <c r="EF867" s="0" t="s">
        <v>256</v>
      </c>
      <c r="EG867" s="0" t="n">
        <v>2910</v>
      </c>
      <c r="EH867" s="0" t="n">
        <v>3220</v>
      </c>
      <c r="EI867" s="0" t="n">
        <v>3470</v>
      </c>
      <c r="EJ867" s="0" t="n">
        <v>3470</v>
      </c>
    </row>
    <row r="868" customFormat="false" ht="15" hidden="false" customHeight="false" outlineLevel="0" collapsed="false">
      <c r="DG868" s="0" t="s">
        <v>6174</v>
      </c>
      <c r="DH868" s="0" t="s">
        <v>87</v>
      </c>
      <c r="DI868" s="0" t="s">
        <v>1877</v>
      </c>
      <c r="DJ868" s="0" t="s">
        <v>1878</v>
      </c>
      <c r="DK868" s="0" t="s">
        <v>674</v>
      </c>
      <c r="DL868" s="0" t="n">
        <v>3.85</v>
      </c>
      <c r="DM868" s="0" t="s">
        <v>676</v>
      </c>
      <c r="DN868" s="0" t="s">
        <v>675</v>
      </c>
      <c r="DO868" s="0" t="n">
        <v>0</v>
      </c>
      <c r="DP868" s="0" t="n">
        <v>0</v>
      </c>
      <c r="DQ868" s="0" t="n">
        <v>45.99</v>
      </c>
      <c r="DR868" s="0" t="s">
        <v>6175</v>
      </c>
      <c r="EB868" s="0" t="s">
        <v>6176</v>
      </c>
      <c r="EC868" s="0" t="s">
        <v>3045</v>
      </c>
      <c r="ED868" s="0" t="s">
        <v>3046</v>
      </c>
      <c r="EE868" s="0" t="s">
        <v>222</v>
      </c>
      <c r="EF868" s="0" t="s">
        <v>220</v>
      </c>
      <c r="EG868" s="0" t="n">
        <v>2430</v>
      </c>
      <c r="EH868" s="0" t="n">
        <v>2690</v>
      </c>
      <c r="EI868" s="0" t="n">
        <v>2900</v>
      </c>
      <c r="EJ868" s="0" t="n">
        <v>2900</v>
      </c>
    </row>
    <row r="869" customFormat="false" ht="15" hidden="false" customHeight="false" outlineLevel="0" collapsed="false">
      <c r="DG869" s="0" t="s">
        <v>6177</v>
      </c>
      <c r="DH869" s="0" t="s">
        <v>87</v>
      </c>
      <c r="DI869" s="0" t="s">
        <v>1881</v>
      </c>
      <c r="DJ869" s="0" t="s">
        <v>1882</v>
      </c>
      <c r="DK869" s="0" t="s">
        <v>674</v>
      </c>
      <c r="DL869" s="0" t="n">
        <v>3.85</v>
      </c>
      <c r="DM869" s="0" t="s">
        <v>675</v>
      </c>
      <c r="DN869" s="0" t="s">
        <v>676</v>
      </c>
      <c r="DO869" s="0" t="n">
        <v>1</v>
      </c>
      <c r="DP869" s="0" t="n">
        <v>63.17</v>
      </c>
      <c r="DQ869" s="0" t="n">
        <v>63.17</v>
      </c>
      <c r="DR869" s="0" t="s">
        <v>6178</v>
      </c>
      <c r="EB869" s="0" t="s">
        <v>6179</v>
      </c>
      <c r="EC869" s="0" t="s">
        <v>3045</v>
      </c>
      <c r="ED869" s="0" t="s">
        <v>3046</v>
      </c>
      <c r="EE869" s="0" t="s">
        <v>233</v>
      </c>
      <c r="EF869" s="0" t="s">
        <v>231</v>
      </c>
      <c r="EG869" s="0" t="n">
        <v>1910</v>
      </c>
      <c r="EH869" s="0" t="n">
        <v>2200</v>
      </c>
      <c r="EI869" s="0" t="n">
        <v>2480</v>
      </c>
      <c r="EJ869" s="0" t="n">
        <v>2670</v>
      </c>
    </row>
    <row r="870" customFormat="false" ht="15" hidden="false" customHeight="false" outlineLevel="0" collapsed="false">
      <c r="DG870" s="0" t="s">
        <v>6180</v>
      </c>
      <c r="DH870" s="0" t="s">
        <v>87</v>
      </c>
      <c r="DI870" s="0" t="s">
        <v>1884</v>
      </c>
      <c r="DJ870" s="0" t="s">
        <v>1885</v>
      </c>
      <c r="DK870" s="0" t="s">
        <v>674</v>
      </c>
      <c r="DL870" s="0" t="n">
        <v>3.85</v>
      </c>
      <c r="DM870" s="0" t="s">
        <v>676</v>
      </c>
      <c r="DN870" s="0" t="s">
        <v>675</v>
      </c>
      <c r="DO870" s="0" t="n">
        <v>0</v>
      </c>
      <c r="DP870" s="0" t="n">
        <v>0</v>
      </c>
      <c r="DQ870" s="0" t="n">
        <v>24.56</v>
      </c>
      <c r="DR870" s="0" t="s">
        <v>6181</v>
      </c>
      <c r="EB870" s="0" t="s">
        <v>6182</v>
      </c>
      <c r="EC870" s="0" t="s">
        <v>3045</v>
      </c>
      <c r="ED870" s="0" t="s">
        <v>3046</v>
      </c>
      <c r="EE870" s="0" t="s">
        <v>225</v>
      </c>
      <c r="EF870" s="0" t="s">
        <v>223</v>
      </c>
      <c r="EG870" s="0" t="n">
        <v>2730</v>
      </c>
      <c r="EH870" s="0" t="n">
        <v>3020</v>
      </c>
      <c r="EI870" s="0" t="n">
        <v>3260</v>
      </c>
      <c r="EJ870" s="0" t="n">
        <v>3260</v>
      </c>
    </row>
    <row r="871" customFormat="false" ht="15" hidden="false" customHeight="false" outlineLevel="0" collapsed="false">
      <c r="DG871" s="0" t="s">
        <v>6183</v>
      </c>
      <c r="DH871" s="0" t="s">
        <v>87</v>
      </c>
      <c r="DI871" s="0" t="s">
        <v>1887</v>
      </c>
      <c r="DJ871" s="0" t="s">
        <v>1888</v>
      </c>
      <c r="DK871" s="0" t="s">
        <v>674</v>
      </c>
      <c r="DL871" s="0" t="n">
        <v>3.85</v>
      </c>
      <c r="DM871" s="0" t="s">
        <v>676</v>
      </c>
      <c r="DN871" s="0" t="s">
        <v>675</v>
      </c>
      <c r="DO871" s="0" t="n">
        <v>0</v>
      </c>
      <c r="DP871" s="0" t="n">
        <v>0</v>
      </c>
      <c r="DQ871" s="0" t="n">
        <v>31.7</v>
      </c>
      <c r="DR871" s="0" t="s">
        <v>6184</v>
      </c>
      <c r="EB871" s="0" t="s">
        <v>6185</v>
      </c>
      <c r="EC871" s="0" t="s">
        <v>3045</v>
      </c>
      <c r="ED871" s="0" t="s">
        <v>3046</v>
      </c>
      <c r="EE871" s="0" t="s">
        <v>288</v>
      </c>
      <c r="EF871" s="0" t="s">
        <v>287</v>
      </c>
      <c r="EG871" s="0" t="n">
        <v>450</v>
      </c>
      <c r="EH871" s="0" t="n">
        <v>530</v>
      </c>
      <c r="EI871" s="0" t="n">
        <v>580</v>
      </c>
      <c r="EJ871" s="0" t="n">
        <v>580</v>
      </c>
    </row>
    <row r="872" customFormat="false" ht="15" hidden="false" customHeight="false" outlineLevel="0" collapsed="false">
      <c r="DG872" s="0" t="s">
        <v>6186</v>
      </c>
      <c r="DH872" s="0" t="s">
        <v>87</v>
      </c>
      <c r="DI872" s="0" t="s">
        <v>1891</v>
      </c>
      <c r="DJ872" s="0" t="s">
        <v>1751</v>
      </c>
      <c r="DK872" s="0" t="s">
        <v>674</v>
      </c>
      <c r="DL872" s="0" t="n">
        <v>3.85</v>
      </c>
      <c r="DM872" s="0" t="s">
        <v>676</v>
      </c>
      <c r="DN872" s="0" t="s">
        <v>675</v>
      </c>
      <c r="DO872" s="0" t="n">
        <v>0</v>
      </c>
      <c r="DP872" s="0" t="n">
        <v>0</v>
      </c>
      <c r="DQ872" s="0" t="n">
        <v>0</v>
      </c>
      <c r="DR872" s="0" t="s">
        <v>6043</v>
      </c>
      <c r="EB872" s="0" t="s">
        <v>6187</v>
      </c>
      <c r="EC872" s="0" t="s">
        <v>3045</v>
      </c>
      <c r="ED872" s="0" t="s">
        <v>3046</v>
      </c>
      <c r="EE872" s="0" t="s">
        <v>269</v>
      </c>
      <c r="EF872" s="0" t="s">
        <v>268</v>
      </c>
      <c r="EG872" s="0" t="n">
        <v>280</v>
      </c>
      <c r="EH872" s="0" t="n">
        <v>280</v>
      </c>
      <c r="EI872" s="0" t="n">
        <v>280</v>
      </c>
      <c r="EJ872" s="0" t="n">
        <v>280</v>
      </c>
    </row>
    <row r="873" customFormat="false" ht="15" hidden="false" customHeight="false" outlineLevel="0" collapsed="false">
      <c r="DG873" s="0" t="s">
        <v>6188</v>
      </c>
      <c r="DH873" s="0" t="s">
        <v>87</v>
      </c>
      <c r="DI873" s="0" t="s">
        <v>1893</v>
      </c>
      <c r="DJ873" s="0" t="s">
        <v>1894</v>
      </c>
      <c r="DK873" s="0" t="s">
        <v>674</v>
      </c>
      <c r="DL873" s="0" t="n">
        <v>3.85</v>
      </c>
      <c r="DM873" s="0" t="s">
        <v>676</v>
      </c>
      <c r="DN873" s="0" t="s">
        <v>675</v>
      </c>
      <c r="DO873" s="0" t="n">
        <v>0</v>
      </c>
      <c r="DP873" s="0" t="n">
        <v>0</v>
      </c>
      <c r="DQ873" s="0" t="n">
        <v>152</v>
      </c>
      <c r="DR873" s="0" t="s">
        <v>6189</v>
      </c>
      <c r="EB873" s="0" t="s">
        <v>6190</v>
      </c>
      <c r="EC873" s="0" t="s">
        <v>3045</v>
      </c>
      <c r="ED873" s="0" t="s">
        <v>3046</v>
      </c>
      <c r="EE873" s="0" t="s">
        <v>237</v>
      </c>
      <c r="EF873" s="0" t="s">
        <v>235</v>
      </c>
      <c r="EG873" s="0" t="n">
        <v>2650</v>
      </c>
      <c r="EH873" s="0" t="n">
        <v>2650</v>
      </c>
      <c r="EI873" s="0" t="n">
        <v>2650</v>
      </c>
      <c r="EJ873" s="0" t="n">
        <v>2650</v>
      </c>
    </row>
    <row r="874" customFormat="false" ht="15" hidden="false" customHeight="false" outlineLevel="0" collapsed="false">
      <c r="DG874" s="0" t="s">
        <v>6191</v>
      </c>
      <c r="DH874" s="0" t="s">
        <v>87</v>
      </c>
      <c r="DI874" s="0" t="s">
        <v>1897</v>
      </c>
      <c r="DJ874" s="0" t="s">
        <v>1898</v>
      </c>
      <c r="DK874" s="0" t="s">
        <v>674</v>
      </c>
      <c r="DL874" s="0" t="n">
        <v>3.85</v>
      </c>
      <c r="DM874" s="0" t="s">
        <v>676</v>
      </c>
      <c r="DN874" s="0" t="s">
        <v>675</v>
      </c>
      <c r="DO874" s="0" t="n">
        <v>0</v>
      </c>
      <c r="DP874" s="0" t="n">
        <v>0</v>
      </c>
      <c r="DQ874" s="0" t="n">
        <v>66.36</v>
      </c>
      <c r="DR874" s="0" t="s">
        <v>6192</v>
      </c>
      <c r="EB874" s="0" t="s">
        <v>6193</v>
      </c>
      <c r="EC874" s="0" t="s">
        <v>3045</v>
      </c>
      <c r="ED874" s="0" t="s">
        <v>3046</v>
      </c>
      <c r="EE874" s="0" t="s">
        <v>249</v>
      </c>
      <c r="EF874" s="0" t="s">
        <v>247</v>
      </c>
      <c r="EG874" s="0" t="n">
        <v>310</v>
      </c>
      <c r="EH874" s="0" t="n">
        <v>340</v>
      </c>
      <c r="EI874" s="0" t="n">
        <v>370</v>
      </c>
      <c r="EJ874" s="0" t="n">
        <v>370</v>
      </c>
    </row>
    <row r="875" customFormat="false" ht="15" hidden="false" customHeight="false" outlineLevel="0" collapsed="false">
      <c r="DG875" s="0" t="s">
        <v>6194</v>
      </c>
      <c r="DH875" s="0" t="s">
        <v>87</v>
      </c>
      <c r="DI875" s="0" t="s">
        <v>1901</v>
      </c>
      <c r="DJ875" s="0" t="s">
        <v>1902</v>
      </c>
      <c r="DK875" s="0" t="s">
        <v>674</v>
      </c>
      <c r="DL875" s="0" t="n">
        <v>3.85</v>
      </c>
      <c r="DM875" s="0" t="s">
        <v>676</v>
      </c>
      <c r="DN875" s="0" t="s">
        <v>675</v>
      </c>
      <c r="DO875" s="0" t="n">
        <v>0</v>
      </c>
      <c r="DP875" s="0" t="n">
        <v>0</v>
      </c>
      <c r="DQ875" s="0" t="n">
        <v>19.9</v>
      </c>
      <c r="DR875" s="0" t="s">
        <v>6195</v>
      </c>
      <c r="EB875" s="0" t="s">
        <v>6196</v>
      </c>
      <c r="EC875" s="0" t="s">
        <v>3045</v>
      </c>
      <c r="ED875" s="0" t="s">
        <v>3046</v>
      </c>
      <c r="EE875" s="0" t="s">
        <v>293</v>
      </c>
      <c r="EF875" s="0" t="s">
        <v>291</v>
      </c>
      <c r="EG875" s="0" t="n">
        <v>730</v>
      </c>
      <c r="EH875" s="0" t="n">
        <v>840</v>
      </c>
      <c r="EI875" s="0" t="n">
        <v>950</v>
      </c>
      <c r="EJ875" s="0" t="n">
        <v>1020</v>
      </c>
    </row>
    <row r="876" customFormat="false" ht="15" hidden="false" customHeight="false" outlineLevel="0" collapsed="false">
      <c r="DG876" s="0" t="s">
        <v>6197</v>
      </c>
      <c r="DH876" s="0" t="s">
        <v>87</v>
      </c>
      <c r="DI876" s="0" t="s">
        <v>1904</v>
      </c>
      <c r="DJ876" s="0" t="s">
        <v>1905</v>
      </c>
      <c r="DK876" s="0" t="s">
        <v>674</v>
      </c>
      <c r="DL876" s="0" t="n">
        <v>3.85</v>
      </c>
      <c r="DM876" s="0" t="s">
        <v>676</v>
      </c>
      <c r="DN876" s="0" t="s">
        <v>675</v>
      </c>
      <c r="DO876" s="0" t="n">
        <v>0</v>
      </c>
      <c r="DP876" s="0" t="n">
        <v>0</v>
      </c>
      <c r="DQ876" s="0" t="n">
        <v>9.66</v>
      </c>
      <c r="DR876" s="0" t="s">
        <v>6198</v>
      </c>
      <c r="EB876" s="0" t="s">
        <v>6199</v>
      </c>
      <c r="EC876" s="0" t="s">
        <v>3045</v>
      </c>
      <c r="ED876" s="0" t="s">
        <v>3046</v>
      </c>
      <c r="EE876" s="0" t="s">
        <v>280</v>
      </c>
      <c r="EF876" s="0" t="s">
        <v>279</v>
      </c>
      <c r="EG876" s="0" t="n">
        <v>860</v>
      </c>
      <c r="EH876" s="0" t="n">
        <v>950</v>
      </c>
      <c r="EI876" s="0" t="n">
        <v>1020</v>
      </c>
      <c r="EJ876" s="0" t="n">
        <v>1020</v>
      </c>
    </row>
    <row r="877" customFormat="false" ht="15" hidden="false" customHeight="false" outlineLevel="0" collapsed="false">
      <c r="DG877" s="0" t="s">
        <v>6200</v>
      </c>
      <c r="DH877" s="0" t="s">
        <v>87</v>
      </c>
      <c r="DI877" s="0" t="s">
        <v>1908</v>
      </c>
      <c r="DJ877" s="0" t="s">
        <v>1909</v>
      </c>
      <c r="DK877" s="0" t="s">
        <v>674</v>
      </c>
      <c r="DL877" s="0" t="n">
        <v>3.85</v>
      </c>
      <c r="DM877" s="0" t="s">
        <v>675</v>
      </c>
      <c r="DN877" s="0" t="s">
        <v>676</v>
      </c>
      <c r="DO877" s="0" t="n">
        <v>13</v>
      </c>
      <c r="DP877" s="0" t="n">
        <v>156</v>
      </c>
      <c r="DQ877" s="0" t="n">
        <v>156</v>
      </c>
      <c r="DR877" s="0" t="s">
        <v>6201</v>
      </c>
      <c r="EB877" s="0" t="s">
        <v>6202</v>
      </c>
      <c r="EC877" s="0" t="s">
        <v>3045</v>
      </c>
      <c r="ED877" s="0" t="s">
        <v>3046</v>
      </c>
      <c r="EE877" s="0" t="s">
        <v>264</v>
      </c>
      <c r="EF877" s="0" t="s">
        <v>262</v>
      </c>
      <c r="EG877" s="0" t="n">
        <v>1650</v>
      </c>
      <c r="EH877" s="0" t="n">
        <v>1900</v>
      </c>
      <c r="EI877" s="0" t="n">
        <v>2150</v>
      </c>
      <c r="EJ877" s="0" t="n">
        <v>2310</v>
      </c>
    </row>
    <row r="878" customFormat="false" ht="15" hidden="false" customHeight="false" outlineLevel="0" collapsed="false">
      <c r="DG878" s="0" t="s">
        <v>6203</v>
      </c>
      <c r="DH878" s="0" t="s">
        <v>87</v>
      </c>
      <c r="DI878" s="0" t="s">
        <v>1911</v>
      </c>
      <c r="DJ878" s="0" t="s">
        <v>1912</v>
      </c>
      <c r="DK878" s="0" t="s">
        <v>674</v>
      </c>
      <c r="DL878" s="0" t="n">
        <v>3.85</v>
      </c>
      <c r="DM878" s="0" t="s">
        <v>675</v>
      </c>
      <c r="DN878" s="0" t="s">
        <v>676</v>
      </c>
      <c r="DO878" s="0" t="n">
        <v>1</v>
      </c>
      <c r="DP878" s="0" t="n">
        <v>407.8</v>
      </c>
      <c r="DQ878" s="0" t="n">
        <v>407.8</v>
      </c>
      <c r="DR878" s="0" t="s">
        <v>6204</v>
      </c>
      <c r="EB878" s="0" t="s">
        <v>6205</v>
      </c>
      <c r="EC878" s="0" t="s">
        <v>3045</v>
      </c>
      <c r="EE878" s="0" t="s">
        <v>278</v>
      </c>
    </row>
    <row r="879" customFormat="false" ht="15" hidden="false" customHeight="false" outlineLevel="0" collapsed="false">
      <c r="DG879" s="0" t="s">
        <v>6206</v>
      </c>
      <c r="DH879" s="0" t="s">
        <v>87</v>
      </c>
      <c r="DI879" s="0" t="s">
        <v>1914</v>
      </c>
      <c r="DJ879" s="0" t="s">
        <v>1915</v>
      </c>
      <c r="DK879" s="0" t="s">
        <v>674</v>
      </c>
      <c r="DL879" s="0" t="n">
        <v>3.85</v>
      </c>
      <c r="DM879" s="0" t="s">
        <v>676</v>
      </c>
      <c r="DN879" s="0" t="s">
        <v>675</v>
      </c>
      <c r="DO879" s="0" t="n">
        <v>0</v>
      </c>
      <c r="DP879" s="0" t="n">
        <v>0</v>
      </c>
      <c r="DQ879" s="0" t="n">
        <v>0</v>
      </c>
      <c r="DR879" s="0" t="s">
        <v>6207</v>
      </c>
      <c r="EB879" s="0" t="s">
        <v>6208</v>
      </c>
      <c r="EC879" s="0" t="s">
        <v>3045</v>
      </c>
      <c r="ED879" s="0" t="s">
        <v>3046</v>
      </c>
      <c r="EE879" s="0" t="s">
        <v>240</v>
      </c>
      <c r="EF879" s="0" t="s">
        <v>238</v>
      </c>
      <c r="EG879" s="0" t="n">
        <v>3620</v>
      </c>
      <c r="EH879" s="0" t="n">
        <v>3620</v>
      </c>
      <c r="EI879" s="0" t="n">
        <v>3620</v>
      </c>
      <c r="EJ879" s="0" t="n">
        <v>3620</v>
      </c>
    </row>
    <row r="880" customFormat="false" ht="15" hidden="false" customHeight="false" outlineLevel="0" collapsed="false">
      <c r="DG880" s="0" t="s">
        <v>6209</v>
      </c>
      <c r="DH880" s="0" t="s">
        <v>87</v>
      </c>
      <c r="DI880" s="0" t="s">
        <v>1917</v>
      </c>
      <c r="DJ880" s="0" t="s">
        <v>1918</v>
      </c>
      <c r="DK880" s="0" t="s">
        <v>674</v>
      </c>
      <c r="DL880" s="0" t="n">
        <v>3.85</v>
      </c>
      <c r="DM880" s="0" t="s">
        <v>675</v>
      </c>
      <c r="DN880" s="0" t="s">
        <v>676</v>
      </c>
      <c r="DO880" s="0" t="n">
        <v>5</v>
      </c>
      <c r="DP880" s="0" t="n">
        <v>127.55</v>
      </c>
      <c r="DQ880" s="0" t="n">
        <v>127.55</v>
      </c>
      <c r="DR880" s="0" t="s">
        <v>6210</v>
      </c>
      <c r="EB880" s="0" t="s">
        <v>6211</v>
      </c>
      <c r="EC880" s="0" t="s">
        <v>3045</v>
      </c>
      <c r="ED880" s="0" t="s">
        <v>3046</v>
      </c>
      <c r="EE880" s="0" t="s">
        <v>252</v>
      </c>
      <c r="EF880" s="0" t="s">
        <v>250</v>
      </c>
      <c r="EG880" s="0" t="n">
        <v>370</v>
      </c>
      <c r="EH880" s="0" t="n">
        <v>370</v>
      </c>
      <c r="EI880" s="0" t="n">
        <v>370</v>
      </c>
      <c r="EJ880" s="0" t="n">
        <v>370</v>
      </c>
    </row>
    <row r="881" customFormat="false" ht="15" hidden="false" customHeight="false" outlineLevel="0" collapsed="false">
      <c r="DG881" s="0" t="s">
        <v>6212</v>
      </c>
      <c r="DH881" s="0" t="s">
        <v>87</v>
      </c>
      <c r="DI881" s="0" t="s">
        <v>1921</v>
      </c>
      <c r="DJ881" s="0" t="s">
        <v>1922</v>
      </c>
      <c r="DK881" s="0" t="s">
        <v>674</v>
      </c>
      <c r="DL881" s="0" t="n">
        <v>3.85</v>
      </c>
      <c r="DM881" s="0" t="s">
        <v>675</v>
      </c>
      <c r="DN881" s="0" t="s">
        <v>676</v>
      </c>
      <c r="DO881" s="0" t="n">
        <v>5</v>
      </c>
      <c r="DP881" s="0" t="n">
        <v>1031.25</v>
      </c>
      <c r="DQ881" s="0" t="n">
        <v>1031.25</v>
      </c>
      <c r="DR881" s="0" t="s">
        <v>6213</v>
      </c>
      <c r="EB881" s="0" t="s">
        <v>6214</v>
      </c>
      <c r="EC881" s="0" t="s">
        <v>3045</v>
      </c>
      <c r="ED881" s="0" t="s">
        <v>3046</v>
      </c>
      <c r="EE881" s="0" t="s">
        <v>229</v>
      </c>
      <c r="EF881" s="0" t="s">
        <v>227</v>
      </c>
      <c r="EG881" s="0" t="n">
        <v>170</v>
      </c>
      <c r="EH881" s="0" t="n">
        <v>200</v>
      </c>
      <c r="EI881" s="0" t="n">
        <v>220</v>
      </c>
      <c r="EJ881" s="0" t="n">
        <v>240</v>
      </c>
    </row>
    <row r="882" customFormat="false" ht="15" hidden="false" customHeight="false" outlineLevel="0" collapsed="false">
      <c r="DG882" s="0" t="s">
        <v>6215</v>
      </c>
      <c r="DH882" s="0" t="s">
        <v>87</v>
      </c>
      <c r="DI882" s="0" t="s">
        <v>1925</v>
      </c>
      <c r="DJ882" s="0" t="s">
        <v>1926</v>
      </c>
      <c r="DK882" s="0" t="s">
        <v>674</v>
      </c>
      <c r="DL882" s="0" t="n">
        <v>3.85</v>
      </c>
      <c r="DM882" s="0" t="s">
        <v>676</v>
      </c>
      <c r="DN882" s="0" t="s">
        <v>675</v>
      </c>
      <c r="DO882" s="0" t="n">
        <v>0</v>
      </c>
      <c r="DP882" s="0" t="n">
        <v>0</v>
      </c>
      <c r="DQ882" s="0" t="n">
        <v>15.74</v>
      </c>
      <c r="DR882" s="0" t="s">
        <v>6216</v>
      </c>
      <c r="EB882" s="0" t="s">
        <v>6217</v>
      </c>
      <c r="EC882" s="0" t="s">
        <v>3045</v>
      </c>
      <c r="ED882" s="0" t="s">
        <v>3046</v>
      </c>
      <c r="EE882" s="0" t="s">
        <v>246</v>
      </c>
      <c r="EF882" s="0" t="s">
        <v>244</v>
      </c>
      <c r="EG882" s="0" t="n">
        <v>620</v>
      </c>
      <c r="EH882" s="0" t="n">
        <v>620</v>
      </c>
      <c r="EI882" s="0" t="n">
        <v>620</v>
      </c>
      <c r="EJ882" s="0" t="n">
        <v>620</v>
      </c>
    </row>
    <row r="883" customFormat="false" ht="15" hidden="false" customHeight="false" outlineLevel="0" collapsed="false">
      <c r="DG883" s="0" t="s">
        <v>6218</v>
      </c>
      <c r="DH883" s="0" t="s">
        <v>87</v>
      </c>
      <c r="DI883" s="0" t="s">
        <v>1928</v>
      </c>
      <c r="DJ883" s="0" t="s">
        <v>1929</v>
      </c>
      <c r="DK883" s="0" t="s">
        <v>674</v>
      </c>
      <c r="DL883" s="0" t="n">
        <v>3.85</v>
      </c>
      <c r="DM883" s="0" t="s">
        <v>676</v>
      </c>
      <c r="DN883" s="0" t="s">
        <v>675</v>
      </c>
      <c r="DO883" s="0" t="n">
        <v>0</v>
      </c>
      <c r="DP883" s="0" t="n">
        <v>0</v>
      </c>
      <c r="DQ883" s="0" t="n">
        <v>378.6</v>
      </c>
      <c r="DR883" s="0" t="s">
        <v>6219</v>
      </c>
      <c r="EB883" s="0" t="s">
        <v>6220</v>
      </c>
      <c r="EC883" s="0" t="s">
        <v>3045</v>
      </c>
      <c r="ED883" s="0" t="s">
        <v>3046</v>
      </c>
      <c r="EE883" s="0" t="s">
        <v>255</v>
      </c>
      <c r="EF883" s="0" t="s">
        <v>253</v>
      </c>
      <c r="EG883" s="0" t="n">
        <v>430</v>
      </c>
      <c r="EH883" s="0" t="n">
        <v>500</v>
      </c>
      <c r="EI883" s="0" t="n">
        <v>560</v>
      </c>
      <c r="EJ883" s="0" t="n">
        <v>600</v>
      </c>
    </row>
    <row r="884" customFormat="false" ht="15" hidden="false" customHeight="false" outlineLevel="0" collapsed="false">
      <c r="DG884" s="0" t="s">
        <v>6221</v>
      </c>
      <c r="DH884" s="0" t="s">
        <v>87</v>
      </c>
      <c r="DI884" s="0" t="s">
        <v>1932</v>
      </c>
      <c r="DJ884" s="0" t="s">
        <v>1933</v>
      </c>
      <c r="DK884" s="0" t="s">
        <v>674</v>
      </c>
      <c r="DL884" s="0" t="n">
        <v>3.85</v>
      </c>
      <c r="DM884" s="0" t="s">
        <v>676</v>
      </c>
      <c r="DN884" s="0" t="s">
        <v>675</v>
      </c>
      <c r="DO884" s="0" t="n">
        <v>0</v>
      </c>
      <c r="DP884" s="0" t="n">
        <v>0</v>
      </c>
      <c r="DQ884" s="0" t="n">
        <v>69.18</v>
      </c>
      <c r="DR884" s="0" t="s">
        <v>6222</v>
      </c>
      <c r="EB884" s="0" t="s">
        <v>6223</v>
      </c>
      <c r="EC884" s="0" t="s">
        <v>3045</v>
      </c>
      <c r="EE884" s="0" t="s">
        <v>243</v>
      </c>
    </row>
    <row r="885" customFormat="false" ht="15" hidden="false" customHeight="false" outlineLevel="0" collapsed="false">
      <c r="DG885" s="0" t="s">
        <v>6224</v>
      </c>
      <c r="DH885" s="0" t="s">
        <v>87</v>
      </c>
      <c r="DI885" s="0" t="s">
        <v>1936</v>
      </c>
      <c r="DJ885" s="0" t="s">
        <v>1937</v>
      </c>
      <c r="DK885" s="0" t="s">
        <v>674</v>
      </c>
      <c r="DL885" s="0" t="n">
        <v>3.85</v>
      </c>
      <c r="DM885" s="0" t="s">
        <v>676</v>
      </c>
      <c r="DN885" s="0" t="s">
        <v>675</v>
      </c>
      <c r="DO885" s="0" t="n">
        <v>0</v>
      </c>
      <c r="DP885" s="0" t="n">
        <v>0</v>
      </c>
      <c r="DQ885" s="0" t="n">
        <v>33.92</v>
      </c>
      <c r="DR885" s="0" t="s">
        <v>6225</v>
      </c>
      <c r="EB885" s="0" t="s">
        <v>6226</v>
      </c>
      <c r="EC885" s="0" t="s">
        <v>3045</v>
      </c>
      <c r="ED885" s="0" t="s">
        <v>3046</v>
      </c>
      <c r="EE885" s="0" t="s">
        <v>261</v>
      </c>
      <c r="EF885" s="0" t="s">
        <v>259</v>
      </c>
      <c r="EG885" s="0" t="n">
        <v>1</v>
      </c>
      <c r="EH885" s="0" t="n">
        <v>1</v>
      </c>
      <c r="EI885" s="0" t="n">
        <v>1</v>
      </c>
      <c r="EJ885" s="0" t="n">
        <v>1</v>
      </c>
    </row>
    <row r="886" customFormat="false" ht="15" hidden="false" customHeight="false" outlineLevel="0" collapsed="false">
      <c r="DG886" s="0" t="s">
        <v>6227</v>
      </c>
      <c r="DH886" s="0" t="s">
        <v>87</v>
      </c>
      <c r="DI886" s="0" t="s">
        <v>1940</v>
      </c>
      <c r="DJ886" s="0" t="s">
        <v>1941</v>
      </c>
      <c r="DK886" s="0" t="s">
        <v>674</v>
      </c>
      <c r="DL886" s="0" t="n">
        <v>3.85</v>
      </c>
      <c r="DM886" s="0" t="s">
        <v>676</v>
      </c>
      <c r="DN886" s="0" t="s">
        <v>675</v>
      </c>
      <c r="DO886" s="0" t="n">
        <v>0</v>
      </c>
      <c r="DP886" s="0" t="n">
        <v>0</v>
      </c>
      <c r="DQ886" s="0" t="n">
        <v>832</v>
      </c>
      <c r="DR886" s="0" t="s">
        <v>6228</v>
      </c>
      <c r="EB886" s="0" t="s">
        <v>6229</v>
      </c>
      <c r="EC886" s="0" t="s">
        <v>3045</v>
      </c>
      <c r="EE886" s="0" t="s">
        <v>296</v>
      </c>
    </row>
    <row r="887" customFormat="false" ht="15" hidden="false" customHeight="false" outlineLevel="0" collapsed="false">
      <c r="DG887" s="0" t="s">
        <v>6230</v>
      </c>
      <c r="DH887" s="0" t="s">
        <v>87</v>
      </c>
      <c r="DI887" s="0" t="s">
        <v>1943</v>
      </c>
      <c r="DJ887" s="0" t="s">
        <v>1944</v>
      </c>
      <c r="DK887" s="0" t="s">
        <v>674</v>
      </c>
      <c r="DL887" s="0" t="n">
        <v>3.85</v>
      </c>
      <c r="DM887" s="0" t="s">
        <v>676</v>
      </c>
      <c r="DN887" s="0" t="s">
        <v>675</v>
      </c>
      <c r="DO887" s="0" t="n">
        <v>0</v>
      </c>
      <c r="DP887" s="0" t="n">
        <v>0</v>
      </c>
      <c r="DQ887" s="0" t="n">
        <v>84.4</v>
      </c>
      <c r="DR887" s="0" t="s">
        <v>6231</v>
      </c>
      <c r="EB887" s="0" t="s">
        <v>6232</v>
      </c>
      <c r="EC887" s="0" t="s">
        <v>2694</v>
      </c>
      <c r="EE887" s="0" t="s">
        <v>626</v>
      </c>
    </row>
    <row r="888" customFormat="false" ht="15" hidden="false" customHeight="false" outlineLevel="0" collapsed="false">
      <c r="DG888" s="0" t="s">
        <v>6233</v>
      </c>
      <c r="DH888" s="0" t="s">
        <v>87</v>
      </c>
      <c r="DI888" s="0" t="s">
        <v>1946</v>
      </c>
      <c r="DJ888" s="0" t="s">
        <v>1947</v>
      </c>
      <c r="DK888" s="0" t="s">
        <v>674</v>
      </c>
      <c r="DL888" s="0" t="n">
        <v>3.85</v>
      </c>
      <c r="DM888" s="0" t="s">
        <v>676</v>
      </c>
      <c r="DN888" s="0" t="s">
        <v>675</v>
      </c>
      <c r="DO888" s="0" t="n">
        <v>0</v>
      </c>
      <c r="DP888" s="0" t="n">
        <v>0</v>
      </c>
      <c r="DQ888" s="0" t="n">
        <v>53.62</v>
      </c>
      <c r="DR888" s="0" t="s">
        <v>6234</v>
      </c>
      <c r="EB888" s="0" t="s">
        <v>6235</v>
      </c>
      <c r="EC888" s="0" t="s">
        <v>2694</v>
      </c>
      <c r="EE888" s="0" t="s">
        <v>624</v>
      </c>
    </row>
    <row r="889" customFormat="false" ht="15" hidden="false" customHeight="false" outlineLevel="0" collapsed="false">
      <c r="DG889" s="0" t="s">
        <v>6236</v>
      </c>
      <c r="DH889" s="0" t="s">
        <v>87</v>
      </c>
      <c r="DI889" s="0" t="s">
        <v>1950</v>
      </c>
      <c r="DJ889" s="0" t="s">
        <v>1951</v>
      </c>
      <c r="DK889" s="0" t="s">
        <v>674</v>
      </c>
      <c r="DL889" s="0" t="n">
        <v>3.85</v>
      </c>
      <c r="DM889" s="0" t="s">
        <v>676</v>
      </c>
      <c r="DN889" s="0" t="s">
        <v>675</v>
      </c>
      <c r="DO889" s="0" t="n">
        <v>0</v>
      </c>
      <c r="DP889" s="0" t="n">
        <v>0</v>
      </c>
      <c r="DQ889" s="0" t="n">
        <v>30.25</v>
      </c>
      <c r="DR889" s="0" t="s">
        <v>6237</v>
      </c>
      <c r="EB889" s="0" t="s">
        <v>6238</v>
      </c>
      <c r="EC889" s="0" t="s">
        <v>2694</v>
      </c>
      <c r="EE889" s="0" t="s">
        <v>622</v>
      </c>
    </row>
    <row r="890" customFormat="false" ht="15" hidden="false" customHeight="false" outlineLevel="0" collapsed="false">
      <c r="DG890" s="0" t="s">
        <v>6239</v>
      </c>
      <c r="DH890" s="0" t="s">
        <v>87</v>
      </c>
      <c r="DI890" s="0" t="s">
        <v>1954</v>
      </c>
      <c r="DJ890" s="0" t="s">
        <v>1955</v>
      </c>
      <c r="DK890" s="0" t="s">
        <v>674</v>
      </c>
      <c r="DL890" s="0" t="n">
        <v>3.85</v>
      </c>
      <c r="DM890" s="0" t="s">
        <v>676</v>
      </c>
      <c r="DN890" s="0" t="s">
        <v>675</v>
      </c>
      <c r="DO890" s="0" t="n">
        <v>0</v>
      </c>
      <c r="DP890" s="0" t="n">
        <v>0</v>
      </c>
      <c r="DQ890" s="0" t="n">
        <v>7.53</v>
      </c>
      <c r="DR890" s="0" t="s">
        <v>6240</v>
      </c>
      <c r="EB890" s="0" t="s">
        <v>6241</v>
      </c>
      <c r="EC890" s="0" t="s">
        <v>2694</v>
      </c>
      <c r="EE890" s="0" t="s">
        <v>620</v>
      </c>
    </row>
    <row r="891" customFormat="false" ht="15" hidden="false" customHeight="false" outlineLevel="0" collapsed="false">
      <c r="DG891" s="0" t="s">
        <v>6242</v>
      </c>
      <c r="DH891" s="0" t="s">
        <v>87</v>
      </c>
      <c r="DI891" s="0" t="s">
        <v>1957</v>
      </c>
      <c r="DJ891" s="0" t="s">
        <v>1958</v>
      </c>
      <c r="DK891" s="0" t="s">
        <v>674</v>
      </c>
      <c r="DL891" s="0" t="n">
        <v>3.85</v>
      </c>
      <c r="DM891" s="0" t="s">
        <v>676</v>
      </c>
      <c r="DN891" s="0" t="s">
        <v>675</v>
      </c>
      <c r="DO891" s="0" t="n">
        <v>0</v>
      </c>
      <c r="DP891" s="0" t="n">
        <v>0</v>
      </c>
      <c r="DQ891" s="0" t="n">
        <v>14.2</v>
      </c>
      <c r="DR891" s="0" t="s">
        <v>6243</v>
      </c>
      <c r="EB891" s="0" t="s">
        <v>6244</v>
      </c>
      <c r="EC891" s="0" t="s">
        <v>2694</v>
      </c>
      <c r="EE891" s="0" t="s">
        <v>618</v>
      </c>
    </row>
    <row r="892" customFormat="false" ht="15" hidden="false" customHeight="false" outlineLevel="0" collapsed="false">
      <c r="DG892" s="0" t="s">
        <v>6245</v>
      </c>
      <c r="DH892" s="0" t="s">
        <v>87</v>
      </c>
      <c r="DI892" s="0" t="s">
        <v>1961</v>
      </c>
      <c r="DJ892" s="0" t="s">
        <v>1962</v>
      </c>
      <c r="DK892" s="0" t="s">
        <v>674</v>
      </c>
      <c r="DL892" s="0" t="n">
        <v>3.85</v>
      </c>
      <c r="DM892" s="0" t="s">
        <v>676</v>
      </c>
      <c r="DN892" s="0" t="s">
        <v>675</v>
      </c>
      <c r="DO892" s="0" t="n">
        <v>0</v>
      </c>
      <c r="DP892" s="0" t="n">
        <v>0</v>
      </c>
      <c r="DQ892" s="0" t="n">
        <v>18</v>
      </c>
      <c r="DR892" s="0" t="s">
        <v>6246</v>
      </c>
      <c r="EB892" s="0" t="s">
        <v>6247</v>
      </c>
      <c r="EC892" s="0" t="s">
        <v>2694</v>
      </c>
      <c r="EE892" s="0" t="s">
        <v>616</v>
      </c>
    </row>
    <row r="893" customFormat="false" ht="15" hidden="false" customHeight="false" outlineLevel="0" collapsed="false">
      <c r="DG893" s="0" t="s">
        <v>6248</v>
      </c>
      <c r="DH893" s="0" t="s">
        <v>87</v>
      </c>
      <c r="DI893" s="0" t="s">
        <v>1963</v>
      </c>
      <c r="DJ893" s="0" t="s">
        <v>1964</v>
      </c>
      <c r="DK893" s="0" t="s">
        <v>674</v>
      </c>
      <c r="DL893" s="0" t="n">
        <v>3.85</v>
      </c>
      <c r="DM893" s="0" t="s">
        <v>676</v>
      </c>
      <c r="DN893" s="0" t="s">
        <v>675</v>
      </c>
      <c r="DO893" s="0" t="n">
        <v>0</v>
      </c>
      <c r="DP893" s="0" t="n">
        <v>0</v>
      </c>
      <c r="DQ893" s="0" t="n">
        <v>14.39</v>
      </c>
      <c r="DR893" s="0" t="s">
        <v>6249</v>
      </c>
      <c r="EB893" s="0" t="s">
        <v>6250</v>
      </c>
      <c r="EC893" s="0" t="s">
        <v>2694</v>
      </c>
      <c r="EE893" s="0" t="s">
        <v>614</v>
      </c>
    </row>
    <row r="894" customFormat="false" ht="15" hidden="false" customHeight="false" outlineLevel="0" collapsed="false">
      <c r="DG894" s="0" t="s">
        <v>6251</v>
      </c>
      <c r="DH894" s="0" t="s">
        <v>87</v>
      </c>
      <c r="DI894" s="0" t="s">
        <v>1966</v>
      </c>
      <c r="DJ894" s="0" t="s">
        <v>1967</v>
      </c>
      <c r="DK894" s="0" t="s">
        <v>674</v>
      </c>
      <c r="DL894" s="0" t="n">
        <v>3.85</v>
      </c>
      <c r="DM894" s="0" t="s">
        <v>676</v>
      </c>
      <c r="DN894" s="0" t="s">
        <v>675</v>
      </c>
      <c r="DO894" s="0" t="n">
        <v>0</v>
      </c>
      <c r="DP894" s="0" t="n">
        <v>0</v>
      </c>
      <c r="DQ894" s="0" t="n">
        <v>31.8</v>
      </c>
      <c r="DR894" s="0" t="s">
        <v>6252</v>
      </c>
      <c r="EB894" s="0" t="s">
        <v>6253</v>
      </c>
      <c r="EC894" s="0" t="s">
        <v>2694</v>
      </c>
      <c r="EE894" s="0" t="s">
        <v>612</v>
      </c>
    </row>
    <row r="895" customFormat="false" ht="15" hidden="false" customHeight="false" outlineLevel="0" collapsed="false">
      <c r="DG895" s="0" t="s">
        <v>6254</v>
      </c>
      <c r="DH895" s="0" t="s">
        <v>87</v>
      </c>
      <c r="DI895" s="0" t="s">
        <v>1970</v>
      </c>
      <c r="DJ895" s="0" t="s">
        <v>1971</v>
      </c>
      <c r="DK895" s="0" t="s">
        <v>674</v>
      </c>
      <c r="DL895" s="0" t="n">
        <v>3.85</v>
      </c>
      <c r="DM895" s="0" t="s">
        <v>676</v>
      </c>
      <c r="DN895" s="0" t="s">
        <v>675</v>
      </c>
      <c r="DO895" s="0" t="n">
        <v>0</v>
      </c>
      <c r="DP895" s="0" t="n">
        <v>0</v>
      </c>
      <c r="DQ895" s="0" t="n">
        <v>896.15</v>
      </c>
      <c r="DR895" s="0" t="s">
        <v>6255</v>
      </c>
      <c r="EB895" s="0" t="s">
        <v>6256</v>
      </c>
      <c r="EC895" s="0" t="s">
        <v>2694</v>
      </c>
      <c r="EE895" s="0" t="s">
        <v>609</v>
      </c>
    </row>
    <row r="896" customFormat="false" ht="15" hidden="false" customHeight="false" outlineLevel="0" collapsed="false">
      <c r="DG896" s="0" t="s">
        <v>6257</v>
      </c>
      <c r="DH896" s="0" t="s">
        <v>87</v>
      </c>
      <c r="DI896" s="0" t="s">
        <v>1973</v>
      </c>
      <c r="DJ896" s="0" t="s">
        <v>1974</v>
      </c>
      <c r="DK896" s="0" t="s">
        <v>674</v>
      </c>
      <c r="DL896" s="0" t="n">
        <v>3.85</v>
      </c>
      <c r="DM896" s="0" t="s">
        <v>676</v>
      </c>
      <c r="DN896" s="0" t="s">
        <v>675</v>
      </c>
      <c r="DO896" s="0" t="n">
        <v>0</v>
      </c>
      <c r="DP896" s="0" t="n">
        <v>0</v>
      </c>
      <c r="DQ896" s="0" t="n">
        <v>4.2</v>
      </c>
      <c r="DR896" s="0" t="s">
        <v>6258</v>
      </c>
      <c r="EB896" s="0" t="s">
        <v>6259</v>
      </c>
      <c r="EC896" s="0" t="s">
        <v>2694</v>
      </c>
      <c r="EE896" s="0" t="s">
        <v>607</v>
      </c>
    </row>
    <row r="897" customFormat="false" ht="15" hidden="false" customHeight="false" outlineLevel="0" collapsed="false">
      <c r="DG897" s="0" t="s">
        <v>6260</v>
      </c>
      <c r="DH897" s="0" t="s">
        <v>87</v>
      </c>
      <c r="DI897" s="0" t="s">
        <v>1977</v>
      </c>
      <c r="DJ897" s="0" t="s">
        <v>1978</v>
      </c>
      <c r="DK897" s="0" t="s">
        <v>674</v>
      </c>
      <c r="DL897" s="0" t="n">
        <v>3.85</v>
      </c>
      <c r="DM897" s="0" t="s">
        <v>676</v>
      </c>
      <c r="DN897" s="0" t="s">
        <v>675</v>
      </c>
      <c r="DO897" s="0" t="n">
        <v>0</v>
      </c>
      <c r="DP897" s="0" t="n">
        <v>0</v>
      </c>
      <c r="DQ897" s="0" t="n">
        <v>3.06</v>
      </c>
      <c r="DR897" s="0" t="s">
        <v>6261</v>
      </c>
      <c r="EB897" s="0" t="s">
        <v>6262</v>
      </c>
      <c r="EC897" s="0" t="s">
        <v>2694</v>
      </c>
      <c r="EE897" s="0" t="s">
        <v>605</v>
      </c>
    </row>
    <row r="898" customFormat="false" ht="15" hidden="false" customHeight="false" outlineLevel="0" collapsed="false">
      <c r="DG898" s="0" t="s">
        <v>6263</v>
      </c>
      <c r="DH898" s="0" t="s">
        <v>87</v>
      </c>
      <c r="DI898" s="0" t="s">
        <v>1981</v>
      </c>
      <c r="DJ898" s="0" t="s">
        <v>1752</v>
      </c>
      <c r="DK898" s="0" t="s">
        <v>674</v>
      </c>
      <c r="DL898" s="0" t="n">
        <v>3.85</v>
      </c>
      <c r="DM898" s="0" t="s">
        <v>676</v>
      </c>
      <c r="DN898" s="0" t="s">
        <v>675</v>
      </c>
      <c r="DO898" s="0" t="n">
        <v>0</v>
      </c>
      <c r="DP898" s="0" t="n">
        <v>0</v>
      </c>
      <c r="DQ898" s="0" t="n">
        <v>512.47</v>
      </c>
      <c r="DR898" s="0" t="s">
        <v>6056</v>
      </c>
      <c r="EB898" s="0" t="s">
        <v>6264</v>
      </c>
      <c r="EC898" s="0" t="s">
        <v>2694</v>
      </c>
      <c r="EE898" s="0" t="s">
        <v>629</v>
      </c>
    </row>
    <row r="899" customFormat="false" ht="15" hidden="false" customHeight="false" outlineLevel="0" collapsed="false">
      <c r="DG899" s="0" t="s">
        <v>6265</v>
      </c>
      <c r="DH899" s="0" t="s">
        <v>87</v>
      </c>
      <c r="DI899" s="0" t="s">
        <v>1984</v>
      </c>
      <c r="DJ899" s="0" t="s">
        <v>1985</v>
      </c>
      <c r="DK899" s="0" t="s">
        <v>674</v>
      </c>
      <c r="DL899" s="0" t="n">
        <v>3.85</v>
      </c>
      <c r="DM899" s="0" t="s">
        <v>676</v>
      </c>
      <c r="DN899" s="0" t="s">
        <v>675</v>
      </c>
      <c r="DO899" s="0" t="n">
        <v>0</v>
      </c>
      <c r="DP899" s="0" t="n">
        <v>0</v>
      </c>
      <c r="DQ899" s="0" t="n">
        <v>39.6</v>
      </c>
      <c r="DR899" s="0" t="s">
        <v>6266</v>
      </c>
      <c r="EB899" s="0" t="s">
        <v>6267</v>
      </c>
      <c r="EC899" s="0" t="s">
        <v>2694</v>
      </c>
      <c r="EE899" s="0" t="s">
        <v>602</v>
      </c>
    </row>
    <row r="900" customFormat="false" ht="15" hidden="false" customHeight="false" outlineLevel="0" collapsed="false">
      <c r="DG900" s="0" t="s">
        <v>6268</v>
      </c>
      <c r="DH900" s="0" t="s">
        <v>87</v>
      </c>
      <c r="DI900" s="0" t="s">
        <v>1988</v>
      </c>
      <c r="DJ900" s="0" t="s">
        <v>1989</v>
      </c>
      <c r="DK900" s="0" t="s">
        <v>674</v>
      </c>
      <c r="DL900" s="0" t="n">
        <v>3.85</v>
      </c>
      <c r="DM900" s="0" t="s">
        <v>676</v>
      </c>
      <c r="DN900" s="0" t="s">
        <v>675</v>
      </c>
      <c r="DO900" s="0" t="n">
        <v>0</v>
      </c>
      <c r="DP900" s="0" t="n">
        <v>0</v>
      </c>
      <c r="DQ900" s="0" t="n">
        <v>26.81</v>
      </c>
      <c r="DR900" s="0" t="s">
        <v>6269</v>
      </c>
      <c r="EB900" s="0" t="s">
        <v>6270</v>
      </c>
      <c r="EC900" s="0" t="s">
        <v>2694</v>
      </c>
      <c r="EE900" s="0" t="s">
        <v>599</v>
      </c>
    </row>
    <row r="901" customFormat="false" ht="15" hidden="false" customHeight="false" outlineLevel="0" collapsed="false">
      <c r="DG901" s="0" t="s">
        <v>6271</v>
      </c>
      <c r="DH901" s="0" t="s">
        <v>87</v>
      </c>
      <c r="DI901" s="0" t="s">
        <v>1990</v>
      </c>
      <c r="DJ901" s="0" t="s">
        <v>1991</v>
      </c>
      <c r="DK901" s="0" t="s">
        <v>674</v>
      </c>
      <c r="DL901" s="0" t="n">
        <v>3.85</v>
      </c>
      <c r="DM901" s="0" t="s">
        <v>676</v>
      </c>
      <c r="DN901" s="0" t="s">
        <v>675</v>
      </c>
      <c r="DO901" s="0" t="n">
        <v>0</v>
      </c>
      <c r="DP901" s="0" t="n">
        <v>0</v>
      </c>
      <c r="DQ901" s="0" t="n">
        <v>223.85</v>
      </c>
      <c r="DR901" s="0" t="s">
        <v>6272</v>
      </c>
      <c r="EB901" s="0" t="s">
        <v>6273</v>
      </c>
      <c r="EC901" s="0" t="s">
        <v>2694</v>
      </c>
      <c r="EE901" s="0" t="s">
        <v>597</v>
      </c>
    </row>
    <row r="902" customFormat="false" ht="15" hidden="false" customHeight="false" outlineLevel="0" collapsed="false">
      <c r="DG902" s="0" t="s">
        <v>6274</v>
      </c>
      <c r="DH902" s="0" t="s">
        <v>87</v>
      </c>
      <c r="DI902" s="0" t="s">
        <v>1993</v>
      </c>
      <c r="DJ902" s="0" t="s">
        <v>1994</v>
      </c>
      <c r="DK902" s="0" t="s">
        <v>674</v>
      </c>
      <c r="DL902" s="0" t="n">
        <v>3.85</v>
      </c>
      <c r="DM902" s="0" t="s">
        <v>676</v>
      </c>
      <c r="DN902" s="0" t="s">
        <v>675</v>
      </c>
      <c r="DO902" s="0" t="n">
        <v>0</v>
      </c>
      <c r="DP902" s="0" t="n">
        <v>0</v>
      </c>
      <c r="DQ902" s="0" t="n">
        <v>0</v>
      </c>
      <c r="DR902" s="0" t="s">
        <v>6275</v>
      </c>
      <c r="EB902" s="0" t="s">
        <v>6276</v>
      </c>
      <c r="EC902" s="0" t="s">
        <v>2694</v>
      </c>
      <c r="EE902" s="0" t="s">
        <v>2699</v>
      </c>
    </row>
    <row r="903" customFormat="false" ht="15" hidden="false" customHeight="false" outlineLevel="0" collapsed="false">
      <c r="DG903" s="0" t="s">
        <v>6277</v>
      </c>
      <c r="DH903" s="0" t="s">
        <v>87</v>
      </c>
      <c r="DI903" s="0" t="s">
        <v>1996</v>
      </c>
      <c r="DJ903" s="0" t="s">
        <v>1997</v>
      </c>
      <c r="DK903" s="0" t="s">
        <v>674</v>
      </c>
      <c r="DL903" s="0" t="n">
        <v>3.85</v>
      </c>
      <c r="DM903" s="0" t="s">
        <v>676</v>
      </c>
      <c r="DN903" s="0" t="s">
        <v>675</v>
      </c>
      <c r="DO903" s="0" t="n">
        <v>0</v>
      </c>
      <c r="DP903" s="0" t="n">
        <v>0</v>
      </c>
      <c r="DQ903" s="0" t="n">
        <v>23.74</v>
      </c>
      <c r="DR903" s="0" t="s">
        <v>6278</v>
      </c>
      <c r="EB903" s="0" t="s">
        <v>6279</v>
      </c>
      <c r="EC903" s="0" t="s">
        <v>2694</v>
      </c>
      <c r="EE903" s="0" t="s">
        <v>590</v>
      </c>
    </row>
    <row r="904" customFormat="false" ht="15" hidden="false" customHeight="false" outlineLevel="0" collapsed="false">
      <c r="DG904" s="0" t="s">
        <v>6280</v>
      </c>
      <c r="DH904" s="0" t="s">
        <v>87</v>
      </c>
      <c r="DI904" s="0" t="s">
        <v>2000</v>
      </c>
      <c r="DJ904" s="0" t="s">
        <v>2001</v>
      </c>
      <c r="DK904" s="0" t="s">
        <v>674</v>
      </c>
      <c r="DL904" s="0" t="n">
        <v>3.85</v>
      </c>
      <c r="DM904" s="0" t="s">
        <v>676</v>
      </c>
      <c r="DN904" s="0" t="s">
        <v>675</v>
      </c>
      <c r="DO904" s="0" t="n">
        <v>0</v>
      </c>
      <c r="DP904" s="0" t="n">
        <v>0</v>
      </c>
      <c r="DQ904" s="0" t="n">
        <v>102.53</v>
      </c>
      <c r="DR904" s="0" t="s">
        <v>6281</v>
      </c>
      <c r="EB904" s="0" t="s">
        <v>6282</v>
      </c>
      <c r="EC904" s="0" t="s">
        <v>2694</v>
      </c>
      <c r="EE904" s="0" t="s">
        <v>588</v>
      </c>
    </row>
    <row r="905" customFormat="false" ht="15" hidden="false" customHeight="false" outlineLevel="0" collapsed="false">
      <c r="DG905" s="0" t="s">
        <v>6283</v>
      </c>
      <c r="DH905" s="0" t="s">
        <v>87</v>
      </c>
      <c r="DI905" s="0" t="s">
        <v>2003</v>
      </c>
      <c r="DJ905" s="0" t="s">
        <v>2004</v>
      </c>
      <c r="DK905" s="0" t="s">
        <v>674</v>
      </c>
      <c r="DL905" s="0" t="n">
        <v>3.85</v>
      </c>
      <c r="DM905" s="0" t="s">
        <v>676</v>
      </c>
      <c r="DN905" s="0" t="s">
        <v>675</v>
      </c>
      <c r="DO905" s="0" t="n">
        <v>0</v>
      </c>
      <c r="DP905" s="0" t="n">
        <v>0</v>
      </c>
      <c r="DQ905" s="0" t="n">
        <v>12</v>
      </c>
      <c r="DR905" s="0" t="s">
        <v>6284</v>
      </c>
      <c r="EB905" s="0" t="s">
        <v>6285</v>
      </c>
      <c r="EC905" s="0" t="s">
        <v>2694</v>
      </c>
      <c r="EE905" s="0" t="s">
        <v>586</v>
      </c>
    </row>
    <row r="906" customFormat="false" ht="15" hidden="false" customHeight="false" outlineLevel="0" collapsed="false">
      <c r="DG906" s="0" t="s">
        <v>6286</v>
      </c>
      <c r="DH906" s="0" t="s">
        <v>87</v>
      </c>
      <c r="DI906" s="0" t="s">
        <v>2005</v>
      </c>
      <c r="DJ906" s="0" t="s">
        <v>2006</v>
      </c>
      <c r="DK906" s="0" t="s">
        <v>674</v>
      </c>
      <c r="DL906" s="0" t="n">
        <v>3.85</v>
      </c>
      <c r="DM906" s="0" t="s">
        <v>676</v>
      </c>
      <c r="DN906" s="0" t="s">
        <v>675</v>
      </c>
      <c r="DO906" s="0" t="n">
        <v>0</v>
      </c>
      <c r="DP906" s="0" t="n">
        <v>0</v>
      </c>
      <c r="DQ906" s="0" t="n">
        <v>19.89</v>
      </c>
      <c r="DR906" s="0" t="s">
        <v>6287</v>
      </c>
      <c r="EB906" s="0" t="s">
        <v>6288</v>
      </c>
      <c r="EC906" s="0" t="s">
        <v>2694</v>
      </c>
      <c r="EE906" s="0" t="s">
        <v>584</v>
      </c>
    </row>
    <row r="907" customFormat="false" ht="15" hidden="false" customHeight="false" outlineLevel="0" collapsed="false">
      <c r="DG907" s="0" t="s">
        <v>6289</v>
      </c>
      <c r="DH907" s="0" t="s">
        <v>87</v>
      </c>
      <c r="DI907" s="0" t="s">
        <v>2009</v>
      </c>
      <c r="DJ907" s="0" t="s">
        <v>2010</v>
      </c>
      <c r="DK907" s="0" t="s">
        <v>674</v>
      </c>
      <c r="DL907" s="0" t="n">
        <v>3.85</v>
      </c>
      <c r="DM907" s="0" t="s">
        <v>676</v>
      </c>
      <c r="DN907" s="0" t="s">
        <v>675</v>
      </c>
      <c r="DO907" s="0" t="n">
        <v>0</v>
      </c>
      <c r="DP907" s="0" t="n">
        <v>0</v>
      </c>
      <c r="DQ907" s="0" t="n">
        <v>21.51</v>
      </c>
      <c r="DR907" s="0" t="s">
        <v>6290</v>
      </c>
      <c r="EB907" s="0" t="s">
        <v>6291</v>
      </c>
      <c r="EC907" s="0" t="s">
        <v>2694</v>
      </c>
      <c r="EE907" s="0" t="s">
        <v>330</v>
      </c>
    </row>
    <row r="908" customFormat="false" ht="15" hidden="false" customHeight="false" outlineLevel="0" collapsed="false">
      <c r="DG908" s="0" t="s">
        <v>6292</v>
      </c>
      <c r="DH908" s="0" t="s">
        <v>87</v>
      </c>
      <c r="DI908" s="0" t="s">
        <v>2012</v>
      </c>
      <c r="DJ908" s="0" t="s">
        <v>2013</v>
      </c>
      <c r="DK908" s="0" t="s">
        <v>674</v>
      </c>
      <c r="DL908" s="0" t="n">
        <v>3.85</v>
      </c>
      <c r="DM908" s="0" t="s">
        <v>676</v>
      </c>
      <c r="DN908" s="0" t="s">
        <v>675</v>
      </c>
      <c r="DO908" s="0" t="n">
        <v>0</v>
      </c>
      <c r="DP908" s="0" t="n">
        <v>0</v>
      </c>
      <c r="DQ908" s="0" t="n">
        <v>92.88</v>
      </c>
      <c r="DR908" s="0" t="s">
        <v>6293</v>
      </c>
      <c r="EB908" s="0" t="s">
        <v>6294</v>
      </c>
      <c r="EC908" s="0" t="s">
        <v>2694</v>
      </c>
      <c r="EE908" s="0" t="s">
        <v>334</v>
      </c>
    </row>
    <row r="909" customFormat="false" ht="15" hidden="false" customHeight="false" outlineLevel="0" collapsed="false">
      <c r="DG909" s="0" t="s">
        <v>6295</v>
      </c>
      <c r="DH909" s="0" t="s">
        <v>87</v>
      </c>
      <c r="DI909" s="0" t="s">
        <v>2016</v>
      </c>
      <c r="DJ909" s="0" t="s">
        <v>2017</v>
      </c>
      <c r="DK909" s="0" t="s">
        <v>674</v>
      </c>
      <c r="DL909" s="0" t="n">
        <v>3.85</v>
      </c>
      <c r="DM909" s="0" t="s">
        <v>676</v>
      </c>
      <c r="DN909" s="0" t="s">
        <v>675</v>
      </c>
      <c r="DO909" s="0" t="n">
        <v>0</v>
      </c>
      <c r="DP909" s="0" t="n">
        <v>0</v>
      </c>
      <c r="DQ909" s="0" t="n">
        <v>120.94</v>
      </c>
      <c r="DR909" s="0" t="s">
        <v>6296</v>
      </c>
      <c r="EB909" s="0" t="s">
        <v>6297</v>
      </c>
      <c r="EC909" s="0" t="s">
        <v>2694</v>
      </c>
      <c r="EE909" s="0" t="s">
        <v>582</v>
      </c>
    </row>
    <row r="910" customFormat="false" ht="15" hidden="false" customHeight="false" outlineLevel="0" collapsed="false">
      <c r="DG910" s="0" t="s">
        <v>6298</v>
      </c>
      <c r="DH910" s="0" t="s">
        <v>87</v>
      </c>
      <c r="DI910" s="0" t="s">
        <v>518</v>
      </c>
      <c r="DJ910" s="0" t="s">
        <v>519</v>
      </c>
      <c r="DK910" s="0" t="s">
        <v>1181</v>
      </c>
      <c r="DL910" s="0" t="n">
        <v>3.85</v>
      </c>
      <c r="DM910" s="0" t="s">
        <v>675</v>
      </c>
      <c r="DN910" s="0" t="s">
        <v>676</v>
      </c>
      <c r="DO910" s="0" t="n">
        <v>1</v>
      </c>
      <c r="DP910" s="0" t="n">
        <v>1500</v>
      </c>
      <c r="DQ910" s="0" t="n">
        <v>1500</v>
      </c>
      <c r="DR910" s="0" t="s">
        <v>6299</v>
      </c>
      <c r="EB910" s="0" t="s">
        <v>6300</v>
      </c>
      <c r="EC910" s="0" t="s">
        <v>2694</v>
      </c>
      <c r="EE910" s="0" t="s">
        <v>579</v>
      </c>
    </row>
    <row r="911" customFormat="false" ht="15" hidden="false" customHeight="false" outlineLevel="0" collapsed="false">
      <c r="DG911" s="0" t="s">
        <v>6301</v>
      </c>
      <c r="DH911" s="0" t="s">
        <v>87</v>
      </c>
      <c r="DI911" s="0" t="s">
        <v>434</v>
      </c>
      <c r="DJ911" s="0" t="s">
        <v>435</v>
      </c>
      <c r="DK911" s="0" t="s">
        <v>1181</v>
      </c>
      <c r="DL911" s="0" t="n">
        <v>3.85</v>
      </c>
      <c r="DM911" s="0" t="s">
        <v>675</v>
      </c>
      <c r="DN911" s="0" t="s">
        <v>676</v>
      </c>
      <c r="DO911" s="0" t="n">
        <v>1</v>
      </c>
      <c r="DP911" s="0" t="n">
        <v>13344.05</v>
      </c>
      <c r="DQ911" s="0" t="n">
        <v>13344.05</v>
      </c>
      <c r="DR911" s="0" t="s">
        <v>6302</v>
      </c>
      <c r="EB911" s="0" t="s">
        <v>6303</v>
      </c>
      <c r="EC911" s="0" t="s">
        <v>2694</v>
      </c>
      <c r="EE911" s="0" t="s">
        <v>575</v>
      </c>
    </row>
    <row r="912" customFormat="false" ht="15" hidden="false" customHeight="false" outlineLevel="0" collapsed="false">
      <c r="DG912" s="0" t="s">
        <v>6304</v>
      </c>
      <c r="DH912" s="0" t="s">
        <v>87</v>
      </c>
      <c r="DI912" s="0" t="s">
        <v>432</v>
      </c>
      <c r="DJ912" s="0" t="s">
        <v>433</v>
      </c>
      <c r="DK912" s="0" t="s">
        <v>1181</v>
      </c>
      <c r="DL912" s="0" t="n">
        <v>3.85</v>
      </c>
      <c r="DM912" s="0" t="s">
        <v>675</v>
      </c>
      <c r="DN912" s="0" t="s">
        <v>676</v>
      </c>
      <c r="DO912" s="0" t="n">
        <v>1</v>
      </c>
      <c r="DP912" s="0" t="n">
        <v>13344</v>
      </c>
      <c r="DQ912" s="0" t="n">
        <v>13344</v>
      </c>
      <c r="DR912" s="0" t="s">
        <v>6305</v>
      </c>
      <c r="EB912" s="0" t="s">
        <v>6306</v>
      </c>
      <c r="EC912" s="0" t="s">
        <v>2694</v>
      </c>
      <c r="EE912" s="0" t="s">
        <v>2917</v>
      </c>
    </row>
    <row r="913" customFormat="false" ht="15" hidden="false" customHeight="false" outlineLevel="0" collapsed="false">
      <c r="DG913" s="0" t="s">
        <v>6307</v>
      </c>
      <c r="DH913" s="0" t="s">
        <v>87</v>
      </c>
      <c r="DI913" s="0" t="s">
        <v>436</v>
      </c>
      <c r="DJ913" s="0" t="s">
        <v>437</v>
      </c>
      <c r="DK913" s="0" t="s">
        <v>1181</v>
      </c>
      <c r="DL913" s="0" t="n">
        <v>3.85</v>
      </c>
      <c r="DM913" s="0" t="s">
        <v>675</v>
      </c>
      <c r="DN913" s="0" t="s">
        <v>676</v>
      </c>
      <c r="DO913" s="0" t="n">
        <v>1</v>
      </c>
      <c r="DP913" s="0" t="n">
        <v>13344</v>
      </c>
      <c r="DQ913" s="0" t="n">
        <v>13344</v>
      </c>
      <c r="DR913" s="0" t="s">
        <v>6308</v>
      </c>
      <c r="EB913" s="0" t="s">
        <v>6309</v>
      </c>
      <c r="EC913" s="0" t="s">
        <v>2694</v>
      </c>
      <c r="EE913" s="0" t="s">
        <v>2932</v>
      </c>
    </row>
    <row r="914" customFormat="false" ht="15" hidden="false" customHeight="false" outlineLevel="0" collapsed="false">
      <c r="DG914" s="0" t="s">
        <v>6310</v>
      </c>
      <c r="DH914" s="0" t="s">
        <v>87</v>
      </c>
      <c r="DI914" s="0" t="s">
        <v>438</v>
      </c>
      <c r="DJ914" s="0" t="s">
        <v>439</v>
      </c>
      <c r="DK914" s="0" t="s">
        <v>1181</v>
      </c>
      <c r="DL914" s="0" t="n">
        <v>3.85</v>
      </c>
      <c r="DM914" s="0" t="s">
        <v>675</v>
      </c>
      <c r="DN914" s="0" t="s">
        <v>676</v>
      </c>
      <c r="DO914" s="0" t="n">
        <v>1</v>
      </c>
      <c r="DP914" s="0" t="n">
        <v>13344.01</v>
      </c>
      <c r="DQ914" s="0" t="n">
        <v>13344.01</v>
      </c>
      <c r="DR914" s="0" t="s">
        <v>6311</v>
      </c>
      <c r="EB914" s="0" t="s">
        <v>6312</v>
      </c>
      <c r="EC914" s="0" t="s">
        <v>2694</v>
      </c>
      <c r="EE914" s="0" t="s">
        <v>2946</v>
      </c>
    </row>
    <row r="915" customFormat="false" ht="15" hidden="false" customHeight="false" outlineLevel="0" collapsed="false">
      <c r="DG915" s="0" t="s">
        <v>6313</v>
      </c>
      <c r="DH915" s="0" t="s">
        <v>87</v>
      </c>
      <c r="DI915" s="0" t="s">
        <v>440</v>
      </c>
      <c r="DJ915" s="0" t="s">
        <v>441</v>
      </c>
      <c r="DK915" s="0" t="s">
        <v>1181</v>
      </c>
      <c r="DL915" s="0" t="n">
        <v>3.85</v>
      </c>
      <c r="DM915" s="0" t="s">
        <v>675</v>
      </c>
      <c r="DN915" s="0" t="s">
        <v>676</v>
      </c>
      <c r="DO915" s="0" t="n">
        <v>1</v>
      </c>
      <c r="DP915" s="0" t="n">
        <v>13344.01</v>
      </c>
      <c r="DQ915" s="0" t="n">
        <v>13344.01</v>
      </c>
      <c r="DR915" s="0" t="s">
        <v>6314</v>
      </c>
      <c r="EB915" s="0" t="s">
        <v>6315</v>
      </c>
      <c r="EC915" s="0" t="s">
        <v>2694</v>
      </c>
      <c r="EE915" s="0" t="s">
        <v>567</v>
      </c>
    </row>
    <row r="916" customFormat="false" ht="15" hidden="false" customHeight="false" outlineLevel="0" collapsed="false">
      <c r="DG916" s="0" t="s">
        <v>6316</v>
      </c>
      <c r="DH916" s="0" t="s">
        <v>87</v>
      </c>
      <c r="DI916" s="0" t="s">
        <v>443</v>
      </c>
      <c r="DJ916" s="0" t="s">
        <v>444</v>
      </c>
      <c r="DK916" s="0" t="s">
        <v>1181</v>
      </c>
      <c r="DL916" s="0" t="n">
        <v>3.85</v>
      </c>
      <c r="DM916" s="0" t="s">
        <v>675</v>
      </c>
      <c r="DN916" s="0" t="s">
        <v>676</v>
      </c>
      <c r="DO916" s="0" t="n">
        <v>1</v>
      </c>
      <c r="DP916" s="0" t="n">
        <v>13344</v>
      </c>
      <c r="DQ916" s="0" t="n">
        <v>13344</v>
      </c>
      <c r="DR916" s="0" t="s">
        <v>6317</v>
      </c>
      <c r="EB916" s="0" t="s">
        <v>6318</v>
      </c>
      <c r="EC916" s="0" t="s">
        <v>2694</v>
      </c>
      <c r="EE916" s="0" t="s">
        <v>569</v>
      </c>
    </row>
    <row r="917" customFormat="false" ht="15" hidden="false" customHeight="false" outlineLevel="0" collapsed="false">
      <c r="DG917" s="0" t="s">
        <v>6319</v>
      </c>
      <c r="DH917" s="0" t="s">
        <v>87</v>
      </c>
      <c r="DI917" s="0" t="s">
        <v>480</v>
      </c>
      <c r="DJ917" s="0" t="s">
        <v>481</v>
      </c>
      <c r="DK917" s="0" t="s">
        <v>1181</v>
      </c>
      <c r="DL917" s="0" t="n">
        <v>3.85</v>
      </c>
      <c r="DM917" s="0" t="s">
        <v>675</v>
      </c>
      <c r="DN917" s="0" t="s">
        <v>676</v>
      </c>
      <c r="DO917" s="0" t="n">
        <v>1</v>
      </c>
      <c r="DP917" s="0" t="n">
        <v>23742</v>
      </c>
      <c r="DQ917" s="0" t="n">
        <v>23742</v>
      </c>
      <c r="DR917" s="0" t="s">
        <v>6320</v>
      </c>
      <c r="EB917" s="0" t="s">
        <v>6321</v>
      </c>
      <c r="EC917" s="0" t="s">
        <v>2694</v>
      </c>
      <c r="EE917" s="0" t="s">
        <v>562</v>
      </c>
    </row>
    <row r="918" customFormat="false" ht="15" hidden="false" customHeight="false" outlineLevel="0" collapsed="false">
      <c r="DG918" s="0" t="s">
        <v>6322</v>
      </c>
      <c r="DH918" s="0" t="s">
        <v>87</v>
      </c>
      <c r="DI918" s="0" t="s">
        <v>362</v>
      </c>
      <c r="DJ918" s="0" t="s">
        <v>363</v>
      </c>
      <c r="DK918" s="0" t="s">
        <v>1181</v>
      </c>
      <c r="DL918" s="0" t="n">
        <v>3.85</v>
      </c>
      <c r="DM918" s="0" t="s">
        <v>675</v>
      </c>
      <c r="DN918" s="0" t="s">
        <v>676</v>
      </c>
      <c r="DO918" s="0" t="n">
        <v>1</v>
      </c>
      <c r="DP918" s="0" t="n">
        <v>36136</v>
      </c>
      <c r="DQ918" s="0" t="n">
        <v>36136</v>
      </c>
      <c r="DR918" s="0" t="s">
        <v>6323</v>
      </c>
      <c r="EB918" s="0" t="s">
        <v>6324</v>
      </c>
      <c r="EC918" s="0" t="s">
        <v>2694</v>
      </c>
      <c r="EE918" s="0" t="s">
        <v>557</v>
      </c>
    </row>
    <row r="919" customFormat="false" ht="15" hidden="false" customHeight="false" outlineLevel="0" collapsed="false">
      <c r="DG919" s="0" t="s">
        <v>6325</v>
      </c>
      <c r="DH919" s="0" t="s">
        <v>87</v>
      </c>
      <c r="DI919" s="0" t="s">
        <v>508</v>
      </c>
      <c r="DJ919" s="0" t="s">
        <v>509</v>
      </c>
      <c r="DK919" s="0" t="s">
        <v>1181</v>
      </c>
      <c r="DL919" s="0" t="n">
        <v>3.85</v>
      </c>
      <c r="DM919" s="0" t="s">
        <v>675</v>
      </c>
      <c r="DN919" s="0" t="s">
        <v>676</v>
      </c>
      <c r="DO919" s="0" t="n">
        <v>1</v>
      </c>
      <c r="DP919" s="0" t="n">
        <v>43628</v>
      </c>
      <c r="DQ919" s="0" t="n">
        <v>43628</v>
      </c>
      <c r="DR919" s="0" t="s">
        <v>6326</v>
      </c>
      <c r="EB919" s="0" t="s">
        <v>6327</v>
      </c>
      <c r="EC919" s="0" t="s">
        <v>2694</v>
      </c>
      <c r="EE919" s="0" t="s">
        <v>290</v>
      </c>
    </row>
    <row r="920" customFormat="false" ht="15" hidden="false" customHeight="false" outlineLevel="0" collapsed="false">
      <c r="DG920" s="0" t="s">
        <v>6328</v>
      </c>
      <c r="DH920" s="0" t="s">
        <v>87</v>
      </c>
      <c r="DI920" s="0" t="s">
        <v>478</v>
      </c>
      <c r="DJ920" s="0" t="s">
        <v>479</v>
      </c>
      <c r="DK920" s="0" t="s">
        <v>1181</v>
      </c>
      <c r="DL920" s="0" t="n">
        <v>3.85</v>
      </c>
      <c r="DM920" s="0" t="s">
        <v>675</v>
      </c>
      <c r="DN920" s="0" t="s">
        <v>676</v>
      </c>
      <c r="DO920" s="0" t="n">
        <v>1</v>
      </c>
      <c r="DP920" s="0" t="n">
        <v>43628</v>
      </c>
      <c r="DQ920" s="0" t="n">
        <v>43628</v>
      </c>
      <c r="DR920" s="0" t="s">
        <v>6329</v>
      </c>
      <c r="EB920" s="0" t="s">
        <v>6330</v>
      </c>
      <c r="EC920" s="0" t="s">
        <v>2694</v>
      </c>
      <c r="EE920" s="0" t="s">
        <v>275</v>
      </c>
    </row>
    <row r="921" customFormat="false" ht="15" hidden="false" customHeight="false" outlineLevel="0" collapsed="false">
      <c r="DG921" s="0" t="s">
        <v>6331</v>
      </c>
      <c r="DH921" s="0" t="s">
        <v>87</v>
      </c>
      <c r="DI921" s="0" t="s">
        <v>478</v>
      </c>
      <c r="DJ921" s="0" t="s">
        <v>2023</v>
      </c>
      <c r="DK921" s="0" t="s">
        <v>1181</v>
      </c>
      <c r="DL921" s="0" t="n">
        <v>3.85</v>
      </c>
      <c r="DM921" s="0" t="s">
        <v>675</v>
      </c>
      <c r="DN921" s="0" t="s">
        <v>676</v>
      </c>
      <c r="DO921" s="0" t="n">
        <v>1</v>
      </c>
      <c r="DP921" s="0" t="n">
        <v>43628</v>
      </c>
      <c r="DQ921" s="0" t="n">
        <v>43628</v>
      </c>
      <c r="DR921" s="0" t="s">
        <v>6332</v>
      </c>
      <c r="EB921" s="0" t="s">
        <v>6333</v>
      </c>
      <c r="EC921" s="0" t="s">
        <v>2694</v>
      </c>
      <c r="EE921" s="0" t="s">
        <v>298</v>
      </c>
    </row>
    <row r="922" customFormat="false" ht="15" hidden="false" customHeight="false" outlineLevel="0" collapsed="false">
      <c r="DG922" s="0" t="s">
        <v>6334</v>
      </c>
      <c r="DH922" s="0" t="s">
        <v>87</v>
      </c>
      <c r="DI922" s="0" t="s">
        <v>486</v>
      </c>
      <c r="DJ922" s="0" t="s">
        <v>487</v>
      </c>
      <c r="DK922" s="0" t="s">
        <v>1181</v>
      </c>
      <c r="DL922" s="0" t="n">
        <v>3.85</v>
      </c>
      <c r="DM922" s="0" t="s">
        <v>675</v>
      </c>
      <c r="DN922" s="0" t="s">
        <v>676</v>
      </c>
      <c r="DO922" s="0" t="n">
        <v>1</v>
      </c>
      <c r="DP922" s="0" t="n">
        <v>43628</v>
      </c>
      <c r="DQ922" s="0" t="n">
        <v>43628</v>
      </c>
      <c r="DR922" s="0" t="s">
        <v>6335</v>
      </c>
      <c r="EB922" s="0" t="s">
        <v>6336</v>
      </c>
      <c r="EC922" s="0" t="s">
        <v>2694</v>
      </c>
      <c r="EE922" s="0" t="s">
        <v>286</v>
      </c>
    </row>
    <row r="923" customFormat="false" ht="15" hidden="false" customHeight="false" outlineLevel="0" collapsed="false">
      <c r="DG923" s="0" t="s">
        <v>6337</v>
      </c>
      <c r="DH923" s="0" t="s">
        <v>87</v>
      </c>
      <c r="DI923" s="0" t="s">
        <v>426</v>
      </c>
      <c r="DJ923" s="0" t="s">
        <v>427</v>
      </c>
      <c r="DK923" s="0" t="s">
        <v>1181</v>
      </c>
      <c r="DL923" s="0" t="n">
        <v>3.85</v>
      </c>
      <c r="DM923" s="0" t="s">
        <v>675</v>
      </c>
      <c r="DN923" s="0" t="s">
        <v>676</v>
      </c>
      <c r="DO923" s="0" t="n">
        <v>1</v>
      </c>
      <c r="DP923" s="0" t="n">
        <v>13344.01</v>
      </c>
      <c r="DQ923" s="0" t="n">
        <v>13344.01</v>
      </c>
      <c r="DR923" s="0" t="s">
        <v>6338</v>
      </c>
      <c r="EB923" s="0" t="s">
        <v>6339</v>
      </c>
      <c r="EC923" s="0" t="s">
        <v>2694</v>
      </c>
      <c r="EE923" s="0" t="s">
        <v>272</v>
      </c>
    </row>
    <row r="924" customFormat="false" ht="15" hidden="false" customHeight="false" outlineLevel="0" collapsed="false">
      <c r="DG924" s="0" t="s">
        <v>6340</v>
      </c>
      <c r="DH924" s="0" t="s">
        <v>87</v>
      </c>
      <c r="DI924" s="0" t="s">
        <v>430</v>
      </c>
      <c r="DJ924" s="0" t="s">
        <v>431</v>
      </c>
      <c r="DK924" s="0" t="s">
        <v>1181</v>
      </c>
      <c r="DL924" s="0" t="n">
        <v>3.85</v>
      </c>
      <c r="DM924" s="0" t="s">
        <v>675</v>
      </c>
      <c r="DN924" s="0" t="s">
        <v>676</v>
      </c>
      <c r="DO924" s="0" t="n">
        <v>1</v>
      </c>
      <c r="DP924" s="0" t="n">
        <v>13344.09</v>
      </c>
      <c r="DQ924" s="0" t="n">
        <v>13344.09</v>
      </c>
      <c r="DR924" s="0" t="s">
        <v>6341</v>
      </c>
      <c r="EB924" s="0" t="s">
        <v>6342</v>
      </c>
      <c r="EC924" s="0" t="s">
        <v>2694</v>
      </c>
      <c r="EE924" s="0" t="s">
        <v>283</v>
      </c>
    </row>
    <row r="925" customFormat="false" ht="15" hidden="false" customHeight="false" outlineLevel="0" collapsed="false">
      <c r="DG925" s="0" t="s">
        <v>6343</v>
      </c>
      <c r="DH925" s="0" t="s">
        <v>87</v>
      </c>
      <c r="DI925" s="0" t="s">
        <v>424</v>
      </c>
      <c r="DJ925" s="0" t="s">
        <v>425</v>
      </c>
      <c r="DK925" s="0" t="s">
        <v>1181</v>
      </c>
      <c r="DL925" s="0" t="n">
        <v>3.85</v>
      </c>
      <c r="DM925" s="0" t="s">
        <v>675</v>
      </c>
      <c r="DN925" s="0" t="s">
        <v>676</v>
      </c>
      <c r="DO925" s="0" t="n">
        <v>1</v>
      </c>
      <c r="DP925" s="0" t="n">
        <v>13344.05</v>
      </c>
      <c r="DQ925" s="0" t="n">
        <v>13344.05</v>
      </c>
      <c r="DR925" s="0" t="s">
        <v>6344</v>
      </c>
      <c r="EB925" s="0" t="s">
        <v>6345</v>
      </c>
      <c r="EC925" s="0" t="s">
        <v>2694</v>
      </c>
      <c r="EE925" s="0" t="s">
        <v>267</v>
      </c>
    </row>
    <row r="926" customFormat="false" ht="15" hidden="false" customHeight="false" outlineLevel="0" collapsed="false">
      <c r="DG926" s="0" t="s">
        <v>6346</v>
      </c>
      <c r="DH926" s="0" t="s">
        <v>87</v>
      </c>
      <c r="DI926" s="0" t="s">
        <v>428</v>
      </c>
      <c r="DJ926" s="0" t="s">
        <v>429</v>
      </c>
      <c r="DK926" s="0" t="s">
        <v>1181</v>
      </c>
      <c r="DL926" s="0" t="n">
        <v>3.85</v>
      </c>
      <c r="DM926" s="0" t="s">
        <v>675</v>
      </c>
      <c r="DN926" s="0" t="s">
        <v>676</v>
      </c>
      <c r="DO926" s="0" t="n">
        <v>1</v>
      </c>
      <c r="DP926" s="0" t="n">
        <v>13344.05</v>
      </c>
      <c r="DQ926" s="0" t="n">
        <v>13344.05</v>
      </c>
      <c r="DR926" s="0" t="s">
        <v>6347</v>
      </c>
      <c r="EB926" s="0" t="s">
        <v>6348</v>
      </c>
      <c r="EC926" s="0" t="s">
        <v>2694</v>
      </c>
      <c r="EE926" s="0" t="s">
        <v>258</v>
      </c>
    </row>
    <row r="927" customFormat="false" ht="15" hidden="false" customHeight="false" outlineLevel="0" collapsed="false">
      <c r="DG927" s="0" t="s">
        <v>6349</v>
      </c>
      <c r="DH927" s="0" t="s">
        <v>87</v>
      </c>
      <c r="DI927" s="0" t="s">
        <v>482</v>
      </c>
      <c r="DJ927" s="0" t="s">
        <v>483</v>
      </c>
      <c r="DK927" s="0" t="s">
        <v>1181</v>
      </c>
      <c r="DL927" s="0" t="n">
        <v>3.85</v>
      </c>
      <c r="DM927" s="0" t="s">
        <v>675</v>
      </c>
      <c r="DN927" s="0" t="s">
        <v>676</v>
      </c>
      <c r="DO927" s="0" t="n">
        <v>1</v>
      </c>
      <c r="DP927" s="0" t="n">
        <v>23742</v>
      </c>
      <c r="DQ927" s="0" t="n">
        <v>23742</v>
      </c>
      <c r="DR927" s="0" t="s">
        <v>6350</v>
      </c>
      <c r="EB927" s="0" t="s">
        <v>6351</v>
      </c>
      <c r="EC927" s="0" t="s">
        <v>2694</v>
      </c>
      <c r="EE927" s="0" t="s">
        <v>222</v>
      </c>
    </row>
    <row r="928" customFormat="false" ht="15" hidden="false" customHeight="false" outlineLevel="0" collapsed="false">
      <c r="DG928" s="0" t="s">
        <v>6352</v>
      </c>
      <c r="DH928" s="0" t="s">
        <v>87</v>
      </c>
      <c r="DI928" s="0" t="s">
        <v>356</v>
      </c>
      <c r="DJ928" s="0" t="s">
        <v>357</v>
      </c>
      <c r="DK928" s="0" t="s">
        <v>1181</v>
      </c>
      <c r="DL928" s="0" t="n">
        <v>3.85</v>
      </c>
      <c r="DM928" s="0" t="s">
        <v>675</v>
      </c>
      <c r="DN928" s="0" t="s">
        <v>676</v>
      </c>
      <c r="DO928" s="0" t="n">
        <v>1</v>
      </c>
      <c r="DP928" s="0" t="n">
        <v>36136</v>
      </c>
      <c r="DQ928" s="0" t="n">
        <v>36136</v>
      </c>
      <c r="DR928" s="0" t="s">
        <v>6353</v>
      </c>
      <c r="EB928" s="0" t="s">
        <v>6354</v>
      </c>
      <c r="EC928" s="0" t="s">
        <v>2694</v>
      </c>
      <c r="EE928" s="0" t="s">
        <v>233</v>
      </c>
    </row>
    <row r="929" customFormat="false" ht="15" hidden="false" customHeight="false" outlineLevel="0" collapsed="false">
      <c r="DG929" s="0" t="s">
        <v>6355</v>
      </c>
      <c r="DH929" s="0" t="s">
        <v>87</v>
      </c>
      <c r="DI929" s="0" t="s">
        <v>388</v>
      </c>
      <c r="DJ929" s="0" t="s">
        <v>389</v>
      </c>
      <c r="DK929" s="0" t="s">
        <v>1181</v>
      </c>
      <c r="DL929" s="0" t="n">
        <v>3.85</v>
      </c>
      <c r="DM929" s="0" t="s">
        <v>675</v>
      </c>
      <c r="DN929" s="0" t="s">
        <v>676</v>
      </c>
      <c r="DO929" s="0" t="n">
        <v>1</v>
      </c>
      <c r="DP929" s="0" t="n">
        <v>36136</v>
      </c>
      <c r="DQ929" s="0" t="n">
        <v>36136</v>
      </c>
      <c r="DR929" s="0" t="s">
        <v>6356</v>
      </c>
      <c r="EB929" s="0" t="s">
        <v>6357</v>
      </c>
      <c r="EC929" s="0" t="s">
        <v>2694</v>
      </c>
      <c r="EE929" s="0" t="s">
        <v>225</v>
      </c>
    </row>
    <row r="930" customFormat="false" ht="15" hidden="false" customHeight="false" outlineLevel="0" collapsed="false">
      <c r="DG930" s="0" t="s">
        <v>6358</v>
      </c>
      <c r="DH930" s="0" t="s">
        <v>87</v>
      </c>
      <c r="DI930" s="0" t="s">
        <v>370</v>
      </c>
      <c r="DJ930" s="0" t="s">
        <v>371</v>
      </c>
      <c r="DK930" s="0" t="s">
        <v>1181</v>
      </c>
      <c r="DL930" s="0" t="n">
        <v>3.85</v>
      </c>
      <c r="DM930" s="0" t="s">
        <v>675</v>
      </c>
      <c r="DN930" s="0" t="s">
        <v>676</v>
      </c>
      <c r="DO930" s="0" t="n">
        <v>1</v>
      </c>
      <c r="DP930" s="0" t="n">
        <v>36136</v>
      </c>
      <c r="DQ930" s="0" t="n">
        <v>36136</v>
      </c>
      <c r="DR930" s="0" t="s">
        <v>6359</v>
      </c>
      <c r="EB930" s="0" t="s">
        <v>6360</v>
      </c>
      <c r="EC930" s="0" t="s">
        <v>2694</v>
      </c>
      <c r="EE930" s="0" t="s">
        <v>288</v>
      </c>
    </row>
    <row r="931" customFormat="false" ht="15" hidden="false" customHeight="false" outlineLevel="0" collapsed="false">
      <c r="DG931" s="0" t="s">
        <v>6361</v>
      </c>
      <c r="DH931" s="0" t="s">
        <v>87</v>
      </c>
      <c r="DI931" s="0" t="s">
        <v>520</v>
      </c>
      <c r="DJ931" s="0" t="s">
        <v>521</v>
      </c>
      <c r="DK931" s="0" t="s">
        <v>1181</v>
      </c>
      <c r="DL931" s="0" t="n">
        <v>3.85</v>
      </c>
      <c r="DM931" s="0" t="s">
        <v>675</v>
      </c>
      <c r="DN931" s="0" t="s">
        <v>676</v>
      </c>
      <c r="DO931" s="0" t="n">
        <v>1</v>
      </c>
      <c r="DP931" s="0" t="n">
        <v>30768.75</v>
      </c>
      <c r="DQ931" s="0" t="n">
        <v>30768.75</v>
      </c>
      <c r="DR931" s="0" t="s">
        <v>6362</v>
      </c>
      <c r="EB931" s="0" t="s">
        <v>6363</v>
      </c>
      <c r="EC931" s="0" t="s">
        <v>2694</v>
      </c>
      <c r="EE931" s="0" t="s">
        <v>269</v>
      </c>
    </row>
    <row r="932" customFormat="false" ht="15" hidden="false" customHeight="false" outlineLevel="0" collapsed="false">
      <c r="DG932" s="0" t="s">
        <v>6364</v>
      </c>
      <c r="DH932" s="0" t="s">
        <v>87</v>
      </c>
      <c r="DI932" s="0" t="s">
        <v>514</v>
      </c>
      <c r="DJ932" s="0" t="s">
        <v>515</v>
      </c>
      <c r="DK932" s="0" t="s">
        <v>1181</v>
      </c>
      <c r="DL932" s="0" t="n">
        <v>3.85</v>
      </c>
      <c r="DM932" s="0" t="s">
        <v>675</v>
      </c>
      <c r="DN932" s="0" t="s">
        <v>676</v>
      </c>
      <c r="DO932" s="0" t="n">
        <v>1</v>
      </c>
      <c r="DP932" s="0" t="n">
        <v>227.9</v>
      </c>
      <c r="DQ932" s="0" t="n">
        <v>227.9</v>
      </c>
      <c r="DR932" s="0" t="s">
        <v>6365</v>
      </c>
      <c r="EB932" s="0" t="s">
        <v>6366</v>
      </c>
      <c r="EC932" s="0" t="s">
        <v>2694</v>
      </c>
      <c r="EE932" s="0" t="s">
        <v>237</v>
      </c>
    </row>
    <row r="933" customFormat="false" ht="15" hidden="false" customHeight="false" outlineLevel="0" collapsed="false">
      <c r="DG933" s="0" t="s">
        <v>6367</v>
      </c>
      <c r="DH933" s="0" t="s">
        <v>87</v>
      </c>
      <c r="DI933" s="0" t="s">
        <v>516</v>
      </c>
      <c r="DJ933" s="0" t="s">
        <v>517</v>
      </c>
      <c r="DK933" s="0" t="s">
        <v>1181</v>
      </c>
      <c r="DL933" s="0" t="n">
        <v>3.85</v>
      </c>
      <c r="DM933" s="0" t="s">
        <v>675</v>
      </c>
      <c r="DN933" s="0" t="s">
        <v>676</v>
      </c>
      <c r="DO933" s="0" t="n">
        <v>1</v>
      </c>
      <c r="DP933" s="0" t="n">
        <v>565.35</v>
      </c>
      <c r="DQ933" s="0" t="n">
        <v>565.35</v>
      </c>
      <c r="DR933" s="0" t="s">
        <v>6368</v>
      </c>
      <c r="EB933" s="0" t="s">
        <v>6369</v>
      </c>
      <c r="EC933" s="0" t="s">
        <v>2694</v>
      </c>
      <c r="EE933" s="0" t="s">
        <v>249</v>
      </c>
    </row>
    <row r="934" customFormat="false" ht="15" hidden="false" customHeight="false" outlineLevel="0" collapsed="false">
      <c r="DG934" s="0" t="s">
        <v>6370</v>
      </c>
      <c r="DH934" s="0" t="s">
        <v>87</v>
      </c>
      <c r="DI934" s="0" t="s">
        <v>448</v>
      </c>
      <c r="DJ934" s="0" t="s">
        <v>449</v>
      </c>
      <c r="DK934" s="0" t="s">
        <v>1181</v>
      </c>
      <c r="DL934" s="0" t="n">
        <v>3.85</v>
      </c>
      <c r="DM934" s="0" t="s">
        <v>675</v>
      </c>
      <c r="DN934" s="0" t="s">
        <v>676</v>
      </c>
      <c r="DO934" s="0" t="n">
        <v>1</v>
      </c>
      <c r="DP934" s="0" t="n">
        <v>13340.05</v>
      </c>
      <c r="DQ934" s="0" t="n">
        <v>13340.05</v>
      </c>
      <c r="DR934" s="0" t="s">
        <v>6371</v>
      </c>
      <c r="EB934" s="0" t="s">
        <v>6372</v>
      </c>
      <c r="EC934" s="0" t="s">
        <v>2694</v>
      </c>
      <c r="EE934" s="0" t="s">
        <v>293</v>
      </c>
    </row>
    <row r="935" customFormat="false" ht="15" hidden="false" customHeight="false" outlineLevel="0" collapsed="false">
      <c r="DG935" s="0" t="s">
        <v>6373</v>
      </c>
      <c r="DH935" s="0" t="s">
        <v>87</v>
      </c>
      <c r="DI935" s="0" t="s">
        <v>450</v>
      </c>
      <c r="DJ935" s="0" t="s">
        <v>451</v>
      </c>
      <c r="DK935" s="0" t="s">
        <v>1181</v>
      </c>
      <c r="DL935" s="0" t="n">
        <v>3.85</v>
      </c>
      <c r="DM935" s="0" t="s">
        <v>675</v>
      </c>
      <c r="DN935" s="0" t="s">
        <v>676</v>
      </c>
      <c r="DO935" s="0" t="n">
        <v>1</v>
      </c>
      <c r="DP935" s="0" t="n">
        <v>13340.05</v>
      </c>
      <c r="DQ935" s="0" t="n">
        <v>13340.05</v>
      </c>
      <c r="DR935" s="0" t="s">
        <v>6374</v>
      </c>
      <c r="EB935" s="0" t="s">
        <v>6375</v>
      </c>
      <c r="EC935" s="0" t="s">
        <v>2694</v>
      </c>
      <c r="EE935" s="0" t="s">
        <v>280</v>
      </c>
    </row>
    <row r="936" customFormat="false" ht="15" hidden="false" customHeight="false" outlineLevel="0" collapsed="false">
      <c r="DG936" s="0" t="s">
        <v>6376</v>
      </c>
      <c r="DH936" s="0" t="s">
        <v>87</v>
      </c>
      <c r="DI936" s="0" t="s">
        <v>396</v>
      </c>
      <c r="DJ936" s="0" t="s">
        <v>397</v>
      </c>
      <c r="DK936" s="0" t="s">
        <v>1181</v>
      </c>
      <c r="DL936" s="0" t="n">
        <v>3.85</v>
      </c>
      <c r="DM936" s="0" t="s">
        <v>675</v>
      </c>
      <c r="DN936" s="0" t="s">
        <v>676</v>
      </c>
      <c r="DO936" s="0" t="n">
        <v>1</v>
      </c>
      <c r="DP936" s="0" t="n">
        <v>36130</v>
      </c>
      <c r="DQ936" s="0" t="n">
        <v>36130</v>
      </c>
      <c r="DR936" s="0" t="s">
        <v>6377</v>
      </c>
      <c r="EB936" s="0" t="s">
        <v>6378</v>
      </c>
      <c r="EC936" s="0" t="s">
        <v>2694</v>
      </c>
      <c r="EE936" s="0" t="s">
        <v>264</v>
      </c>
    </row>
    <row r="937" customFormat="false" ht="15" hidden="false" customHeight="false" outlineLevel="0" collapsed="false">
      <c r="DG937" s="0" t="s">
        <v>6379</v>
      </c>
      <c r="DH937" s="0" t="s">
        <v>87</v>
      </c>
      <c r="DI937" s="0" t="s">
        <v>401</v>
      </c>
      <c r="DJ937" s="0" t="s">
        <v>402</v>
      </c>
      <c r="DK937" s="0" t="s">
        <v>1181</v>
      </c>
      <c r="DL937" s="0" t="n">
        <v>3.85</v>
      </c>
      <c r="DM937" s="0" t="s">
        <v>675</v>
      </c>
      <c r="DN937" s="0" t="s">
        <v>676</v>
      </c>
      <c r="DO937" s="0" t="n">
        <v>1</v>
      </c>
      <c r="DP937" s="0" t="n">
        <v>36130</v>
      </c>
      <c r="DQ937" s="0" t="n">
        <v>36130</v>
      </c>
      <c r="DR937" s="0" t="s">
        <v>6380</v>
      </c>
      <c r="EB937" s="0" t="s">
        <v>6381</v>
      </c>
      <c r="EC937" s="0" t="s">
        <v>2694</v>
      </c>
      <c r="EE937" s="0" t="s">
        <v>278</v>
      </c>
    </row>
    <row r="938" customFormat="false" ht="15" hidden="false" customHeight="false" outlineLevel="0" collapsed="false">
      <c r="DG938" s="0" t="s">
        <v>6382</v>
      </c>
      <c r="DH938" s="0" t="s">
        <v>87</v>
      </c>
      <c r="DI938" s="0" t="s">
        <v>406</v>
      </c>
      <c r="DJ938" s="0" t="s">
        <v>407</v>
      </c>
      <c r="DK938" s="0" t="s">
        <v>1181</v>
      </c>
      <c r="DL938" s="0" t="n">
        <v>3.85</v>
      </c>
      <c r="DM938" s="0" t="s">
        <v>675</v>
      </c>
      <c r="DN938" s="0" t="s">
        <v>676</v>
      </c>
      <c r="DO938" s="0" t="n">
        <v>1</v>
      </c>
      <c r="DP938" s="0" t="n">
        <v>36130</v>
      </c>
      <c r="DQ938" s="0" t="n">
        <v>36130</v>
      </c>
      <c r="DR938" s="0" t="s">
        <v>6383</v>
      </c>
      <c r="EB938" s="0" t="s">
        <v>6384</v>
      </c>
      <c r="EC938" s="0" t="s">
        <v>2694</v>
      </c>
      <c r="EE938" s="0" t="s">
        <v>240</v>
      </c>
    </row>
    <row r="939" customFormat="false" ht="15" hidden="false" customHeight="false" outlineLevel="0" collapsed="false">
      <c r="DG939" s="0" t="s">
        <v>6385</v>
      </c>
      <c r="DH939" s="0" t="s">
        <v>87</v>
      </c>
      <c r="DI939" s="0" t="s">
        <v>393</v>
      </c>
      <c r="DJ939" s="0" t="s">
        <v>394</v>
      </c>
      <c r="DK939" s="0" t="s">
        <v>1181</v>
      </c>
      <c r="DL939" s="0" t="n">
        <v>3.85</v>
      </c>
      <c r="DM939" s="0" t="s">
        <v>675</v>
      </c>
      <c r="DN939" s="0" t="s">
        <v>676</v>
      </c>
      <c r="DO939" s="0" t="n">
        <v>1</v>
      </c>
      <c r="DP939" s="0" t="n">
        <v>36130</v>
      </c>
      <c r="DQ939" s="0" t="n">
        <v>36130</v>
      </c>
      <c r="DR939" s="0" t="s">
        <v>6386</v>
      </c>
      <c r="EB939" s="0" t="s">
        <v>6387</v>
      </c>
      <c r="EC939" s="0" t="s">
        <v>2694</v>
      </c>
      <c r="EE939" s="0" t="s">
        <v>252</v>
      </c>
    </row>
    <row r="940" customFormat="false" ht="15" hidden="false" customHeight="false" outlineLevel="0" collapsed="false">
      <c r="DG940" s="0" t="s">
        <v>6388</v>
      </c>
      <c r="DH940" s="0" t="s">
        <v>87</v>
      </c>
      <c r="DI940" s="0" t="s">
        <v>488</v>
      </c>
      <c r="DJ940" s="0" t="s">
        <v>489</v>
      </c>
      <c r="DK940" s="0" t="s">
        <v>1181</v>
      </c>
      <c r="DL940" s="0" t="n">
        <v>3.85</v>
      </c>
      <c r="DM940" s="0" t="s">
        <v>675</v>
      </c>
      <c r="DN940" s="0" t="s">
        <v>676</v>
      </c>
      <c r="DO940" s="0" t="n">
        <v>1</v>
      </c>
      <c r="DP940" s="0" t="n">
        <v>33924.98</v>
      </c>
      <c r="DQ940" s="0" t="n">
        <v>33924.98</v>
      </c>
      <c r="DR940" s="0" t="s">
        <v>6389</v>
      </c>
      <c r="EB940" s="0" t="s">
        <v>6390</v>
      </c>
      <c r="EC940" s="0" t="s">
        <v>2694</v>
      </c>
      <c r="EE940" s="0" t="s">
        <v>229</v>
      </c>
    </row>
    <row r="941" customFormat="false" ht="15" hidden="false" customHeight="false" outlineLevel="0" collapsed="false">
      <c r="DG941" s="0" t="s">
        <v>6391</v>
      </c>
      <c r="DH941" s="0" t="s">
        <v>87</v>
      </c>
      <c r="DI941" s="0" t="s">
        <v>490</v>
      </c>
      <c r="DJ941" s="0" t="s">
        <v>491</v>
      </c>
      <c r="DK941" s="0" t="s">
        <v>1181</v>
      </c>
      <c r="DL941" s="0" t="n">
        <v>3.85</v>
      </c>
      <c r="DM941" s="0" t="s">
        <v>675</v>
      </c>
      <c r="DN941" s="0" t="s">
        <v>676</v>
      </c>
      <c r="DO941" s="0" t="n">
        <v>1</v>
      </c>
      <c r="DP941" s="0" t="n">
        <v>33925</v>
      </c>
      <c r="DQ941" s="0" t="n">
        <v>33925</v>
      </c>
      <c r="DR941" s="0" t="s">
        <v>6392</v>
      </c>
      <c r="EB941" s="0" t="s">
        <v>6393</v>
      </c>
      <c r="EC941" s="0" t="s">
        <v>2694</v>
      </c>
      <c r="EE941" s="0" t="s">
        <v>246</v>
      </c>
    </row>
    <row r="942" customFormat="false" ht="15" hidden="false" customHeight="false" outlineLevel="0" collapsed="false">
      <c r="DG942" s="0" t="s">
        <v>6394</v>
      </c>
      <c r="DH942" s="0" t="s">
        <v>87</v>
      </c>
      <c r="DI942" s="0" t="s">
        <v>492</v>
      </c>
      <c r="DJ942" s="0" t="s">
        <v>493</v>
      </c>
      <c r="DK942" s="0" t="s">
        <v>1181</v>
      </c>
      <c r="DL942" s="0" t="n">
        <v>3.85</v>
      </c>
      <c r="DM942" s="0" t="s">
        <v>675</v>
      </c>
      <c r="DN942" s="0" t="s">
        <v>676</v>
      </c>
      <c r="DO942" s="0" t="n">
        <v>1</v>
      </c>
      <c r="DP942" s="0" t="n">
        <v>33925</v>
      </c>
      <c r="DQ942" s="0" t="n">
        <v>33925</v>
      </c>
      <c r="DR942" s="0" t="s">
        <v>6395</v>
      </c>
      <c r="EB942" s="0" t="s">
        <v>6396</v>
      </c>
      <c r="EC942" s="0" t="s">
        <v>2694</v>
      </c>
      <c r="EE942" s="0" t="s">
        <v>255</v>
      </c>
    </row>
    <row r="943" customFormat="false" ht="15" hidden="false" customHeight="false" outlineLevel="0" collapsed="false">
      <c r="DG943" s="0" t="s">
        <v>6397</v>
      </c>
      <c r="DH943" s="0" t="s">
        <v>87</v>
      </c>
      <c r="DI943" s="0" t="s">
        <v>494</v>
      </c>
      <c r="DJ943" s="0" t="s">
        <v>495</v>
      </c>
      <c r="DK943" s="0" t="s">
        <v>1181</v>
      </c>
      <c r="DL943" s="0" t="n">
        <v>3.85</v>
      </c>
      <c r="DM943" s="0" t="s">
        <v>675</v>
      </c>
      <c r="DN943" s="0" t="s">
        <v>676</v>
      </c>
      <c r="DO943" s="0" t="n">
        <v>1</v>
      </c>
      <c r="DP943" s="0" t="n">
        <v>33925</v>
      </c>
      <c r="DQ943" s="0" t="n">
        <v>33925</v>
      </c>
      <c r="DR943" s="0" t="s">
        <v>6398</v>
      </c>
      <c r="EB943" s="0" t="s">
        <v>6399</v>
      </c>
      <c r="EC943" s="0" t="s">
        <v>2694</v>
      </c>
      <c r="EE943" s="0" t="s">
        <v>243</v>
      </c>
    </row>
    <row r="944" customFormat="false" ht="15" hidden="false" customHeight="false" outlineLevel="0" collapsed="false">
      <c r="DG944" s="0" t="s">
        <v>6400</v>
      </c>
      <c r="DH944" s="0" t="s">
        <v>87</v>
      </c>
      <c r="DI944" s="0" t="s">
        <v>446</v>
      </c>
      <c r="DJ944" s="0" t="s">
        <v>447</v>
      </c>
      <c r="DK944" s="0" t="s">
        <v>1181</v>
      </c>
      <c r="DL944" s="0" t="n">
        <v>3.85</v>
      </c>
      <c r="DM944" s="0" t="s">
        <v>675</v>
      </c>
      <c r="DN944" s="0" t="s">
        <v>676</v>
      </c>
      <c r="DO944" s="0" t="n">
        <v>2</v>
      </c>
      <c r="DP944" s="0" t="n">
        <v>26680.1</v>
      </c>
      <c r="DQ944" s="0" t="n">
        <v>26680.1</v>
      </c>
      <c r="DR944" s="0" t="s">
        <v>6401</v>
      </c>
      <c r="EB944" s="0" t="s">
        <v>6402</v>
      </c>
      <c r="EC944" s="0" t="s">
        <v>2694</v>
      </c>
      <c r="EE944" s="0" t="s">
        <v>261</v>
      </c>
    </row>
    <row r="945" customFormat="false" ht="15" hidden="false" customHeight="false" outlineLevel="0" collapsed="false">
      <c r="DG945" s="0" t="s">
        <v>6403</v>
      </c>
      <c r="DH945" s="0" t="s">
        <v>87</v>
      </c>
      <c r="DI945" s="0" t="s">
        <v>452</v>
      </c>
      <c r="DJ945" s="0" t="s">
        <v>453</v>
      </c>
      <c r="DK945" s="0" t="s">
        <v>1181</v>
      </c>
      <c r="DL945" s="0" t="n">
        <v>3.85</v>
      </c>
      <c r="DM945" s="0" t="s">
        <v>675</v>
      </c>
      <c r="DN945" s="0" t="s">
        <v>676</v>
      </c>
      <c r="DO945" s="0" t="n">
        <v>1</v>
      </c>
      <c r="DP945" s="0" t="n">
        <v>13339.5</v>
      </c>
      <c r="DQ945" s="0" t="n">
        <v>13339.5</v>
      </c>
      <c r="DR945" s="0" t="s">
        <v>6404</v>
      </c>
      <c r="EB945" s="0" t="s">
        <v>6405</v>
      </c>
      <c r="EC945" s="0" t="s">
        <v>2694</v>
      </c>
      <c r="EE945" s="0" t="s">
        <v>296</v>
      </c>
    </row>
    <row r="946" customFormat="false" ht="15" hidden="false" customHeight="false" outlineLevel="0" collapsed="false">
      <c r="DG946" s="0" t="s">
        <v>6406</v>
      </c>
      <c r="DH946" s="0" t="s">
        <v>87</v>
      </c>
      <c r="DI946" s="0" t="s">
        <v>470</v>
      </c>
      <c r="DJ946" s="0" t="s">
        <v>471</v>
      </c>
      <c r="DK946" s="0" t="s">
        <v>1181</v>
      </c>
      <c r="DL946" s="0" t="n">
        <v>3.85</v>
      </c>
      <c r="DM946" s="0" t="s">
        <v>675</v>
      </c>
      <c r="DN946" s="0" t="s">
        <v>676</v>
      </c>
      <c r="DO946" s="0" t="n">
        <v>1</v>
      </c>
      <c r="DP946" s="0" t="n">
        <v>0.02</v>
      </c>
      <c r="DQ946" s="0" t="n">
        <v>0.02</v>
      </c>
      <c r="DR946" s="0" t="s">
        <v>6407</v>
      </c>
      <c r="EB946" s="0" t="s">
        <v>6408</v>
      </c>
      <c r="EC946" s="0" t="s">
        <v>2798</v>
      </c>
      <c r="ED946" s="0" t="s">
        <v>2799</v>
      </c>
      <c r="EE946" s="0" t="s">
        <v>626</v>
      </c>
      <c r="EF946" s="0" t="s">
        <v>2526</v>
      </c>
      <c r="EG946" s="0" t="n">
        <v>550</v>
      </c>
      <c r="EH946" s="0" t="n">
        <v>590</v>
      </c>
      <c r="EI946" s="0" t="n">
        <v>660</v>
      </c>
      <c r="EJ946" s="0" t="n">
        <v>710</v>
      </c>
    </row>
    <row r="947" customFormat="false" ht="15" hidden="false" customHeight="false" outlineLevel="0" collapsed="false">
      <c r="DG947" s="0" t="s">
        <v>6409</v>
      </c>
      <c r="DH947" s="0" t="s">
        <v>87</v>
      </c>
      <c r="DI947" s="0" t="s">
        <v>474</v>
      </c>
      <c r="DJ947" s="0" t="s">
        <v>473</v>
      </c>
      <c r="DK947" s="0" t="s">
        <v>1181</v>
      </c>
      <c r="DL947" s="0" t="n">
        <v>3.85</v>
      </c>
      <c r="DM947" s="0" t="s">
        <v>675</v>
      </c>
      <c r="DN947" s="0" t="s">
        <v>676</v>
      </c>
      <c r="DO947" s="0" t="n">
        <v>1</v>
      </c>
      <c r="DP947" s="0" t="n">
        <v>0.1</v>
      </c>
      <c r="DQ947" s="0" t="n">
        <v>0.1</v>
      </c>
      <c r="DR947" s="0" t="s">
        <v>5624</v>
      </c>
      <c r="EB947" s="0" t="s">
        <v>6410</v>
      </c>
      <c r="EC947" s="0" t="s">
        <v>2798</v>
      </c>
      <c r="ED947" s="0" t="s">
        <v>2799</v>
      </c>
      <c r="EE947" s="0" t="s">
        <v>624</v>
      </c>
      <c r="EF947" s="0" t="s">
        <v>2550</v>
      </c>
      <c r="EG947" s="0" t="n">
        <v>550</v>
      </c>
      <c r="EH947" s="0" t="n">
        <v>600</v>
      </c>
      <c r="EI947" s="0" t="n">
        <v>680</v>
      </c>
      <c r="EJ947" s="0" t="n">
        <v>730</v>
      </c>
    </row>
    <row r="948" customFormat="false" ht="15" hidden="false" customHeight="false" outlineLevel="0" collapsed="false">
      <c r="DG948" s="0" t="s">
        <v>6411</v>
      </c>
      <c r="DH948" s="0" t="s">
        <v>87</v>
      </c>
      <c r="DI948" s="0" t="s">
        <v>476</v>
      </c>
      <c r="DJ948" s="0" t="s">
        <v>477</v>
      </c>
      <c r="DK948" s="0" t="s">
        <v>1181</v>
      </c>
      <c r="DL948" s="0" t="n">
        <v>3.85</v>
      </c>
      <c r="DM948" s="0" t="s">
        <v>675</v>
      </c>
      <c r="DN948" s="0" t="s">
        <v>676</v>
      </c>
      <c r="DO948" s="0" t="n">
        <v>1</v>
      </c>
      <c r="DP948" s="0" t="n">
        <v>5730</v>
      </c>
      <c r="DQ948" s="0" t="n">
        <v>5730</v>
      </c>
      <c r="DR948" s="0" t="s">
        <v>6412</v>
      </c>
      <c r="EB948" s="0" t="s">
        <v>6413</v>
      </c>
      <c r="EC948" s="0" t="s">
        <v>2798</v>
      </c>
      <c r="ED948" s="0" t="s">
        <v>2799</v>
      </c>
      <c r="EE948" s="0" t="s">
        <v>622</v>
      </c>
      <c r="EF948" s="0" t="s">
        <v>2567</v>
      </c>
      <c r="EG948" s="0" t="n">
        <v>1920</v>
      </c>
      <c r="EH948" s="0" t="n">
        <v>2090</v>
      </c>
      <c r="EI948" s="0" t="n">
        <v>2370</v>
      </c>
      <c r="EJ948" s="0" t="n">
        <v>2550</v>
      </c>
    </row>
    <row r="949" customFormat="false" ht="15" hidden="false" customHeight="false" outlineLevel="0" collapsed="false">
      <c r="DG949" s="0" t="s">
        <v>6414</v>
      </c>
      <c r="DH949" s="0" t="s">
        <v>87</v>
      </c>
      <c r="DI949" s="0" t="s">
        <v>464</v>
      </c>
      <c r="DJ949" s="0" t="s">
        <v>465</v>
      </c>
      <c r="DK949" s="0" t="s">
        <v>1181</v>
      </c>
      <c r="DL949" s="0" t="n">
        <v>3.85</v>
      </c>
      <c r="DM949" s="0" t="s">
        <v>675</v>
      </c>
      <c r="DN949" s="0" t="s">
        <v>676</v>
      </c>
      <c r="DO949" s="0" t="n">
        <v>1</v>
      </c>
      <c r="DP949" s="0" t="n">
        <v>13340.05</v>
      </c>
      <c r="DQ949" s="0" t="n">
        <v>13340.05</v>
      </c>
      <c r="DR949" s="0" t="s">
        <v>6415</v>
      </c>
      <c r="EB949" s="0" t="s">
        <v>6416</v>
      </c>
      <c r="EC949" s="0" t="s">
        <v>2798</v>
      </c>
      <c r="ED949" s="0" t="s">
        <v>2799</v>
      </c>
      <c r="EE949" s="0" t="s">
        <v>620</v>
      </c>
      <c r="EF949" s="0" t="s">
        <v>2580</v>
      </c>
      <c r="EG949" s="0" t="n">
        <v>730</v>
      </c>
      <c r="EH949" s="0" t="n">
        <v>840</v>
      </c>
      <c r="EI949" s="0" t="n">
        <v>950</v>
      </c>
      <c r="EJ949" s="0" t="n">
        <v>1020</v>
      </c>
    </row>
    <row r="950" customFormat="false" ht="15" hidden="false" customHeight="false" outlineLevel="0" collapsed="false">
      <c r="DG950" s="0" t="s">
        <v>6417</v>
      </c>
      <c r="DH950" s="0" t="s">
        <v>87</v>
      </c>
      <c r="DI950" s="0" t="s">
        <v>415</v>
      </c>
      <c r="DJ950" s="0" t="s">
        <v>416</v>
      </c>
      <c r="DK950" s="0" t="s">
        <v>1181</v>
      </c>
      <c r="DL950" s="0" t="n">
        <v>3.85</v>
      </c>
      <c r="DM950" s="0" t="s">
        <v>675</v>
      </c>
      <c r="DN950" s="0" t="s">
        <v>676</v>
      </c>
      <c r="DO950" s="0" t="n">
        <v>1</v>
      </c>
      <c r="DP950" s="0" t="n">
        <v>36130</v>
      </c>
      <c r="DQ950" s="0" t="n">
        <v>36130</v>
      </c>
      <c r="DR950" s="0" t="s">
        <v>6418</v>
      </c>
      <c r="EB950" s="0" t="s">
        <v>6419</v>
      </c>
      <c r="EC950" s="0" t="s">
        <v>2798</v>
      </c>
      <c r="ED950" s="0" t="s">
        <v>2799</v>
      </c>
      <c r="EE950" s="0" t="s">
        <v>618</v>
      </c>
      <c r="EF950" s="0" t="s">
        <v>2596</v>
      </c>
      <c r="EG950" s="0" t="n">
        <v>430</v>
      </c>
      <c r="EH950" s="0" t="n">
        <v>490</v>
      </c>
      <c r="EI950" s="0" t="n">
        <v>560</v>
      </c>
      <c r="EJ950" s="0" t="n">
        <v>600</v>
      </c>
    </row>
    <row r="951" customFormat="false" ht="15" hidden="false" customHeight="false" outlineLevel="0" collapsed="false">
      <c r="DG951" s="0" t="s">
        <v>6420</v>
      </c>
      <c r="DH951" s="0" t="s">
        <v>87</v>
      </c>
      <c r="DI951" s="0" t="s">
        <v>412</v>
      </c>
      <c r="DJ951" s="0" t="s">
        <v>2032</v>
      </c>
      <c r="DK951" s="0" t="s">
        <v>1181</v>
      </c>
      <c r="DL951" s="0" t="n">
        <v>3.85</v>
      </c>
      <c r="DM951" s="0" t="s">
        <v>675</v>
      </c>
      <c r="DN951" s="0" t="s">
        <v>676</v>
      </c>
      <c r="DO951" s="0" t="n">
        <v>1</v>
      </c>
      <c r="DP951" s="0" t="n">
        <v>36130</v>
      </c>
      <c r="DQ951" s="0" t="n">
        <v>36130</v>
      </c>
      <c r="DR951" s="0" t="s">
        <v>6421</v>
      </c>
      <c r="EB951" s="0" t="s">
        <v>6422</v>
      </c>
      <c r="EC951" s="0" t="s">
        <v>2798</v>
      </c>
      <c r="ED951" s="0" t="s">
        <v>2799</v>
      </c>
      <c r="EE951" s="0" t="s">
        <v>616</v>
      </c>
      <c r="EF951" s="0" t="s">
        <v>2612</v>
      </c>
      <c r="EG951" s="0" t="n">
        <v>460</v>
      </c>
      <c r="EH951" s="0" t="n">
        <v>500</v>
      </c>
      <c r="EI951" s="0" t="n">
        <v>550</v>
      </c>
      <c r="EJ951" s="0" t="n">
        <v>590</v>
      </c>
    </row>
    <row r="952" customFormat="false" ht="15" hidden="false" customHeight="false" outlineLevel="0" collapsed="false">
      <c r="DG952" s="0" t="s">
        <v>6423</v>
      </c>
      <c r="DH952" s="0" t="s">
        <v>87</v>
      </c>
      <c r="DI952" s="0" t="s">
        <v>418</v>
      </c>
      <c r="DJ952" s="0" t="s">
        <v>419</v>
      </c>
      <c r="DK952" s="0" t="s">
        <v>1181</v>
      </c>
      <c r="DL952" s="0" t="n">
        <v>3.85</v>
      </c>
      <c r="DM952" s="0" t="s">
        <v>675</v>
      </c>
      <c r="DN952" s="0" t="s">
        <v>676</v>
      </c>
      <c r="DO952" s="0" t="n">
        <v>1</v>
      </c>
      <c r="DP952" s="0" t="n">
        <v>36130</v>
      </c>
      <c r="DQ952" s="0" t="n">
        <v>36130</v>
      </c>
      <c r="DR952" s="0" t="s">
        <v>6424</v>
      </c>
      <c r="EB952" s="0" t="s">
        <v>6425</v>
      </c>
      <c r="EC952" s="0" t="s">
        <v>2798</v>
      </c>
      <c r="ED952" s="0" t="s">
        <v>2799</v>
      </c>
      <c r="EE952" s="0" t="s">
        <v>614</v>
      </c>
      <c r="EF952" s="0" t="s">
        <v>2628</v>
      </c>
      <c r="EG952" s="0" t="n">
        <v>1080</v>
      </c>
      <c r="EH952" s="0" t="n">
        <v>1180</v>
      </c>
      <c r="EI952" s="0" t="n">
        <v>1270</v>
      </c>
      <c r="EJ952" s="0" t="n">
        <v>1370</v>
      </c>
    </row>
    <row r="953" customFormat="false" ht="15" hidden="false" customHeight="false" outlineLevel="0" collapsed="false">
      <c r="DG953" s="0" t="s">
        <v>6426</v>
      </c>
      <c r="DH953" s="0" t="s">
        <v>87</v>
      </c>
      <c r="DI953" s="0" t="s">
        <v>458</v>
      </c>
      <c r="DJ953" s="0" t="s">
        <v>459</v>
      </c>
      <c r="DK953" s="0" t="s">
        <v>1181</v>
      </c>
      <c r="DL953" s="0" t="n">
        <v>3.85</v>
      </c>
      <c r="DM953" s="0" t="s">
        <v>675</v>
      </c>
      <c r="DN953" s="0" t="s">
        <v>676</v>
      </c>
      <c r="DO953" s="0" t="n">
        <v>1</v>
      </c>
      <c r="DP953" s="0" t="n">
        <v>13340.05</v>
      </c>
      <c r="DQ953" s="0" t="n">
        <v>13340.05</v>
      </c>
      <c r="DR953" s="0" t="s">
        <v>6427</v>
      </c>
      <c r="EB953" s="0" t="s">
        <v>6428</v>
      </c>
      <c r="EC953" s="0" t="s">
        <v>2798</v>
      </c>
      <c r="ED953" s="0" t="s">
        <v>2799</v>
      </c>
      <c r="EE953" s="0" t="s">
        <v>612</v>
      </c>
      <c r="EF953" s="0" t="s">
        <v>2647</v>
      </c>
      <c r="EG953" s="0" t="n">
        <v>740</v>
      </c>
      <c r="EH953" s="0" t="n">
        <v>740</v>
      </c>
      <c r="EI953" s="0" t="n">
        <v>740</v>
      </c>
      <c r="EJ953" s="0" t="n">
        <v>770</v>
      </c>
    </row>
    <row r="954" customFormat="false" ht="15" hidden="false" customHeight="false" outlineLevel="0" collapsed="false">
      <c r="DG954" s="0" t="s">
        <v>6429</v>
      </c>
      <c r="DH954" s="0" t="s">
        <v>87</v>
      </c>
      <c r="DI954" s="0" t="s">
        <v>456</v>
      </c>
      <c r="DJ954" s="0" t="s">
        <v>457</v>
      </c>
      <c r="DK954" s="0" t="s">
        <v>1181</v>
      </c>
      <c r="DL954" s="0" t="n">
        <v>3.85</v>
      </c>
      <c r="DM954" s="0" t="s">
        <v>675</v>
      </c>
      <c r="DN954" s="0" t="s">
        <v>676</v>
      </c>
      <c r="DO954" s="0" t="n">
        <v>1</v>
      </c>
      <c r="DP954" s="0" t="n">
        <v>13340</v>
      </c>
      <c r="DQ954" s="0" t="n">
        <v>13340</v>
      </c>
      <c r="DR954" s="0" t="s">
        <v>6430</v>
      </c>
      <c r="EB954" s="0" t="s">
        <v>6431</v>
      </c>
      <c r="EC954" s="0" t="s">
        <v>2798</v>
      </c>
      <c r="ED954" s="0" t="s">
        <v>2799</v>
      </c>
      <c r="EE954" s="0" t="s">
        <v>609</v>
      </c>
      <c r="EF954" s="0" t="s">
        <v>2663</v>
      </c>
      <c r="EG954" s="0" t="n">
        <v>280</v>
      </c>
      <c r="EH954" s="0" t="n">
        <v>280</v>
      </c>
      <c r="EI954" s="0" t="n">
        <v>280</v>
      </c>
      <c r="EJ954" s="0" t="n">
        <v>280</v>
      </c>
    </row>
    <row r="955" customFormat="false" ht="15" hidden="false" customHeight="false" outlineLevel="0" collapsed="false">
      <c r="DG955" s="0" t="s">
        <v>6432</v>
      </c>
      <c r="DH955" s="0" t="s">
        <v>87</v>
      </c>
      <c r="DI955" s="0" t="s">
        <v>454</v>
      </c>
      <c r="DJ955" s="0" t="s">
        <v>455</v>
      </c>
      <c r="DK955" s="0" t="s">
        <v>1181</v>
      </c>
      <c r="DL955" s="0" t="n">
        <v>3.85</v>
      </c>
      <c r="DM955" s="0" t="s">
        <v>675</v>
      </c>
      <c r="DN955" s="0" t="s">
        <v>676</v>
      </c>
      <c r="DO955" s="0" t="n">
        <v>1</v>
      </c>
      <c r="DP955" s="0" t="n">
        <v>13340.05</v>
      </c>
      <c r="DQ955" s="0" t="n">
        <v>13340.05</v>
      </c>
      <c r="DR955" s="0" t="s">
        <v>6433</v>
      </c>
      <c r="EB955" s="0" t="s">
        <v>6434</v>
      </c>
      <c r="EC955" s="0" t="s">
        <v>2798</v>
      </c>
      <c r="ED955" s="0" t="s">
        <v>2799</v>
      </c>
      <c r="EE955" s="0" t="s">
        <v>607</v>
      </c>
      <c r="EF955" s="0" t="s">
        <v>2680</v>
      </c>
      <c r="EG955" s="0" t="n">
        <v>800</v>
      </c>
      <c r="EH955" s="0" t="n">
        <v>820</v>
      </c>
      <c r="EI955" s="0" t="n">
        <v>920</v>
      </c>
      <c r="EJ955" s="0" t="n">
        <v>990</v>
      </c>
    </row>
    <row r="956" customFormat="false" ht="15" hidden="false" customHeight="false" outlineLevel="0" collapsed="false">
      <c r="DG956" s="0" t="s">
        <v>6435</v>
      </c>
      <c r="DH956" s="0" t="s">
        <v>87</v>
      </c>
      <c r="DI956" s="0" t="s">
        <v>466</v>
      </c>
      <c r="DJ956" s="0" t="s">
        <v>467</v>
      </c>
      <c r="DK956" s="0" t="s">
        <v>1181</v>
      </c>
      <c r="DL956" s="0" t="n">
        <v>3.85</v>
      </c>
      <c r="DM956" s="0" t="s">
        <v>675</v>
      </c>
      <c r="DN956" s="0" t="s">
        <v>676</v>
      </c>
      <c r="DO956" s="0" t="n">
        <v>1</v>
      </c>
      <c r="DP956" s="0" t="n">
        <v>13340.05</v>
      </c>
      <c r="DQ956" s="0" t="n">
        <v>13340.05</v>
      </c>
      <c r="DR956" s="0" t="s">
        <v>6436</v>
      </c>
      <c r="EB956" s="0" t="s">
        <v>6437</v>
      </c>
      <c r="EC956" s="0" t="s">
        <v>2798</v>
      </c>
      <c r="EE956" s="0" t="s">
        <v>605</v>
      </c>
    </row>
    <row r="957" customFormat="false" ht="15" hidden="false" customHeight="false" outlineLevel="0" collapsed="false">
      <c r="DG957" s="0" t="s">
        <v>6438</v>
      </c>
      <c r="DH957" s="0" t="s">
        <v>87</v>
      </c>
      <c r="DI957" s="0" t="s">
        <v>496</v>
      </c>
      <c r="DJ957" s="0" t="s">
        <v>497</v>
      </c>
      <c r="DK957" s="0" t="s">
        <v>1181</v>
      </c>
      <c r="DL957" s="0" t="n">
        <v>3.85</v>
      </c>
      <c r="DM957" s="0" t="s">
        <v>675</v>
      </c>
      <c r="DN957" s="0" t="s">
        <v>676</v>
      </c>
      <c r="DO957" s="0" t="n">
        <v>1</v>
      </c>
      <c r="DP957" s="0" t="n">
        <v>23735.05</v>
      </c>
      <c r="DQ957" s="0" t="n">
        <v>23735.05</v>
      </c>
      <c r="DR957" s="0" t="s">
        <v>6439</v>
      </c>
      <c r="EB957" s="0" t="s">
        <v>6440</v>
      </c>
      <c r="EC957" s="0" t="s">
        <v>2798</v>
      </c>
      <c r="ED957" s="0" t="s">
        <v>2799</v>
      </c>
      <c r="EE957" s="0" t="s">
        <v>629</v>
      </c>
      <c r="EF957" s="0" t="s">
        <v>2713</v>
      </c>
      <c r="EG957" s="0" t="n">
        <v>1480</v>
      </c>
      <c r="EH957" s="0" t="n">
        <v>1480</v>
      </c>
      <c r="EI957" s="0" t="n">
        <v>1480</v>
      </c>
      <c r="EJ957" s="0" t="n">
        <v>1480</v>
      </c>
    </row>
    <row r="958" customFormat="false" ht="15" hidden="false" customHeight="false" outlineLevel="0" collapsed="false">
      <c r="DG958" s="0" t="s">
        <v>6441</v>
      </c>
      <c r="DH958" s="0" t="s">
        <v>87</v>
      </c>
      <c r="DI958" s="0" t="s">
        <v>498</v>
      </c>
      <c r="DJ958" s="0" t="s">
        <v>499</v>
      </c>
      <c r="DK958" s="0" t="s">
        <v>1181</v>
      </c>
      <c r="DL958" s="0" t="n">
        <v>3.85</v>
      </c>
      <c r="DM958" s="0" t="s">
        <v>675</v>
      </c>
      <c r="DN958" s="0" t="s">
        <v>676</v>
      </c>
      <c r="DO958" s="0" t="n">
        <v>1</v>
      </c>
      <c r="DP958" s="0" t="n">
        <v>39660</v>
      </c>
      <c r="DQ958" s="0" t="n">
        <v>39660</v>
      </c>
      <c r="DR958" s="0" t="s">
        <v>6442</v>
      </c>
      <c r="EB958" s="0" t="s">
        <v>6443</v>
      </c>
      <c r="EC958" s="0" t="s">
        <v>2798</v>
      </c>
      <c r="EE958" s="0" t="s">
        <v>602</v>
      </c>
    </row>
    <row r="959" customFormat="false" ht="15" hidden="false" customHeight="false" outlineLevel="0" collapsed="false">
      <c r="DG959" s="0" t="s">
        <v>6444</v>
      </c>
      <c r="DH959" s="0" t="s">
        <v>87</v>
      </c>
      <c r="DI959" s="0" t="s">
        <v>500</v>
      </c>
      <c r="DJ959" s="0" t="s">
        <v>501</v>
      </c>
      <c r="DK959" s="0" t="s">
        <v>1181</v>
      </c>
      <c r="DL959" s="0" t="n">
        <v>3.85</v>
      </c>
      <c r="DM959" s="0" t="s">
        <v>675</v>
      </c>
      <c r="DN959" s="0" t="s">
        <v>676</v>
      </c>
      <c r="DO959" s="0" t="n">
        <v>1</v>
      </c>
      <c r="DP959" s="0" t="n">
        <v>39660</v>
      </c>
      <c r="DQ959" s="0" t="n">
        <v>39660</v>
      </c>
      <c r="DR959" s="0" t="s">
        <v>6445</v>
      </c>
      <c r="EB959" s="0" t="s">
        <v>6446</v>
      </c>
      <c r="EC959" s="0" t="s">
        <v>2798</v>
      </c>
      <c r="EE959" s="0" t="s">
        <v>599</v>
      </c>
    </row>
    <row r="960" customFormat="false" ht="15" hidden="false" customHeight="false" outlineLevel="0" collapsed="false">
      <c r="DG960" s="0" t="s">
        <v>6447</v>
      </c>
      <c r="DH960" s="0" t="s">
        <v>87</v>
      </c>
      <c r="DI960" s="0" t="s">
        <v>502</v>
      </c>
      <c r="DJ960" s="0" t="s">
        <v>2035</v>
      </c>
      <c r="DK960" s="0" t="s">
        <v>1181</v>
      </c>
      <c r="DL960" s="0" t="n">
        <v>3.85</v>
      </c>
      <c r="DM960" s="0" t="s">
        <v>675</v>
      </c>
      <c r="DN960" s="0" t="s">
        <v>676</v>
      </c>
      <c r="DO960" s="0" t="n">
        <v>1</v>
      </c>
      <c r="DP960" s="0" t="n">
        <v>39660</v>
      </c>
      <c r="DQ960" s="0" t="n">
        <v>39660</v>
      </c>
      <c r="DR960" s="0" t="s">
        <v>6448</v>
      </c>
      <c r="EB960" s="0" t="s">
        <v>6449</v>
      </c>
      <c r="EC960" s="0" t="s">
        <v>2798</v>
      </c>
      <c r="EE960" s="0" t="s">
        <v>597</v>
      </c>
    </row>
    <row r="961" customFormat="false" ht="15" hidden="false" customHeight="false" outlineLevel="0" collapsed="false">
      <c r="DG961" s="0" t="s">
        <v>6450</v>
      </c>
      <c r="DH961" s="0" t="s">
        <v>87</v>
      </c>
      <c r="DI961" s="0" t="s">
        <v>504</v>
      </c>
      <c r="DJ961" s="0" t="s">
        <v>505</v>
      </c>
      <c r="DK961" s="0" t="s">
        <v>1181</v>
      </c>
      <c r="DL961" s="0" t="n">
        <v>3.85</v>
      </c>
      <c r="DM961" s="0" t="s">
        <v>675</v>
      </c>
      <c r="DN961" s="0" t="s">
        <v>676</v>
      </c>
      <c r="DO961" s="0" t="n">
        <v>1</v>
      </c>
      <c r="DP961" s="0" t="n">
        <v>39660</v>
      </c>
      <c r="DQ961" s="0" t="n">
        <v>39660</v>
      </c>
      <c r="DR961" s="0" t="s">
        <v>6451</v>
      </c>
      <c r="EB961" s="0" t="s">
        <v>6452</v>
      </c>
      <c r="EC961" s="0" t="s">
        <v>2798</v>
      </c>
      <c r="ED961" s="0" t="s">
        <v>2799</v>
      </c>
      <c r="EE961" s="0" t="s">
        <v>2699</v>
      </c>
      <c r="EF961" s="0" t="s">
        <v>2700</v>
      </c>
      <c r="EG961" s="0" t="n">
        <v>45900</v>
      </c>
      <c r="EH961" s="0" t="n">
        <v>45900</v>
      </c>
      <c r="EI961" s="0" t="n">
        <v>45900</v>
      </c>
      <c r="EJ961" s="0" t="n">
        <v>45900</v>
      </c>
    </row>
    <row r="962" customFormat="false" ht="15" hidden="false" customHeight="false" outlineLevel="0" collapsed="false">
      <c r="DG962" s="0" t="s">
        <v>6453</v>
      </c>
      <c r="DH962" s="0" t="s">
        <v>87</v>
      </c>
      <c r="DI962" s="0" t="s">
        <v>506</v>
      </c>
      <c r="DJ962" s="0" t="s">
        <v>507</v>
      </c>
      <c r="DK962" s="0" t="s">
        <v>1181</v>
      </c>
      <c r="DL962" s="0" t="n">
        <v>3.85</v>
      </c>
      <c r="DM962" s="0" t="s">
        <v>675</v>
      </c>
      <c r="DN962" s="0" t="s">
        <v>676</v>
      </c>
      <c r="DO962" s="0" t="n">
        <v>1</v>
      </c>
      <c r="DP962" s="0" t="n">
        <v>23735</v>
      </c>
      <c r="DQ962" s="0" t="n">
        <v>23735</v>
      </c>
      <c r="DR962" s="0" t="s">
        <v>6454</v>
      </c>
      <c r="EB962" s="0" t="s">
        <v>6455</v>
      </c>
      <c r="EC962" s="0" t="s">
        <v>2798</v>
      </c>
      <c r="EE962" s="0" t="s">
        <v>590</v>
      </c>
    </row>
    <row r="963" customFormat="false" ht="15" hidden="false" customHeight="false" outlineLevel="0" collapsed="false">
      <c r="DG963" s="0" t="s">
        <v>6456</v>
      </c>
      <c r="DH963" s="0" t="s">
        <v>87</v>
      </c>
      <c r="DI963" s="0" t="s">
        <v>512</v>
      </c>
      <c r="DJ963" s="0" t="s">
        <v>513</v>
      </c>
      <c r="DK963" s="0" t="s">
        <v>1181</v>
      </c>
      <c r="DL963" s="0" t="n">
        <v>3.85</v>
      </c>
      <c r="DM963" s="0" t="s">
        <v>675</v>
      </c>
      <c r="DN963" s="0" t="s">
        <v>676</v>
      </c>
      <c r="DO963" s="0" t="n">
        <v>1</v>
      </c>
      <c r="DP963" s="0" t="n">
        <v>0.1</v>
      </c>
      <c r="DQ963" s="0" t="n">
        <v>0.1</v>
      </c>
      <c r="DR963" s="0" t="s">
        <v>6457</v>
      </c>
      <c r="EB963" s="0" t="s">
        <v>6458</v>
      </c>
      <c r="EC963" s="0" t="s">
        <v>2798</v>
      </c>
      <c r="ED963" s="0" t="s">
        <v>2799</v>
      </c>
      <c r="EE963" s="0" t="s">
        <v>588</v>
      </c>
      <c r="EF963" s="0" t="s">
        <v>2801</v>
      </c>
      <c r="EG963" s="0" t="n">
        <v>500</v>
      </c>
      <c r="EH963" s="0" t="n">
        <v>570</v>
      </c>
      <c r="EI963" s="0" t="n">
        <v>640</v>
      </c>
      <c r="EJ963" s="0" t="n">
        <v>690</v>
      </c>
    </row>
    <row r="964" customFormat="false" ht="15" hidden="false" customHeight="false" outlineLevel="0" collapsed="false">
      <c r="DG964" s="0" t="s">
        <v>6459</v>
      </c>
      <c r="DH964" s="0" t="s">
        <v>87</v>
      </c>
      <c r="DI964" s="0" t="s">
        <v>510</v>
      </c>
      <c r="DJ964" s="0" t="s">
        <v>2037</v>
      </c>
      <c r="DK964" s="0" t="s">
        <v>1181</v>
      </c>
      <c r="DL964" s="0" t="n">
        <v>3.85</v>
      </c>
      <c r="DM964" s="0" t="s">
        <v>675</v>
      </c>
      <c r="DN964" s="0" t="s">
        <v>676</v>
      </c>
      <c r="DO964" s="0" t="n">
        <v>1</v>
      </c>
      <c r="DP964" s="0" t="n">
        <v>0.02</v>
      </c>
      <c r="DQ964" s="0" t="n">
        <v>0.02</v>
      </c>
      <c r="DR964" s="0" t="s">
        <v>6460</v>
      </c>
      <c r="EB964" s="0" t="s">
        <v>6461</v>
      </c>
      <c r="EC964" s="0" t="s">
        <v>2798</v>
      </c>
      <c r="ED964" s="0" t="s">
        <v>2799</v>
      </c>
      <c r="EE964" s="0" t="s">
        <v>586</v>
      </c>
      <c r="EF964" s="0" t="s">
        <v>2815</v>
      </c>
      <c r="EG964" s="0" t="n">
        <v>8850</v>
      </c>
      <c r="EH964" s="0" t="n">
        <v>10180</v>
      </c>
      <c r="EI964" s="0" t="n">
        <v>11500</v>
      </c>
      <c r="EJ964" s="0" t="n">
        <v>12390</v>
      </c>
    </row>
    <row r="965" customFormat="false" ht="15" hidden="false" customHeight="false" outlineLevel="0" collapsed="false">
      <c r="DG965" s="0" t="s">
        <v>6462</v>
      </c>
      <c r="DH965" s="0" t="s">
        <v>87</v>
      </c>
      <c r="DI965" s="0" t="s">
        <v>460</v>
      </c>
      <c r="DJ965" s="0" t="s">
        <v>461</v>
      </c>
      <c r="DK965" s="0" t="s">
        <v>1181</v>
      </c>
      <c r="DL965" s="0" t="n">
        <v>3.85</v>
      </c>
      <c r="DM965" s="0" t="s">
        <v>675</v>
      </c>
      <c r="DN965" s="0" t="s">
        <v>676</v>
      </c>
      <c r="DO965" s="0" t="n">
        <v>1</v>
      </c>
      <c r="DP965" s="0" t="n">
        <v>13340</v>
      </c>
      <c r="DQ965" s="0" t="n">
        <v>13340</v>
      </c>
      <c r="DR965" s="0" t="s">
        <v>6463</v>
      </c>
      <c r="EB965" s="0" t="s">
        <v>6464</v>
      </c>
      <c r="EC965" s="0" t="s">
        <v>2798</v>
      </c>
      <c r="EE965" s="0" t="s">
        <v>584</v>
      </c>
    </row>
    <row r="966" customFormat="false" ht="15" hidden="false" customHeight="false" outlineLevel="0" collapsed="false">
      <c r="DG966" s="0" t="s">
        <v>6465</v>
      </c>
      <c r="DH966" s="0" t="s">
        <v>87</v>
      </c>
      <c r="DI966" s="0" t="s">
        <v>462</v>
      </c>
      <c r="DJ966" s="0" t="s">
        <v>463</v>
      </c>
      <c r="DK966" s="0" t="s">
        <v>1181</v>
      </c>
      <c r="DL966" s="0" t="n">
        <v>3.85</v>
      </c>
      <c r="DM966" s="0" t="s">
        <v>675</v>
      </c>
      <c r="DN966" s="0" t="s">
        <v>676</v>
      </c>
      <c r="DO966" s="0" t="n">
        <v>1</v>
      </c>
      <c r="DP966" s="0" t="n">
        <v>13340.05</v>
      </c>
      <c r="DQ966" s="0" t="n">
        <v>13340.05</v>
      </c>
      <c r="DR966" s="0" t="s">
        <v>6466</v>
      </c>
      <c r="EB966" s="0" t="s">
        <v>6467</v>
      </c>
      <c r="EC966" s="0" t="s">
        <v>2798</v>
      </c>
      <c r="ED966" s="0" t="s">
        <v>2799</v>
      </c>
      <c r="EE966" s="0" t="s">
        <v>330</v>
      </c>
      <c r="EF966" s="0" t="s">
        <v>331</v>
      </c>
      <c r="EG966" s="0" t="n">
        <v>1030</v>
      </c>
      <c r="EH966" s="0" t="n">
        <v>1180</v>
      </c>
      <c r="EI966" s="0" t="n">
        <v>1340</v>
      </c>
      <c r="EJ966" s="0" t="n">
        <v>1440</v>
      </c>
    </row>
    <row r="967" customFormat="false" ht="15" hidden="false" customHeight="false" outlineLevel="0" collapsed="false">
      <c r="DG967" s="0" t="s">
        <v>6468</v>
      </c>
      <c r="DH967" s="0" t="s">
        <v>87</v>
      </c>
      <c r="DJ967" s="0" t="s">
        <v>1265</v>
      </c>
      <c r="DK967" s="0" t="s">
        <v>705</v>
      </c>
      <c r="DL967" s="0" t="n">
        <v>3.85</v>
      </c>
      <c r="DM967" s="0" t="s">
        <v>675</v>
      </c>
      <c r="DN967" s="0" t="s">
        <v>675</v>
      </c>
      <c r="DO967" s="0" t="n">
        <v>0</v>
      </c>
      <c r="DP967" s="0" t="n">
        <v>0</v>
      </c>
      <c r="DQ967" s="0" t="n">
        <v>0</v>
      </c>
      <c r="DR967" s="0" t="s">
        <v>5573</v>
      </c>
      <c r="EB967" s="0" t="s">
        <v>6469</v>
      </c>
      <c r="EC967" s="0" t="s">
        <v>2798</v>
      </c>
      <c r="ED967" s="0" t="s">
        <v>2799</v>
      </c>
      <c r="EE967" s="0" t="s">
        <v>334</v>
      </c>
      <c r="EF967" s="0" t="s">
        <v>335</v>
      </c>
      <c r="EG967" s="0" t="n">
        <v>550</v>
      </c>
      <c r="EH967" s="0" t="n">
        <v>630</v>
      </c>
      <c r="EI967" s="0" t="n">
        <v>720</v>
      </c>
      <c r="EJ967" s="0" t="n">
        <v>770</v>
      </c>
    </row>
    <row r="968" customFormat="false" ht="15" hidden="false" customHeight="false" outlineLevel="0" collapsed="false">
      <c r="DG968" s="0" t="s">
        <v>6470</v>
      </c>
      <c r="DH968" s="0" t="s">
        <v>87</v>
      </c>
      <c r="DJ968" s="0" t="s">
        <v>2038</v>
      </c>
      <c r="DK968" s="0" t="s">
        <v>705</v>
      </c>
      <c r="DL968" s="0" t="n">
        <v>3.85</v>
      </c>
      <c r="DM968" s="0" t="s">
        <v>675</v>
      </c>
      <c r="DN968" s="0" t="s">
        <v>675</v>
      </c>
      <c r="DO968" s="0" t="n">
        <v>0</v>
      </c>
      <c r="DP968" s="0" t="n">
        <v>0</v>
      </c>
      <c r="DQ968" s="0" t="n">
        <v>0</v>
      </c>
      <c r="DR968" s="0" t="s">
        <v>6471</v>
      </c>
      <c r="EB968" s="0" t="s">
        <v>6472</v>
      </c>
      <c r="EC968" s="0" t="s">
        <v>2798</v>
      </c>
      <c r="EE968" s="0" t="s">
        <v>582</v>
      </c>
    </row>
    <row r="969" customFormat="false" ht="15" hidden="false" customHeight="false" outlineLevel="0" collapsed="false">
      <c r="DG969" s="0" t="s">
        <v>6473</v>
      </c>
      <c r="DH969" s="0" t="s">
        <v>87</v>
      </c>
      <c r="DJ969" s="0" t="s">
        <v>1017</v>
      </c>
      <c r="DK969" s="0" t="s">
        <v>705</v>
      </c>
      <c r="DL969" s="0" t="n">
        <v>3.85</v>
      </c>
      <c r="DM969" s="0" t="s">
        <v>675</v>
      </c>
      <c r="DN969" s="0" t="s">
        <v>675</v>
      </c>
      <c r="DO969" s="0" t="n">
        <v>0</v>
      </c>
      <c r="DP969" s="0" t="n">
        <v>0</v>
      </c>
      <c r="DQ969" s="0" t="n">
        <v>0</v>
      </c>
      <c r="DR969" s="0" t="s">
        <v>5375</v>
      </c>
      <c r="EB969" s="0" t="s">
        <v>6474</v>
      </c>
      <c r="EC969" s="0" t="s">
        <v>2798</v>
      </c>
      <c r="ED969" s="0" t="s">
        <v>2799</v>
      </c>
      <c r="EE969" s="0" t="s">
        <v>579</v>
      </c>
      <c r="EF969" s="0" t="s">
        <v>2889</v>
      </c>
      <c r="EG969" s="0" t="n">
        <v>1510</v>
      </c>
      <c r="EH969" s="0" t="n">
        <v>1510</v>
      </c>
      <c r="EI969" s="0" t="n">
        <v>1510</v>
      </c>
      <c r="EJ969" s="0" t="n">
        <v>1510</v>
      </c>
    </row>
    <row r="970" customFormat="false" ht="15" hidden="false" customHeight="false" outlineLevel="0" collapsed="false">
      <c r="DG970" s="0" t="s">
        <v>6475</v>
      </c>
      <c r="DH970" s="0" t="s">
        <v>87</v>
      </c>
      <c r="DJ970" s="0" t="s">
        <v>713</v>
      </c>
      <c r="DK970" s="0" t="s">
        <v>705</v>
      </c>
      <c r="DL970" s="0" t="n">
        <v>3.85</v>
      </c>
      <c r="DM970" s="0" t="s">
        <v>675</v>
      </c>
      <c r="DN970" s="0" t="s">
        <v>675</v>
      </c>
      <c r="DO970" s="0" t="n">
        <v>0</v>
      </c>
      <c r="DP970" s="0" t="n">
        <v>0</v>
      </c>
      <c r="DQ970" s="0" t="n">
        <v>0</v>
      </c>
      <c r="DR970" s="0" t="s">
        <v>5190</v>
      </c>
      <c r="EB970" s="0" t="s">
        <v>6476</v>
      </c>
      <c r="EC970" s="0" t="s">
        <v>2798</v>
      </c>
      <c r="ED970" s="0" t="s">
        <v>2799</v>
      </c>
      <c r="EE970" s="0" t="s">
        <v>575</v>
      </c>
      <c r="EF970" s="0" t="s">
        <v>573</v>
      </c>
      <c r="EG970" s="0" t="n">
        <v>1400</v>
      </c>
      <c r="EH970" s="0" t="n">
        <v>1440</v>
      </c>
      <c r="EI970" s="0" t="n">
        <v>1630</v>
      </c>
      <c r="EJ970" s="0" t="n">
        <v>1750</v>
      </c>
    </row>
    <row r="971" customFormat="false" ht="15" hidden="false" customHeight="false" outlineLevel="0" collapsed="false">
      <c r="DG971" s="0" t="s">
        <v>6477</v>
      </c>
      <c r="DH971" s="0" t="s">
        <v>87</v>
      </c>
      <c r="DJ971" s="0" t="s">
        <v>1523</v>
      </c>
      <c r="DK971" s="0" t="s">
        <v>705</v>
      </c>
      <c r="DL971" s="0" t="n">
        <v>3.85</v>
      </c>
      <c r="DM971" s="0" t="s">
        <v>675</v>
      </c>
      <c r="DN971" s="0" t="s">
        <v>675</v>
      </c>
      <c r="DO971" s="0" t="n">
        <v>0</v>
      </c>
      <c r="DP971" s="0" t="n">
        <v>0</v>
      </c>
      <c r="DQ971" s="0" t="n">
        <v>0</v>
      </c>
      <c r="DR971" s="0" t="s">
        <v>5805</v>
      </c>
      <c r="EB971" s="0" t="s">
        <v>6478</v>
      </c>
      <c r="EC971" s="0" t="s">
        <v>2798</v>
      </c>
      <c r="ED971" s="0" t="s">
        <v>2799</v>
      </c>
      <c r="EE971" s="0" t="s">
        <v>2917</v>
      </c>
      <c r="EF971" s="0" t="s">
        <v>4761</v>
      </c>
      <c r="EG971" s="0" t="n">
        <v>2950</v>
      </c>
      <c r="EH971" s="0" t="n">
        <v>2950</v>
      </c>
      <c r="EI971" s="0" t="n">
        <v>2950</v>
      </c>
      <c r="EJ971" s="0" t="n">
        <v>2950</v>
      </c>
    </row>
    <row r="972" customFormat="false" ht="15" hidden="false" customHeight="false" outlineLevel="0" collapsed="false">
      <c r="DG972" s="0" t="s">
        <v>6479</v>
      </c>
      <c r="DH972" s="0" t="s">
        <v>87</v>
      </c>
      <c r="DJ972" s="0" t="s">
        <v>1152</v>
      </c>
      <c r="DK972" s="0" t="s">
        <v>705</v>
      </c>
      <c r="DL972" s="0" t="n">
        <v>3.85</v>
      </c>
      <c r="DM972" s="0" t="s">
        <v>675</v>
      </c>
      <c r="DN972" s="0" t="s">
        <v>675</v>
      </c>
      <c r="DO972" s="0" t="n">
        <v>0</v>
      </c>
      <c r="DP972" s="0" t="n">
        <v>0</v>
      </c>
      <c r="DQ972" s="0" t="n">
        <v>0</v>
      </c>
      <c r="DR972" s="0" t="s">
        <v>5476</v>
      </c>
      <c r="EB972" s="0" t="s">
        <v>6480</v>
      </c>
      <c r="EC972" s="0" t="s">
        <v>2798</v>
      </c>
      <c r="ED972" s="0" t="s">
        <v>2799</v>
      </c>
      <c r="EE972" s="0" t="s">
        <v>2932</v>
      </c>
      <c r="EF972" s="0" t="s">
        <v>3383</v>
      </c>
      <c r="EG972" s="0" t="n">
        <v>5950</v>
      </c>
      <c r="EH972" s="0" t="n">
        <v>5950</v>
      </c>
      <c r="EI972" s="0" t="n">
        <v>5950</v>
      </c>
      <c r="EJ972" s="0" t="n">
        <v>5950</v>
      </c>
    </row>
    <row r="973" customFormat="false" ht="15" hidden="false" customHeight="false" outlineLevel="0" collapsed="false">
      <c r="DG973" s="0" t="s">
        <v>6481</v>
      </c>
      <c r="DH973" s="0" t="s">
        <v>87</v>
      </c>
      <c r="DJ973" s="0" t="s">
        <v>1722</v>
      </c>
      <c r="DK973" s="0" t="s">
        <v>705</v>
      </c>
      <c r="DL973" s="0" t="n">
        <v>3.85</v>
      </c>
      <c r="DM973" s="0" t="s">
        <v>675</v>
      </c>
      <c r="DN973" s="0" t="s">
        <v>675</v>
      </c>
      <c r="DO973" s="0" t="n">
        <v>0</v>
      </c>
      <c r="DP973" s="0" t="n">
        <v>0</v>
      </c>
      <c r="DQ973" s="0" t="n">
        <v>0</v>
      </c>
      <c r="DR973" s="0" t="s">
        <v>6008</v>
      </c>
      <c r="EB973" s="0" t="s">
        <v>6482</v>
      </c>
      <c r="EC973" s="0" t="s">
        <v>2798</v>
      </c>
      <c r="ED973" s="0" t="s">
        <v>2799</v>
      </c>
      <c r="EE973" s="0" t="s">
        <v>2946</v>
      </c>
      <c r="EF973" s="0" t="s">
        <v>4768</v>
      </c>
      <c r="EG973" s="0" t="n">
        <v>9000</v>
      </c>
      <c r="EH973" s="0" t="n">
        <v>9000</v>
      </c>
      <c r="EI973" s="0" t="n">
        <v>9000</v>
      </c>
      <c r="EJ973" s="0" t="n">
        <v>9000</v>
      </c>
    </row>
    <row r="974" customFormat="false" ht="15" hidden="false" customHeight="false" outlineLevel="0" collapsed="false">
      <c r="DG974" s="0" t="s">
        <v>6483</v>
      </c>
      <c r="DH974" s="0" t="s">
        <v>87</v>
      </c>
      <c r="DJ974" s="0" t="s">
        <v>2039</v>
      </c>
      <c r="DK974" s="0" t="s">
        <v>705</v>
      </c>
      <c r="DL974" s="0" t="n">
        <v>3.85</v>
      </c>
      <c r="DM974" s="0" t="s">
        <v>675</v>
      </c>
      <c r="DN974" s="0" t="s">
        <v>675</v>
      </c>
      <c r="DO974" s="0" t="n">
        <v>0</v>
      </c>
      <c r="DP974" s="0" t="n">
        <v>0</v>
      </c>
      <c r="DQ974" s="0" t="n">
        <v>0</v>
      </c>
      <c r="DR974" s="0" t="s">
        <v>6484</v>
      </c>
      <c r="EB974" s="0" t="s">
        <v>6485</v>
      </c>
      <c r="EC974" s="0" t="s">
        <v>2798</v>
      </c>
      <c r="EE974" s="0" t="s">
        <v>567</v>
      </c>
    </row>
    <row r="975" customFormat="false" ht="15" hidden="false" customHeight="false" outlineLevel="0" collapsed="false">
      <c r="DG975" s="0" t="s">
        <v>6486</v>
      </c>
      <c r="DH975" s="0" t="s">
        <v>87</v>
      </c>
      <c r="DJ975" s="0" t="s">
        <v>726</v>
      </c>
      <c r="DK975" s="0" t="s">
        <v>705</v>
      </c>
      <c r="DL975" s="0" t="n">
        <v>3.85</v>
      </c>
      <c r="DM975" s="0" t="s">
        <v>675</v>
      </c>
      <c r="DN975" s="0" t="s">
        <v>675</v>
      </c>
      <c r="DO975" s="0" t="n">
        <v>0</v>
      </c>
      <c r="DP975" s="0" t="n">
        <v>0</v>
      </c>
      <c r="DQ975" s="0" t="n">
        <v>0</v>
      </c>
      <c r="DR975" s="0" t="s">
        <v>5199</v>
      </c>
      <c r="EB975" s="0" t="s">
        <v>6487</v>
      </c>
      <c r="EC975" s="0" t="s">
        <v>2798</v>
      </c>
      <c r="ED975" s="0" t="s">
        <v>2799</v>
      </c>
      <c r="EE975" s="0" t="s">
        <v>569</v>
      </c>
      <c r="EF975" s="0" t="s">
        <v>4775</v>
      </c>
      <c r="EG975" s="0" t="n">
        <v>17000</v>
      </c>
      <c r="EH975" s="0" t="n">
        <v>17000</v>
      </c>
      <c r="EI975" s="0" t="n">
        <v>17000</v>
      </c>
      <c r="EJ975" s="0" t="n">
        <v>17000</v>
      </c>
    </row>
    <row r="976" customFormat="false" ht="15" hidden="false" customHeight="false" outlineLevel="0" collapsed="false">
      <c r="DG976" s="0" t="s">
        <v>6488</v>
      </c>
      <c r="DH976" s="0" t="s">
        <v>87</v>
      </c>
      <c r="DJ976" s="0" t="s">
        <v>864</v>
      </c>
      <c r="DK976" s="0" t="s">
        <v>705</v>
      </c>
      <c r="DL976" s="0" t="n">
        <v>3.85</v>
      </c>
      <c r="DM976" s="0" t="s">
        <v>675</v>
      </c>
      <c r="DN976" s="0" t="s">
        <v>675</v>
      </c>
      <c r="DO976" s="0" t="n">
        <v>0</v>
      </c>
      <c r="DP976" s="0" t="n">
        <v>0</v>
      </c>
      <c r="DQ976" s="0" t="n">
        <v>0</v>
      </c>
      <c r="DR976" s="0" t="s">
        <v>5277</v>
      </c>
      <c r="EB976" s="0" t="s">
        <v>6489</v>
      </c>
      <c r="EC976" s="0" t="s">
        <v>2798</v>
      </c>
      <c r="ED976" s="0" t="s">
        <v>2799</v>
      </c>
      <c r="EE976" s="0" t="s">
        <v>562</v>
      </c>
      <c r="EF976" s="0" t="s">
        <v>2986</v>
      </c>
      <c r="EG976" s="0" t="n">
        <v>1</v>
      </c>
      <c r="EH976" s="0" t="n">
        <v>1</v>
      </c>
      <c r="EI976" s="0" t="n">
        <v>1</v>
      </c>
      <c r="EJ976" s="0" t="n">
        <v>1</v>
      </c>
    </row>
    <row r="977" customFormat="false" ht="15" hidden="false" customHeight="false" outlineLevel="0" collapsed="false">
      <c r="DG977" s="0" t="s">
        <v>6490</v>
      </c>
      <c r="DH977" s="0" t="s">
        <v>87</v>
      </c>
      <c r="DJ977" s="0" t="s">
        <v>1455</v>
      </c>
      <c r="DK977" s="0" t="s">
        <v>705</v>
      </c>
      <c r="DL977" s="0" t="n">
        <v>3.85</v>
      </c>
      <c r="DM977" s="0" t="s">
        <v>675</v>
      </c>
      <c r="DN977" s="0" t="s">
        <v>675</v>
      </c>
      <c r="DO977" s="0" t="n">
        <v>0</v>
      </c>
      <c r="DP977" s="0" t="n">
        <v>0</v>
      </c>
      <c r="DQ977" s="0" t="n">
        <v>0</v>
      </c>
      <c r="DR977" s="0" t="s">
        <v>5734</v>
      </c>
      <c r="EB977" s="0" t="s">
        <v>6491</v>
      </c>
      <c r="EC977" s="0" t="s">
        <v>2798</v>
      </c>
      <c r="ED977" s="0" t="s">
        <v>2799</v>
      </c>
      <c r="EE977" s="0" t="s">
        <v>557</v>
      </c>
      <c r="EF977" s="0" t="s">
        <v>4782</v>
      </c>
      <c r="EG977" s="0" t="n">
        <v>1440</v>
      </c>
      <c r="EH977" s="0" t="n">
        <v>1440</v>
      </c>
      <c r="EI977" s="0" t="n">
        <v>1440</v>
      </c>
      <c r="EJ977" s="0" t="n">
        <v>1440</v>
      </c>
    </row>
    <row r="978" customFormat="false" ht="15" hidden="false" customHeight="false" outlineLevel="0" collapsed="false">
      <c r="DG978" s="0" t="s">
        <v>6492</v>
      </c>
      <c r="DH978" s="0" t="s">
        <v>87</v>
      </c>
      <c r="DI978" s="0" t="s">
        <v>2040</v>
      </c>
      <c r="DJ978" s="0" t="s">
        <v>2041</v>
      </c>
      <c r="DK978" s="0" t="s">
        <v>705</v>
      </c>
      <c r="DL978" s="0" t="n">
        <v>3.85</v>
      </c>
      <c r="DM978" s="0" t="s">
        <v>675</v>
      </c>
      <c r="DN978" s="0" t="s">
        <v>676</v>
      </c>
      <c r="DO978" s="0" t="n">
        <v>1</v>
      </c>
      <c r="DP978" s="0" t="n">
        <v>818</v>
      </c>
      <c r="DQ978" s="0" t="n">
        <v>818</v>
      </c>
      <c r="DR978" s="0" t="s">
        <v>6493</v>
      </c>
      <c r="EB978" s="0" t="s">
        <v>6494</v>
      </c>
      <c r="EC978" s="0" t="s">
        <v>2798</v>
      </c>
      <c r="ED978" s="0" t="s">
        <v>2799</v>
      </c>
      <c r="EE978" s="0" t="s">
        <v>290</v>
      </c>
      <c r="EF978" s="0" t="s">
        <v>289</v>
      </c>
      <c r="EG978" s="0" t="n">
        <v>390</v>
      </c>
      <c r="EH978" s="0" t="n">
        <v>440</v>
      </c>
      <c r="EI978" s="0" t="n">
        <v>500</v>
      </c>
      <c r="EJ978" s="0" t="n">
        <v>540</v>
      </c>
    </row>
    <row r="979" customFormat="false" ht="15" hidden="false" customHeight="false" outlineLevel="0" collapsed="false">
      <c r="DG979" s="0" t="s">
        <v>6495</v>
      </c>
      <c r="DH979" s="0" t="s">
        <v>87</v>
      </c>
      <c r="DI979" s="0" t="s">
        <v>2043</v>
      </c>
      <c r="DJ979" s="0" t="s">
        <v>2044</v>
      </c>
      <c r="DK979" s="0" t="s">
        <v>705</v>
      </c>
      <c r="DL979" s="0" t="n">
        <v>3.85</v>
      </c>
      <c r="DM979" s="0" t="s">
        <v>675</v>
      </c>
      <c r="DN979" s="0" t="s">
        <v>676</v>
      </c>
      <c r="DO979" s="0" t="n">
        <v>2</v>
      </c>
      <c r="DP979" s="0" t="n">
        <v>1629.38</v>
      </c>
      <c r="DQ979" s="0" t="n">
        <v>1629.38</v>
      </c>
      <c r="DR979" s="0" t="s">
        <v>6496</v>
      </c>
      <c r="EB979" s="0" t="s">
        <v>6497</v>
      </c>
      <c r="EC979" s="0" t="s">
        <v>2798</v>
      </c>
      <c r="ED979" s="0" t="s">
        <v>2799</v>
      </c>
      <c r="EE979" s="0" t="s">
        <v>275</v>
      </c>
      <c r="EF979" s="0" t="s">
        <v>6498</v>
      </c>
      <c r="EG979" s="0" t="n">
        <v>1320</v>
      </c>
      <c r="EH979" s="0" t="n">
        <v>1520</v>
      </c>
      <c r="EI979" s="0" t="n">
        <v>1720</v>
      </c>
      <c r="EJ979" s="0" t="n">
        <v>1850</v>
      </c>
    </row>
    <row r="980" customFormat="false" ht="15" hidden="false" customHeight="false" outlineLevel="0" collapsed="false">
      <c r="DG980" s="0" t="s">
        <v>6499</v>
      </c>
      <c r="DH980" s="0" t="s">
        <v>87</v>
      </c>
      <c r="DI980" s="0" t="s">
        <v>2047</v>
      </c>
      <c r="DJ980" s="0" t="s">
        <v>2048</v>
      </c>
      <c r="DK980" s="0" t="s">
        <v>705</v>
      </c>
      <c r="DL980" s="0" t="n">
        <v>3.85</v>
      </c>
      <c r="DM980" s="0" t="s">
        <v>675</v>
      </c>
      <c r="DN980" s="0" t="s">
        <v>676</v>
      </c>
      <c r="DO980" s="0" t="n">
        <v>1</v>
      </c>
      <c r="DP980" s="0" t="n">
        <v>2952</v>
      </c>
      <c r="DQ980" s="0" t="n">
        <v>2952</v>
      </c>
      <c r="DR980" s="0" t="s">
        <v>6500</v>
      </c>
      <c r="EB980" s="0" t="s">
        <v>6501</v>
      </c>
      <c r="EC980" s="0" t="s">
        <v>2798</v>
      </c>
      <c r="EE980" s="0" t="s">
        <v>298</v>
      </c>
    </row>
    <row r="981" customFormat="false" ht="15" hidden="false" customHeight="false" outlineLevel="0" collapsed="false">
      <c r="DG981" s="0" t="s">
        <v>6502</v>
      </c>
      <c r="DH981" s="0" t="s">
        <v>87</v>
      </c>
      <c r="DI981" s="0" t="s">
        <v>2050</v>
      </c>
      <c r="DJ981" s="0" t="s">
        <v>2051</v>
      </c>
      <c r="DK981" s="0" t="s">
        <v>705</v>
      </c>
      <c r="DL981" s="0" t="n">
        <v>3.85</v>
      </c>
      <c r="DM981" s="0" t="s">
        <v>675</v>
      </c>
      <c r="DN981" s="0" t="s">
        <v>676</v>
      </c>
      <c r="DO981" s="0" t="n">
        <v>3</v>
      </c>
      <c r="DP981" s="0" t="n">
        <v>2160</v>
      </c>
      <c r="DQ981" s="0" t="n">
        <v>2160</v>
      </c>
      <c r="DR981" s="0" t="s">
        <v>6503</v>
      </c>
      <c r="EB981" s="0" t="s">
        <v>6504</v>
      </c>
      <c r="EC981" s="0" t="s">
        <v>2798</v>
      </c>
      <c r="ED981" s="0" t="s">
        <v>2799</v>
      </c>
      <c r="EE981" s="0" t="s">
        <v>286</v>
      </c>
      <c r="EF981" s="0" t="s">
        <v>284</v>
      </c>
      <c r="EG981" s="0" t="n">
        <v>720</v>
      </c>
      <c r="EH981" s="0" t="n">
        <v>830</v>
      </c>
      <c r="EI981" s="0" t="n">
        <v>940</v>
      </c>
      <c r="EJ981" s="0" t="n">
        <v>1010</v>
      </c>
    </row>
    <row r="982" customFormat="false" ht="15" hidden="false" customHeight="false" outlineLevel="0" collapsed="false">
      <c r="DG982" s="0" t="s">
        <v>6505</v>
      </c>
      <c r="DH982" s="0" t="s">
        <v>87</v>
      </c>
      <c r="DI982" s="0" t="s">
        <v>2054</v>
      </c>
      <c r="DJ982" s="0" t="s">
        <v>2055</v>
      </c>
      <c r="DK982" s="0" t="s">
        <v>705</v>
      </c>
      <c r="DL982" s="0" t="n">
        <v>3.85</v>
      </c>
      <c r="DM982" s="0" t="s">
        <v>675</v>
      </c>
      <c r="DN982" s="0" t="s">
        <v>676</v>
      </c>
      <c r="DO982" s="0" t="n">
        <v>3</v>
      </c>
      <c r="DP982" s="0" t="n">
        <v>1156.02</v>
      </c>
      <c r="DQ982" s="0" t="n">
        <v>1156.02</v>
      </c>
      <c r="DR982" s="0" t="s">
        <v>6506</v>
      </c>
      <c r="EB982" s="0" t="s">
        <v>6507</v>
      </c>
      <c r="EC982" s="0" t="s">
        <v>2798</v>
      </c>
      <c r="ED982" s="0" t="s">
        <v>2799</v>
      </c>
      <c r="EE982" s="0" t="s">
        <v>272</v>
      </c>
      <c r="EF982" s="0" t="s">
        <v>270</v>
      </c>
      <c r="EG982" s="0" t="n">
        <v>2110</v>
      </c>
      <c r="EH982" s="0" t="n">
        <v>2300</v>
      </c>
      <c r="EI982" s="0" t="n">
        <v>2600</v>
      </c>
      <c r="EJ982" s="0" t="n">
        <v>2800</v>
      </c>
    </row>
    <row r="983" customFormat="false" ht="15" hidden="false" customHeight="false" outlineLevel="0" collapsed="false">
      <c r="DG983" s="0" t="s">
        <v>6508</v>
      </c>
      <c r="DH983" s="0" t="s">
        <v>87</v>
      </c>
      <c r="DI983" s="0" t="s">
        <v>2058</v>
      </c>
      <c r="DJ983" s="0" t="s">
        <v>2059</v>
      </c>
      <c r="DK983" s="0" t="s">
        <v>705</v>
      </c>
      <c r="DL983" s="0" t="n">
        <v>3.85</v>
      </c>
      <c r="DM983" s="0" t="s">
        <v>676</v>
      </c>
      <c r="DN983" s="0" t="s">
        <v>675</v>
      </c>
      <c r="DO983" s="0" t="n">
        <v>0</v>
      </c>
      <c r="DP983" s="0" t="n">
        <v>0</v>
      </c>
      <c r="DQ983" s="0" t="n">
        <v>2.81</v>
      </c>
      <c r="DR983" s="0" t="s">
        <v>6509</v>
      </c>
      <c r="EB983" s="0" t="s">
        <v>6510</v>
      </c>
      <c r="EC983" s="0" t="s">
        <v>2798</v>
      </c>
      <c r="ED983" s="0" t="s">
        <v>2799</v>
      </c>
      <c r="EE983" s="0" t="s">
        <v>283</v>
      </c>
      <c r="EF983" s="0" t="s">
        <v>281</v>
      </c>
      <c r="EG983" s="0" t="n">
        <v>430</v>
      </c>
      <c r="EH983" s="0" t="n">
        <v>490</v>
      </c>
      <c r="EI983" s="0" t="n">
        <v>560</v>
      </c>
      <c r="EJ983" s="0" t="n">
        <v>600</v>
      </c>
    </row>
    <row r="984" customFormat="false" ht="15" hidden="false" customHeight="false" outlineLevel="0" collapsed="false">
      <c r="DG984" s="0" t="s">
        <v>6511</v>
      </c>
      <c r="DH984" s="0" t="s">
        <v>87</v>
      </c>
      <c r="DI984" s="0" t="s">
        <v>2061</v>
      </c>
      <c r="DJ984" s="0" t="s">
        <v>2062</v>
      </c>
      <c r="DK984" s="0" t="s">
        <v>705</v>
      </c>
      <c r="DL984" s="0" t="n">
        <v>3.85</v>
      </c>
      <c r="DM984" s="0" t="s">
        <v>675</v>
      </c>
      <c r="DN984" s="0" t="s">
        <v>676</v>
      </c>
      <c r="DO984" s="0" t="n">
        <v>2</v>
      </c>
      <c r="DP984" s="0" t="n">
        <v>240</v>
      </c>
      <c r="DQ984" s="0" t="n">
        <v>240</v>
      </c>
      <c r="DR984" s="0" t="s">
        <v>6512</v>
      </c>
      <c r="EB984" s="0" t="s">
        <v>6513</v>
      </c>
      <c r="EC984" s="0" t="s">
        <v>2798</v>
      </c>
      <c r="ED984" s="0" t="s">
        <v>2799</v>
      </c>
      <c r="EE984" s="0" t="s">
        <v>267</v>
      </c>
      <c r="EF984" s="0" t="s">
        <v>265</v>
      </c>
      <c r="EG984" s="0" t="n">
        <v>3160</v>
      </c>
      <c r="EH984" s="0" t="n">
        <v>3630</v>
      </c>
      <c r="EI984" s="0" t="n">
        <v>4110</v>
      </c>
      <c r="EJ984" s="0" t="n">
        <v>4420</v>
      </c>
    </row>
    <row r="985" customFormat="false" ht="15" hidden="false" customHeight="false" outlineLevel="0" collapsed="false">
      <c r="DG985" s="0" t="s">
        <v>6514</v>
      </c>
      <c r="DH985" s="0" t="s">
        <v>87</v>
      </c>
      <c r="DI985" s="0" t="s">
        <v>2064</v>
      </c>
      <c r="DJ985" s="0" t="s">
        <v>2065</v>
      </c>
      <c r="DK985" s="0" t="s">
        <v>705</v>
      </c>
      <c r="DL985" s="0" t="n">
        <v>3.85</v>
      </c>
      <c r="DM985" s="0" t="s">
        <v>675</v>
      </c>
      <c r="DN985" s="0" t="s">
        <v>676</v>
      </c>
      <c r="DO985" s="0" t="n">
        <v>2</v>
      </c>
      <c r="DP985" s="0" t="n">
        <v>638</v>
      </c>
      <c r="DQ985" s="0" t="n">
        <v>638</v>
      </c>
      <c r="DR985" s="0" t="s">
        <v>6515</v>
      </c>
      <c r="EB985" s="0" t="s">
        <v>6516</v>
      </c>
      <c r="EC985" s="0" t="s">
        <v>2798</v>
      </c>
      <c r="ED985" s="0" t="s">
        <v>2799</v>
      </c>
      <c r="EE985" s="0" t="s">
        <v>258</v>
      </c>
      <c r="EF985" s="0" t="s">
        <v>256</v>
      </c>
      <c r="EG985" s="0" t="n">
        <v>4200</v>
      </c>
      <c r="EH985" s="0" t="n">
        <v>4830</v>
      </c>
      <c r="EI985" s="0" t="n">
        <v>5460</v>
      </c>
      <c r="EJ985" s="0" t="n">
        <v>5880</v>
      </c>
    </row>
    <row r="986" customFormat="false" ht="15" hidden="false" customHeight="false" outlineLevel="0" collapsed="false">
      <c r="DG986" s="0" t="s">
        <v>6517</v>
      </c>
      <c r="DH986" s="0" t="s">
        <v>87</v>
      </c>
      <c r="DI986" s="0" t="s">
        <v>2068</v>
      </c>
      <c r="DJ986" s="0" t="s">
        <v>2069</v>
      </c>
      <c r="DK986" s="0" t="s">
        <v>705</v>
      </c>
      <c r="DL986" s="0" t="n">
        <v>3.85</v>
      </c>
      <c r="DM986" s="0" t="s">
        <v>676</v>
      </c>
      <c r="DN986" s="0" t="s">
        <v>675</v>
      </c>
      <c r="DO986" s="0" t="n">
        <v>0</v>
      </c>
      <c r="DP986" s="0" t="n">
        <v>0</v>
      </c>
      <c r="DQ986" s="0" t="n">
        <v>210.94</v>
      </c>
      <c r="DR986" s="0" t="s">
        <v>6518</v>
      </c>
      <c r="EB986" s="0" t="s">
        <v>6519</v>
      </c>
      <c r="EC986" s="0" t="s">
        <v>2798</v>
      </c>
      <c r="ED986" s="0" t="s">
        <v>2799</v>
      </c>
      <c r="EE986" s="0" t="s">
        <v>222</v>
      </c>
      <c r="EF986" s="0" t="s">
        <v>220</v>
      </c>
      <c r="EG986" s="0" t="n">
        <v>2790</v>
      </c>
      <c r="EH986" s="0" t="n">
        <v>3210</v>
      </c>
      <c r="EI986" s="0" t="n">
        <v>3630</v>
      </c>
      <c r="EJ986" s="0" t="n">
        <v>3910</v>
      </c>
    </row>
    <row r="987" customFormat="false" ht="15" hidden="false" customHeight="false" outlineLevel="0" collapsed="false">
      <c r="DG987" s="0" t="s">
        <v>6520</v>
      </c>
      <c r="DH987" s="0" t="s">
        <v>87</v>
      </c>
      <c r="DI987" s="0" t="s">
        <v>2071</v>
      </c>
      <c r="DJ987" s="0" t="s">
        <v>2072</v>
      </c>
      <c r="DK987" s="0" t="s">
        <v>705</v>
      </c>
      <c r="DL987" s="0" t="n">
        <v>3.85</v>
      </c>
      <c r="DM987" s="0" t="s">
        <v>675</v>
      </c>
      <c r="DN987" s="0" t="s">
        <v>676</v>
      </c>
      <c r="DO987" s="0" t="n">
        <v>1</v>
      </c>
      <c r="DP987" s="0" t="n">
        <v>199.51</v>
      </c>
      <c r="DQ987" s="0" t="n">
        <v>199.51</v>
      </c>
      <c r="DR987" s="0" t="s">
        <v>6521</v>
      </c>
      <c r="EB987" s="0" t="s">
        <v>6522</v>
      </c>
      <c r="EC987" s="0" t="s">
        <v>2798</v>
      </c>
      <c r="ED987" s="0" t="s">
        <v>2799</v>
      </c>
      <c r="EE987" s="0" t="s">
        <v>233</v>
      </c>
      <c r="EF987" s="0" t="s">
        <v>231</v>
      </c>
      <c r="EG987" s="0" t="n">
        <v>1910</v>
      </c>
      <c r="EH987" s="0" t="n">
        <v>2200</v>
      </c>
      <c r="EI987" s="0" t="n">
        <v>2480</v>
      </c>
      <c r="EJ987" s="0" t="n">
        <v>2670</v>
      </c>
    </row>
    <row r="988" customFormat="false" ht="15" hidden="false" customHeight="false" outlineLevel="0" collapsed="false">
      <c r="DG988" s="0" t="s">
        <v>6523</v>
      </c>
      <c r="DH988" s="0" t="s">
        <v>87</v>
      </c>
      <c r="DI988" s="0" t="s">
        <v>2074</v>
      </c>
      <c r="DJ988" s="0" t="s">
        <v>2075</v>
      </c>
      <c r="DK988" s="0" t="s">
        <v>705</v>
      </c>
      <c r="DL988" s="0" t="n">
        <v>3.85</v>
      </c>
      <c r="DM988" s="0" t="s">
        <v>675</v>
      </c>
      <c r="DN988" s="0" t="s">
        <v>676</v>
      </c>
      <c r="DO988" s="0" t="n">
        <v>1</v>
      </c>
      <c r="DP988" s="0" t="n">
        <v>995</v>
      </c>
      <c r="DQ988" s="0" t="n">
        <v>995</v>
      </c>
      <c r="DR988" s="0" t="s">
        <v>6524</v>
      </c>
      <c r="EB988" s="0" t="s">
        <v>6525</v>
      </c>
      <c r="EC988" s="0" t="s">
        <v>2798</v>
      </c>
      <c r="ED988" s="0" t="s">
        <v>2799</v>
      </c>
      <c r="EE988" s="0" t="s">
        <v>225</v>
      </c>
      <c r="EF988" s="0" t="s">
        <v>223</v>
      </c>
      <c r="EG988" s="0" t="n">
        <v>3000</v>
      </c>
      <c r="EH988" s="0" t="n">
        <v>3450</v>
      </c>
      <c r="EI988" s="0" t="n">
        <v>3900</v>
      </c>
      <c r="EJ988" s="0" t="n">
        <v>4200</v>
      </c>
    </row>
    <row r="989" customFormat="false" ht="15" hidden="false" customHeight="false" outlineLevel="0" collapsed="false">
      <c r="DG989" s="0" t="s">
        <v>6526</v>
      </c>
      <c r="DH989" s="0" t="s">
        <v>87</v>
      </c>
      <c r="DI989" s="0" t="s">
        <v>2077</v>
      </c>
      <c r="DJ989" s="0" t="s">
        <v>205</v>
      </c>
      <c r="DK989" s="0" t="s">
        <v>705</v>
      </c>
      <c r="DL989" s="0" t="n">
        <v>3.85</v>
      </c>
      <c r="DM989" s="0" t="s">
        <v>675</v>
      </c>
      <c r="DN989" s="0" t="s">
        <v>676</v>
      </c>
      <c r="DO989" s="0" t="n">
        <v>1</v>
      </c>
      <c r="DP989" s="0" t="n">
        <v>27280</v>
      </c>
      <c r="DQ989" s="0" t="n">
        <v>27280</v>
      </c>
      <c r="DR989" s="0" t="s">
        <v>6527</v>
      </c>
      <c r="EB989" s="0" t="s">
        <v>6528</v>
      </c>
      <c r="EC989" s="0" t="s">
        <v>2798</v>
      </c>
      <c r="ED989" s="0" t="s">
        <v>2799</v>
      </c>
      <c r="EE989" s="0" t="s">
        <v>288</v>
      </c>
      <c r="EF989" s="0" t="s">
        <v>287</v>
      </c>
      <c r="EG989" s="0" t="n">
        <v>550</v>
      </c>
      <c r="EH989" s="0" t="n">
        <v>560</v>
      </c>
      <c r="EI989" s="0" t="n">
        <v>630</v>
      </c>
      <c r="EJ989" s="0" t="n">
        <v>630</v>
      </c>
    </row>
    <row r="990" customFormat="false" ht="15" hidden="false" customHeight="false" outlineLevel="0" collapsed="false">
      <c r="DG990" s="0" t="s">
        <v>6529</v>
      </c>
      <c r="DH990" s="0" t="s">
        <v>87</v>
      </c>
      <c r="DI990" s="0" t="s">
        <v>2079</v>
      </c>
      <c r="DJ990" s="0" t="s">
        <v>2080</v>
      </c>
      <c r="DK990" s="0" t="s">
        <v>705</v>
      </c>
      <c r="DL990" s="0" t="n">
        <v>3.85</v>
      </c>
      <c r="DM990" s="0" t="s">
        <v>676</v>
      </c>
      <c r="DN990" s="0" t="s">
        <v>675</v>
      </c>
      <c r="DO990" s="0" t="n">
        <v>0</v>
      </c>
      <c r="DP990" s="0" t="n">
        <v>0</v>
      </c>
      <c r="DQ990" s="0" t="n">
        <v>447</v>
      </c>
      <c r="DR990" s="0" t="s">
        <v>6530</v>
      </c>
      <c r="EB990" s="0" t="s">
        <v>6531</v>
      </c>
      <c r="EC990" s="0" t="s">
        <v>2798</v>
      </c>
      <c r="ED990" s="0" t="s">
        <v>2799</v>
      </c>
      <c r="EE990" s="0" t="s">
        <v>269</v>
      </c>
      <c r="EF990" s="0" t="s">
        <v>3489</v>
      </c>
      <c r="EG990" s="0" t="n">
        <v>1850</v>
      </c>
      <c r="EH990" s="0" t="n">
        <v>2000</v>
      </c>
      <c r="EI990" s="0" t="n">
        <v>2180</v>
      </c>
      <c r="EJ990" s="0" t="n">
        <v>2340</v>
      </c>
    </row>
    <row r="991" customFormat="false" ht="15" hidden="false" customHeight="false" outlineLevel="0" collapsed="false">
      <c r="DG991" s="0" t="s">
        <v>6532</v>
      </c>
      <c r="DH991" s="0" t="s">
        <v>87</v>
      </c>
      <c r="DI991" s="0" t="s">
        <v>2082</v>
      </c>
      <c r="DJ991" s="0" t="s">
        <v>2083</v>
      </c>
      <c r="DK991" s="0" t="s">
        <v>705</v>
      </c>
      <c r="DL991" s="0" t="n">
        <v>3.85</v>
      </c>
      <c r="DM991" s="0" t="s">
        <v>676</v>
      </c>
      <c r="DN991" s="0" t="s">
        <v>675</v>
      </c>
      <c r="DO991" s="0" t="n">
        <v>0</v>
      </c>
      <c r="DP991" s="0" t="n">
        <v>0</v>
      </c>
      <c r="DQ991" s="0" t="n">
        <v>356</v>
      </c>
      <c r="DR991" s="0" t="s">
        <v>6533</v>
      </c>
      <c r="EB991" s="0" t="s">
        <v>6534</v>
      </c>
      <c r="EC991" s="0" t="s">
        <v>2798</v>
      </c>
      <c r="ED991" s="0" t="s">
        <v>2799</v>
      </c>
      <c r="EE991" s="0" t="s">
        <v>237</v>
      </c>
      <c r="EF991" s="0" t="s">
        <v>3496</v>
      </c>
      <c r="EG991" s="0" t="n">
        <v>3440</v>
      </c>
      <c r="EH991" s="0" t="n">
        <v>3740</v>
      </c>
      <c r="EI991" s="0" t="n">
        <v>4060</v>
      </c>
      <c r="EJ991" s="0" t="n">
        <v>4370</v>
      </c>
    </row>
    <row r="992" customFormat="false" ht="15" hidden="false" customHeight="false" outlineLevel="0" collapsed="false">
      <c r="DG992" s="0" t="s">
        <v>6535</v>
      </c>
      <c r="DH992" s="0" t="s">
        <v>87</v>
      </c>
      <c r="DI992" s="0" t="s">
        <v>2085</v>
      </c>
      <c r="DJ992" s="0" t="s">
        <v>2086</v>
      </c>
      <c r="DK992" s="0" t="s">
        <v>705</v>
      </c>
      <c r="DL992" s="0" t="n">
        <v>3.85</v>
      </c>
      <c r="DM992" s="0" t="s">
        <v>675</v>
      </c>
      <c r="DN992" s="0" t="s">
        <v>676</v>
      </c>
      <c r="DO992" s="0" t="n">
        <v>1</v>
      </c>
      <c r="DP992" s="0" t="n">
        <v>331</v>
      </c>
      <c r="DQ992" s="0" t="n">
        <v>331</v>
      </c>
      <c r="DR992" s="0" t="s">
        <v>6536</v>
      </c>
      <c r="EB992" s="0" t="s">
        <v>6537</v>
      </c>
      <c r="EC992" s="0" t="s">
        <v>2798</v>
      </c>
      <c r="ED992" s="0" t="s">
        <v>2799</v>
      </c>
      <c r="EE992" s="0" t="s">
        <v>249</v>
      </c>
      <c r="EF992" s="0" t="s">
        <v>247</v>
      </c>
      <c r="EG992" s="0" t="n">
        <v>440</v>
      </c>
      <c r="EH992" s="0" t="n">
        <v>510</v>
      </c>
      <c r="EI992" s="0" t="n">
        <v>570</v>
      </c>
      <c r="EJ992" s="0" t="n">
        <v>620</v>
      </c>
    </row>
    <row r="993" customFormat="false" ht="15" hidden="false" customHeight="false" outlineLevel="0" collapsed="false">
      <c r="DG993" s="0" t="s">
        <v>6538</v>
      </c>
      <c r="DH993" s="0" t="s">
        <v>87</v>
      </c>
      <c r="DI993" s="0" t="s">
        <v>2088</v>
      </c>
      <c r="DJ993" s="0" t="s">
        <v>2038</v>
      </c>
      <c r="DK993" s="0" t="s">
        <v>705</v>
      </c>
      <c r="DL993" s="0" t="n">
        <v>3.85</v>
      </c>
      <c r="DM993" s="0" t="s">
        <v>676</v>
      </c>
      <c r="DN993" s="0" t="s">
        <v>675</v>
      </c>
      <c r="DO993" s="0" t="n">
        <v>0</v>
      </c>
      <c r="DP993" s="0" t="n">
        <v>0</v>
      </c>
      <c r="DQ993" s="0" t="n">
        <v>0</v>
      </c>
      <c r="DR993" s="0" t="s">
        <v>6471</v>
      </c>
      <c r="EB993" s="0" t="s">
        <v>6539</v>
      </c>
      <c r="EC993" s="0" t="s">
        <v>2798</v>
      </c>
      <c r="ED993" s="0" t="s">
        <v>2799</v>
      </c>
      <c r="EE993" s="0" t="s">
        <v>293</v>
      </c>
      <c r="EF993" s="0" t="s">
        <v>291</v>
      </c>
      <c r="EG993" s="0" t="n">
        <v>730</v>
      </c>
      <c r="EH993" s="0" t="n">
        <v>840</v>
      </c>
      <c r="EI993" s="0" t="n">
        <v>950</v>
      </c>
      <c r="EJ993" s="0" t="n">
        <v>1020</v>
      </c>
    </row>
    <row r="994" customFormat="false" ht="15" hidden="false" customHeight="false" outlineLevel="0" collapsed="false">
      <c r="DG994" s="0" t="s">
        <v>6540</v>
      </c>
      <c r="DH994" s="0" t="s">
        <v>87</v>
      </c>
      <c r="DI994" s="0" t="s">
        <v>2090</v>
      </c>
      <c r="DJ994" s="0" t="s">
        <v>2091</v>
      </c>
      <c r="DK994" s="0" t="s">
        <v>705</v>
      </c>
      <c r="DL994" s="0" t="n">
        <v>3.85</v>
      </c>
      <c r="DM994" s="0" t="s">
        <v>676</v>
      </c>
      <c r="DN994" s="0" t="s">
        <v>675</v>
      </c>
      <c r="DO994" s="0" t="n">
        <v>0</v>
      </c>
      <c r="DP994" s="0" t="n">
        <v>0</v>
      </c>
      <c r="DQ994" s="0" t="n">
        <v>200</v>
      </c>
      <c r="DR994" s="0" t="s">
        <v>6541</v>
      </c>
      <c r="EB994" s="0" t="s">
        <v>6542</v>
      </c>
      <c r="EC994" s="0" t="s">
        <v>2798</v>
      </c>
      <c r="ED994" s="0" t="s">
        <v>2799</v>
      </c>
      <c r="EE994" s="0" t="s">
        <v>280</v>
      </c>
      <c r="EF994" s="0" t="s">
        <v>279</v>
      </c>
      <c r="EG994" s="0" t="n">
        <v>910</v>
      </c>
      <c r="EH994" s="0" t="n">
        <v>1050</v>
      </c>
      <c r="EI994" s="0" t="n">
        <v>1180</v>
      </c>
      <c r="EJ994" s="0" t="n">
        <v>1270</v>
      </c>
    </row>
    <row r="995" customFormat="false" ht="15" hidden="false" customHeight="false" outlineLevel="0" collapsed="false">
      <c r="DG995" s="0" t="s">
        <v>6543</v>
      </c>
      <c r="DH995" s="0" t="s">
        <v>87</v>
      </c>
      <c r="DI995" s="0" t="s">
        <v>2093</v>
      </c>
      <c r="DJ995" s="0" t="s">
        <v>2094</v>
      </c>
      <c r="DK995" s="0" t="s">
        <v>705</v>
      </c>
      <c r="DL995" s="0" t="n">
        <v>3.85</v>
      </c>
      <c r="DM995" s="0" t="s">
        <v>675</v>
      </c>
      <c r="DN995" s="0" t="s">
        <v>676</v>
      </c>
      <c r="DO995" s="0" t="n">
        <v>20</v>
      </c>
      <c r="DP995" s="0" t="n">
        <v>2341.9</v>
      </c>
      <c r="DQ995" s="0" t="n">
        <v>2341.9</v>
      </c>
      <c r="DR995" s="0" t="s">
        <v>6544</v>
      </c>
      <c r="EB995" s="0" t="s">
        <v>6545</v>
      </c>
      <c r="EC995" s="0" t="s">
        <v>2798</v>
      </c>
      <c r="ED995" s="0" t="s">
        <v>2799</v>
      </c>
      <c r="EE995" s="0" t="s">
        <v>264</v>
      </c>
      <c r="EF995" s="0" t="s">
        <v>262</v>
      </c>
      <c r="EG995" s="0" t="n">
        <v>1650</v>
      </c>
      <c r="EH995" s="0" t="n">
        <v>1900</v>
      </c>
      <c r="EI995" s="0" t="n">
        <v>2150</v>
      </c>
      <c r="EJ995" s="0" t="n">
        <v>2310</v>
      </c>
    </row>
    <row r="996" customFormat="false" ht="15" hidden="false" customHeight="false" outlineLevel="0" collapsed="false">
      <c r="DG996" s="0" t="s">
        <v>6546</v>
      </c>
      <c r="DH996" s="0" t="s">
        <v>87</v>
      </c>
      <c r="DI996" s="0" t="s">
        <v>2096</v>
      </c>
      <c r="DJ996" s="0" t="s">
        <v>2097</v>
      </c>
      <c r="DK996" s="0" t="s">
        <v>705</v>
      </c>
      <c r="DL996" s="0" t="n">
        <v>3.85</v>
      </c>
      <c r="DM996" s="0" t="s">
        <v>675</v>
      </c>
      <c r="DN996" s="0" t="s">
        <v>676</v>
      </c>
      <c r="DO996" s="0" t="n">
        <v>1</v>
      </c>
      <c r="DP996" s="0" t="n">
        <v>113.44</v>
      </c>
      <c r="DQ996" s="0" t="n">
        <v>113.44</v>
      </c>
      <c r="DR996" s="0" t="s">
        <v>6547</v>
      </c>
      <c r="EB996" s="0" t="s">
        <v>6548</v>
      </c>
      <c r="EC996" s="0" t="s">
        <v>2798</v>
      </c>
      <c r="EE996" s="0" t="s">
        <v>278</v>
      </c>
    </row>
    <row r="997" customFormat="false" ht="15" hidden="false" customHeight="false" outlineLevel="0" collapsed="false">
      <c r="DG997" s="0" t="s">
        <v>6549</v>
      </c>
      <c r="DH997" s="0" t="s">
        <v>87</v>
      </c>
      <c r="DI997" s="0" t="s">
        <v>2099</v>
      </c>
      <c r="DJ997" s="0" t="s">
        <v>2100</v>
      </c>
      <c r="DK997" s="0" t="s">
        <v>705</v>
      </c>
      <c r="DL997" s="0" t="n">
        <v>3.85</v>
      </c>
      <c r="DM997" s="0" t="s">
        <v>675</v>
      </c>
      <c r="DN997" s="0" t="s">
        <v>676</v>
      </c>
      <c r="DO997" s="0" t="n">
        <v>10</v>
      </c>
      <c r="DP997" s="0" t="n">
        <v>1134.4</v>
      </c>
      <c r="DQ997" s="0" t="n">
        <v>1134.4</v>
      </c>
      <c r="DR997" s="0" t="s">
        <v>6550</v>
      </c>
      <c r="EB997" s="0" t="s">
        <v>6551</v>
      </c>
      <c r="EC997" s="0" t="s">
        <v>2798</v>
      </c>
      <c r="ED997" s="0" t="s">
        <v>2799</v>
      </c>
      <c r="EE997" s="0" t="s">
        <v>240</v>
      </c>
      <c r="EF997" s="0" t="s">
        <v>238</v>
      </c>
      <c r="EG997" s="0" t="n">
        <v>3710</v>
      </c>
      <c r="EH997" s="0" t="n">
        <v>3710</v>
      </c>
      <c r="EI997" s="0" t="n">
        <v>3710</v>
      </c>
      <c r="EJ997" s="0" t="n">
        <v>3710</v>
      </c>
    </row>
    <row r="998" customFormat="false" ht="15" hidden="false" customHeight="false" outlineLevel="0" collapsed="false">
      <c r="DG998" s="0" t="s">
        <v>6552</v>
      </c>
      <c r="DH998" s="0" t="s">
        <v>87</v>
      </c>
      <c r="DI998" s="0" t="s">
        <v>2102</v>
      </c>
      <c r="DJ998" s="0" t="s">
        <v>2103</v>
      </c>
      <c r="DK998" s="0" t="s">
        <v>705</v>
      </c>
      <c r="DL998" s="0" t="n">
        <v>3.85</v>
      </c>
      <c r="DM998" s="0" t="s">
        <v>675</v>
      </c>
      <c r="DN998" s="0" t="s">
        <v>676</v>
      </c>
      <c r="DO998" s="0" t="n">
        <v>10</v>
      </c>
      <c r="DP998" s="0" t="n">
        <v>1181.2</v>
      </c>
      <c r="DQ998" s="0" t="n">
        <v>1181.2</v>
      </c>
      <c r="DR998" s="0" t="s">
        <v>6553</v>
      </c>
      <c r="EB998" s="0" t="s">
        <v>6554</v>
      </c>
      <c r="EC998" s="0" t="s">
        <v>2798</v>
      </c>
      <c r="ED998" s="0" t="s">
        <v>2799</v>
      </c>
      <c r="EE998" s="0" t="s">
        <v>252</v>
      </c>
      <c r="EF998" s="0" t="s">
        <v>250</v>
      </c>
      <c r="EG998" s="0" t="n">
        <v>370</v>
      </c>
      <c r="EH998" s="0" t="n">
        <v>370</v>
      </c>
      <c r="EI998" s="0" t="n">
        <v>370</v>
      </c>
      <c r="EJ998" s="0" t="n">
        <v>370</v>
      </c>
    </row>
    <row r="999" customFormat="false" ht="15" hidden="false" customHeight="false" outlineLevel="0" collapsed="false">
      <c r="DG999" s="0" t="s">
        <v>6555</v>
      </c>
      <c r="DH999" s="0" t="s">
        <v>87</v>
      </c>
      <c r="DI999" s="0" t="s">
        <v>2106</v>
      </c>
      <c r="DJ999" s="0" t="s">
        <v>2107</v>
      </c>
      <c r="DK999" s="0" t="s">
        <v>705</v>
      </c>
      <c r="DL999" s="0" t="n">
        <v>3.85</v>
      </c>
      <c r="DM999" s="0" t="s">
        <v>676</v>
      </c>
      <c r="DN999" s="0" t="s">
        <v>675</v>
      </c>
      <c r="DO999" s="0" t="n">
        <v>0</v>
      </c>
      <c r="DP999" s="0" t="n">
        <v>0</v>
      </c>
      <c r="DQ999" s="0" t="n">
        <v>63</v>
      </c>
      <c r="DR999" s="0" t="s">
        <v>6556</v>
      </c>
      <c r="EB999" s="0" t="s">
        <v>6557</v>
      </c>
      <c r="EC999" s="0" t="s">
        <v>2798</v>
      </c>
      <c r="ED999" s="0" t="s">
        <v>2799</v>
      </c>
      <c r="EE999" s="0" t="s">
        <v>229</v>
      </c>
      <c r="EF999" s="0" t="s">
        <v>227</v>
      </c>
      <c r="EG999" s="0" t="n">
        <v>170</v>
      </c>
      <c r="EH999" s="0" t="n">
        <v>200</v>
      </c>
      <c r="EI999" s="0" t="n">
        <v>220</v>
      </c>
      <c r="EJ999" s="0" t="n">
        <v>240</v>
      </c>
    </row>
    <row r="1000" customFormat="false" ht="15" hidden="false" customHeight="false" outlineLevel="0" collapsed="false">
      <c r="DG1000" s="0" t="s">
        <v>6558</v>
      </c>
      <c r="DH1000" s="0" t="s">
        <v>87</v>
      </c>
      <c r="DI1000" s="0" t="s">
        <v>2108</v>
      </c>
      <c r="DJ1000" s="0" t="s">
        <v>2109</v>
      </c>
      <c r="DK1000" s="0" t="s">
        <v>705</v>
      </c>
      <c r="DL1000" s="0" t="n">
        <v>3.85</v>
      </c>
      <c r="DM1000" s="0" t="s">
        <v>675</v>
      </c>
      <c r="DN1000" s="0" t="s">
        <v>676</v>
      </c>
      <c r="DO1000" s="0" t="n">
        <v>1</v>
      </c>
      <c r="DP1000" s="0" t="n">
        <v>164</v>
      </c>
      <c r="DQ1000" s="0" t="n">
        <v>164</v>
      </c>
      <c r="DR1000" s="0" t="s">
        <v>6559</v>
      </c>
      <c r="EB1000" s="0" t="s">
        <v>6560</v>
      </c>
      <c r="EC1000" s="0" t="s">
        <v>2798</v>
      </c>
      <c r="ED1000" s="0" t="s">
        <v>2799</v>
      </c>
      <c r="EE1000" s="0" t="s">
        <v>246</v>
      </c>
      <c r="EF1000" s="0" t="s">
        <v>244</v>
      </c>
      <c r="EG1000" s="0" t="n">
        <v>620</v>
      </c>
      <c r="EH1000" s="0" t="n">
        <v>620</v>
      </c>
      <c r="EI1000" s="0" t="n">
        <v>620</v>
      </c>
      <c r="EJ1000" s="0" t="n">
        <v>620</v>
      </c>
    </row>
    <row r="1001" customFormat="false" ht="15" hidden="false" customHeight="false" outlineLevel="0" collapsed="false">
      <c r="DG1001" s="0" t="s">
        <v>6561</v>
      </c>
      <c r="DH1001" s="0" t="s">
        <v>87</v>
      </c>
      <c r="DI1001" s="0" t="s">
        <v>2110</v>
      </c>
      <c r="DJ1001" s="0" t="s">
        <v>2111</v>
      </c>
      <c r="DK1001" s="0" t="s">
        <v>705</v>
      </c>
      <c r="DL1001" s="0" t="n">
        <v>3.85</v>
      </c>
      <c r="DM1001" s="0" t="s">
        <v>676</v>
      </c>
      <c r="DN1001" s="0" t="s">
        <v>675</v>
      </c>
      <c r="DO1001" s="0" t="n">
        <v>0</v>
      </c>
      <c r="DP1001" s="0" t="n">
        <v>0</v>
      </c>
      <c r="DQ1001" s="0" t="n">
        <v>259.5</v>
      </c>
      <c r="DR1001" s="0" t="s">
        <v>6562</v>
      </c>
      <c r="EB1001" s="0" t="s">
        <v>6563</v>
      </c>
      <c r="EC1001" s="0" t="s">
        <v>2798</v>
      </c>
      <c r="ED1001" s="0" t="s">
        <v>2799</v>
      </c>
      <c r="EE1001" s="0" t="s">
        <v>255</v>
      </c>
      <c r="EF1001" s="0" t="s">
        <v>6564</v>
      </c>
      <c r="EG1001" s="0" t="n">
        <v>430</v>
      </c>
      <c r="EH1001" s="0" t="n">
        <v>500</v>
      </c>
      <c r="EI1001" s="0" t="n">
        <v>560</v>
      </c>
      <c r="EJ1001" s="0" t="n">
        <v>600</v>
      </c>
    </row>
    <row r="1002" customFormat="false" ht="15" hidden="false" customHeight="false" outlineLevel="0" collapsed="false">
      <c r="DG1002" s="0" t="s">
        <v>6565</v>
      </c>
      <c r="DH1002" s="0" t="s">
        <v>87</v>
      </c>
      <c r="DI1002" s="0" t="s">
        <v>2113</v>
      </c>
      <c r="DJ1002" s="0" t="s">
        <v>2114</v>
      </c>
      <c r="DK1002" s="0" t="s">
        <v>705</v>
      </c>
      <c r="DL1002" s="0" t="n">
        <v>3.85</v>
      </c>
      <c r="DM1002" s="0" t="s">
        <v>675</v>
      </c>
      <c r="DN1002" s="0" t="s">
        <v>676</v>
      </c>
      <c r="DO1002" s="0" t="n">
        <v>5</v>
      </c>
      <c r="DP1002" s="0" t="n">
        <v>45</v>
      </c>
      <c r="DQ1002" s="0" t="n">
        <v>45</v>
      </c>
      <c r="DR1002" s="0" t="s">
        <v>6566</v>
      </c>
      <c r="EB1002" s="0" t="s">
        <v>6567</v>
      </c>
      <c r="EC1002" s="0" t="s">
        <v>2798</v>
      </c>
      <c r="EE1002" s="0" t="s">
        <v>243</v>
      </c>
    </row>
    <row r="1003" customFormat="false" ht="15" hidden="false" customHeight="false" outlineLevel="0" collapsed="false">
      <c r="DG1003" s="0" t="s">
        <v>6568</v>
      </c>
      <c r="DH1003" s="0" t="s">
        <v>87</v>
      </c>
      <c r="DI1003" s="0" t="s">
        <v>2115</v>
      </c>
      <c r="DJ1003" s="0" t="s">
        <v>2116</v>
      </c>
      <c r="DK1003" s="0" t="s">
        <v>705</v>
      </c>
      <c r="DL1003" s="0" t="n">
        <v>3.85</v>
      </c>
      <c r="DM1003" s="0" t="s">
        <v>675</v>
      </c>
      <c r="DN1003" s="0" t="s">
        <v>676</v>
      </c>
      <c r="DO1003" s="0" t="n">
        <v>5</v>
      </c>
      <c r="DP1003" s="0" t="n">
        <v>129.4</v>
      </c>
      <c r="DQ1003" s="0" t="n">
        <v>129.4</v>
      </c>
      <c r="DR1003" s="0" t="s">
        <v>6569</v>
      </c>
      <c r="EB1003" s="0" t="s">
        <v>6570</v>
      </c>
      <c r="EC1003" s="0" t="s">
        <v>2798</v>
      </c>
      <c r="EE1003" s="0" t="s">
        <v>261</v>
      </c>
    </row>
    <row r="1004" customFormat="false" ht="15" hidden="false" customHeight="false" outlineLevel="0" collapsed="false">
      <c r="DG1004" s="0" t="s">
        <v>6571</v>
      </c>
      <c r="DH1004" s="0" t="s">
        <v>87</v>
      </c>
      <c r="DI1004" s="0" t="s">
        <v>2119</v>
      </c>
      <c r="DJ1004" s="0" t="s">
        <v>2120</v>
      </c>
      <c r="DK1004" s="0" t="s">
        <v>705</v>
      </c>
      <c r="DL1004" s="0" t="n">
        <v>3.85</v>
      </c>
      <c r="DM1004" s="0" t="s">
        <v>675</v>
      </c>
      <c r="DN1004" s="0" t="s">
        <v>676</v>
      </c>
      <c r="DO1004" s="0" t="n">
        <v>1</v>
      </c>
      <c r="DP1004" s="0" t="n">
        <v>1649</v>
      </c>
      <c r="DQ1004" s="0" t="n">
        <v>1649</v>
      </c>
      <c r="DR1004" s="0" t="s">
        <v>6572</v>
      </c>
      <c r="EB1004" s="0" t="s">
        <v>6573</v>
      </c>
      <c r="EC1004" s="0" t="s">
        <v>2798</v>
      </c>
      <c r="EE1004" s="0" t="s">
        <v>296</v>
      </c>
    </row>
    <row r="1005" customFormat="false" ht="15" hidden="false" customHeight="false" outlineLevel="0" collapsed="false">
      <c r="DG1005" s="0" t="s">
        <v>6574</v>
      </c>
      <c r="DH1005" s="0" t="s">
        <v>87</v>
      </c>
      <c r="DI1005" s="0" t="s">
        <v>2122</v>
      </c>
      <c r="DJ1005" s="0" t="s">
        <v>2123</v>
      </c>
      <c r="DK1005" s="0" t="s">
        <v>705</v>
      </c>
      <c r="DL1005" s="0" t="n">
        <v>3.85</v>
      </c>
      <c r="DM1005" s="0" t="s">
        <v>675</v>
      </c>
      <c r="DN1005" s="0" t="s">
        <v>676</v>
      </c>
      <c r="DO1005" s="0" t="n">
        <v>1</v>
      </c>
      <c r="DP1005" s="0" t="n">
        <v>18</v>
      </c>
      <c r="DQ1005" s="0" t="n">
        <v>18</v>
      </c>
      <c r="DR1005" s="0" t="s">
        <v>6575</v>
      </c>
    </row>
    <row r="1006" customFormat="false" ht="15" hidden="false" customHeight="false" outlineLevel="0" collapsed="false">
      <c r="DG1006" s="0" t="s">
        <v>6576</v>
      </c>
      <c r="DH1006" s="0" t="s">
        <v>87</v>
      </c>
      <c r="DI1006" s="0" t="s">
        <v>2124</v>
      </c>
      <c r="DJ1006" s="0" t="s">
        <v>2125</v>
      </c>
      <c r="DK1006" s="0" t="s">
        <v>705</v>
      </c>
      <c r="DL1006" s="0" t="n">
        <v>3.85</v>
      </c>
      <c r="DM1006" s="0" t="s">
        <v>676</v>
      </c>
      <c r="DN1006" s="0" t="s">
        <v>675</v>
      </c>
      <c r="DO1006" s="0" t="n">
        <v>0</v>
      </c>
      <c r="DP1006" s="0" t="n">
        <v>0</v>
      </c>
      <c r="DQ1006" s="0" t="n">
        <v>380</v>
      </c>
      <c r="DR1006" s="0" t="s">
        <v>6577</v>
      </c>
    </row>
    <row r="1007" customFormat="false" ht="15" hidden="false" customHeight="false" outlineLevel="0" collapsed="false">
      <c r="DG1007" s="0" t="s">
        <v>6578</v>
      </c>
      <c r="DH1007" s="0" t="s">
        <v>87</v>
      </c>
      <c r="DI1007" s="0" t="s">
        <v>2127</v>
      </c>
      <c r="DJ1007" s="0" t="s">
        <v>2128</v>
      </c>
      <c r="DK1007" s="0" t="s">
        <v>705</v>
      </c>
      <c r="DL1007" s="0" t="n">
        <v>3.85</v>
      </c>
      <c r="DM1007" s="0" t="s">
        <v>675</v>
      </c>
      <c r="DN1007" s="0" t="s">
        <v>676</v>
      </c>
      <c r="DO1007" s="0" t="n">
        <v>1</v>
      </c>
      <c r="DP1007" s="0" t="n">
        <v>1295</v>
      </c>
      <c r="DQ1007" s="0" t="n">
        <v>1295</v>
      </c>
      <c r="DR1007" s="0" t="s">
        <v>6579</v>
      </c>
    </row>
    <row r="1008" customFormat="false" ht="15" hidden="false" customHeight="false" outlineLevel="0" collapsed="false">
      <c r="DG1008" s="0" t="s">
        <v>6580</v>
      </c>
      <c r="DH1008" s="0" t="s">
        <v>87</v>
      </c>
      <c r="DI1008" s="0" t="s">
        <v>2130</v>
      </c>
      <c r="DJ1008" s="0" t="s">
        <v>2131</v>
      </c>
      <c r="DK1008" s="0" t="s">
        <v>705</v>
      </c>
      <c r="DL1008" s="0" t="n">
        <v>3.85</v>
      </c>
      <c r="DM1008" s="0" t="s">
        <v>675</v>
      </c>
      <c r="DN1008" s="0" t="s">
        <v>676</v>
      </c>
      <c r="DO1008" s="0" t="n">
        <v>1</v>
      </c>
      <c r="DP1008" s="0" t="n">
        <v>211</v>
      </c>
      <c r="DQ1008" s="0" t="n">
        <v>211</v>
      </c>
      <c r="DR1008" s="0" t="s">
        <v>6581</v>
      </c>
    </row>
    <row r="1009" customFormat="false" ht="15" hidden="false" customHeight="false" outlineLevel="0" collapsed="false">
      <c r="DG1009" s="0" t="s">
        <v>6582</v>
      </c>
      <c r="DH1009" s="0" t="s">
        <v>87</v>
      </c>
      <c r="DI1009" s="0" t="s">
        <v>2133</v>
      </c>
      <c r="DJ1009" s="0" t="s">
        <v>2134</v>
      </c>
      <c r="DK1009" s="0" t="s">
        <v>705</v>
      </c>
      <c r="DL1009" s="0" t="n">
        <v>3.85</v>
      </c>
      <c r="DM1009" s="0" t="s">
        <v>675</v>
      </c>
      <c r="DN1009" s="0" t="s">
        <v>676</v>
      </c>
      <c r="DO1009" s="0" t="n">
        <v>1</v>
      </c>
      <c r="DP1009" s="0" t="n">
        <v>890</v>
      </c>
      <c r="DQ1009" s="0" t="n">
        <v>890</v>
      </c>
      <c r="DR1009" s="0" t="s">
        <v>6583</v>
      </c>
    </row>
    <row r="1010" customFormat="false" ht="15" hidden="false" customHeight="false" outlineLevel="0" collapsed="false">
      <c r="DG1010" s="0" t="s">
        <v>6584</v>
      </c>
      <c r="DH1010" s="0" t="s">
        <v>87</v>
      </c>
      <c r="DI1010" s="0" t="s">
        <v>2136</v>
      </c>
      <c r="DJ1010" s="0" t="s">
        <v>2137</v>
      </c>
      <c r="DK1010" s="0" t="s">
        <v>705</v>
      </c>
      <c r="DL1010" s="0" t="n">
        <v>3.85</v>
      </c>
      <c r="DM1010" s="0" t="s">
        <v>676</v>
      </c>
      <c r="DN1010" s="0" t="s">
        <v>675</v>
      </c>
      <c r="DO1010" s="0" t="n">
        <v>0</v>
      </c>
      <c r="DP1010" s="0" t="n">
        <v>0</v>
      </c>
      <c r="DQ1010" s="0" t="n">
        <v>1013.44</v>
      </c>
      <c r="DR1010" s="0" t="s">
        <v>6585</v>
      </c>
    </row>
    <row r="1011" customFormat="false" ht="15" hidden="false" customHeight="false" outlineLevel="0" collapsed="false">
      <c r="DG1011" s="0" t="s">
        <v>6586</v>
      </c>
      <c r="DH1011" s="0" t="s">
        <v>87</v>
      </c>
      <c r="DI1011" s="0" t="s">
        <v>2139</v>
      </c>
      <c r="DJ1011" s="0" t="s">
        <v>2140</v>
      </c>
      <c r="DK1011" s="0" t="s">
        <v>705</v>
      </c>
      <c r="DL1011" s="0" t="n">
        <v>3.85</v>
      </c>
      <c r="DM1011" s="0" t="s">
        <v>676</v>
      </c>
      <c r="DN1011" s="0" t="s">
        <v>675</v>
      </c>
      <c r="DO1011" s="0" t="n">
        <v>0</v>
      </c>
      <c r="DP1011" s="0" t="n">
        <v>0</v>
      </c>
      <c r="DQ1011" s="0" t="n">
        <v>569</v>
      </c>
      <c r="DR1011" s="0" t="s">
        <v>6587</v>
      </c>
    </row>
    <row r="1012" customFormat="false" ht="15" hidden="false" customHeight="false" outlineLevel="0" collapsed="false">
      <c r="DG1012" s="0" t="s">
        <v>6588</v>
      </c>
      <c r="DH1012" s="0" t="s">
        <v>87</v>
      </c>
      <c r="DI1012" s="0" t="s">
        <v>2142</v>
      </c>
      <c r="DJ1012" s="0" t="s">
        <v>2143</v>
      </c>
      <c r="DK1012" s="0" t="s">
        <v>705</v>
      </c>
      <c r="DL1012" s="0" t="n">
        <v>3.85</v>
      </c>
      <c r="DM1012" s="0" t="s">
        <v>675</v>
      </c>
      <c r="DN1012" s="0" t="s">
        <v>676</v>
      </c>
      <c r="DO1012" s="0" t="n">
        <v>4</v>
      </c>
      <c r="DP1012" s="0" t="n">
        <v>896.24</v>
      </c>
      <c r="DQ1012" s="0" t="n">
        <v>896.24</v>
      </c>
      <c r="DR1012" s="0" t="s">
        <v>6589</v>
      </c>
    </row>
    <row r="1013" customFormat="false" ht="15" hidden="false" customHeight="false" outlineLevel="0" collapsed="false">
      <c r="DG1013" s="0" t="s">
        <v>6590</v>
      </c>
      <c r="DH1013" s="0" t="s">
        <v>87</v>
      </c>
      <c r="DI1013" s="0" t="s">
        <v>1522</v>
      </c>
      <c r="DJ1013" s="0" t="s">
        <v>2146</v>
      </c>
      <c r="DK1013" s="0" t="s">
        <v>705</v>
      </c>
      <c r="DL1013" s="0" t="n">
        <v>3.85</v>
      </c>
      <c r="DM1013" s="0" t="s">
        <v>676</v>
      </c>
      <c r="DN1013" s="0" t="s">
        <v>675</v>
      </c>
      <c r="DO1013" s="0" t="n">
        <v>0</v>
      </c>
      <c r="DP1013" s="0" t="n">
        <v>0</v>
      </c>
      <c r="DQ1013" s="0" t="n">
        <v>768</v>
      </c>
      <c r="DR1013" s="0" t="s">
        <v>6591</v>
      </c>
    </row>
    <row r="1014" customFormat="false" ht="15" hidden="false" customHeight="false" outlineLevel="0" collapsed="false">
      <c r="DG1014" s="0" t="s">
        <v>6592</v>
      </c>
      <c r="DH1014" s="0" t="s">
        <v>87</v>
      </c>
      <c r="DI1014" s="0" t="s">
        <v>2147</v>
      </c>
      <c r="DJ1014" s="0" t="s">
        <v>2148</v>
      </c>
      <c r="DK1014" s="0" t="s">
        <v>705</v>
      </c>
      <c r="DL1014" s="0" t="n">
        <v>3.85</v>
      </c>
      <c r="DM1014" s="0" t="s">
        <v>676</v>
      </c>
      <c r="DN1014" s="0" t="s">
        <v>675</v>
      </c>
      <c r="DO1014" s="0" t="n">
        <v>0</v>
      </c>
      <c r="DP1014" s="0" t="n">
        <v>0</v>
      </c>
      <c r="DQ1014" s="0" t="n">
        <v>225</v>
      </c>
      <c r="DR1014" s="0" t="s">
        <v>6593</v>
      </c>
    </row>
    <row r="1015" customFormat="false" ht="15" hidden="false" customHeight="false" outlineLevel="0" collapsed="false">
      <c r="DG1015" s="0" t="s">
        <v>6594</v>
      </c>
      <c r="DH1015" s="0" t="s">
        <v>87</v>
      </c>
      <c r="DI1015" s="0" t="s">
        <v>2150</v>
      </c>
      <c r="DJ1015" s="0" t="s">
        <v>2151</v>
      </c>
      <c r="DK1015" s="0" t="s">
        <v>705</v>
      </c>
      <c r="DL1015" s="0" t="n">
        <v>3.85</v>
      </c>
      <c r="DM1015" s="0" t="s">
        <v>676</v>
      </c>
      <c r="DN1015" s="0" t="s">
        <v>675</v>
      </c>
      <c r="DO1015" s="0" t="n">
        <v>0</v>
      </c>
      <c r="DP1015" s="0" t="n">
        <v>0</v>
      </c>
      <c r="DQ1015" s="0" t="n">
        <v>229.69</v>
      </c>
      <c r="DR1015" s="0" t="s">
        <v>6595</v>
      </c>
    </row>
    <row r="1016" customFormat="false" ht="15" hidden="false" customHeight="false" outlineLevel="0" collapsed="false">
      <c r="DG1016" s="0" t="s">
        <v>6596</v>
      </c>
      <c r="DH1016" s="0" t="s">
        <v>87</v>
      </c>
      <c r="DI1016" s="0" t="s">
        <v>2153</v>
      </c>
      <c r="DJ1016" s="0" t="s">
        <v>2154</v>
      </c>
      <c r="DK1016" s="0" t="s">
        <v>705</v>
      </c>
      <c r="DL1016" s="0" t="n">
        <v>3.85</v>
      </c>
      <c r="DM1016" s="0" t="s">
        <v>675</v>
      </c>
      <c r="DN1016" s="0" t="s">
        <v>676</v>
      </c>
      <c r="DO1016" s="0" t="n">
        <v>1</v>
      </c>
      <c r="DP1016" s="0" t="n">
        <v>3.28</v>
      </c>
      <c r="DQ1016" s="0" t="n">
        <v>3.28</v>
      </c>
      <c r="DR1016" s="0" t="s">
        <v>6597</v>
      </c>
    </row>
    <row r="1017" customFormat="false" ht="15" hidden="false" customHeight="false" outlineLevel="0" collapsed="false">
      <c r="DG1017" s="0" t="s">
        <v>6598</v>
      </c>
      <c r="DH1017" s="0" t="s">
        <v>87</v>
      </c>
      <c r="DI1017" s="0" t="s">
        <v>2156</v>
      </c>
      <c r="DJ1017" s="0" t="s">
        <v>2157</v>
      </c>
      <c r="DK1017" s="0" t="s">
        <v>705</v>
      </c>
      <c r="DL1017" s="0" t="n">
        <v>3.85</v>
      </c>
      <c r="DM1017" s="0" t="s">
        <v>675</v>
      </c>
      <c r="DN1017" s="0" t="s">
        <v>676</v>
      </c>
      <c r="DO1017" s="0" t="n">
        <v>1</v>
      </c>
      <c r="DP1017" s="0" t="n">
        <v>4</v>
      </c>
      <c r="DQ1017" s="0" t="n">
        <v>4</v>
      </c>
      <c r="DR1017" s="0" t="s">
        <v>6599</v>
      </c>
    </row>
    <row r="1018" customFormat="false" ht="15" hidden="false" customHeight="false" outlineLevel="0" collapsed="false">
      <c r="DG1018" s="0" t="s">
        <v>6600</v>
      </c>
      <c r="DH1018" s="0" t="s">
        <v>87</v>
      </c>
      <c r="DI1018" s="0" t="s">
        <v>2158</v>
      </c>
      <c r="DJ1018" s="0" t="s">
        <v>2159</v>
      </c>
      <c r="DK1018" s="0" t="s">
        <v>705</v>
      </c>
      <c r="DL1018" s="0" t="n">
        <v>3.85</v>
      </c>
      <c r="DM1018" s="0" t="s">
        <v>675</v>
      </c>
      <c r="DN1018" s="0" t="s">
        <v>676</v>
      </c>
      <c r="DO1018" s="0" t="n">
        <v>1</v>
      </c>
      <c r="DP1018" s="0" t="n">
        <v>1546.88</v>
      </c>
      <c r="DQ1018" s="0" t="n">
        <v>1546.88</v>
      </c>
      <c r="DR1018" s="0" t="s">
        <v>6601</v>
      </c>
    </row>
    <row r="1019" customFormat="false" ht="15" hidden="false" customHeight="false" outlineLevel="0" collapsed="false">
      <c r="DG1019" s="0" t="s">
        <v>6602</v>
      </c>
      <c r="DH1019" s="0" t="s">
        <v>87</v>
      </c>
      <c r="DI1019" s="0" t="s">
        <v>2161</v>
      </c>
      <c r="DJ1019" s="0" t="s">
        <v>2162</v>
      </c>
      <c r="DK1019" s="0" t="s">
        <v>705</v>
      </c>
      <c r="DL1019" s="0" t="n">
        <v>3.85</v>
      </c>
      <c r="DM1019" s="0" t="s">
        <v>675</v>
      </c>
      <c r="DN1019" s="0" t="s">
        <v>676</v>
      </c>
      <c r="DO1019" s="0" t="n">
        <v>1</v>
      </c>
      <c r="DP1019" s="0" t="n">
        <v>510</v>
      </c>
      <c r="DQ1019" s="0" t="n">
        <v>510</v>
      </c>
      <c r="DR1019" s="0" t="s">
        <v>6603</v>
      </c>
    </row>
    <row r="1020" customFormat="false" ht="15" hidden="false" customHeight="false" outlineLevel="0" collapsed="false">
      <c r="DG1020" s="0" t="s">
        <v>6604</v>
      </c>
      <c r="DH1020" s="0" t="s">
        <v>87</v>
      </c>
      <c r="DI1020" s="0" t="s">
        <v>2163</v>
      </c>
      <c r="DJ1020" s="0" t="s">
        <v>2164</v>
      </c>
      <c r="DK1020" s="0" t="s">
        <v>705</v>
      </c>
      <c r="DL1020" s="0" t="n">
        <v>3.85</v>
      </c>
      <c r="DM1020" s="0" t="s">
        <v>676</v>
      </c>
      <c r="DN1020" s="0" t="s">
        <v>675</v>
      </c>
      <c r="DO1020" s="0" t="n">
        <v>0</v>
      </c>
      <c r="DP1020" s="0" t="n">
        <v>0</v>
      </c>
      <c r="DQ1020" s="0" t="n">
        <v>999</v>
      </c>
      <c r="DR1020" s="0" t="s">
        <v>6605</v>
      </c>
    </row>
    <row r="1021" customFormat="false" ht="15" hidden="false" customHeight="false" outlineLevel="0" collapsed="false">
      <c r="DG1021" s="0" t="s">
        <v>6606</v>
      </c>
      <c r="DH1021" s="0" t="s">
        <v>87</v>
      </c>
      <c r="DI1021" s="0" t="s">
        <v>2166</v>
      </c>
      <c r="DJ1021" s="0" t="s">
        <v>2167</v>
      </c>
      <c r="DK1021" s="0" t="s">
        <v>705</v>
      </c>
      <c r="DL1021" s="0" t="n">
        <v>3.85</v>
      </c>
      <c r="DM1021" s="0" t="s">
        <v>675</v>
      </c>
      <c r="DN1021" s="0" t="s">
        <v>676</v>
      </c>
      <c r="DO1021" s="0" t="n">
        <v>4</v>
      </c>
      <c r="DP1021" s="0" t="n">
        <v>1880</v>
      </c>
      <c r="DQ1021" s="0" t="n">
        <v>1880</v>
      </c>
      <c r="DR1021" s="0" t="s">
        <v>6607</v>
      </c>
    </row>
    <row r="1022" customFormat="false" ht="15" hidden="false" customHeight="false" outlineLevel="0" collapsed="false">
      <c r="DG1022" s="0" t="s">
        <v>6608</v>
      </c>
      <c r="DH1022" s="0" t="s">
        <v>87</v>
      </c>
      <c r="DI1022" s="0" t="s">
        <v>1727</v>
      </c>
      <c r="DJ1022" s="0" t="s">
        <v>2169</v>
      </c>
      <c r="DK1022" s="0" t="s">
        <v>705</v>
      </c>
      <c r="DL1022" s="0" t="n">
        <v>3.85</v>
      </c>
      <c r="DM1022" s="0" t="s">
        <v>675</v>
      </c>
      <c r="DN1022" s="0" t="s">
        <v>676</v>
      </c>
      <c r="DO1022" s="0" t="n">
        <v>1</v>
      </c>
      <c r="DP1022" s="0" t="n">
        <v>8250</v>
      </c>
      <c r="DQ1022" s="0" t="n">
        <v>8250</v>
      </c>
      <c r="DR1022" s="0" t="s">
        <v>6609</v>
      </c>
    </row>
    <row r="1023" customFormat="false" ht="15" hidden="false" customHeight="false" outlineLevel="0" collapsed="false">
      <c r="DG1023" s="0" t="s">
        <v>6610</v>
      </c>
      <c r="DH1023" s="0" t="s">
        <v>87</v>
      </c>
      <c r="DI1023" s="0" t="s">
        <v>2171</v>
      </c>
      <c r="DJ1023" s="0" t="s">
        <v>2172</v>
      </c>
      <c r="DK1023" s="0" t="s">
        <v>705</v>
      </c>
      <c r="DL1023" s="0" t="n">
        <v>3.85</v>
      </c>
      <c r="DM1023" s="0" t="s">
        <v>675</v>
      </c>
      <c r="DN1023" s="0" t="s">
        <v>676</v>
      </c>
      <c r="DO1023" s="0" t="n">
        <v>1</v>
      </c>
      <c r="DP1023" s="0" t="n">
        <v>928</v>
      </c>
      <c r="DQ1023" s="0" t="n">
        <v>928</v>
      </c>
      <c r="DR1023" s="0" t="s">
        <v>6611</v>
      </c>
    </row>
    <row r="1024" customFormat="false" ht="15" hidden="false" customHeight="false" outlineLevel="0" collapsed="false">
      <c r="DG1024" s="0" t="s">
        <v>6612</v>
      </c>
      <c r="DH1024" s="0" t="s">
        <v>87</v>
      </c>
      <c r="DI1024" s="0" t="s">
        <v>2174</v>
      </c>
      <c r="DJ1024" s="0" t="s">
        <v>2175</v>
      </c>
      <c r="DK1024" s="0" t="s">
        <v>705</v>
      </c>
      <c r="DL1024" s="0" t="n">
        <v>3.85</v>
      </c>
      <c r="DM1024" s="0" t="s">
        <v>675</v>
      </c>
      <c r="DN1024" s="0" t="s">
        <v>676</v>
      </c>
      <c r="DO1024" s="0" t="n">
        <v>1</v>
      </c>
      <c r="DP1024" s="0" t="n">
        <v>112.5</v>
      </c>
      <c r="DQ1024" s="0" t="n">
        <v>112.5</v>
      </c>
      <c r="DR1024" s="0" t="s">
        <v>6613</v>
      </c>
    </row>
    <row r="1025" customFormat="false" ht="15" hidden="false" customHeight="false" outlineLevel="0" collapsed="false">
      <c r="DG1025" s="0" t="s">
        <v>6614</v>
      </c>
      <c r="DH1025" s="0" t="s">
        <v>87</v>
      </c>
      <c r="DI1025" s="0" t="s">
        <v>2177</v>
      </c>
      <c r="DJ1025" s="0" t="s">
        <v>2039</v>
      </c>
      <c r="DK1025" s="0" t="s">
        <v>705</v>
      </c>
      <c r="DL1025" s="0" t="n">
        <v>3.85</v>
      </c>
      <c r="DM1025" s="0" t="s">
        <v>675</v>
      </c>
      <c r="DN1025" s="0" t="s">
        <v>676</v>
      </c>
      <c r="DO1025" s="0" t="n">
        <v>0</v>
      </c>
      <c r="DP1025" s="0" t="n">
        <v>0</v>
      </c>
      <c r="DQ1025" s="0" t="n">
        <v>0</v>
      </c>
      <c r="DR1025" s="0" t="s">
        <v>6484</v>
      </c>
    </row>
    <row r="1026" customFormat="false" ht="15" hidden="false" customHeight="false" outlineLevel="0" collapsed="false">
      <c r="DG1026" s="0" t="s">
        <v>6615</v>
      </c>
      <c r="DH1026" s="0" t="s">
        <v>87</v>
      </c>
      <c r="DI1026" s="0" t="s">
        <v>2179</v>
      </c>
      <c r="DJ1026" s="0" t="s">
        <v>2180</v>
      </c>
      <c r="DK1026" s="0" t="s">
        <v>705</v>
      </c>
      <c r="DL1026" s="0" t="n">
        <v>3.85</v>
      </c>
      <c r="DM1026" s="0" t="s">
        <v>675</v>
      </c>
      <c r="DN1026" s="0" t="s">
        <v>676</v>
      </c>
      <c r="DO1026" s="0" t="n">
        <v>1</v>
      </c>
      <c r="DP1026" s="0" t="n">
        <v>1593.75</v>
      </c>
      <c r="DQ1026" s="0" t="n">
        <v>1593.75</v>
      </c>
      <c r="DR1026" s="0" t="s">
        <v>6616</v>
      </c>
    </row>
    <row r="1027" customFormat="false" ht="15" hidden="false" customHeight="false" outlineLevel="0" collapsed="false">
      <c r="DG1027" s="0" t="s">
        <v>6617</v>
      </c>
      <c r="DH1027" s="0" t="s">
        <v>87</v>
      </c>
      <c r="DI1027" s="0" t="s">
        <v>2182</v>
      </c>
      <c r="DJ1027" s="0" t="s">
        <v>2183</v>
      </c>
      <c r="DK1027" s="0" t="s">
        <v>705</v>
      </c>
      <c r="DL1027" s="0" t="n">
        <v>3.85</v>
      </c>
      <c r="DM1027" s="0" t="s">
        <v>675</v>
      </c>
      <c r="DN1027" s="0" t="s">
        <v>676</v>
      </c>
      <c r="DO1027" s="0" t="n">
        <v>2</v>
      </c>
      <c r="DP1027" s="0" t="n">
        <v>1500</v>
      </c>
      <c r="DQ1027" s="0" t="n">
        <v>1500</v>
      </c>
      <c r="DR1027" s="0" t="s">
        <v>6618</v>
      </c>
    </row>
    <row r="1028" customFormat="false" ht="15" hidden="false" customHeight="false" outlineLevel="0" collapsed="false">
      <c r="DG1028" s="0" t="s">
        <v>6619</v>
      </c>
      <c r="DH1028" s="0" t="s">
        <v>87</v>
      </c>
      <c r="DI1028" s="0" t="s">
        <v>2185</v>
      </c>
      <c r="DJ1028" s="0" t="s">
        <v>2186</v>
      </c>
      <c r="DK1028" s="0" t="s">
        <v>705</v>
      </c>
      <c r="DL1028" s="0" t="n">
        <v>3.85</v>
      </c>
      <c r="DM1028" s="0" t="s">
        <v>675</v>
      </c>
      <c r="DN1028" s="0" t="s">
        <v>676</v>
      </c>
      <c r="DO1028" s="0" t="n">
        <v>2</v>
      </c>
      <c r="DP1028" s="0" t="n">
        <v>632</v>
      </c>
      <c r="DQ1028" s="0" t="n">
        <v>632</v>
      </c>
      <c r="DR1028" s="0" t="s">
        <v>6620</v>
      </c>
    </row>
    <row r="1029" customFormat="false" ht="15" hidden="false" customHeight="false" outlineLevel="0" collapsed="false">
      <c r="DG1029" s="0" t="s">
        <v>6621</v>
      </c>
      <c r="DH1029" s="0" t="s">
        <v>87</v>
      </c>
      <c r="DI1029" s="0" t="s">
        <v>1382</v>
      </c>
      <c r="DJ1029" s="0" t="s">
        <v>2189</v>
      </c>
      <c r="DK1029" s="0" t="s">
        <v>705</v>
      </c>
      <c r="DL1029" s="0" t="n">
        <v>3.85</v>
      </c>
      <c r="DM1029" s="0" t="s">
        <v>675</v>
      </c>
      <c r="DN1029" s="0" t="s">
        <v>676</v>
      </c>
      <c r="DO1029" s="0" t="n">
        <v>1</v>
      </c>
      <c r="DP1029" s="0" t="n">
        <v>3500</v>
      </c>
      <c r="DQ1029" s="0" t="n">
        <v>3500</v>
      </c>
      <c r="DR1029" s="0" t="s">
        <v>6622</v>
      </c>
    </row>
    <row r="1030" customFormat="false" ht="15" hidden="false" customHeight="false" outlineLevel="0" collapsed="false">
      <c r="DG1030" s="0" t="s">
        <v>6623</v>
      </c>
      <c r="DH1030" s="0" t="s">
        <v>87</v>
      </c>
      <c r="DI1030" s="0" t="s">
        <v>2190</v>
      </c>
      <c r="DJ1030" s="0" t="s">
        <v>2191</v>
      </c>
      <c r="DK1030" s="0" t="s">
        <v>705</v>
      </c>
      <c r="DL1030" s="0" t="n">
        <v>3.85</v>
      </c>
      <c r="DM1030" s="0" t="s">
        <v>675</v>
      </c>
      <c r="DN1030" s="0" t="s">
        <v>676</v>
      </c>
      <c r="DO1030" s="0" t="n">
        <v>1</v>
      </c>
      <c r="DP1030" s="0" t="n">
        <v>967</v>
      </c>
      <c r="DQ1030" s="0" t="n">
        <v>967</v>
      </c>
      <c r="DR1030" s="0" t="s">
        <v>6624</v>
      </c>
    </row>
    <row r="1031" customFormat="false" ht="15" hidden="false" customHeight="false" outlineLevel="0" collapsed="false">
      <c r="DG1031" s="0" t="s">
        <v>6625</v>
      </c>
      <c r="DH1031" s="0" t="s">
        <v>87</v>
      </c>
      <c r="DI1031" s="0" t="s">
        <v>2193</v>
      </c>
      <c r="DJ1031" s="0" t="s">
        <v>2194</v>
      </c>
      <c r="DK1031" s="0" t="s">
        <v>705</v>
      </c>
      <c r="DL1031" s="0" t="n">
        <v>3.85</v>
      </c>
      <c r="DM1031" s="0" t="s">
        <v>675</v>
      </c>
      <c r="DN1031" s="0" t="s">
        <v>676</v>
      </c>
      <c r="DO1031" s="0" t="n">
        <v>2</v>
      </c>
      <c r="DP1031" s="0" t="n">
        <v>1471.88</v>
      </c>
      <c r="DQ1031" s="0" t="n">
        <v>1471.88</v>
      </c>
      <c r="DR1031" s="0" t="s">
        <v>6626</v>
      </c>
    </row>
    <row r="1032" customFormat="false" ht="15" hidden="false" customHeight="false" outlineLevel="0" collapsed="false">
      <c r="DG1032" s="0" t="s">
        <v>6627</v>
      </c>
      <c r="DH1032" s="0" t="s">
        <v>87</v>
      </c>
      <c r="DI1032" s="0" t="s">
        <v>2197</v>
      </c>
      <c r="DJ1032" s="0" t="s">
        <v>2198</v>
      </c>
      <c r="DK1032" s="0" t="s">
        <v>705</v>
      </c>
      <c r="DL1032" s="0" t="n">
        <v>3.85</v>
      </c>
      <c r="DM1032" s="0" t="s">
        <v>675</v>
      </c>
      <c r="DN1032" s="0" t="s">
        <v>676</v>
      </c>
      <c r="DO1032" s="0" t="n">
        <v>2</v>
      </c>
      <c r="DP1032" s="0" t="n">
        <v>1642.5</v>
      </c>
      <c r="DQ1032" s="0" t="n">
        <v>1642.5</v>
      </c>
      <c r="DR1032" s="0" t="s">
        <v>6628</v>
      </c>
    </row>
    <row r="1033" customFormat="false" ht="15" hidden="false" customHeight="false" outlineLevel="0" collapsed="false">
      <c r="DG1033" s="0" t="s">
        <v>6629</v>
      </c>
      <c r="DH1033" s="0" t="s">
        <v>87</v>
      </c>
      <c r="DI1033" s="0" t="s">
        <v>2201</v>
      </c>
      <c r="DJ1033" s="0" t="s">
        <v>2202</v>
      </c>
      <c r="DK1033" s="0" t="s">
        <v>705</v>
      </c>
      <c r="DL1033" s="0" t="n">
        <v>3.85</v>
      </c>
      <c r="DM1033" s="0" t="s">
        <v>676</v>
      </c>
      <c r="DN1033" s="0" t="s">
        <v>675</v>
      </c>
      <c r="DO1033" s="0" t="n">
        <v>0</v>
      </c>
      <c r="DP1033" s="0" t="n">
        <v>0</v>
      </c>
      <c r="DQ1033" s="0" t="n">
        <v>202</v>
      </c>
      <c r="DR1033" s="0" t="s">
        <v>6630</v>
      </c>
    </row>
    <row r="1034" customFormat="false" ht="15" hidden="false" customHeight="false" outlineLevel="0" collapsed="false">
      <c r="DG1034" s="0" t="s">
        <v>6631</v>
      </c>
      <c r="DH1034" s="0" t="s">
        <v>87</v>
      </c>
      <c r="DI1034" s="0" t="s">
        <v>2204</v>
      </c>
      <c r="DJ1034" s="0" t="s">
        <v>2205</v>
      </c>
      <c r="DK1034" s="0" t="s">
        <v>705</v>
      </c>
      <c r="DL1034" s="0" t="n">
        <v>3.85</v>
      </c>
      <c r="DM1034" s="0" t="s">
        <v>676</v>
      </c>
      <c r="DN1034" s="0" t="s">
        <v>675</v>
      </c>
      <c r="DO1034" s="0" t="n">
        <v>0</v>
      </c>
      <c r="DP1034" s="0" t="n">
        <v>0</v>
      </c>
      <c r="DQ1034" s="0" t="n">
        <v>321.09</v>
      </c>
      <c r="DR1034" s="0" t="s">
        <v>6632</v>
      </c>
    </row>
    <row r="1035" customFormat="false" ht="15" hidden="false" customHeight="false" outlineLevel="0" collapsed="false">
      <c r="DG1035" s="0" t="s">
        <v>6633</v>
      </c>
      <c r="DH1035" s="0" t="s">
        <v>87</v>
      </c>
      <c r="DI1035" s="0" t="s">
        <v>2206</v>
      </c>
      <c r="DJ1035" s="0" t="s">
        <v>2207</v>
      </c>
      <c r="DK1035" s="0" t="s">
        <v>705</v>
      </c>
      <c r="DL1035" s="0" t="n">
        <v>3.85</v>
      </c>
      <c r="DM1035" s="0" t="s">
        <v>676</v>
      </c>
      <c r="DN1035" s="0" t="s">
        <v>675</v>
      </c>
      <c r="DO1035" s="0" t="n">
        <v>0</v>
      </c>
      <c r="DP1035" s="0" t="n">
        <v>0</v>
      </c>
      <c r="DQ1035" s="0" t="n">
        <v>2625</v>
      </c>
      <c r="DR1035" s="0" t="s">
        <v>6634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2026-07-04T12:27:12Z</dcterms:created>
  <dc:creator>openpyxl</dc:creator>
  <dc:description/>
  <dc:language>en-US</dc:language>
  <cp:lastModifiedBy/>
  <dcterms:modified xsi:type="dcterms:W3CDTF">2026-07-04T12:27:14Z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