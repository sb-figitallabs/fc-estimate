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uilder" state="visible" r:id="rId4"/>
    <sheet sheetId="2" name="Estimate Summary" state="visible" r:id="rId5"/>
    <sheet sheetId="3" name="Estimate vs IP FC Actuals" state="visible" r:id="rId6"/>
    <sheet sheetId="4" name="Advanced Controls" state="visible" r:id="rId7"/>
    <sheet sheetId="5" name="Service Add-Ons" state="visible" r:id="rId8"/>
    <sheet sheetId="6" name="Grouped Adjustments" state="visible" r:id="rId9"/>
    <sheet sheetId="7" name="Grouping Review" state="visible" r:id="rId10"/>
    <sheet sheetId="8" name="Implant Selection" state="visible" r:id="rId11"/>
    <sheet sheetId="9" name="Estimate Breakdown" state="visible" r:id="rId12"/>
    <sheet sheetId="10" name="Line Item Detail" state="visible" r:id="rId13"/>
    <sheet sheetId="11" name="Pharmacy Template" state="visible" r:id="rId14"/>
    <sheet sheetId="12" name="Service Template" state="visible" r:id="rId15"/>
    <sheet sheetId="13" name="Pharmacy Metrics" state="visible" r:id="rId16"/>
    <sheet sheetId="14" name="IP FC Actuals" state="visible" r:id="rId17"/>
    <sheet sheetId="15" name="Professional Fees Review" state="visible" r:id="rId18"/>
    <sheet sheetId="16" name="Reference" state="visible" r:id="rId19"/>
  </sheets>
  <calcPr calcId="171027" fullCalcOnLoad="1"/>
</workbook>
</file>

<file path=xl/sharedStrings.xml><?xml version="1.0" encoding="utf-8"?>
<sst xmlns="http://schemas.openxmlformats.org/spreadsheetml/2006/main" count="27062" uniqueCount="6386">
  <si>
    <t>FC Estimate Builder</t>
  </si>
  <si>
    <t>Procedure</t>
  </si>
  <si>
    <t>Robotic TKR Unilateral - Right</t>
  </si>
  <si>
    <t>Pricing Mode</t>
  </si>
  <si>
    <t>Cash / TR1</t>
  </si>
  <si>
    <t>Insurance Org Code</t>
  </si>
  <si>
    <t>Estimate Pricing</t>
  </si>
  <si>
    <t>Historical Payer Basis</t>
  </si>
  <si>
    <t>Auto (Recommended)</t>
  </si>
  <si>
    <t>Resolved Org Name</t>
  </si>
  <si>
    <t>Selected Room Type</t>
  </si>
  <si>
    <t>Single</t>
  </si>
  <si>
    <t>Resolved Payor Bucket</t>
  </si>
  <si>
    <t>Resolved Tariff Name</t>
  </si>
  <si>
    <t>Selected Estimate Mode</t>
  </si>
  <si>
    <t>Typical</t>
  </si>
  <si>
    <t>Resolved Tariff Code</t>
  </si>
  <si>
    <t>Resolved Pharmacy Basis</t>
  </si>
  <si>
    <t>Emergency OT?</t>
  </si>
  <si>
    <t>No</t>
  </si>
  <si>
    <t>MLC?</t>
  </si>
  <si>
    <t>Resolved Service Basis</t>
  </si>
  <si>
    <t>Clinical Drivers</t>
  </si>
  <si>
    <t>Resolved PF Basis</t>
  </si>
  <si>
    <t>Robotic?</t>
  </si>
  <si>
    <t>Yes</t>
  </si>
  <si>
    <t>Robotic Charge Presence Rate</t>
  </si>
  <si>
    <t>Basis Resolver</t>
  </si>
  <si>
    <t>Driver</t>
  </si>
  <si>
    <t>P25</t>
  </si>
  <si>
    <t>P50</t>
  </si>
  <si>
    <t>P75</t>
  </si>
  <si>
    <t>Selection</t>
  </si>
  <si>
    <t xml:space="preserve">Manual Value
(used only if Selection = Manual)</t>
  </si>
  <si>
    <t>Selected Value</t>
  </si>
  <si>
    <t>LOS</t>
  </si>
  <si>
    <t>Derived</t>
  </si>
  <si>
    <t>ICU Days</t>
  </si>
  <si>
    <t>Ward Days</t>
  </si>
  <si>
    <t>OT Hours</t>
  </si>
  <si>
    <t>Resolved OT Slot (Hours)</t>
  </si>
  <si>
    <t>Resolved OT Slot Code</t>
  </si>
  <si>
    <t>Resolved OT Slot Label</t>
  </si>
  <si>
    <t>Resolved OT Type</t>
  </si>
  <si>
    <t>How To Use</t>
  </si>
  <si>
    <t>1. Cash mode uses TR1 pricing. Insurance mode uses the tariff code resolved from the selected insurance organization.</t>
  </si>
  <si>
    <t>2. Historical Payer Basis can stay on Auto to resolve service, pharmacy, and PF reference cohorts separately, or be manually overridden for all three together.</t>
  </si>
  <si>
    <t>3. LOS is always derived as ICU Days + Ward Days. Manual Value is used only for ICU Days, Ward Days, or OT Hours when that row's Selection is set to Manual.</t>
  </si>
  <si>
    <t>4. Estimate Mode changes the amount band used downstream: Low = P25, Typical = P50, High = P75 for each eligible line item.</t>
  </si>
  <si>
    <t>5. OT pricing uses the nearest supported tariff OT slot from the selected OT duration and Emergency OT setting.</t>
  </si>
  <si>
    <t>6. Drug administration and insurance-excluded service items are automatically suppressed in insurance mode. Package details and patient-policy coverage are not applied in this workbook yet.</t>
  </si>
  <si>
    <t>7. Robotic charge is controlled from the Builder. When Robotic is Yes, all mapped robotic-charge rows are included; when No, they are fully excluded.</t>
  </si>
  <si>
    <t>8. MLC adds one tariff-backed MLC charge only when the MLC input is Yes. Use Advanced Controls, Implant Selection, Service Add-Ons, and Grouped Adjustments only when the default estimate needs refinement.</t>
  </si>
  <si>
    <t>9. Read the final estimate and bucket summary on Estimate Summary.</t>
  </si>
  <si>
    <t>Estimate Summary</t>
  </si>
  <si>
    <t>Selected Room</t>
  </si>
  <si>
    <t>Final Estimate</t>
  </si>
  <si>
    <t>How estimate mode works</t>
  </si>
  <si>
    <t>Low uses P25 amounts, Typical uses P50, and High uses P75. Driver rows change only if their own Selection or Manual value changes. OT uses the resolved tariff OT slot from the selected OT duration and Emergency OT setting. Insurance mode prices services from the selected org tariff and suppresses insurance-excluded rows.</t>
  </si>
  <si>
    <t>Room</t>
  </si>
  <si>
    <t>Low</t>
  </si>
  <si>
    <t>High</t>
  </si>
  <si>
    <t>Selected Drivers &amp; Controls</t>
  </si>
  <si>
    <t>Cohort Basis Counts</t>
  </si>
  <si>
    <t>General</t>
  </si>
  <si>
    <t>Selected LOS</t>
  </si>
  <si>
    <t>Selected Cohort Size</t>
  </si>
  <si>
    <t>Twin</t>
  </si>
  <si>
    <t>Selected ICU Days</t>
  </si>
  <si>
    <t>Cash Count</t>
  </si>
  <si>
    <t>Pharmacy Benchmark Basis</t>
  </si>
  <si>
    <t>Selected Ward Days</t>
  </si>
  <si>
    <t>GIPSA Count</t>
  </si>
  <si>
    <t>Selected OT Hours</t>
  </si>
  <si>
    <t>Non-GIPSA Count</t>
  </si>
  <si>
    <t>Corporate Count</t>
  </si>
  <si>
    <t>Bucket</t>
  </si>
  <si>
    <t>Selected Estimate</t>
  </si>
  <si>
    <t>Resolved OT Slot Hours</t>
  </si>
  <si>
    <t>Room Charges</t>
  </si>
  <si>
    <t>Pharmacy P50 by Basis</t>
  </si>
  <si>
    <t>Investigations</t>
  </si>
  <si>
    <t>Cash</t>
  </si>
  <si>
    <t>GIPSA</t>
  </si>
  <si>
    <t>Non-GIPSA</t>
  </si>
  <si>
    <t>Corporate</t>
  </si>
  <si>
    <t>Insurance All</t>
  </si>
  <si>
    <t>All Payers</t>
  </si>
  <si>
    <t>Procedure / OT Charges</t>
  </si>
  <si>
    <t>IP Drugs / Day</t>
  </si>
  <si>
    <t>Bedside Services</t>
  </si>
  <si>
    <t>OT Consumables Selected Typical</t>
  </si>
  <si>
    <t>IP Consumables / Day</t>
  </si>
  <si>
    <t>Pharmacy</t>
  </si>
  <si>
    <t>Implants Selected Typical</t>
  </si>
  <si>
    <t>OT Drugs</t>
  </si>
  <si>
    <t>Drug Administration Charges</t>
  </si>
  <si>
    <t>Optional Add-Ons Selected Typical</t>
  </si>
  <si>
    <t>OT Consumables</t>
  </si>
  <si>
    <t>Professional Fees</t>
  </si>
  <si>
    <t>Grouped Adjustments Selected Typical</t>
  </si>
  <si>
    <t>Implants</t>
  </si>
  <si>
    <t>Optional Add-Ons</t>
  </si>
  <si>
    <t>Grouped Adjustments Included Count</t>
  </si>
  <si>
    <t>Grand Total</t>
  </si>
  <si>
    <t>Professional Fees (Historic Basis P50)</t>
  </si>
  <si>
    <t>Grand Total (Historic PF)</t>
  </si>
  <si>
    <t>Service Count Check</t>
  </si>
  <si>
    <t>Selected Basis PF Mix</t>
  </si>
  <si>
    <t>Professional Fees by Payer</t>
  </si>
  <si>
    <t>Current Included</t>
  </si>
  <si>
    <t>PF Bucket</t>
  </si>
  <si>
    <t>Note</t>
  </si>
  <si>
    <t>Payer</t>
  </si>
  <si>
    <t>Cases</t>
  </si>
  <si>
    <t>Historical P25</t>
  </si>
  <si>
    <t>Collectible Historical PF</t>
  </si>
  <si>
    <t>Total collectible PF</t>
  </si>
  <si>
    <t>Historical P50</t>
  </si>
  <si>
    <t>Named PF</t>
  </si>
  <si>
    <t>Named doctor rows</t>
  </si>
  <si>
    <t>GIPSA Insurance</t>
  </si>
  <si>
    <t>Historical P75</t>
  </si>
  <si>
    <t>General Needed PF</t>
  </si>
  <si>
    <t>General-needed rows</t>
  </si>
  <si>
    <t>Non-GIPSA Insurance</t>
  </si>
  <si>
    <t>Alert</t>
  </si>
  <si>
    <t>Surgeon Named</t>
  </si>
  <si>
    <t>Named surgeon rows</t>
  </si>
  <si>
    <t>Assistant Surgeon Named</t>
  </si>
  <si>
    <t>Named assistant surgeon rows</t>
  </si>
  <si>
    <t>Anesthetist Named</t>
  </si>
  <si>
    <t>Named anesthetist rows</t>
  </si>
  <si>
    <t>Assistant Anesthetist Named</t>
  </si>
  <si>
    <t>Named assistant anesthetist rows</t>
  </si>
  <si>
    <t>Consultant / Physician Named</t>
  </si>
  <si>
    <t>Named consultant/physician rows</t>
  </si>
  <si>
    <t>Selected Basis PF Shape</t>
  </si>
  <si>
    <t>IP FC Actuals Selected-Basis Snapshot</t>
  </si>
  <si>
    <t>Field</t>
  </si>
  <si>
    <t>Basis</t>
  </si>
  <si>
    <t>Notes</t>
  </si>
  <si>
    <t>LOS Days</t>
  </si>
  <si>
    <t>Service Line Count</t>
  </si>
  <si>
    <t>Room Charges / Day</t>
  </si>
  <si>
    <t>IP Drugs</t>
  </si>
  <si>
    <t>IP Consumables</t>
  </si>
  <si>
    <t>Pharmacy Total</t>
  </si>
  <si>
    <t>Professional Fees (Historic Basis PF)</t>
  </si>
  <si>
    <t>Collectible historical PF reference from the selected PF payer basis.</t>
  </si>
  <si>
    <t>Total Amount ex F&amp;B, Returns, plus Drug Admin</t>
  </si>
  <si>
    <t>Component-mix comparator when auto basis differs across service, pharmacy, and PF.</t>
  </si>
  <si>
    <t>Estimate vs IP FC Actuals</t>
  </si>
  <si>
    <t>Compares the current estimate against basis-aligned historical actuals. Service buckets use the resolved service basis, pharmacy and drug administration use the resolved pharmacy basis, and professional fees use the resolved PF basis.</t>
  </si>
  <si>
    <t>Metric</t>
  </si>
  <si>
    <t>Comparison Basis</t>
  </si>
  <si>
    <t>Actual P25</t>
  </si>
  <si>
    <t>Actual P50</t>
  </si>
  <si>
    <t>Actual P75</t>
  </si>
  <si>
    <t>Delta vs P25</t>
  </si>
  <si>
    <t>Delta vs P50</t>
  </si>
  <si>
    <t>Delta vs P75</t>
  </si>
  <si>
    <t>Status</t>
  </si>
  <si>
    <t>Professional Fees (Calculated)</t>
  </si>
  <si>
    <t>Grand Total (Calculated PF)</t>
  </si>
  <si>
    <t>Selected</t>
  </si>
  <si>
    <t>Component Cohort</t>
  </si>
  <si>
    <t>Resolved Basis</t>
  </si>
  <si>
    <t>Cases Used</t>
  </si>
  <si>
    <t>Scope</t>
  </si>
  <si>
    <t>Service Actual Cohort</t>
  </si>
  <si>
    <t>Service buckets and LOS/ICU/ward/OT service-context metrics</t>
  </si>
  <si>
    <t>Pharmacy Actual Cohort</t>
  </si>
  <si>
    <t>Pharmacy buckets, per-day pharmacy metrics, and drug administration</t>
  </si>
  <si>
    <t>PF Actual Cohort</t>
  </si>
  <si>
    <t>Professional-fee comparison rows, including historic PF reference</t>
  </si>
  <si>
    <t>1. Robotic-charge rows are controlled from the Builder, not from Service Add-Ons. Generic non-robotic variants leave that control blank or No unless the user explicitly includes robotic charges.</t>
  </si>
  <si>
    <t>2. OT Consumables show historical P25 / P50 / P75 anchors separately. The applied resolved value defaults to historical P50 and only changes when Advanced Controls selections intentionally change it.</t>
  </si>
  <si>
    <t>3. Pharmacy comparison is split into IP drugs, IP consumables, OT drugs, OT consumables, implants, and the rolled-up pharmacy total. LOS-linked pharmacy rows also show per-day comparators.</t>
  </si>
  <si>
    <t>4. Drug Administration Charges are shown separately so Bedside Services compares cleanly against historical bedside actuals.</t>
  </si>
  <si>
    <t>5. Grand Total (Historic PF) swaps the calculated PF estimate for the selected-basis collectible historical PF reference.</t>
  </si>
  <si>
    <t>6. Case counts are shown at the service / pharmacy / PF component-basis level because all rows inside each component share the same resolved historical cohort.</t>
  </si>
  <si>
    <t>Advanced Controls</t>
  </si>
  <si>
    <t>Adjust only the OT consumables portion here. Implant overrides are handled on the Implant Selection sheet. Service add-ons are handled on the Service Add-Ons sheet.</t>
  </si>
  <si>
    <t>OT consumables: benchmark anchors stay fixed at cohort P25 / P50 / P75. The resolved applied value defaults to historical P50 when no shortlist items are selected, then moves by expected-contribution bands from the shortlist below: &lt;=30% stays at P25, 30% to 50% uses P50, and &gt;50% uses P75.</t>
  </si>
  <si>
    <t>OT Consumables Benchmark</t>
  </si>
  <si>
    <t>Resolved OT Consumables</t>
  </si>
  <si>
    <t>Applied Value</t>
  </si>
  <si>
    <t>Item</t>
  </si>
  <si>
    <t>Typical Qty</t>
  </si>
  <si>
    <t>Typical Rate</t>
  </si>
  <si>
    <t>Typical Amount</t>
  </si>
  <si>
    <t>Presence Rate</t>
  </si>
  <si>
    <t>Expected Contribution</t>
  </si>
  <si>
    <t>Cumulative Share</t>
  </si>
  <si>
    <t>PURESIGHT ARRAY SET KNEE(4515-70-011-DEPUY)</t>
  </si>
  <si>
    <t>Exclude</t>
  </si>
  <si>
    <t>MAKO DRAPE KIT(PRYMAX)</t>
  </si>
  <si>
    <t>STERILE DRAPE KIT(4515-70-018-DEPUY)</t>
  </si>
  <si>
    <t>STERILE DRAPE KIT(4515-70-008-DEPUY)</t>
  </si>
  <si>
    <t>OSCILLATING SAW BLADE 85MMX19X2MM(4515-70-000-DEPUY)</t>
  </si>
  <si>
    <t>MICS SAGITTAL BLADE STANDARD(116170-STRYKER)</t>
  </si>
  <si>
    <t>STRATAFIX 1 SXPP1A203(ETHICON)</t>
  </si>
  <si>
    <t>116171 MICS SAGITTAL BLADE NARROW</t>
  </si>
  <si>
    <t>107120 MAKO VIZADISCS</t>
  </si>
  <si>
    <t>CORK SCREW FT-2 5.5MM WITH NEEDLE 16.3MM(AR-1928SNF-2-ARTHREX)</t>
  </si>
  <si>
    <t>Service Add-Ons</t>
  </si>
  <si>
    <t>Include only the service items that are clinically expected for this case. Rows are prioritized by expected historical contribution first, then presence rate, so the most likely and financially meaningful add-ons appear first.</t>
  </si>
  <si>
    <t>Service Line Count Alert</t>
  </si>
  <si>
    <t>Service Name</t>
  </si>
  <si>
    <t>Grouping</t>
  </si>
  <si>
    <t>Qty P25</t>
  </si>
  <si>
    <t>Qty P50</t>
  </si>
  <si>
    <t>Qty P75</t>
  </si>
  <si>
    <t>Selected Tariff Rate</t>
  </si>
  <si>
    <t>Typical Gross</t>
  </si>
  <si>
    <t>Low Amt</t>
  </si>
  <si>
    <t>Typical Amt</t>
  </si>
  <si>
    <t>High Amt</t>
  </si>
  <si>
    <t>Code</t>
  </si>
  <si>
    <t>FIBRINOGEN</t>
  </si>
  <si>
    <t>Coagulation Tests</t>
  </si>
  <si>
    <t>BIO0106</t>
  </si>
  <si>
    <t>CORTISOL</t>
  </si>
  <si>
    <t>Hormone Tests</t>
  </si>
  <si>
    <t>BIO0181</t>
  </si>
  <si>
    <t>Base Included Non-Pharmacy Count</t>
  </si>
  <si>
    <t>GRBS</t>
  </si>
  <si>
    <t>GRBS Monitoring</t>
  </si>
  <si>
    <t>EME0020</t>
  </si>
  <si>
    <t>Selected Optional Count</t>
  </si>
  <si>
    <t>CRP</t>
  </si>
  <si>
    <t>Inflammatory Marker Tests</t>
  </si>
  <si>
    <t>BIO0121</t>
  </si>
  <si>
    <t>Current Included Non-Pharmacy Count</t>
  </si>
  <si>
    <t>PACKED RED BLOOD CELLS</t>
  </si>
  <si>
    <t>Blood Bank Services</t>
  </si>
  <si>
    <t>BLD0024</t>
  </si>
  <si>
    <t>OXYGEN PER DAY</t>
  </si>
  <si>
    <t>Oxygen / HFNT Charges</t>
  </si>
  <si>
    <t>EME0016</t>
  </si>
  <si>
    <t>EVMS - ENHANCED VITALS MONITORING SYSTEM (DOZEE)</t>
  </si>
  <si>
    <t>Patient Monitoring</t>
  </si>
  <si>
    <t>EME5045</t>
  </si>
  <si>
    <t>NEBULIZATION PER DAY</t>
  </si>
  <si>
    <t>Nebulization Charges</t>
  </si>
  <si>
    <t>EME0052</t>
  </si>
  <si>
    <t>ESR</t>
  </si>
  <si>
    <t>Haematology Counts</t>
  </si>
  <si>
    <t>PAT0007</t>
  </si>
  <si>
    <t>SYRINGE PUMP PER DAY</t>
  </si>
  <si>
    <t>Syringe Pump Charges</t>
  </si>
  <si>
    <t>EME0018</t>
  </si>
  <si>
    <t>FOLEY'S CATHETERIZATION</t>
  </si>
  <si>
    <t>Catheterization / Cannulation</t>
  </si>
  <si>
    <t>EME0080</t>
  </si>
  <si>
    <t>TROPONIN-I</t>
  </si>
  <si>
    <t>Cardiac Marker Tests</t>
  </si>
  <si>
    <t>BIO0098</t>
  </si>
  <si>
    <t>TRANSFUSION</t>
  </si>
  <si>
    <t>Blood Transfusion</t>
  </si>
  <si>
    <t>EME0088</t>
  </si>
  <si>
    <t>PRE ANAESTHETIST CHECK</t>
  </si>
  <si>
    <t>Pre-Anaesthesia Check</t>
  </si>
  <si>
    <t>ANS0003</t>
  </si>
  <si>
    <t>THYROID PROFILE</t>
  </si>
  <si>
    <t>Thyroid Tests</t>
  </si>
  <si>
    <t>BIO0097</t>
  </si>
  <si>
    <t>CROSS MATCHING</t>
  </si>
  <si>
    <t>BLD0009</t>
  </si>
  <si>
    <t>ABG (ARTERIAL BLOOD GASES)</t>
  </si>
  <si>
    <t>Blood Gas Analysis</t>
  </si>
  <si>
    <t>BIO0064</t>
  </si>
  <si>
    <t>X-RAY AP VIEW (BEDSIDE)</t>
  </si>
  <si>
    <t>X-Ray / Fluoroscopy</t>
  </si>
  <si>
    <t>XRY044</t>
  </si>
  <si>
    <t>PHYSIOTHERAPY CONSULTATION</t>
  </si>
  <si>
    <t>Consultation Charges</t>
  </si>
  <si>
    <t>PHY5076</t>
  </si>
  <si>
    <t>CBC (COMPLETE BLOOD COUNT)</t>
  </si>
  <si>
    <t>PAT0078</t>
  </si>
  <si>
    <t>FBS (FASTING PLASMA GLUCOSE)</t>
  </si>
  <si>
    <t>Diabetes / Glucose Tests</t>
  </si>
  <si>
    <t>BIO0075</t>
  </si>
  <si>
    <t>POTASSIUM</t>
  </si>
  <si>
    <t>Renal Function / Electrolytes</t>
  </si>
  <si>
    <t>BIO0005</t>
  </si>
  <si>
    <t>BLOOD GROUP AND RH (D) TYPING</t>
  </si>
  <si>
    <t>BLD0001</t>
  </si>
  <si>
    <t>ECG</t>
  </si>
  <si>
    <t>CAR0080</t>
  </si>
  <si>
    <t>CUE (COMPLETE URINE EXAMINATION)</t>
  </si>
  <si>
    <t>Urine Tests</t>
  </si>
  <si>
    <t>PAT0041</t>
  </si>
  <si>
    <t>PSYCHOLOGIST COUNSELLING</t>
  </si>
  <si>
    <t>Psychology / Counselling</t>
  </si>
  <si>
    <t>PSY0036</t>
  </si>
  <si>
    <t>X-RAY SCANOGRAM (ACADEMIC CASES)</t>
  </si>
  <si>
    <t>XRY5133</t>
  </si>
  <si>
    <t>Grouped Adjustments</t>
  </si>
  <si>
    <t>Grouped adjustments complete common high-presence service groups without double counting. Auto groups (&gt;90% presence) start included; optional groups (75% to &lt;90%) start excluded. Any selected child add-ons from the same grouping automatically reduce the grouped residual.</t>
  </si>
  <si>
    <t>Included Rows</t>
  </si>
  <si>
    <t>FC Bucket</t>
  </si>
  <si>
    <t>Group Presence Rate</t>
  </si>
  <si>
    <t>Group Amount P25 Exact</t>
  </si>
  <si>
    <t>Group Amount P50 Exact</t>
  </si>
  <si>
    <t>Group Amount P75 Exact</t>
  </si>
  <si>
    <t>Captured By Default</t>
  </si>
  <si>
    <t>Selected Add-On Amount</t>
  </si>
  <si>
    <t>Net Residual Low</t>
  </si>
  <si>
    <t>Net Residual Typical</t>
  </si>
  <si>
    <t>Net Residual High</t>
  </si>
  <si>
    <t>Selected Amount</t>
  </si>
  <si>
    <t>Why</t>
  </si>
  <si>
    <t>Include</t>
  </si>
  <si>
    <t>Auto common-case residual</t>
  </si>
  <si>
    <t>Grouping Review</t>
  </si>
  <si>
    <t>This review sheet highlights only high-presence service groups where the current FC default estimate does not fully capture the group’s exact P50 case amount. It is an audit layer only and does not change estimate totals.</t>
  </si>
  <si>
    <t>Captured by Default</t>
  </si>
  <si>
    <t>Left Out vs P50</t>
  </si>
  <si>
    <t>material_gap</t>
  </si>
  <si>
    <t>Grouping Child Detail</t>
  </si>
  <si>
    <t>These child rows are shown only for flagged groups so you can see what made it into the FC default and what stayed out.</t>
  </si>
  <si>
    <t>Item Code</t>
  </si>
  <si>
    <t>Item Name</t>
  </si>
  <si>
    <t>Made It To FC Default</t>
  </si>
  <si>
    <t>Why Not Default</t>
  </si>
  <si>
    <t>PAT0042</t>
  </si>
  <si>
    <t>CBP (COMPLETE BLOOD PICTURE)</t>
  </si>
  <si>
    <t>default_included</t>
  </si>
  <si>
    <t>PAT0045</t>
  </si>
  <si>
    <t>HAEMOGLOBIN</t>
  </si>
  <si>
    <t>below_presence_threshold</t>
  </si>
  <si>
    <t>Implant Selection</t>
  </si>
  <si>
    <t>Family List</t>
  </si>
  <si>
    <t>Brand List</t>
  </si>
  <si>
    <t>Item List</t>
  </si>
  <si>
    <t>Family</t>
  </si>
  <si>
    <t>Presence</t>
  </si>
  <si>
    <t>Rate P25</t>
  </si>
  <si>
    <t>Rate P50</t>
  </si>
  <si>
    <t>Amount P50</t>
  </si>
  <si>
    <t>Brand</t>
  </si>
  <si>
    <t>Brand Key</t>
  </si>
  <si>
    <t>Use this sheet only if you want to override the default implant estimate.</t>
  </si>
  <si>
    <t>All</t>
  </si>
  <si>
    <t>None</t>
  </si>
  <si>
    <t>Femoral Component</t>
  </si>
  <si>
    <t>ATTUNE</t>
  </si>
  <si>
    <t>Femoral Component|ATTUNE</t>
  </si>
  <si>
    <t>ATTM83</t>
  </si>
  <si>
    <t>ATTUNE FEMORAL C/R CEMENTED RIGHT SEZE 3(1504-00-203-DEPUY)</t>
  </si>
  <si>
    <t>Default P50 uses the cohort-typical implant estimate. Family, Brand, and Exact Item overrides change only the implant portion of the estimate.</t>
  </si>
  <si>
    <t>Tibial Insert / Bearing</t>
  </si>
  <si>
    <t>RESTORIS MCK</t>
  </si>
  <si>
    <t>Femoral Component|RESTORIS MCK</t>
  </si>
  <si>
    <t>ATTM161</t>
  </si>
  <si>
    <t>ATTUNE FEMORAL COMPONENT CEMENTED CRUCIATE RETAINING RIGHT 2(1504-00-202-DEPUY SYNTHES)</t>
  </si>
  <si>
    <t>Implant Estimate Mode</t>
  </si>
  <si>
    <t>Default P50</t>
  </si>
  <si>
    <t>Accessory Hardware</t>
  </si>
  <si>
    <t>Bone Cement</t>
  </si>
  <si>
    <t>TRIATHLON</t>
  </si>
  <si>
    <t>Femoral Component|TRIATHLON</t>
  </si>
  <si>
    <t>ATTM97</t>
  </si>
  <si>
    <t>ATTUNE FEMORAL COMPONENT CEMENTED CRUCIATE RETAINING RIGHT 4 NARROW(1504-00-224-DEPUY SYNTHES)</t>
  </si>
  <si>
    <t>Selected Family</t>
  </si>
  <si>
    <t>Other</t>
  </si>
  <si>
    <t>Tibial Baseplate</t>
  </si>
  <si>
    <t>Tibial Insert / Bearing|ATTUNE</t>
  </si>
  <si>
    <t>ATTM84</t>
  </si>
  <si>
    <t>ATTUNE FEMORAL COMPONENT CEMENTED CRUCIATE RETAINING RIGHT 4(1504-00-204-DEPUY SYNTHES)</t>
  </si>
  <si>
    <t>Selected Brand</t>
  </si>
  <si>
    <t>Resolved Implant Estimate</t>
  </si>
  <si>
    <t>Stem / Extension</t>
  </si>
  <si>
    <t>Tibial Insert / Bearing|RESTORIS MCK</t>
  </si>
  <si>
    <t>ATTM85</t>
  </si>
  <si>
    <t>ATTUNE FEMORAL COMPONENT CEMENTED CRUCIATE RETAINING RIGHT 5(1504-00-205-DEPUY SYNTHES)</t>
  </si>
  <si>
    <t>Selected Item Code</t>
  </si>
  <si>
    <t>SIMPLEX</t>
  </si>
  <si>
    <t>Screw</t>
  </si>
  <si>
    <t>Tibial Insert / Bearing|TRIATHLON</t>
  </si>
  <si>
    <t>ATTM86</t>
  </si>
  <si>
    <t>ATTUNE FEMORAL COMPONENT CEMENTED CRUCIATE RETAINING RIGHT 6(1504-00-206-DEPUY SYNTHES)</t>
  </si>
  <si>
    <t>SMARTSET</t>
  </si>
  <si>
    <t>Pin</t>
  </si>
  <si>
    <t>Bone Cement|SIMPLEX</t>
  </si>
  <si>
    <t>RESM71</t>
  </si>
  <si>
    <t>RESTORIS MCK FEMORAL COMPONENT RIGHT MEDIAL LEFT LATERAL KNEE 4(180514-STRYKER CORP)</t>
  </si>
  <si>
    <t>Bone Cement|SMARTSET</t>
  </si>
  <si>
    <t>RESM68</t>
  </si>
  <si>
    <t>RESTORIS MCK FEMORAL COMPONET RM/LL SIZE-1(180511-STRYKER)</t>
  </si>
  <si>
    <t>Family Summary</t>
  </si>
  <si>
    <t>Brand View</t>
  </si>
  <si>
    <t>Tibial Baseplate|ATTUNE</t>
  </si>
  <si>
    <t>RESM69</t>
  </si>
  <si>
    <t>RESTORIS MCK FEMORAL COMPONET RM/LL SIZE-2(180512-STRYKER)</t>
  </si>
  <si>
    <t>Rate P75</t>
  </si>
  <si>
    <t>Matches Family</t>
  </si>
  <si>
    <t>Tibial Baseplate|Other</t>
  </si>
  <si>
    <t>RESM70</t>
  </si>
  <si>
    <t>RESTORIS MCK FEMORAL COMPONET RM/LL SIZE-3(180513-STRYKER)</t>
  </si>
  <si>
    <t>Tibial Baseplate|RESTORIS MCK</t>
  </si>
  <si>
    <t>TRIM131</t>
  </si>
  <si>
    <t>5510F202 TRIATHLON -CR FEM CEMENT RIGHT 2</t>
  </si>
  <si>
    <t>Tibial Baseplate|TRIATHLON</t>
  </si>
  <si>
    <t>TRIM132</t>
  </si>
  <si>
    <t>5510F402 TRIATHLON CR FEMORAL CEMENT RIGHT 4</t>
  </si>
  <si>
    <t>Stem / Extension|ATTUNE</t>
  </si>
  <si>
    <t>TRIM122</t>
  </si>
  <si>
    <t>TRIATHLON CR FEMORAL CEMENT RIGHT-3(5510F302-STRYKER)</t>
  </si>
  <si>
    <t>Stem / Extension|TRIATHLON</t>
  </si>
  <si>
    <t>TRIM133</t>
  </si>
  <si>
    <t>TRIATHLON FEMORAL COMPONENT CEMENTED CRUCIATE RETAINING RIGHT TRITANIUM 5(5510-F-502-STRYKER CORP)</t>
  </si>
  <si>
    <t>Screw|Accessory Hardware</t>
  </si>
  <si>
    <t>TRIM108</t>
  </si>
  <si>
    <t>TRIATHLON FEMORAL COMPONENT CRUCIATE RETAINING CEMENTED PRIMARY REFERENCING RIGHT KNEE TRITANIUM 3(5510F302-STRYKER CORP)</t>
  </si>
  <si>
    <t>Pin|Accessory Hardware</t>
  </si>
  <si>
    <t>ATTM223</t>
  </si>
  <si>
    <t>ATTUNE KNEE SYSTEM TIBIAL INSERT FIXED BEARING MEDIAL STABILIZED RIGHT SIZE 4MM*6MM(1520-20-406-DEPUY)</t>
  </si>
  <si>
    <t>ATTM208</t>
  </si>
  <si>
    <t>ATTUNE KNEE SYSTEM TIBIAL INSERT FIXED BEARING MEDIAL STABILIZED RIGHT SIZE AOX 6MM*6MM(1520-20-606-DEPUY)</t>
  </si>
  <si>
    <t>ATTM232</t>
  </si>
  <si>
    <t>ATTUNE KNEE SYSTEM TIBIAL INSERT FIXED BEARING MEDIAL STABILIZED RIGHTSIZE 3MM X 7MM(1520-20-307-DEPUY)</t>
  </si>
  <si>
    <t>ATTM221</t>
  </si>
  <si>
    <t>ATTUNE KNEE SYSTEM TIBIAL INSERT FIXED BEARING MEDIAL STABILIZED RIGHTSIZE 5MM X 10MM(1520-20-510-DEPUY)</t>
  </si>
  <si>
    <t>ATTM106</t>
  </si>
  <si>
    <t>ATTUNE TIBIAL INSERT F/B CRUCIATE RETAINING 3MM*6MM(1516-20-306-DEPUY)</t>
  </si>
  <si>
    <t>ATTM101</t>
  </si>
  <si>
    <t>ATTUNE TIBIAL INSERT FIXED BEARING CRUCIATE RETAINING AOX 2 6MM(1516-20-206-DEPUY SYNTHES)</t>
  </si>
  <si>
    <t>ATTM108</t>
  </si>
  <si>
    <t>ATTUNE TIBIAL INSERT FIXED BEARING CRUCIATE RETAINING AOX 3 8MM(1516-20-308-DEPUY SYNTHES)</t>
  </si>
  <si>
    <t>ATTM110</t>
  </si>
  <si>
    <t>ATTUNE TIBIAL INSERT FIXED BEARING CRUCIATE RETAINING AOX 4 5MM(1516-20-405-DEPUY SYNTHES)</t>
  </si>
  <si>
    <t>ATTM111</t>
  </si>
  <si>
    <t>ATTUNE TIBIAL INSERT FIXED BEARING CRUCIATE RETAINING AOX 4 6MM(1516-20-406-DEPUY SYNTHES)</t>
  </si>
  <si>
    <t>Exact Item View</t>
  </si>
  <si>
    <t>ATTM115</t>
  </si>
  <si>
    <t>ATTUNE TIBIAL INSERT FIXED BEARING CRUCIATE RETAINING AOX 5 5MM(1516-20-505-DEPUY SYNTHES)</t>
  </si>
  <si>
    <t>Matches Selection</t>
  </si>
  <si>
    <t>RESM87</t>
  </si>
  <si>
    <t>1807031 RESTORIS MCK TIBIAL INSERT 3 X 8MM</t>
  </si>
  <si>
    <t>MCKM01</t>
  </si>
  <si>
    <t>MCK ONLAY TIBIAL INSERT SIZE 1MM*9MM(180701-2-STRYKER)</t>
  </si>
  <si>
    <t>RESM100</t>
  </si>
  <si>
    <t>RESTORIS MCK TIBIAL ONLAY INSERT SIZE-2MM*09MM(180702-2-STRYKER)</t>
  </si>
  <si>
    <t>RESM88</t>
  </si>
  <si>
    <t>RESTORIS TIBIAL INSERT MULTI COMPARTMENTAL ONLAY KNEE 4 9MM(180704-2-STRYKER CORP)</t>
  </si>
  <si>
    <t>TRIM157</t>
  </si>
  <si>
    <t>5531G409E TRIATHLON X3 TIBIAL BEARING INSERT CS 4 X 9 MM</t>
  </si>
  <si>
    <t>TRIM153</t>
  </si>
  <si>
    <t>TRIATHLON INSERT CS X3 2*11MM(5531G211-STRYKER)</t>
  </si>
  <si>
    <t>TRIM151</t>
  </si>
  <si>
    <t>TRIATHLON INSERT CS X31MM*11MM(5531G111-STRYKER)</t>
  </si>
  <si>
    <t>TRIM355</t>
  </si>
  <si>
    <t>TRIATHLON TIBIAL INSERT CRUCIATE STABILIZED BEARING KNEE X3 3 10MM(5531-G-310-E-STRYKER CORP)</t>
  </si>
  <si>
    <t>TRIM358</t>
  </si>
  <si>
    <t>TRIATHLON TIBIAL INSERT CRUCIATE STABILIZED BEARING KNEE X3 5 10MM(5531-G-510-E-STRYKER CORP)</t>
  </si>
  <si>
    <t>TRIM114</t>
  </si>
  <si>
    <t>TRIATHLON TIBIAL INSERT CRUCIATE SUBSTITUTING BEARING KNEE X3 2 9MM(5531-G-209-E-STRYKER CORP)</t>
  </si>
  <si>
    <t>TRIM158</t>
  </si>
  <si>
    <t>TRIATHLON TIBIAL INSERT CRUCIATE SUBSTITUTING BEARING KNEE X3 4 11MM(5531-G-411-E-STRYKER CORP)</t>
  </si>
  <si>
    <t>TRIM110</t>
  </si>
  <si>
    <t>TRIATHLON X3 TIBIAL BEARING INSERT CS SIZE-3*9MM(5531G309E-STRYKER)</t>
  </si>
  <si>
    <t>SIMM01</t>
  </si>
  <si>
    <t>SIMPLEX BONE CEMENT 40 GR [6191-0-001]</t>
  </si>
  <si>
    <t>BONM151</t>
  </si>
  <si>
    <t>SIMPLEX P BONE CEMENT 40GM(6191-0-001-STRYKER CORP)</t>
  </si>
  <si>
    <t>SIMM30</t>
  </si>
  <si>
    <t>SIMPLEX PALCOS BONE CEMENT(61910001-STRYKER)</t>
  </si>
  <si>
    <t>SMAM40</t>
  </si>
  <si>
    <t>SMART SET GHV GENTAMICIAN 40GRM(3095-040-DEPUY)</t>
  </si>
  <si>
    <t>ATTM169</t>
  </si>
  <si>
    <t>ATTUNE KNEE SYSTEM REVISION TIBIAL BASE FIXED BEARING CEMENTED SIZE 2MM(1506-40-002-DEPUY)</t>
  </si>
  <si>
    <t>ATTM138</t>
  </si>
  <si>
    <t>ATTUNE TIBIAL BASEPLATE FIXED BEARING CEMENTED 4MM(1506-70-004-JOHNSON &amp; JOHNSON)</t>
  </si>
  <si>
    <t>ATTM27</t>
  </si>
  <si>
    <t>ATTUNE TIBIAL BASEPLATE FIXED BEARING CEMENTED 5MM(1506-70-005-DEPUY SYNTHES)</t>
  </si>
  <si>
    <t>ATTM168</t>
  </si>
  <si>
    <t>ATTUNE TIBIAL BASEPLATE FIXED BEARING REVISION CEMENTED CONSTRAINED KNEE 3(1506-40-003-DEPUY SYNTHES)</t>
  </si>
  <si>
    <t>ATTM176</t>
  </si>
  <si>
    <t>ORTHOPAEDIC BEARING TIBIAL BASE FIXED CEMENTED KNEE SYSTEM REVISION 6MM(1506-40-006-DEPUY SYNTHES)</t>
  </si>
  <si>
    <t>RESM79</t>
  </si>
  <si>
    <t>RESTORIS MCK TIBIAL BASE PLATE RM/LL SIZE-1(180611-STRYKER)</t>
  </si>
  <si>
    <t>RESM80</t>
  </si>
  <si>
    <t>RESTORIS MCK TIBIAL BASE PLATE RM/LL SIZE-2(180612-STRYKER)</t>
  </si>
  <si>
    <t>RESM81</t>
  </si>
  <si>
    <t>RESTORIS MCK TIBIAL BASE PLATE RM/LL SIZE-3(180613-STRYKER)</t>
  </si>
  <si>
    <t>RESM82</t>
  </si>
  <si>
    <t>RESTORIS MCK TIBIAL BASEPLATE ONLAY RIGHT MEDIAL LEFT LATERAL 4(180614-STRYKER CORP)</t>
  </si>
  <si>
    <t>TRIM184</t>
  </si>
  <si>
    <t>5520B400 TRIATHLON TIBIA BP CEMENTED SIZE 4</t>
  </si>
  <si>
    <t>TRIM185</t>
  </si>
  <si>
    <t>5521B100 TRIATHLON TOT KNEE UNIVERSAL TIB BASE PLATE (STRYKER)</t>
  </si>
  <si>
    <t>TRIM187</t>
  </si>
  <si>
    <t>5521B200 TRIATHLON UNIVERSAL BP 2(STRYKER)</t>
  </si>
  <si>
    <t>TRIM188</t>
  </si>
  <si>
    <t>5521B300 TRIATHLON UNIVERSAL BP 3(STRYKER)</t>
  </si>
  <si>
    <t>TRIM189</t>
  </si>
  <si>
    <t>TRIATHLON TIBIAL BASEPLATE CEMENTED TOTAL KNEE UNIVERSAL 4(5521-B-400-STRYKER CORP)</t>
  </si>
  <si>
    <t>TRIM191</t>
  </si>
  <si>
    <t>TRIATHLON TIBIAL BASEPLATE PRIMARY CEMENTED STERILE 5(5520-B-500-STRYKER CORP)</t>
  </si>
  <si>
    <t>ATTM164</t>
  </si>
  <si>
    <t>ATTUNE TIBIAL BASEPLATE STEMMABLE CEMENTED KNEE 4MM(1506-40-004-DEPUY SYNTHES)</t>
  </si>
  <si>
    <t>TRIM197</t>
  </si>
  <si>
    <t>5560S112 TRIATHLON TOTAL KNEE CEMENTED STEM 12MM X 50 MM</t>
  </si>
  <si>
    <t>TRIM196</t>
  </si>
  <si>
    <t>TRIATHLON TS FEMORAL STEM CEMENTED KNEE TITANIUM 12X100MM(5560-S-212-STRYKER CORP)</t>
  </si>
  <si>
    <t>CORM9076</t>
  </si>
  <si>
    <t>CORTICAL SCREW SLF TAPP 3.5MM*20MM 20TPI(A458000020-PITKAR)</t>
  </si>
  <si>
    <t>LOCM2609</t>
  </si>
  <si>
    <t>LOCKING SCREW SELF-TAPPING 3.5X26MM(AI07100026-PITKAR ORTHOTOOLS PVT LTD)</t>
  </si>
  <si>
    <t>ARRU07</t>
  </si>
  <si>
    <t>ARRAY DRILL PIN 175MM*4MM(4515-70-006-DEPUY)</t>
  </si>
  <si>
    <t>BONM229</t>
  </si>
  <si>
    <t>BONE PIN 3.2MM*140MM(143140/213527-STRYKER)</t>
  </si>
  <si>
    <t>Estimate Breakdown</t>
  </si>
  <si>
    <t>This sheet shows the currently selected estimate only. Use Line Item Detail if you need the full low / typical / high mechanics.</t>
  </si>
  <si>
    <t>Line Item</t>
  </si>
  <si>
    <t>Summary Bucket</t>
  </si>
  <si>
    <t>Sub-Bucket</t>
  </si>
  <si>
    <t>Source Type</t>
  </si>
  <si>
    <t>How Calculated</t>
  </si>
  <si>
    <t>Included?</t>
  </si>
  <si>
    <t>Selected Quantity</t>
  </si>
  <si>
    <t>Selected Rate</t>
  </si>
  <si>
    <t>Parent Bucket</t>
  </si>
  <si>
    <t>Source</t>
  </si>
  <si>
    <t>How</t>
  </si>
  <si>
    <t>Selected Qty</t>
  </si>
  <si>
    <t>Qty Low</t>
  </si>
  <si>
    <t>Qty Typical</t>
  </si>
  <si>
    <t>Qty High</t>
  </si>
  <si>
    <t>Rate General</t>
  </si>
  <si>
    <t>Rate Twin</t>
  </si>
  <si>
    <t>Rate Single</t>
  </si>
  <si>
    <t>General Low</t>
  </si>
  <si>
    <t>General Typical</t>
  </si>
  <si>
    <t>General High</t>
  </si>
  <si>
    <t>Twin Low</t>
  </si>
  <si>
    <t>Twin Typical</t>
  </si>
  <si>
    <t>Twin High</t>
  </si>
  <si>
    <t>Single Low</t>
  </si>
  <si>
    <t>Single Typical</t>
  </si>
  <si>
    <t>Single High</t>
  </si>
  <si>
    <t>Selected Total General</t>
  </si>
  <si>
    <t>Selected Total Twin</t>
  </si>
  <si>
    <t>Selected Total Single</t>
  </si>
  <si>
    <t>X-RAY KNEE JOINT AP &amp; LATERAL VIEW (BEDSIDE)</t>
  </si>
  <si>
    <t>Template</t>
  </si>
  <si>
    <t>Auto-Included</t>
  </si>
  <si>
    <t>XRY5090</t>
  </si>
  <si>
    <t>Nursing - Room</t>
  </si>
  <si>
    <t>Ward Care</t>
  </si>
  <si>
    <t>Logic</t>
  </si>
  <si>
    <t>Ward days x rate</t>
  </si>
  <si>
    <t>ROM5189</t>
  </si>
  <si>
    <t>Nursing - ICU</t>
  </si>
  <si>
    <t>Critical Care</t>
  </si>
  <si>
    <t>ICU days x rate</t>
  </si>
  <si>
    <t>DMO</t>
  </si>
  <si>
    <t>ROM0093</t>
  </si>
  <si>
    <t>ICU - Surgical</t>
  </si>
  <si>
    <t>ROM5009</t>
  </si>
  <si>
    <t>Bed Charges - Ward</t>
  </si>
  <si>
    <t>Ward days x room rate</t>
  </si>
  <si>
    <t>ROOM_BED</t>
  </si>
  <si>
    <t>CSSD CHARGES FOR GA</t>
  </si>
  <si>
    <t>OT Charges</t>
  </si>
  <si>
    <t>RNS5005</t>
  </si>
  <si>
    <t>Medical Records</t>
  </si>
  <si>
    <t>Administrative</t>
  </si>
  <si>
    <t>Fixed 1</t>
  </si>
  <si>
    <t>RNS0120</t>
  </si>
  <si>
    <t>PHYSIOTHERAPY PACKAGE 5 VISITS</t>
  </si>
  <si>
    <t>Physiotherapy</t>
  </si>
  <si>
    <t>PHY5082</t>
  </si>
  <si>
    <t>ROBO (TKR) - UNILATERAL</t>
  </si>
  <si>
    <t>OTI0098</t>
  </si>
  <si>
    <t>Instrument Charges (Major)</t>
  </si>
  <si>
    <t>OTI0018</t>
  </si>
  <si>
    <t>OT Disinfection Charges</t>
  </si>
  <si>
    <t>OTI0015</t>
  </si>
  <si>
    <t>Post Surgery Recovery Charges</t>
  </si>
  <si>
    <t>OTC5005</t>
  </si>
  <si>
    <t>Selected OT duration snapped to the nearest supported tariff OT slot using the normal or emergency ladder</t>
  </si>
  <si>
    <t>Cath Lab Charges</t>
  </si>
  <si>
    <t>Cath Lab Hours</t>
  </si>
  <si>
    <t>Historical Cath Lab Family</t>
  </si>
  <si>
    <t>Actual billed cath-lab slot-family P25 / P50 / P75 from the selected historical payer basis.</t>
  </si>
  <si>
    <t>Intensivist Per Day</t>
  </si>
  <si>
    <t>ICC0002</t>
  </si>
  <si>
    <t>Assistant Intensivist Per Day</t>
  </si>
  <si>
    <t>ICC0001</t>
  </si>
  <si>
    <t>Ward Consumables</t>
  </si>
  <si>
    <t>LOS days x rate</t>
  </si>
  <si>
    <t>HSP5013</t>
  </si>
  <si>
    <t>Warmer</t>
  </si>
  <si>
    <t>Bedside</t>
  </si>
  <si>
    <t>EME0087</t>
  </si>
  <si>
    <t>Monitor Per Day</t>
  </si>
  <si>
    <t>EME0019</t>
  </si>
  <si>
    <t>Oxygen Per Hour</t>
  </si>
  <si>
    <t>EME0017</t>
  </si>
  <si>
    <t>Diet Consultation</t>
  </si>
  <si>
    <t>Consultation</t>
  </si>
  <si>
    <t>DIE0001</t>
  </si>
  <si>
    <t>Dressing - Minor</t>
  </si>
  <si>
    <t>CAS0007</t>
  </si>
  <si>
    <t>Bedside ECG</t>
  </si>
  <si>
    <t>CAR5341</t>
  </si>
  <si>
    <t>Albumin</t>
  </si>
  <si>
    <t>BIO0162</t>
  </si>
  <si>
    <t>Sodium</t>
  </si>
  <si>
    <t>BIO0004</t>
  </si>
  <si>
    <t>Electrolytes</t>
  </si>
  <si>
    <t>BIO0003</t>
  </si>
  <si>
    <t>Creatinine</t>
  </si>
  <si>
    <t>BIO0002</t>
  </si>
  <si>
    <t>Urea</t>
  </si>
  <si>
    <t>BIO0001</t>
  </si>
  <si>
    <t>MLC Charges</t>
  </si>
  <si>
    <t>Applied only when MLC input is Yes</t>
  </si>
  <si>
    <t>HSP0047</t>
  </si>
  <si>
    <t>Pharmacy Related</t>
  </si>
  <si>
    <t>12.5% of pharmacy total</t>
  </si>
  <si>
    <t>Surgeon</t>
  </si>
  <si>
    <t>Cash PF % of pre-PF subtotal</t>
  </si>
  <si>
    <t>Assistant Surgeon</t>
  </si>
  <si>
    <t>Cash PF % of surgeon fee</t>
  </si>
  <si>
    <t>Anesthetist</t>
  </si>
  <si>
    <t>Assistant Anesthetist</t>
  </si>
  <si>
    <t>Cash PF % of anesthetist fee</t>
  </si>
  <si>
    <t>IP Drugs &amp; Medications</t>
  </si>
  <si>
    <t>IP Pharmacy</t>
  </si>
  <si>
    <t>History</t>
  </si>
  <si>
    <t>Historic per-LOS-day percentile x selected LOS</t>
  </si>
  <si>
    <t>OT Drugs &amp; Medications</t>
  </si>
  <si>
    <t>OT Pharmacy</t>
  </si>
  <si>
    <t>Bucket quartiles</t>
  </si>
  <si>
    <t>Advanced</t>
  </si>
  <si>
    <t>OT consumables variance controls</t>
  </si>
  <si>
    <t>Implant variance controls</t>
  </si>
  <si>
    <t>Include / Exclude selection</t>
  </si>
  <si>
    <t>Coagulation Tests Residual</t>
  </si>
  <si>
    <t>Grouped Residual</t>
  </si>
  <si>
    <t>Mode-aware grouped residual net of selected child add-ons from same grouping</t>
  </si>
  <si>
    <t>Inflammatory Marker Tests Residual</t>
  </si>
  <si>
    <t>Haematology Counts Residual</t>
  </si>
  <si>
    <t>Subtotal Before Professional Fees</t>
  </si>
  <si>
    <t>Cleaned Pharmacy Template</t>
  </si>
  <si>
    <t>Classification</t>
  </si>
  <si>
    <t>OT Present</t>
  </si>
  <si>
    <t>IP Present</t>
  </si>
  <si>
    <t>Returns Present</t>
  </si>
  <si>
    <t>Case Count</t>
  </si>
  <si>
    <t>OT Qty Typical</t>
  </si>
  <si>
    <t>IP Qty Typical</t>
  </si>
  <si>
    <t>Overall Qty Typical</t>
  </si>
  <si>
    <t>OT Amount Typical</t>
  </si>
  <si>
    <t>IP Amount Typical</t>
  </si>
  <si>
    <t>Overall Amount Typical</t>
  </si>
  <si>
    <t>Observed Rate Count</t>
  </si>
  <si>
    <t>Observed Rate Min</t>
  </si>
  <si>
    <t>Observed Rate Max</t>
  </si>
  <si>
    <t>Observed Rate Values</t>
  </si>
  <si>
    <t>CLOG03</t>
  </si>
  <si>
    <t>CLOHEX ADS 200ML MOUTH WASH</t>
  </si>
  <si>
    <t>Drugs / Medicines / IVs / Nutrition Products</t>
  </si>
  <si>
    <t>False</t>
  </si>
  <si>
    <t>True</t>
  </si>
  <si>
    <t>1</t>
  </si>
  <si>
    <t>270.7</t>
  </si>
  <si>
    <t>ENOI05</t>
  </si>
  <si>
    <t>ENOXATIL 40MG INJ</t>
  </si>
  <si>
    <t>478.55</t>
  </si>
  <si>
    <t>G2KI01</t>
  </si>
  <si>
    <t>G2K 40MG INJ</t>
  </si>
  <si>
    <t>53.89</t>
  </si>
  <si>
    <t>ROPI13</t>
  </si>
  <si>
    <t>ROPIZUVA 0.2% 20ML INJ</t>
  </si>
  <si>
    <t>2</t>
  </si>
  <si>
    <t>196.28</t>
  </si>
  <si>
    <t>215.9</t>
  </si>
  <si>
    <t>196.28 | 215.9</t>
  </si>
  <si>
    <t>VERI10</t>
  </si>
  <si>
    <t>VERFEN 2ML INJ</t>
  </si>
  <si>
    <t>44.75</t>
  </si>
  <si>
    <t>44.77</t>
  </si>
  <si>
    <t>44.75 | 44.77</t>
  </si>
  <si>
    <t>ADVR01</t>
  </si>
  <si>
    <t>ADVACRYL 0 ADVA2534(AMS)</t>
  </si>
  <si>
    <t>Treatment Supplies</t>
  </si>
  <si>
    <t>913</t>
  </si>
  <si>
    <t>914.58</t>
  </si>
  <si>
    <t>913 | 914.58</t>
  </si>
  <si>
    <t>CLIU5</t>
  </si>
  <si>
    <t>CLING DRAPE 15CM*500CM(CD01-SURGIWEAR)</t>
  </si>
  <si>
    <t>61.88</t>
  </si>
  <si>
    <t>ECGU48</t>
  </si>
  <si>
    <t>ECG ELECTRODES ADULT(SUCHIKA)</t>
  </si>
  <si>
    <t>35</t>
  </si>
  <si>
    <t>IOBU02</t>
  </si>
  <si>
    <t>IOBAN 56CM*45CM(6650-3M)</t>
  </si>
  <si>
    <t>1903</t>
  </si>
  <si>
    <t>MEPU50</t>
  </si>
  <si>
    <t>MEPILEX BORDER POST-OP 10CM*35CM(496650-MOLNLYCKE)</t>
  </si>
  <si>
    <t>1769</t>
  </si>
  <si>
    <t>1886</t>
  </si>
  <si>
    <t>1769 | 1886</t>
  </si>
  <si>
    <t>SURU160</t>
  </si>
  <si>
    <t>SURGICAL GLOVE 7.5(BLISTER PACK-SURGICARE-KANAM)</t>
  </si>
  <si>
    <t>102</t>
  </si>
  <si>
    <t>SURU84</t>
  </si>
  <si>
    <t>SURGICAL BLADE 11(GLASSVAN)</t>
  </si>
  <si>
    <t>6.09</t>
  </si>
  <si>
    <t>7.67</t>
  </si>
  <si>
    <t>6.09 | 7.67</t>
  </si>
  <si>
    <t>SURU85</t>
  </si>
  <si>
    <t>SURGICAL BLADE 22(GLASSVAN)</t>
  </si>
  <si>
    <t>SYRU121</t>
  </si>
  <si>
    <t>SYRINGE 50ML LL(LIFELONG)</t>
  </si>
  <si>
    <t>332.8</t>
  </si>
  <si>
    <t>SYRU63</t>
  </si>
  <si>
    <t>SYRINGE 10ML(LIFELONG)</t>
  </si>
  <si>
    <t>38.2</t>
  </si>
  <si>
    <t>SYRU70</t>
  </si>
  <si>
    <t>SYRINGE 2ML(LIFELONG)</t>
  </si>
  <si>
    <t>17.1</t>
  </si>
  <si>
    <t>UNDU17</t>
  </si>
  <si>
    <t>UNDERPAD 90CM X 60CM(MAGMACARE)</t>
  </si>
  <si>
    <t>4</t>
  </si>
  <si>
    <t>210</t>
  </si>
  <si>
    <t>270</t>
  </si>
  <si>
    <t>210 | 211.27 | 225 | 270</t>
  </si>
  <si>
    <t>CHGC01</t>
  </si>
  <si>
    <t>CHG SKIN PREP 2% 500ML(3M)</t>
  </si>
  <si>
    <t>200.6</t>
  </si>
  <si>
    <t>200.63</t>
  </si>
  <si>
    <t>200.6 | 200.63</t>
  </si>
  <si>
    <t>ADVR04</t>
  </si>
  <si>
    <t>ADVACRYL 1 ADVA2421P(AMS)</t>
  </si>
  <si>
    <t>1004</t>
  </si>
  <si>
    <t>1104</t>
  </si>
  <si>
    <t>1004 | 1104</t>
  </si>
  <si>
    <t>SKIS01</t>
  </si>
  <si>
    <t>SKIN STAPLER 35 PIN(ADVASKN-35-AMS)</t>
  </si>
  <si>
    <t>1296</t>
  </si>
  <si>
    <t>2536</t>
  </si>
  <si>
    <t>1296 | 1425 | 2306 | 2536</t>
  </si>
  <si>
    <t>SPOC03</t>
  </si>
  <si>
    <t>SPONGE GAUZE 4 BUNDLE(STERILE)</t>
  </si>
  <si>
    <t>STIU9</t>
  </si>
  <si>
    <t>STIMUPLEX NEEDLE 100MM 21G*4IN(4894260-BBRAUN)</t>
  </si>
  <si>
    <t>1288.13</t>
  </si>
  <si>
    <t>1416.94</t>
  </si>
  <si>
    <t>1288.13 | 1416.94</t>
  </si>
  <si>
    <t>SURU107</t>
  </si>
  <si>
    <t>SURGICAL CLIPPER BLADE ( 9680 -3M )</t>
  </si>
  <si>
    <t>871.5</t>
  </si>
  <si>
    <t>SYRU90</t>
  </si>
  <si>
    <t>SYRINGE 5ML(LIFELONG)</t>
  </si>
  <si>
    <t>25.25</t>
  </si>
  <si>
    <t>25.31</t>
  </si>
  <si>
    <t>25.25 | 25.31</t>
  </si>
  <si>
    <t>ROPI09</t>
  </si>
  <si>
    <t>ROPIZUVA 0.75% 20ML INJ</t>
  </si>
  <si>
    <t>313.12</t>
  </si>
  <si>
    <t>ROPI16</t>
  </si>
  <si>
    <t>ROPIN HEAVY 0.75% 4ML INJ</t>
  </si>
  <si>
    <t>3</t>
  </si>
  <si>
    <t>120.47</t>
  </si>
  <si>
    <t>132.15</t>
  </si>
  <si>
    <t>120.47 | 128 | 132.15</t>
  </si>
  <si>
    <t>ADVR07</t>
  </si>
  <si>
    <t>ADVACRYL 2 ADVA2478P(AMS)</t>
  </si>
  <si>
    <t>1130</t>
  </si>
  <si>
    <t>1131.49</t>
  </si>
  <si>
    <t>1130 | 1131.49</t>
  </si>
  <si>
    <t>PROS60</t>
  </si>
  <si>
    <t>PRO-OPERATIVE SHOWER KIT(3M)</t>
  </si>
  <si>
    <t>595</t>
  </si>
  <si>
    <t>TOPU09</t>
  </si>
  <si>
    <t>TOP C NET 15CM*10M(4100-DYNA)</t>
  </si>
  <si>
    <t>116.6</t>
  </si>
  <si>
    <t>124.4</t>
  </si>
  <si>
    <t>116.6 | 116.63 | 124 | 124.4</t>
  </si>
  <si>
    <t>POVC01</t>
  </si>
  <si>
    <t>POVINANZ SOLUTION 10% 500ML(NANZ MEDSCIENCE)</t>
  </si>
  <si>
    <t>100.6</t>
  </si>
  <si>
    <t>107.4</t>
  </si>
  <si>
    <t>100.6 | 100.69 | 107.4</t>
  </si>
  <si>
    <t>VASI03</t>
  </si>
  <si>
    <t>VASOCON 1ML INJ</t>
  </si>
  <si>
    <t>13.04</t>
  </si>
  <si>
    <t>DEXI20</t>
  </si>
  <si>
    <t>DEXARIL 2ML INJ</t>
  </si>
  <si>
    <t>10.88</t>
  </si>
  <si>
    <t>KETI01</t>
  </si>
  <si>
    <t>KETOROL 1ML INJ</t>
  </si>
  <si>
    <t>37.72</t>
  </si>
  <si>
    <t>CAUU19</t>
  </si>
  <si>
    <t>CAUTERY PENCIL(E2516-MEDTRONIC)</t>
  </si>
  <si>
    <t>673</t>
  </si>
  <si>
    <t>718</t>
  </si>
  <si>
    <t>673 | 673.12 | 674.2 | 718</t>
  </si>
  <si>
    <t>AVAC02</t>
  </si>
  <si>
    <t>AVAGARD 4% CHG SCRUB 500ML(3M)</t>
  </si>
  <si>
    <t>215.6</t>
  </si>
  <si>
    <t>PARI07</t>
  </si>
  <si>
    <t>PARAGLASS 100ML IV</t>
  </si>
  <si>
    <t>814.28</t>
  </si>
  <si>
    <t>868.57</t>
  </si>
  <si>
    <t>814.28 | 868.57</t>
  </si>
  <si>
    <t>SURU13</t>
  </si>
  <si>
    <t>SURGICAL GLOVE 7.5(SURGICARE-KANAM)</t>
  </si>
  <si>
    <t>90.94</t>
  </si>
  <si>
    <t>91</t>
  </si>
  <si>
    <t>90.94 | 91</t>
  </si>
  <si>
    <t>SYRU83</t>
  </si>
  <si>
    <t>SYRINGE 20ML(LIFELONG)</t>
  </si>
  <si>
    <t>63</t>
  </si>
  <si>
    <t>71.25</t>
  </si>
  <si>
    <t>63 | 71.25</t>
  </si>
  <si>
    <t>GLAI09</t>
  </si>
  <si>
    <t>GLANTRAX 500MG 5ML INJ</t>
  </si>
  <si>
    <t>72</t>
  </si>
  <si>
    <t>NS0F04</t>
  </si>
  <si>
    <t>NS 0.9% 500ML EH(PROPORT NS-PROMEA)</t>
  </si>
  <si>
    <t>93.95</t>
  </si>
  <si>
    <t>100.21</t>
  </si>
  <si>
    <t>93.95 | 100.21</t>
  </si>
  <si>
    <t>ENCU14</t>
  </si>
  <si>
    <t>MICROOPTIC STERILE GLOVE 7.5(ENCORE-JK ANSELL)</t>
  </si>
  <si>
    <t>117</t>
  </si>
  <si>
    <t>128</t>
  </si>
  <si>
    <t>117 | 128</t>
  </si>
  <si>
    <t>GAUC92</t>
  </si>
  <si>
    <t>GAUZE MOPS X-RAY 30CM*30CM*6PLY 10PCS(BMT)</t>
  </si>
  <si>
    <t>46.4</t>
  </si>
  <si>
    <t>VENU8161</t>
  </si>
  <si>
    <t>VENFLON-I 20G(BD)</t>
  </si>
  <si>
    <t>321</t>
  </si>
  <si>
    <t>321.09</t>
  </si>
  <si>
    <t>321 | 321.09</t>
  </si>
  <si>
    <t>NS0F08</t>
  </si>
  <si>
    <t>NS 0.9% 100ML EH(PROPORT NS-PROMEA)</t>
  </si>
  <si>
    <t>44.93</t>
  </si>
  <si>
    <t>47.92</t>
  </si>
  <si>
    <t>44.93 | 47.92</t>
  </si>
  <si>
    <t>BEDU47</t>
  </si>
  <si>
    <t>BED BATH TOWELS 300MMX240MM(PACK OF 10-MAGMACARE)</t>
  </si>
  <si>
    <t>530</t>
  </si>
  <si>
    <t>650</t>
  </si>
  <si>
    <t>530 | 650</t>
  </si>
  <si>
    <t>ENCU12</t>
  </si>
  <si>
    <t>MICROOPTIC STERILE GLOVE 7.0(ENCORE-JK ANSELL)</t>
  </si>
  <si>
    <t>SURU159</t>
  </si>
  <si>
    <t>SURGICAL GLOVE 7.0(BLISTER PACK-SURGICARE-KANAM)</t>
  </si>
  <si>
    <t>INJI04</t>
  </si>
  <si>
    <t>INJICORT 40MG INJ</t>
  </si>
  <si>
    <t>162.1</t>
  </si>
  <si>
    <t>162.19</t>
  </si>
  <si>
    <t>162.1 | 162.19</t>
  </si>
  <si>
    <t>PERI01</t>
  </si>
  <si>
    <t>PERINORM 2ML INJ</t>
  </si>
  <si>
    <t>5.61</t>
  </si>
  <si>
    <t>5.7</t>
  </si>
  <si>
    <t>5.61 | 5.7</t>
  </si>
  <si>
    <t>BREU21</t>
  </si>
  <si>
    <t>BREAZER SPIROMETER 5000ML(ROMSONS)</t>
  </si>
  <si>
    <t>993</t>
  </si>
  <si>
    <t>1000.31</t>
  </si>
  <si>
    <t>993 | 1000.31</t>
  </si>
  <si>
    <t>EASU30</t>
  </si>
  <si>
    <t>EASYFIX CLEAR EC 1 7CM X 8.5CM(DYNA)</t>
  </si>
  <si>
    <t>69</t>
  </si>
  <si>
    <t>70.42</t>
  </si>
  <si>
    <t>69 | 70.42</t>
  </si>
  <si>
    <t>IVSU25</t>
  </si>
  <si>
    <t>IV SET-LL(BUYWEL)</t>
  </si>
  <si>
    <t>SYRU95</t>
  </si>
  <si>
    <t>SYRINGE 20ML LL(LIFE LONG)</t>
  </si>
  <si>
    <t>75.2</t>
  </si>
  <si>
    <t>71.25 | 75.2</t>
  </si>
  <si>
    <t>AXII03</t>
  </si>
  <si>
    <t>AXIFUR H 1.5GM INJ</t>
  </si>
  <si>
    <t>361.78</t>
  </si>
  <si>
    <t>SWIS29</t>
  </si>
  <si>
    <t>SWIFTOLAC SYR 150ML</t>
  </si>
  <si>
    <t>196.88</t>
  </si>
  <si>
    <t>VACU16</t>
  </si>
  <si>
    <t>VACCULINE(VACCU SUCK SUCTION SET-ROMSON)</t>
  </si>
  <si>
    <t>739</t>
  </si>
  <si>
    <t>795</t>
  </si>
  <si>
    <t>739 | 795</t>
  </si>
  <si>
    <t>16</t>
  </si>
  <si>
    <t>61.54</t>
  </si>
  <si>
    <t>0</t>
  </si>
  <si>
    <t>VOMI01</t>
  </si>
  <si>
    <t>VOMIKIND 2ML INJ</t>
  </si>
  <si>
    <t>12.71</t>
  </si>
  <si>
    <t>CAPU32</t>
  </si>
  <si>
    <t>SURGICAL CAPS</t>
  </si>
  <si>
    <t>CAUU21</t>
  </si>
  <si>
    <t>CAUTERY PAD ADULT(MEDTRONIC)</t>
  </si>
  <si>
    <t>1133</t>
  </si>
  <si>
    <t>1244</t>
  </si>
  <si>
    <t>1133 | 1166 | 1166.25 | 1244</t>
  </si>
  <si>
    <t>COTC05</t>
  </si>
  <si>
    <t>COTTON BALL STERILE(KIMS)</t>
  </si>
  <si>
    <t>25</t>
  </si>
  <si>
    <t>MAKU03</t>
  </si>
  <si>
    <t>21584.06</t>
  </si>
  <si>
    <t>21618.59</t>
  </si>
  <si>
    <t>21584.06 | 21618.59</t>
  </si>
  <si>
    <t>SPIU32</t>
  </si>
  <si>
    <t>SPINAL NEEDLE 26G(BD)</t>
  </si>
  <si>
    <t>221.5</t>
  </si>
  <si>
    <t>221.72</t>
  </si>
  <si>
    <t>221.5 | 221.72</t>
  </si>
  <si>
    <t>STRR18</t>
  </si>
  <si>
    <t>3760</t>
  </si>
  <si>
    <t>THEI15</t>
  </si>
  <si>
    <t>THEMIDOL 2ML INJECTION</t>
  </si>
  <si>
    <t>25.15</t>
  </si>
  <si>
    <t>TROI08</t>
  </si>
  <si>
    <t>TROPINE 1ML INJ</t>
  </si>
  <si>
    <t>7.18</t>
  </si>
  <si>
    <t>7.3</t>
  </si>
  <si>
    <t>7.18 | 7.3</t>
  </si>
  <si>
    <t>DIGU36</t>
  </si>
  <si>
    <t>DIGITAL THERMOMETER(GLIDER-MAGMACARE)</t>
  </si>
  <si>
    <t>250</t>
  </si>
  <si>
    <t>FACU81</t>
  </si>
  <si>
    <t>FACE MASK 3PLY(ELASTIC-SVTC)</t>
  </si>
  <si>
    <t>18</t>
  </si>
  <si>
    <t>CREU42</t>
  </si>
  <si>
    <t>CREPE BANDAGE 15CM(VELSOFT-15-DATT])</t>
  </si>
  <si>
    <t>510</t>
  </si>
  <si>
    <t>DIAU127</t>
  </si>
  <si>
    <t>DIAPER ADULT XL 120CMX142.5CM(MAGMACARE)</t>
  </si>
  <si>
    <t>126.1</t>
  </si>
  <si>
    <t>126.56</t>
  </si>
  <si>
    <t>126.1 | 126.56</t>
  </si>
  <si>
    <t>THRU09</t>
  </si>
  <si>
    <t>THREE WAY EXTENSION 10CM(BD)</t>
  </si>
  <si>
    <t>261.5</t>
  </si>
  <si>
    <t>287</t>
  </si>
  <si>
    <t>261.5 | 261.56 | 287</t>
  </si>
  <si>
    <t>KABF09</t>
  </si>
  <si>
    <t>KABILYTE 500ML (FRESENIUS KABI) IV</t>
  </si>
  <si>
    <t>353</t>
  </si>
  <si>
    <t>388</t>
  </si>
  <si>
    <t>353 | 353.44 | 388</t>
  </si>
  <si>
    <t>LOCG39</t>
  </si>
  <si>
    <t>LOCAM 2% 30GM GEL</t>
  </si>
  <si>
    <t>34.5</t>
  </si>
  <si>
    <t>NITU59</t>
  </si>
  <si>
    <t>NITRILE POWDER FREE EXAMINATION GLOVES LARGE(DURAMITT-TEGAMEN)</t>
  </si>
  <si>
    <t>30</t>
  </si>
  <si>
    <t>PARI04</t>
  </si>
  <si>
    <t>PARACIP 100ML INJECTION(HS)</t>
  </si>
  <si>
    <t>578.77</t>
  </si>
  <si>
    <t>636.64</t>
  </si>
  <si>
    <t>578.77 | 636.64</t>
  </si>
  <si>
    <t>PHYF01</t>
  </si>
  <si>
    <t>PHYSIOMAX 500ML IV(OTSUKA)</t>
  </si>
  <si>
    <t>360.94</t>
  </si>
  <si>
    <t>DIAU125</t>
  </si>
  <si>
    <t>DIAPER ADULT LARGE 100CMX150CM(MAGMACARE)</t>
  </si>
  <si>
    <t>121.5</t>
  </si>
  <si>
    <t>175</t>
  </si>
  <si>
    <t>121.5 | 121.87 | 175</t>
  </si>
  <si>
    <t>ENCU10</t>
  </si>
  <si>
    <t>MICROOPTIC STERILE GLOVE 6.5(ENCORE-JK ANSELL)</t>
  </si>
  <si>
    <t>OXYU83</t>
  </si>
  <si>
    <t>OXYGEN MASK ADULT(BUYWEL)</t>
  </si>
  <si>
    <t>421</t>
  </si>
  <si>
    <t>PLAU74</t>
  </si>
  <si>
    <t>PLASTIC PLAIN SHEET 210CMX120CM(BIOANTHEM)</t>
  </si>
  <si>
    <t>220</t>
  </si>
  <si>
    <t>PREU127</t>
  </si>
  <si>
    <t>PREFILLED FLUSH SYRINGE BLISTER PACK 10ML(RIBBEL)</t>
  </si>
  <si>
    <t>XAMI03</t>
  </si>
  <si>
    <t>XAMDEX 100MCG 1ML INJ</t>
  </si>
  <si>
    <t>846.56</t>
  </si>
  <si>
    <t>847.05</t>
  </si>
  <si>
    <t>846.56 | 847.05</t>
  </si>
  <si>
    <t>PMLU44</t>
  </si>
  <si>
    <t>PM LINE M/F 200CM(BUYWEL)</t>
  </si>
  <si>
    <t>327</t>
  </si>
  <si>
    <t>SURU158</t>
  </si>
  <si>
    <t>SURGICAL GLOVE 6.5(BLISTER PACK-SURGICARE-KANAM)</t>
  </si>
  <si>
    <t>ANZT01</t>
  </si>
  <si>
    <t>ANZILUM 0.5MG TAB</t>
  </si>
  <si>
    <t>3.14</t>
  </si>
  <si>
    <t>ENEU07</t>
  </si>
  <si>
    <t>ENEMA 100ML</t>
  </si>
  <si>
    <t>70</t>
  </si>
  <si>
    <t>80</t>
  </si>
  <si>
    <t>70 | 80</t>
  </si>
  <si>
    <t>11</t>
  </si>
  <si>
    <t>42.31</t>
  </si>
  <si>
    <t>BEDU21</t>
  </si>
  <si>
    <t>BED PAN PLASTIC(BENCO)</t>
  </si>
  <si>
    <t>275</t>
  </si>
  <si>
    <t>325</t>
  </si>
  <si>
    <t>275 | 276 | 310 | 325</t>
  </si>
  <si>
    <t>CREU11</t>
  </si>
  <si>
    <t>LEUKOCREPE BANDAGE 15CM(72992-03-BSN)</t>
  </si>
  <si>
    <t>675</t>
  </si>
  <si>
    <t>IVCU10</t>
  </si>
  <si>
    <t>IV CANNULIZATION SET ADVANCED WITH 1683 TEGADERM(3M)</t>
  </si>
  <si>
    <t>355</t>
  </si>
  <si>
    <t>10</t>
  </si>
  <si>
    <t>38.46</t>
  </si>
  <si>
    <t>ATRI01</t>
  </si>
  <si>
    <t>ATROPINE 1ML INJ</t>
  </si>
  <si>
    <t>7.2</t>
  </si>
  <si>
    <t>7.2 | 7.3</t>
  </si>
  <si>
    <t>CEVI02</t>
  </si>
  <si>
    <t>CEVISTAT 1.5GM INJECTION</t>
  </si>
  <si>
    <t>355.69</t>
  </si>
  <si>
    <t>361.88</t>
  </si>
  <si>
    <t>355.69 | 361.88</t>
  </si>
  <si>
    <t>IVFU03</t>
  </si>
  <si>
    <t>IV FLOW REGULATOR(POLYFLO-POLYMED)</t>
  </si>
  <si>
    <t>515.62</t>
  </si>
  <si>
    <t>NOVI17</t>
  </si>
  <si>
    <t>NOVOTAM 2MG/2ML INJ</t>
  </si>
  <si>
    <t>12.47</t>
  </si>
  <si>
    <t>12.65</t>
  </si>
  <si>
    <t>12.47 | 12.65</t>
  </si>
  <si>
    <t>NS0F10</t>
  </si>
  <si>
    <t>NS 0.9% 3000ML NH(PROLINE NS-PROMEA)</t>
  </si>
  <si>
    <t>560.65</t>
  </si>
  <si>
    <t>XSUI03</t>
  </si>
  <si>
    <t>XSULIN R 40 IU/10ML INJECTION</t>
  </si>
  <si>
    <t>181.39</t>
  </si>
  <si>
    <t>CAPU37</t>
  </si>
  <si>
    <t>CAPS(MEDIBLUE)</t>
  </si>
  <si>
    <t>DIAU124</t>
  </si>
  <si>
    <t>DIAPER ADULT XXL 110CMX154CMS(MAGMACARE)</t>
  </si>
  <si>
    <t>130.08</t>
  </si>
  <si>
    <t>140</t>
  </si>
  <si>
    <t>130.08 | 130.8 | 131.46 | 140</t>
  </si>
  <si>
    <t>ENCU26</t>
  </si>
  <si>
    <t>ENCORE LATEX UNDERGLOVE 7.5 NO(ANSELL)</t>
  </si>
  <si>
    <t>113</t>
  </si>
  <si>
    <t>FACU131</t>
  </si>
  <si>
    <t>FACE MASK 3 PLY EARLOOP(PROVIN HEALTHCARE-SVTC)</t>
  </si>
  <si>
    <t>17</t>
  </si>
  <si>
    <t>NEEU67</t>
  </si>
  <si>
    <t>NEEDLE DISPOSABLE 18G X 1.5IN(NIPRO)</t>
  </si>
  <si>
    <t>4.31</t>
  </si>
  <si>
    <t>POSI03</t>
  </si>
  <si>
    <t>POSIFLUSH SP 10ML(306575-BD)</t>
  </si>
  <si>
    <t>68.5</t>
  </si>
  <si>
    <t>PURU02</t>
  </si>
  <si>
    <t>26625</t>
  </si>
  <si>
    <t>SPIU59</t>
  </si>
  <si>
    <t>SPIKIER VENTE(ROMSONS)</t>
  </si>
  <si>
    <t>169.69</t>
  </si>
  <si>
    <t>178.13</t>
  </si>
  <si>
    <t>169.69 | 176 | 178.13</t>
  </si>
  <si>
    <t>SYRU140</t>
  </si>
  <si>
    <t>SYRINGE 3ML LL(KAREJET-ROMSONS)</t>
  </si>
  <si>
    <t>27</t>
  </si>
  <si>
    <t>9</t>
  </si>
  <si>
    <t>34.62</t>
  </si>
  <si>
    <t>ALPT01</t>
  </si>
  <si>
    <t>ALPRAX 0.25MG TAB</t>
  </si>
  <si>
    <t>2.04</t>
  </si>
  <si>
    <t>2.64</t>
  </si>
  <si>
    <t>2.04 | 2.64</t>
  </si>
  <si>
    <t>NITU57</t>
  </si>
  <si>
    <t>NITRILE POWDER FREE EXAMINATION GLOVES MEDIUM(DURAMITT-TEGAMEN)</t>
  </si>
  <si>
    <t>SMARTSET GHV BONE CEMENT GENTAMICIN 40GM(3095-040-DEPUY SYNTHES)</t>
  </si>
  <si>
    <t>Implants / Stents</t>
  </si>
  <si>
    <t>5730</t>
  </si>
  <si>
    <t>COTTON BALLS(STERILE)</t>
  </si>
  <si>
    <t>DIGU22</t>
  </si>
  <si>
    <t>DIGITAL THERMOMETER(MICROGENE)</t>
  </si>
  <si>
    <t>187</t>
  </si>
  <si>
    <t>DISU100</t>
  </si>
  <si>
    <t>PLAIN SHEET 210CM*120CM(RAJ MEDITECH)</t>
  </si>
  <si>
    <t>150</t>
  </si>
  <si>
    <t>HIPU08</t>
  </si>
  <si>
    <t>HIP U DRAPE(E511- SURGIWEAR)</t>
  </si>
  <si>
    <t>1063</t>
  </si>
  <si>
    <t>1063.13</t>
  </si>
  <si>
    <t>1063 | 1063.13</t>
  </si>
  <si>
    <t>OXYU01</t>
  </si>
  <si>
    <t>OXYGEN MASK ADULT(VINJOH)</t>
  </si>
  <si>
    <t>464</t>
  </si>
  <si>
    <t>SPIU19</t>
  </si>
  <si>
    <t>SPINAL NEEDLE 27G(BD)</t>
  </si>
  <si>
    <t>SURU11</t>
  </si>
  <si>
    <t>SURGICAL GLOVE 6.5(SURGICARE-KANAM)</t>
  </si>
  <si>
    <t>SURU12</t>
  </si>
  <si>
    <t>SURGICAL GLOVE 7.0(SURGICARE-KANAM)</t>
  </si>
  <si>
    <t>VACU27</t>
  </si>
  <si>
    <t>VACUUM SUCTION SET 250CM(MORRISONS)</t>
  </si>
  <si>
    <t>767</t>
  </si>
  <si>
    <t>8</t>
  </si>
  <si>
    <t>30.77</t>
  </si>
  <si>
    <t>IDII01</t>
  </si>
  <si>
    <t>IDIAQUA 1ML INJ</t>
  </si>
  <si>
    <t>56.25</t>
  </si>
  <si>
    <t>60</t>
  </si>
  <si>
    <t>56.25 | 60</t>
  </si>
  <si>
    <t>IFIF01</t>
  </si>
  <si>
    <t>IFIMOL 1000MG 100ML IV</t>
  </si>
  <si>
    <t>410.62</t>
  </si>
  <si>
    <t>MEZI01</t>
  </si>
  <si>
    <t>MEZOLAM 5ML INJ</t>
  </si>
  <si>
    <t>31.55</t>
  </si>
  <si>
    <t>NORF136</t>
  </si>
  <si>
    <t>NORMAL SALINE 0.9% 100ML PLASTIC EH(ACULIFE)</t>
  </si>
  <si>
    <t>NS0F05</t>
  </si>
  <si>
    <t>NS 0.9% 1000ML NH(PROLINE NS-PROMEA)</t>
  </si>
  <si>
    <t>62.24</t>
  </si>
  <si>
    <t>NS0F06</t>
  </si>
  <si>
    <t>NS 0.9% 100ML NH(PRODISC NS-PROMEA)</t>
  </si>
  <si>
    <t>21.02</t>
  </si>
  <si>
    <t>PREC103</t>
  </si>
  <si>
    <t>PRENURA 75MG CAP</t>
  </si>
  <si>
    <t>9.71</t>
  </si>
  <si>
    <t>SUPI10</t>
  </si>
  <si>
    <t>SUPRIDOL 2ML INJ</t>
  </si>
  <si>
    <t>25.12</t>
  </si>
  <si>
    <t>25.3</t>
  </si>
  <si>
    <t>25.12 | 25.3</t>
  </si>
  <si>
    <t>0.1</t>
  </si>
  <si>
    <t>LATU73</t>
  </si>
  <si>
    <t>LATEX EXAMINATION GLOVES-MEDIUM(NITRILE-SUCHIKA)</t>
  </si>
  <si>
    <t>23.43</t>
  </si>
  <si>
    <t>NEEU08</t>
  </si>
  <si>
    <t>NEEDLES 16G*1.5 IN(HMD)</t>
  </si>
  <si>
    <t>5.32</t>
  </si>
  <si>
    <t>NEEU66</t>
  </si>
  <si>
    <t>NEEDLE DISPOSABLE 16G X 1.5IN(NIPRO)</t>
  </si>
  <si>
    <t>3.98</t>
  </si>
  <si>
    <t>7</t>
  </si>
  <si>
    <t>26.92</t>
  </si>
  <si>
    <t>GB2C01</t>
  </si>
  <si>
    <t>GB 29-75MG CAPSULE</t>
  </si>
  <si>
    <t>16.6</t>
  </si>
  <si>
    <t>BEDU36</t>
  </si>
  <si>
    <t>BED BATH TOWEL 300MM*240MM 10S PACK(WIPEX-ROMSONS)</t>
  </si>
  <si>
    <t>570</t>
  </si>
  <si>
    <t>577</t>
  </si>
  <si>
    <t>570 | 577</t>
  </si>
  <si>
    <t>CARU60</t>
  </si>
  <si>
    <t>C ARM COVER POLY 2PIECE(P0325-PRIMEWEAR)</t>
  </si>
  <si>
    <t>277</t>
  </si>
  <si>
    <t>LEGU6</t>
  </si>
  <si>
    <t>LEG U DRAPE(PRIMEWEAR)</t>
  </si>
  <si>
    <t>609</t>
  </si>
  <si>
    <t>609 | 650</t>
  </si>
  <si>
    <t>MAKM01</t>
  </si>
  <si>
    <t>4218.6</t>
  </si>
  <si>
    <t>4218.75</t>
  </si>
  <si>
    <t>4218.6 | 4218.75</t>
  </si>
  <si>
    <t>MICU137</t>
  </si>
  <si>
    <t>3526</t>
  </si>
  <si>
    <t>SPIU05</t>
  </si>
  <si>
    <t>SPINAL NEEDLE 25G(BD)</t>
  </si>
  <si>
    <t>SURU10</t>
  </si>
  <si>
    <t>SURGICAL GLOVE 6.0(SURGICARE-KANAM)</t>
  </si>
  <si>
    <t>SYRU119</t>
  </si>
  <si>
    <t>SYRINGE 5ML LL(LIFE LONG)</t>
  </si>
  <si>
    <t>34.9</t>
  </si>
  <si>
    <t>25.25 | 34.9</t>
  </si>
  <si>
    <t>VOLU08</t>
  </si>
  <si>
    <t>VOLDYNE SPIROMETER LUNG EXERCISER 4000ML(8884719016-MEDLINE)</t>
  </si>
  <si>
    <t>1550</t>
  </si>
  <si>
    <t>1650</t>
  </si>
  <si>
    <t>1550 | 1650</t>
  </si>
  <si>
    <t>DEPI16</t>
  </si>
  <si>
    <t>DEPOCILONE 40MG INJ</t>
  </si>
  <si>
    <t>94</t>
  </si>
  <si>
    <t>96.8</t>
  </si>
  <si>
    <t>94 | 96.8</t>
  </si>
  <si>
    <t>JUSI02</t>
  </si>
  <si>
    <t>JUSTIN AQ 1ML INJ</t>
  </si>
  <si>
    <t>23.8</t>
  </si>
  <si>
    <t>23.81</t>
  </si>
  <si>
    <t>23.8 | 23.81</t>
  </si>
  <si>
    <t>MIDI09</t>
  </si>
  <si>
    <t>MIDFAST 5ML INJ</t>
  </si>
  <si>
    <t>31.59</t>
  </si>
  <si>
    <t>NORF140</t>
  </si>
  <si>
    <t>NORMAL SALINE 0.9% 500ML FREEPORT/FLEXI(UNIBAG-ACULIFE)</t>
  </si>
  <si>
    <t>93.94</t>
  </si>
  <si>
    <t>94.01</t>
  </si>
  <si>
    <t>93.94 | 94.01</t>
  </si>
  <si>
    <t>NORF177</t>
  </si>
  <si>
    <t>NORMAL SALINE 0.9% 3000ML EH(ACULIFE)</t>
  </si>
  <si>
    <t>747.44</t>
  </si>
  <si>
    <t>NORF90</t>
  </si>
  <si>
    <t>NORMAL SALINE 0.9% 500ML PLASTIC EH(FRESENIUS)</t>
  </si>
  <si>
    <t>93.92</t>
  </si>
  <si>
    <t>REST03</t>
  </si>
  <si>
    <t>RESTYL 0.25MG TAB</t>
  </si>
  <si>
    <t>2.27</t>
  </si>
  <si>
    <t>2.34</t>
  </si>
  <si>
    <t>2.27 | 2.34</t>
  </si>
  <si>
    <t>ARRAY DRILL PIN 4X175MM(4515-70-006-DEPUY SYNTHES)</t>
  </si>
  <si>
    <t>1406.25</t>
  </si>
  <si>
    <t>1500</t>
  </si>
  <si>
    <t>1406.25 | 1500</t>
  </si>
  <si>
    <t>0.02</t>
  </si>
  <si>
    <t>0.02 | 0.1</t>
  </si>
  <si>
    <t>6</t>
  </si>
  <si>
    <t>23.08</t>
  </si>
  <si>
    <t>ENCU13</t>
  </si>
  <si>
    <t>MICROOPTIC STERILE GLOVE 8.0(ENCORE-JK ANSELL)</t>
  </si>
  <si>
    <t>117.19</t>
  </si>
  <si>
    <t>117 | 117.19</t>
  </si>
  <si>
    <t>ENCU24</t>
  </si>
  <si>
    <t>ENCORE LATEX UNDERGLOVE 7.0 NO(ANSELL)</t>
  </si>
  <si>
    <t>113 | 113.44 | 117</t>
  </si>
  <si>
    <t>GDRU06</t>
  </si>
  <si>
    <t>G DRESS-5 5CM*6CM(GD5-SURGIWEAR )</t>
  </si>
  <si>
    <t>15</t>
  </si>
  <si>
    <t>MOPC04</t>
  </si>
  <si>
    <t>MOPS WITH X-RAY DETECTABLE FILAMENT 6PLY 25CM*25CM(READY GAUGE-BMT)</t>
  </si>
  <si>
    <t>32.8</t>
  </si>
  <si>
    <t>PMLU33</t>
  </si>
  <si>
    <t>PM LINE M/F 200CM(LIFE-O-LINE)</t>
  </si>
  <si>
    <t>425</t>
  </si>
  <si>
    <t>534</t>
  </si>
  <si>
    <t>425 | 534</t>
  </si>
  <si>
    <t>STEU256</t>
  </si>
  <si>
    <t>28040</t>
  </si>
  <si>
    <t>STRR05</t>
  </si>
  <si>
    <t>STRATAFIX SYMMETRIC PDS PLUS 1 SXPP1A201(ETHICON)</t>
  </si>
  <si>
    <t>3862</t>
  </si>
  <si>
    <t>SURU69</t>
  </si>
  <si>
    <t>SURGICAL BLADE 15(GLASSVAN)</t>
  </si>
  <si>
    <t>SYRU49</t>
  </si>
  <si>
    <t>SYRINGE 3ML LUERLOCK(BD)</t>
  </si>
  <si>
    <t>30.5</t>
  </si>
  <si>
    <t>33</t>
  </si>
  <si>
    <t>30.5 | 33</t>
  </si>
  <si>
    <t>SYRU75</t>
  </si>
  <si>
    <t>SYRINGE INSULIN 1ML 31G NEEDLE 40 UNITS(HMD)</t>
  </si>
  <si>
    <t>11.25</t>
  </si>
  <si>
    <t>THRU08</t>
  </si>
  <si>
    <t>THREE WAY EXTENSION 10CM(POLYMED)</t>
  </si>
  <si>
    <t>252.19</t>
  </si>
  <si>
    <t>276.57</t>
  </si>
  <si>
    <t>252.19 | 276.57</t>
  </si>
  <si>
    <t>THRU61</t>
  </si>
  <si>
    <t>THR/TKR KIT(SMART PACK-MEDLINE)</t>
  </si>
  <si>
    <t>3286.5</t>
  </si>
  <si>
    <t>3500</t>
  </si>
  <si>
    <t>3286.5 | 3500</t>
  </si>
  <si>
    <t>URIU35</t>
  </si>
  <si>
    <t>URINAL POT MALE FEMALE(ALPHA MEDICARE AND DEVICES)</t>
  </si>
  <si>
    <t>245</t>
  </si>
  <si>
    <t>VENU57</t>
  </si>
  <si>
    <t>VENFLON PRO SAFETY 20G(BD)</t>
  </si>
  <si>
    <t>490.5</t>
  </si>
  <si>
    <t>5</t>
  </si>
  <si>
    <t>19.23</t>
  </si>
  <si>
    <t>AVII01</t>
  </si>
  <si>
    <t>AVIL 2ML INJ</t>
  </si>
  <si>
    <t>5.86</t>
  </si>
  <si>
    <t>5.87</t>
  </si>
  <si>
    <t>5.86 | 5.87</t>
  </si>
  <si>
    <t>NORF45</t>
  </si>
  <si>
    <t>NORMAL SALINE 1000ML(PLASTIC)(ACULIFE)</t>
  </si>
  <si>
    <t>NORF93</t>
  </si>
  <si>
    <t>NORMAL SALINE 0.9% 500ML FREEFLEX(FRESENIUS)</t>
  </si>
  <si>
    <t>LEGU37</t>
  </si>
  <si>
    <t>LEG U DRAPE(D501-SURGIWARE)</t>
  </si>
  <si>
    <t>SURU14</t>
  </si>
  <si>
    <t>SURGICAL GLOVE 8.0(SURGICARE-KANAM)</t>
  </si>
  <si>
    <t>SYRU137</t>
  </si>
  <si>
    <t>SYRINGE INSULIN 1ML 31G NEEDLE (40 UNITS)(NIPRO)</t>
  </si>
  <si>
    <t>22.5</t>
  </si>
  <si>
    <t>HORP04</t>
  </si>
  <si>
    <t>HORLICKS DIABETES PLUS VANILLA 400GM</t>
  </si>
  <si>
    <t>699</t>
  </si>
  <si>
    <t>LOXI6</t>
  </si>
  <si>
    <t>LOXICARD 2% 50ML INJ</t>
  </si>
  <si>
    <t>55.48</t>
  </si>
  <si>
    <t>58.2</t>
  </si>
  <si>
    <t>55.48 | 58.2</t>
  </si>
  <si>
    <t>MEPI18</t>
  </si>
  <si>
    <t>MEPUP 10ML INJ</t>
  </si>
  <si>
    <t>NORMAL SALINE 0.9% 500ML FLEXIFLOW(UNIBAG-ACULIFE)</t>
  </si>
  <si>
    <t>NORF72</t>
  </si>
  <si>
    <t>NORMAL SALINE 0.9% 3000ML PLASTIC(PENTAGON)</t>
  </si>
  <si>
    <t>697.55</t>
  </si>
  <si>
    <t>SYRU122</t>
  </si>
  <si>
    <t>SYRINGES INSULIN 1ML 40 IU(POLYMED)</t>
  </si>
  <si>
    <t>11 | 11.25</t>
  </si>
  <si>
    <t>15.38</t>
  </si>
  <si>
    <t>43628</t>
  </si>
  <si>
    <t>NEBU29</t>
  </si>
  <si>
    <t>NEBULIZER MASK ADULT(LIFE-O-LINE)</t>
  </si>
  <si>
    <t>421.87</t>
  </si>
  <si>
    <t>450</t>
  </si>
  <si>
    <t>421.87 | 422 | 450</t>
  </si>
  <si>
    <t>PREU128</t>
  </si>
  <si>
    <t>PREFILLED FLUSH SYRINGE BLISTER PACK 5ML(RIBBEL)</t>
  </si>
  <si>
    <t>SAGM04</t>
  </si>
  <si>
    <t>SAGITAL STRIKER BLADE MEDIUM/LONG(2108-109-000-STRYKER)</t>
  </si>
  <si>
    <t>4500</t>
  </si>
  <si>
    <t>SAGM13</t>
  </si>
  <si>
    <t>9999.99</t>
  </si>
  <si>
    <t>3333.33</t>
  </si>
  <si>
    <t>STEU194</t>
  </si>
  <si>
    <t>SURU182</t>
  </si>
  <si>
    <t>SURGEON GOWN REINFORCED 5515</t>
  </si>
  <si>
    <t>560</t>
  </si>
  <si>
    <t>SYRU120</t>
  </si>
  <si>
    <t>SYRINGE 10ML LL(LIFE LONG)</t>
  </si>
  <si>
    <t>52.95</t>
  </si>
  <si>
    <t>38.2 | 52.95</t>
  </si>
  <si>
    <t>SYRU136</t>
  </si>
  <si>
    <t>SYRINGE 5ML(DISPOJEKT-HMD)</t>
  </si>
  <si>
    <t>35.81</t>
  </si>
  <si>
    <t>11.54</t>
  </si>
  <si>
    <t>ADRI15</t>
  </si>
  <si>
    <t>ADRENALINE 1MG INJECTION</t>
  </si>
  <si>
    <t>13.05</t>
  </si>
  <si>
    <t>DERI03</t>
  </si>
  <si>
    <t>DERINIDE RESPULES 0.5MG</t>
  </si>
  <si>
    <t>22.9</t>
  </si>
  <si>
    <t>22.91</t>
  </si>
  <si>
    <t>22.9 | 22.91</t>
  </si>
  <si>
    <t>DEXI13</t>
  </si>
  <si>
    <t>DEXTOMID 100MCG 1ML INJ</t>
  </si>
  <si>
    <t>644.06</t>
  </si>
  <si>
    <t>687</t>
  </si>
  <si>
    <t>644.06 | 687</t>
  </si>
  <si>
    <t>GLYI06</t>
  </si>
  <si>
    <t>GLYCOGEM 0.2MG INJECTION</t>
  </si>
  <si>
    <t>14.5</t>
  </si>
  <si>
    <t>HORLICKS DIABETES + VANILLA 400GM POWDER</t>
  </si>
  <si>
    <t>NORF39</t>
  </si>
  <si>
    <t>NORMAL SALINE 0.9% 500ML(PLASTIC)(ACULIFE)</t>
  </si>
  <si>
    <t>37.24</t>
  </si>
  <si>
    <t>NS0F11</t>
  </si>
  <si>
    <t>NS 0.9% 500ML NH(PRODISC NS-PROMEA)</t>
  </si>
  <si>
    <t>37.25</t>
  </si>
  <si>
    <t>RL5F18</t>
  </si>
  <si>
    <t>RL 500ML IV NH(PRORING RL-PROMEA)</t>
  </si>
  <si>
    <t>60.35</t>
  </si>
  <si>
    <t>SALR03</t>
  </si>
  <si>
    <t>SALBAIR I NEB 1.25MG TRANSPULES</t>
  </si>
  <si>
    <t>13.69</t>
  </si>
  <si>
    <t>24.28</t>
  </si>
  <si>
    <t>13.69 | 24.28</t>
  </si>
  <si>
    <t>THYT60</t>
  </si>
  <si>
    <t>THYRORITE 25MCG TAB</t>
  </si>
  <si>
    <t>1.25</t>
  </si>
  <si>
    <t>1.33</t>
  </si>
  <si>
    <t>1.25 | 1.33</t>
  </si>
  <si>
    <t>WOSI02</t>
  </si>
  <si>
    <t>WOSULIN-R 40 IU/ML 10ML INJ</t>
  </si>
  <si>
    <t>13340.04</t>
  </si>
  <si>
    <t>13340.05</t>
  </si>
  <si>
    <t>13340.04 | 13340.05</t>
  </si>
  <si>
    <t>36130</t>
  </si>
  <si>
    <t>TRIATHLON TIBIAL BASEPLATE CEMENTED 2 UNIVERSAL(5521-B-200-STRYKER CORP)</t>
  </si>
  <si>
    <t>39660</t>
  </si>
  <si>
    <t>EEXU02</t>
  </si>
  <si>
    <t>EEXTRA LINE TRIO 15CM(GS-3178T-ROMSONS)</t>
  </si>
  <si>
    <t>971</t>
  </si>
  <si>
    <t>EPIU02</t>
  </si>
  <si>
    <t>EPIDURAL MINIPACK SYSTEM-1 18G(PORTEX)</t>
  </si>
  <si>
    <t>1817.81</t>
  </si>
  <si>
    <t>1991</t>
  </si>
  <si>
    <t>1817.81 | 1991</t>
  </si>
  <si>
    <t>IVSU38</t>
  </si>
  <si>
    <t>IV SET(INTRACARE BCV-ROMSONS)</t>
  </si>
  <si>
    <t>617</t>
  </si>
  <si>
    <t>KWIM176</t>
  </si>
  <si>
    <t>KIRSCHNER SURGICAL WIRE STERILE 2.5X150MM(1450.S.2.5.150-OROMED)</t>
  </si>
  <si>
    <t>MICU115</t>
  </si>
  <si>
    <t>MICRO POLYSITE PLUS (DUO) EXTENSION(POLYMED)</t>
  </si>
  <si>
    <t>768</t>
  </si>
  <si>
    <t>OSCU03</t>
  </si>
  <si>
    <t>30093</t>
  </si>
  <si>
    <t>OXYU72</t>
  </si>
  <si>
    <t>OXYGEN MASK ADULT(FLEXI COMFORT-ROMSON)</t>
  </si>
  <si>
    <t>460</t>
  </si>
  <si>
    <t>PMLU46</t>
  </si>
  <si>
    <t>PM LINE M/M 200CM(BUYWEL)</t>
  </si>
  <si>
    <t>SAGM05</t>
  </si>
  <si>
    <t>SAGITTAL BLADE LONG NARROW THIN(2108-103-000-STRYKER)</t>
  </si>
  <si>
    <t>4285</t>
  </si>
  <si>
    <t>STEI10</t>
  </si>
  <si>
    <t>STERILE WATER 10ML(ACULIFE)</t>
  </si>
  <si>
    <t>2.58</t>
  </si>
  <si>
    <t>2.62</t>
  </si>
  <si>
    <t>2.58 | 2.62</t>
  </si>
  <si>
    <t>SURU157</t>
  </si>
  <si>
    <t>SURGICAL GLOVE 6.0(BLISTER PACK-SURGICARE-KANAM)</t>
  </si>
  <si>
    <t>SURU337</t>
  </si>
  <si>
    <t>SURGICAL GOWN STERILE PRIMARY PLUS HP XL LEVEL-3(MOLNLYCKE)</t>
  </si>
  <si>
    <t>730</t>
  </si>
  <si>
    <t>SYRU88</t>
  </si>
  <si>
    <t>SYRINGE 10ML LL(BD)</t>
  </si>
  <si>
    <t>44</t>
  </si>
  <si>
    <t>THRU79</t>
  </si>
  <si>
    <t>THREE WAY EXTENSION 10CM(DISPOWAY+-HMD)</t>
  </si>
  <si>
    <t>393.86</t>
  </si>
  <si>
    <t>VENU8160</t>
  </si>
  <si>
    <t>VENFLON-I 22G(BD)</t>
  </si>
  <si>
    <t>292.03</t>
  </si>
  <si>
    <t>292.03 | 321</t>
  </si>
  <si>
    <t>7.69</t>
  </si>
  <si>
    <t>ANAI01</t>
  </si>
  <si>
    <t>ANAWIN 0.25% 20ML INJ</t>
  </si>
  <si>
    <t>59.15</t>
  </si>
  <si>
    <t>ANZT02</t>
  </si>
  <si>
    <t>ANZILIUM 0.25 MG TAB</t>
  </si>
  <si>
    <t>1.35</t>
  </si>
  <si>
    <t>ASTI01</t>
  </si>
  <si>
    <t>ASTHALIN RESPULES 2.5ML</t>
  </si>
  <si>
    <t>AZTT03</t>
  </si>
  <si>
    <t>AZTOR 10MG TAB</t>
  </si>
  <si>
    <t>5.31</t>
  </si>
  <si>
    <t>5.53</t>
  </si>
  <si>
    <t>5.31 | 5.53</t>
  </si>
  <si>
    <t>BUPI09</t>
  </si>
  <si>
    <t>BUPITROY HEAVY 4ML INJ</t>
  </si>
  <si>
    <t>53.88</t>
  </si>
  <si>
    <t>BUPP01</t>
  </si>
  <si>
    <t>BUPRIGESIC 10MCG PATCH</t>
  </si>
  <si>
    <t>1499</t>
  </si>
  <si>
    <t>CALI01</t>
  </si>
  <si>
    <t>CALCIUM GLUCONATE 10ML INJ</t>
  </si>
  <si>
    <t>7.13</t>
  </si>
  <si>
    <t>CORI02</t>
  </si>
  <si>
    <t>CORT S 100MG INJ</t>
  </si>
  <si>
    <t>47.7</t>
  </si>
  <si>
    <t>CURU43</t>
  </si>
  <si>
    <t>CUROS DISINFECTING CAP STRIP FOR MALE LUERS(3M)</t>
  </si>
  <si>
    <t>43.6</t>
  </si>
  <si>
    <t>DICI13</t>
  </si>
  <si>
    <t>DICLORAN AQ 75MG/1ML INJECTION</t>
  </si>
  <si>
    <t>22.4</t>
  </si>
  <si>
    <t>FORR01</t>
  </si>
  <si>
    <t>FORMONIDE REPSULES 0.5MG</t>
  </si>
  <si>
    <t>79.4</t>
  </si>
  <si>
    <t>79.41</t>
  </si>
  <si>
    <t>79.4 | 79.41</t>
  </si>
  <si>
    <t>GEMT3</t>
  </si>
  <si>
    <t>GEMER 1MG TAB</t>
  </si>
  <si>
    <t>11.19</t>
  </si>
  <si>
    <t>HISI03</t>
  </si>
  <si>
    <t>HISONE-100MG INJ</t>
  </si>
  <si>
    <t>47.81</t>
  </si>
  <si>
    <t>LOCI04</t>
  </si>
  <si>
    <t>LOCAM A 2% 30ML INJECTION</t>
  </si>
  <si>
    <t>LOXI8</t>
  </si>
  <si>
    <t>LOX 2% ADRENALINE 30ML INJ</t>
  </si>
  <si>
    <t>33.6</t>
  </si>
  <si>
    <t>LYCI02</t>
  </si>
  <si>
    <t>LYCORTIN-S 100MG INJ</t>
  </si>
  <si>
    <t>47.65</t>
  </si>
  <si>
    <t>MAGI04</t>
  </si>
  <si>
    <t>MAGNESIUM SULPHATE 2ML INJ</t>
  </si>
  <si>
    <t>10.38</t>
  </si>
  <si>
    <t>MAXC5</t>
  </si>
  <si>
    <t>MAXGALIN 75MG CAP</t>
  </si>
  <si>
    <t>19.68</t>
  </si>
  <si>
    <t>21</t>
  </si>
  <si>
    <t>19.68 | 21</t>
  </si>
  <si>
    <t>REST04</t>
  </si>
  <si>
    <t>RESTYL 0.5MG TAB</t>
  </si>
  <si>
    <t>4.32</t>
  </si>
  <si>
    <t>4.75</t>
  </si>
  <si>
    <t>4.32 | 4.75</t>
  </si>
  <si>
    <t>RINF21</t>
  </si>
  <si>
    <t>RL 500ML PLASTIC IV(ACULIFE)</t>
  </si>
  <si>
    <t>RINF22</t>
  </si>
  <si>
    <t>RL 1000ML PLASTIC IV(ACULIFE)</t>
  </si>
  <si>
    <t>81.96</t>
  </si>
  <si>
    <t>ROPI21</t>
  </si>
  <si>
    <t>ROPIZUVA 7.5MG/20ML INJECTION</t>
  </si>
  <si>
    <t>ROST30</t>
  </si>
  <si>
    <t>ROSUBEST 10MG TAB</t>
  </si>
  <si>
    <t>11.94</t>
  </si>
  <si>
    <t>STAT01</t>
  </si>
  <si>
    <t>STAMLO 5MG TAB</t>
  </si>
  <si>
    <t>2.66</t>
  </si>
  <si>
    <t>SURU220</t>
  </si>
  <si>
    <t>SURGICARE NUERO POWDER FREE GLOVE 7.0(KANAM)</t>
  </si>
  <si>
    <t>TEMT10</t>
  </si>
  <si>
    <t>TEMFIX 650MG TAB</t>
  </si>
  <si>
    <t>2.13</t>
  </si>
  <si>
    <t>THYT01</t>
  </si>
  <si>
    <t>THYRONORM 50MCG TAB</t>
  </si>
  <si>
    <t>1.1</t>
  </si>
  <si>
    <t>THYT17</t>
  </si>
  <si>
    <t>THYRONORM 88MCG TAB</t>
  </si>
  <si>
    <t>1.75</t>
  </si>
  <si>
    <t>1.76</t>
  </si>
  <si>
    <t>1.75 | 1.76</t>
  </si>
  <si>
    <t>ZUPP01</t>
  </si>
  <si>
    <t>ZUPRINOR 10MCG PATCH</t>
  </si>
  <si>
    <t>1153.13</t>
  </si>
  <si>
    <t>ATTUNE FEMORAL COMPONENT CEMENTED CRUCIATE RETAINING RIGHT 3(1504-00-203-DEPUY SYNTHES)</t>
  </si>
  <si>
    <t>36136</t>
  </si>
  <si>
    <t>TRIATHLON FEMORAL COMPONENT CEMENTED CRUCIATE RETAINING RIGHT TRITANIUM 2(5510-F-202-STRYKER CORP)</t>
  </si>
  <si>
    <t>TRIATHLON TIBIAL INSERT CRUCIATE SUBSTITUTING BEARING KNEE X3 2 11MM(5531-G-211-STRYKER CORP)</t>
  </si>
  <si>
    <t>SYRINGE 10ML LL WITH NEEDLE(KAREJET-ROMSONS)</t>
  </si>
  <si>
    <t>SYRINGE 5ML LL(KARE JET-ROMSONS)</t>
  </si>
  <si>
    <t>BALM23</t>
  </si>
  <si>
    <t>BALL BUR MICS 6MM(110135-ZIMMER)</t>
  </si>
  <si>
    <t>12985.31</t>
  </si>
  <si>
    <t>BANU51</t>
  </si>
  <si>
    <t>BANDAGE 10CMX3M(BAPUJI)</t>
  </si>
  <si>
    <t>18.75</t>
  </si>
  <si>
    <t>BLOU55</t>
  </si>
  <si>
    <t>BLOOD SET(MORRISONS)</t>
  </si>
  <si>
    <t>271.87</t>
  </si>
  <si>
    <t>270 | 271.87</t>
  </si>
  <si>
    <t>CHEM05</t>
  </si>
  <si>
    <t>111645 CHECK POINT KIT STERILE</t>
  </si>
  <si>
    <t>12946.87</t>
  </si>
  <si>
    <t>CREU07</t>
  </si>
  <si>
    <t>CREPE BANDAGE 10CM(3M)</t>
  </si>
  <si>
    <t>530.63</t>
  </si>
  <si>
    <t>581</t>
  </si>
  <si>
    <t>530.63 | 581</t>
  </si>
  <si>
    <t>CURU44</t>
  </si>
  <si>
    <t>CUROS TIPS DISINFECTING CAP FOR NEEDLELESS CONNECTORS(3M)</t>
  </si>
  <si>
    <t>33.75</t>
  </si>
  <si>
    <t>36</t>
  </si>
  <si>
    <t>33.75 | 36</t>
  </si>
  <si>
    <t>DISU367</t>
  </si>
  <si>
    <t>DISPOSABLE PLASTIC APRON(RESPICARE)</t>
  </si>
  <si>
    <t>130</t>
  </si>
  <si>
    <t>170</t>
  </si>
  <si>
    <t>130 | 170</t>
  </si>
  <si>
    <t>FEEU06</t>
  </si>
  <si>
    <t>FEEDY NO-10(ROMSONS)</t>
  </si>
  <si>
    <t>FOLU02</t>
  </si>
  <si>
    <t>FOLEYS CATHETER 2WAY 14F(RUSCH)</t>
  </si>
  <si>
    <t>164</t>
  </si>
  <si>
    <t>KWIM175</t>
  </si>
  <si>
    <t>KIRSCHNER SURGICAL WIRE STERILE 2X150MM(1450.S.2.0.150-OROMED)</t>
  </si>
  <si>
    <t>POLU32</t>
  </si>
  <si>
    <t>POLYURO URINE COLLECTION BAG 2000ML(POLYMED)</t>
  </si>
  <si>
    <t>470</t>
  </si>
  <si>
    <t>POSI02</t>
  </si>
  <si>
    <t>POSIFLUSH SP 5ML(306574-BD)</t>
  </si>
  <si>
    <t>56</t>
  </si>
  <si>
    <t>57.19</t>
  </si>
  <si>
    <t>56 | 57.19</t>
  </si>
  <si>
    <t>PULM04</t>
  </si>
  <si>
    <t>PULSAVAC (BELL)</t>
  </si>
  <si>
    <t>7734</t>
  </si>
  <si>
    <t>7734.37</t>
  </si>
  <si>
    <t>7734 | 7734.37</t>
  </si>
  <si>
    <t>SMAU13</t>
  </si>
  <si>
    <t>SMARTSITE TRI EXTENSION(BD)</t>
  </si>
  <si>
    <t>936.5</t>
  </si>
  <si>
    <t>SURU168</t>
  </si>
  <si>
    <t>SURGICAL GLOVE 8.0(BLISTER PACK-SURGICARE-KANAM)</t>
  </si>
  <si>
    <t>SYRU145</t>
  </si>
  <si>
    <t>30.2</t>
  </si>
  <si>
    <t>SYRU146</t>
  </si>
  <si>
    <t>48.2</t>
  </si>
  <si>
    <t>TRUR117</t>
  </si>
  <si>
    <t>TRUGLYDE 2 SN2478(HEALTHIUM)</t>
  </si>
  <si>
    <t>1066</t>
  </si>
  <si>
    <t>URINAL POT MALE/FEMALE(ALPHA MEDICARE)</t>
  </si>
  <si>
    <t>3.85</t>
  </si>
  <si>
    <t>NEOMIT 8MG/4ML INJ</t>
  </si>
  <si>
    <t>TRANEMIC 500MG 5ML INJ</t>
  </si>
  <si>
    <t>AMLT22</t>
  </si>
  <si>
    <t>AMLOVAS 5MG TAB</t>
  </si>
  <si>
    <t>AMLT36</t>
  </si>
  <si>
    <t>AMLOKIND 5MG TAB</t>
  </si>
  <si>
    <t>1.57</t>
  </si>
  <si>
    <t>ASEC05</t>
  </si>
  <si>
    <t>ASEPTOSHIELD PLUS 500ML(DR SCHUMACHER)</t>
  </si>
  <si>
    <t>1089</t>
  </si>
  <si>
    <t>ATOT59</t>
  </si>
  <si>
    <t>ATOCOR 40MG TAB</t>
  </si>
  <si>
    <t>20.6</t>
  </si>
  <si>
    <t>BEPI03</t>
  </si>
  <si>
    <t>BEPARINE 5000 IU INJ 5ML</t>
  </si>
  <si>
    <t>113.29</t>
  </si>
  <si>
    <t>BETS08</t>
  </si>
  <si>
    <t>BETADINE 10% 100ML SOLUTION</t>
  </si>
  <si>
    <t>102.9</t>
  </si>
  <si>
    <t>BIOC56</t>
  </si>
  <si>
    <t>BIODOXI-LB CAP</t>
  </si>
  <si>
    <t>9.37</t>
  </si>
  <si>
    <t>BIST08</t>
  </si>
  <si>
    <t>BISOTAB 5MG TAB</t>
  </si>
  <si>
    <t>10.61</t>
  </si>
  <si>
    <t>BIST12</t>
  </si>
  <si>
    <t>BISOHEART 2.5MG TAB</t>
  </si>
  <si>
    <t>6.94</t>
  </si>
  <si>
    <t>BRIT13</t>
  </si>
  <si>
    <t>BRIV 100MG TAB</t>
  </si>
  <si>
    <t>34.03</t>
  </si>
  <si>
    <t>BUPP02</t>
  </si>
  <si>
    <t>BUPRIGESIC PATCH 5MCG</t>
  </si>
  <si>
    <t>781.4</t>
  </si>
  <si>
    <t>BUSI03</t>
  </si>
  <si>
    <t>BUSCOGAST 1ML INJ</t>
  </si>
  <si>
    <t>12</t>
  </si>
  <si>
    <t>CEGI03</t>
  </si>
  <si>
    <t>CEGAVA 1.5GM INJ</t>
  </si>
  <si>
    <t>498.67</t>
  </si>
  <si>
    <t>CELP05</t>
  </si>
  <si>
    <t>CELEVIDA DLS STRAWBERRY 400GM POWDER</t>
  </si>
  <si>
    <t>1629</t>
  </si>
  <si>
    <t>CELS39</t>
  </si>
  <si>
    <t>CELEVIDA DIAFIBER SACHET 12GM(PACK OF 30S)</t>
  </si>
  <si>
    <t>1068</t>
  </si>
  <si>
    <t>CHYT05</t>
  </si>
  <si>
    <t>CHYMOTHAL FORTE TAB</t>
  </si>
  <si>
    <t>23.62</t>
  </si>
  <si>
    <t>CILT06</t>
  </si>
  <si>
    <t>CILAMET XL 25MG TAB</t>
  </si>
  <si>
    <t>13</t>
  </si>
  <si>
    <t>CILT12</t>
  </si>
  <si>
    <t>CILACAR 5MG TAB</t>
  </si>
  <si>
    <t>9.39</t>
  </si>
  <si>
    <t>CINT04</t>
  </si>
  <si>
    <t>CINOD 10MG TAB</t>
  </si>
  <si>
    <t>13.35</t>
  </si>
  <si>
    <t>CINT06</t>
  </si>
  <si>
    <t>CINOD 20MG TAB</t>
  </si>
  <si>
    <t>CIPT11</t>
  </si>
  <si>
    <t>CIPLAR LA 40MG TAB</t>
  </si>
  <si>
    <t>CONT02</t>
  </si>
  <si>
    <t>CONCOR 5MG TAB</t>
  </si>
  <si>
    <t>13.22</t>
  </si>
  <si>
    <t>DEXI38</t>
  </si>
  <si>
    <t>DEXLOG 100MCG/1ML INJECTION</t>
  </si>
  <si>
    <t>543.75</t>
  </si>
  <si>
    <t>DULT15</t>
  </si>
  <si>
    <t>DULCOFLEX TAB</t>
  </si>
  <si>
    <t>1.23</t>
  </si>
  <si>
    <t>ECOC08</t>
  </si>
  <si>
    <t>ECOSPRIN-AV 150/20MG CAP</t>
  </si>
  <si>
    <t>ECOT01</t>
  </si>
  <si>
    <t>ECOSPRIN 75MG TAB</t>
  </si>
  <si>
    <t>0.37</t>
  </si>
  <si>
    <t>GABT5</t>
  </si>
  <si>
    <t>GABAPIN 300MG CAP</t>
  </si>
  <si>
    <t>24</t>
  </si>
  <si>
    <t>HETI13</t>
  </si>
  <si>
    <t>HETROFOL 1% 20ML INJECTION</t>
  </si>
  <si>
    <t>138.75</t>
  </si>
  <si>
    <t>IPRI03</t>
  </si>
  <si>
    <t>IPRAVENT 2ML RESPULES</t>
  </si>
  <si>
    <t>6.21</t>
  </si>
  <si>
    <t>IVFU02</t>
  </si>
  <si>
    <t>IV FLOW REGULATOR(BUYWEL)</t>
  </si>
  <si>
    <t>701</t>
  </si>
  <si>
    <t>LETT03</t>
  </si>
  <si>
    <t>LETHYROX 12.5MCG TAB</t>
  </si>
  <si>
    <t>1.28</t>
  </si>
  <si>
    <t>LIMT01</t>
  </si>
  <si>
    <t>LIMCEE 500MG TAB</t>
  </si>
  <si>
    <t>1.64</t>
  </si>
  <si>
    <t>LIZT01</t>
  </si>
  <si>
    <t>LIZOLID 600MG TAB</t>
  </si>
  <si>
    <t>37.4</t>
  </si>
  <si>
    <t>LOCI03</t>
  </si>
  <si>
    <t>LOCAM 2% 30ML INJECTION</t>
  </si>
  <si>
    <t>33.25</t>
  </si>
  <si>
    <t>MEPI16</t>
  </si>
  <si>
    <t>MEPHNOR 30MG INJ</t>
  </si>
  <si>
    <t>327.42</t>
  </si>
  <si>
    <t>METI7</t>
  </si>
  <si>
    <t>METOLAR 5ML INJ</t>
  </si>
  <si>
    <t>18.15</t>
  </si>
  <si>
    <t>METT03</t>
  </si>
  <si>
    <t>MET XL 50MG TAB</t>
  </si>
  <si>
    <t>6.65</t>
  </si>
  <si>
    <t>METT04</t>
  </si>
  <si>
    <t>MET XL 25MG TAB</t>
  </si>
  <si>
    <t>4.53</t>
  </si>
  <si>
    <t>METT32</t>
  </si>
  <si>
    <t>MET XL-AM 50/5MG TAB</t>
  </si>
  <si>
    <t>15.33</t>
  </si>
  <si>
    <t>MIDI04</t>
  </si>
  <si>
    <t>MIDFAST 10ML INJ</t>
  </si>
  <si>
    <t>63.17</t>
  </si>
  <si>
    <t>MONT28</t>
  </si>
  <si>
    <t>MONTEK-LC TAB</t>
  </si>
  <si>
    <t>24.56</t>
  </si>
  <si>
    <t>MUCT13</t>
  </si>
  <si>
    <t>MUCINAC-AB TAB</t>
  </si>
  <si>
    <t>15.85</t>
  </si>
  <si>
    <t>NEOI57</t>
  </si>
  <si>
    <t>25.03</t>
  </si>
  <si>
    <t>NEUT40</t>
  </si>
  <si>
    <t>NEURIT-CD3 TAB</t>
  </si>
  <si>
    <t>38</t>
  </si>
  <si>
    <t>NEXT16</t>
  </si>
  <si>
    <t>NEXITO LS TAB</t>
  </si>
  <si>
    <t>16.59</t>
  </si>
  <si>
    <t>NEXT8</t>
  </si>
  <si>
    <t>NEXITO FORTE TAB</t>
  </si>
  <si>
    <t>19.9</t>
  </si>
  <si>
    <t>NICT02</t>
  </si>
  <si>
    <t>NICARDIA RETARD 20MG TAB</t>
  </si>
  <si>
    <t>4.83</t>
  </si>
  <si>
    <t>NURU02</t>
  </si>
  <si>
    <t>NURSE CRIMP CAP(SRI VIJAYA SAI)</t>
  </si>
  <si>
    <t>PHEI08</t>
  </si>
  <si>
    <t>PHENPRES INJ</t>
  </si>
  <si>
    <t>407.8</t>
  </si>
  <si>
    <t>POTI08</t>
  </si>
  <si>
    <t>POTLYTE 10ML INJ</t>
  </si>
  <si>
    <t>25.5</t>
  </si>
  <si>
    <t>POTI10</t>
  </si>
  <si>
    <t>POTSAV 10ML INJECTION</t>
  </si>
  <si>
    <t>25.51</t>
  </si>
  <si>
    <t>POVC03</t>
  </si>
  <si>
    <t>POVINANZ SCRUB 7.5% 500ML(NANZ MEDSCIENCE)</t>
  </si>
  <si>
    <t>206.25</t>
  </si>
  <si>
    <t>PRAT83</t>
  </si>
  <si>
    <t>PRASOPHEG 40MG TABLET</t>
  </si>
  <si>
    <t>15.74</t>
  </si>
  <si>
    <t>ROPI04</t>
  </si>
  <si>
    <t>ROPIN 0.2% 20ML INJ</t>
  </si>
  <si>
    <t>189.3</t>
  </si>
  <si>
    <t>ROST02</t>
  </si>
  <si>
    <t>ROSUVAS 10MG TAB</t>
  </si>
  <si>
    <t>23.06</t>
  </si>
  <si>
    <t>ROST124</t>
  </si>
  <si>
    <t>ROSUR 10MG TAB</t>
  </si>
  <si>
    <t>16.96</t>
  </si>
  <si>
    <t>SERG02</t>
  </si>
  <si>
    <t>SEROFLO 250MCG INHALER</t>
  </si>
  <si>
    <t>832</t>
  </si>
  <si>
    <t>SERO01</t>
  </si>
  <si>
    <t>SERVINADINE 20GM OINTMENT</t>
  </si>
  <si>
    <t>84.4</t>
  </si>
  <si>
    <t>SHET09</t>
  </si>
  <si>
    <t>SHELCAL-XT TAB</t>
  </si>
  <si>
    <t>26.81</t>
  </si>
  <si>
    <t>SYNT01</t>
  </si>
  <si>
    <t>SYNDOPA PLUS TAB</t>
  </si>
  <si>
    <t>2.75</t>
  </si>
  <si>
    <t>TELT308</t>
  </si>
  <si>
    <t>TELDIL 40MG TAB</t>
  </si>
  <si>
    <t>7.53</t>
  </si>
  <si>
    <t>TELT423</t>
  </si>
  <si>
    <t>TELMISPOT 40MG TABLET</t>
  </si>
  <si>
    <t>7.1</t>
  </si>
  <si>
    <t>TELT63</t>
  </si>
  <si>
    <t>TELMINORM BXL 40/25 MG TAB</t>
  </si>
  <si>
    <t>TEMT14</t>
  </si>
  <si>
    <t>TEMFIX TR TABLET</t>
  </si>
  <si>
    <t>14.39</t>
  </si>
  <si>
    <t>TEXT02</t>
  </si>
  <si>
    <t>TEXAKIND 500MG TAB</t>
  </si>
  <si>
    <t>15.9</t>
  </si>
  <si>
    <t>THEP06</t>
  </si>
  <si>
    <t>THEMIBUPRINE-P 5MCG PATCH</t>
  </si>
  <si>
    <t>896.15</t>
  </si>
  <si>
    <t>THYT06</t>
  </si>
  <si>
    <t>THYROX 100MCG TAB</t>
  </si>
  <si>
    <t>1.4</t>
  </si>
  <si>
    <t>THYT15</t>
  </si>
  <si>
    <t>THYRONORM 75MCG TAB</t>
  </si>
  <si>
    <t>1.53</t>
  </si>
  <si>
    <t>TRAI09</t>
  </si>
  <si>
    <t>73.21</t>
  </si>
  <si>
    <t>TRET02</t>
  </si>
  <si>
    <t>TRENAXA 500MG TAB</t>
  </si>
  <si>
    <t>19.8</t>
  </si>
  <si>
    <t>TRIT44</t>
  </si>
  <si>
    <t>TRIOLMEZEST 40MG TAB</t>
  </si>
  <si>
    <t>VERI06</t>
  </si>
  <si>
    <t>VERFEN 10ML INJ</t>
  </si>
  <si>
    <t>223.85</t>
  </si>
  <si>
    <t>VETI01</t>
  </si>
  <si>
    <t>VETIRA 5ML INJ</t>
  </si>
  <si>
    <t>122.7</t>
  </si>
  <si>
    <t>VILT31</t>
  </si>
  <si>
    <t>VILDAPRIDE-M 50/500MG TAB</t>
  </si>
  <si>
    <t>11.87</t>
  </si>
  <si>
    <t>WOKS02</t>
  </si>
  <si>
    <t>WOKADINE 100ML SOL</t>
  </si>
  <si>
    <t>102.53</t>
  </si>
  <si>
    <t>ZOVC01</t>
  </si>
  <si>
    <t>ZOVANTA 40MG TAB</t>
  </si>
  <si>
    <t>ZU-T01</t>
  </si>
  <si>
    <t>ZU-C 500MG TAB</t>
  </si>
  <si>
    <t>6.63</t>
  </si>
  <si>
    <t>ZUVT03</t>
  </si>
  <si>
    <t>ZUVASTAT 20MG TAB</t>
  </si>
  <si>
    <t>21.51</t>
  </si>
  <si>
    <t>ZYRT09</t>
  </si>
  <si>
    <t>ZYROVA 20MG TAB</t>
  </si>
  <si>
    <t>46.44</t>
  </si>
  <si>
    <t>ZYTO02</t>
  </si>
  <si>
    <t>ZYTEE RB GEL 10ML</t>
  </si>
  <si>
    <t>120.94</t>
  </si>
  <si>
    <t>13344.05</t>
  </si>
  <si>
    <t>13344</t>
  </si>
  <si>
    <t>13344.01</t>
  </si>
  <si>
    <t>23742</t>
  </si>
  <si>
    <t>ATTUNE TIBIAL BASEPLATE FIXED BEARING REVISION CEMENTED CONSTRAINED KNEE 2(1506-40-002-DEPUY SYNTHES)</t>
  </si>
  <si>
    <t>13344.09</t>
  </si>
  <si>
    <t>30768.75</t>
  </si>
  <si>
    <t>227.9</t>
  </si>
  <si>
    <t>565.35</t>
  </si>
  <si>
    <t>33924.98</t>
  </si>
  <si>
    <t>33925</t>
  </si>
  <si>
    <t>26680.1</t>
  </si>
  <si>
    <t>13339.5</t>
  </si>
  <si>
    <t>TRIATHLON FEMORAL COMPONENT CRUCIATE RETAINING CEMENTED PRIMARY REFERENCING RIGHT KNEE TRITANIUM 4(5510F402-STRYKER CORP)</t>
  </si>
  <si>
    <t>13340</t>
  </si>
  <si>
    <t>23735.05</t>
  </si>
  <si>
    <t>TRIATHLON TIBIAL BASEPLATE CEMENTED 3 UNIVERSAL(5521-B-300-STRYKER CORP)</t>
  </si>
  <si>
    <t>23735</t>
  </si>
  <si>
    <t>TRIATHLON TS FEMORAL STEM CEMENTED KNEE TITANIUM 12X50MM(5560-S-112-STRYKER CORP)</t>
  </si>
  <si>
    <t>DIAPER ADULT MEDIUM 75CMX110CM(MAGMACARE)</t>
  </si>
  <si>
    <t>STERIDRAPE ISOLATION BAG 50CM*50CM(1003-3M)</t>
  </si>
  <si>
    <t>ADVR02</t>
  </si>
  <si>
    <t>ADVACRYL 1 ADVA2347(AMS)</t>
  </si>
  <si>
    <t>818</t>
  </si>
  <si>
    <t>ADVR10</t>
  </si>
  <si>
    <t>ADVACRYL 2-0 ADVA2404(AMS)</t>
  </si>
  <si>
    <t>814.69</t>
  </si>
  <si>
    <t>ADVR105</t>
  </si>
  <si>
    <t>ADVAGRIP 180 1-0 ADVAGL0337(AMS)</t>
  </si>
  <si>
    <t>2952</t>
  </si>
  <si>
    <t>ADVR21</t>
  </si>
  <si>
    <t>ADVACRYL 1 ADVA2826E(AMS)</t>
  </si>
  <si>
    <t>720</t>
  </si>
  <si>
    <t>ADVR34</t>
  </si>
  <si>
    <t>ADVALENE 0 ADVA830(AMS)</t>
  </si>
  <si>
    <t>385.34</t>
  </si>
  <si>
    <t>ALCC05</t>
  </si>
  <si>
    <t>ALCOHOL SWABS(NANZ)</t>
  </si>
  <si>
    <t>2.81</t>
  </si>
  <si>
    <t>APRU13</t>
  </si>
  <si>
    <t>APRON PLASTIC DISPOSABLE(MEDIBLUE)</t>
  </si>
  <si>
    <t>120</t>
  </si>
  <si>
    <t>ARTU02</t>
  </si>
  <si>
    <t>ARTIFLEX 15CM*3M(72966-01/72966-03-BSN)</t>
  </si>
  <si>
    <t>319</t>
  </si>
  <si>
    <t>BLOU54</t>
  </si>
  <si>
    <t>BLOOD SET(BUYWEL)</t>
  </si>
  <si>
    <t>210.94</t>
  </si>
  <si>
    <t>CARU47</t>
  </si>
  <si>
    <t>C ARM COVER 2PIECE(D306-2-SURGIWEAR)</t>
  </si>
  <si>
    <t>199.51</t>
  </si>
  <si>
    <t>CAUU22</t>
  </si>
  <si>
    <t>CAUTERY PENCIL LONG TIP(MEDTRONIC)</t>
  </si>
  <si>
    <t>995</t>
  </si>
  <si>
    <t>CORM10400</t>
  </si>
  <si>
    <t>27280</t>
  </si>
  <si>
    <t>CREU27</t>
  </si>
  <si>
    <t>CREPE BANDAGE 10CM(VELSOFT-10-DATT)</t>
  </si>
  <si>
    <t>447</t>
  </si>
  <si>
    <t>CURU01</t>
  </si>
  <si>
    <t>CURAPORE STERILE 10CM X 30CM/9CM X 30CM(LOHMANN AND RAUSCHER)</t>
  </si>
  <si>
    <t>356</t>
  </si>
  <si>
    <t>DERU28</t>
  </si>
  <si>
    <t>DERMI SURGICAL MARKER(DERMARK-ROMSONS)</t>
  </si>
  <si>
    <t>331</t>
  </si>
  <si>
    <t>DIAU126</t>
  </si>
  <si>
    <t>116.8</t>
  </si>
  <si>
    <t>DREC02</t>
  </si>
  <si>
    <t>DRESSING PAD STERILE(KIMS)</t>
  </si>
  <si>
    <t>100</t>
  </si>
  <si>
    <t>ENCU11</t>
  </si>
  <si>
    <t>MICROOPTIC STERILE GLOVE 6.0(ENCORE-JK ANSELL)</t>
  </si>
  <si>
    <t>ENCU25</t>
  </si>
  <si>
    <t>ENCORE LATEX UNDERGLOVE 6.5 NO(ANSELL)</t>
  </si>
  <si>
    <t>113.44</t>
  </si>
  <si>
    <t>ENCU29</t>
  </si>
  <si>
    <t>ENCORE LATEX UNDERGLOVE 8.0 NO(ANSELL)</t>
  </si>
  <si>
    <t>ENCU3</t>
  </si>
  <si>
    <t>ENCORE ORTHOPEDIC GLOVES 6.5(JK ANSELL)</t>
  </si>
  <si>
    <t>118.12</t>
  </si>
  <si>
    <t>FEEU05</t>
  </si>
  <si>
    <t>FEEDY NO-09(ROMSONS)</t>
  </si>
  <si>
    <t>FOLU08</t>
  </si>
  <si>
    <t>FOLEYS CATHETER 2WAY 12F(RUSCH)</t>
  </si>
  <si>
    <t>FOLU161</t>
  </si>
  <si>
    <t>FOLEYS CATHETER TWO WAY 14F(UROCATH-ROMSONS)</t>
  </si>
  <si>
    <t>259.5</t>
  </si>
  <si>
    <t>GAUC20</t>
  </si>
  <si>
    <t>GAUZE DRESSING MOP 12 PLY WITH X-RAY THREAD 10X10CM(VELSAWAB)</t>
  </si>
  <si>
    <t>GDRU07</t>
  </si>
  <si>
    <t>G DRESS-10 8.5X6.5CM(GD10-SURGIWEAR)</t>
  </si>
  <si>
    <t>25.88</t>
  </si>
  <si>
    <t>GEEC02</t>
  </si>
  <si>
    <t>GE ENTROPY SENSOR(M1038681-GE HEALTHCARE PVT LTD)</t>
  </si>
  <si>
    <t>1649</t>
  </si>
  <si>
    <t>HANU01</t>
  </si>
  <si>
    <t>HAND CARE GLOVES STERILE SMALL EVA(HI-CARE)</t>
  </si>
  <si>
    <t>HOTU11</t>
  </si>
  <si>
    <t>HOT AND COLD PACK(DYNAMIC)</t>
  </si>
  <si>
    <t>380</t>
  </si>
  <si>
    <t>KNEU03</t>
  </si>
  <si>
    <t>KNEE IMMOBILIZER LARGE(DYNAMIC TECHNO MEDICALS)</t>
  </si>
  <si>
    <t>1295</t>
  </si>
  <si>
    <t>KWIM232</t>
  </si>
  <si>
    <t>KIRSCHNER SURGICAL WIRE DOUBLE ENDED TROCAR POINT 2.5X285MM(1450.2.5.285-OROMED)</t>
  </si>
  <si>
    <t>211</t>
  </si>
  <si>
    <t>MEAU26</t>
  </si>
  <si>
    <t>MEASUREXE 250ML(UROMETER-ROMSONS)</t>
  </si>
  <si>
    <t>890</t>
  </si>
  <si>
    <t>MEPU46</t>
  </si>
  <si>
    <t>MEPILEX BORDER POST-OP 10CM*20CM(496400-MOLNLYCKE)</t>
  </si>
  <si>
    <t>1013.44</t>
  </si>
  <si>
    <t>MEPU62</t>
  </si>
  <si>
    <t>MEPILEX BORDER POST OP 9CM*10CM(MOLNYCKE)</t>
  </si>
  <si>
    <t>569</t>
  </si>
  <si>
    <t>MERR26</t>
  </si>
  <si>
    <t>MERSILK 4-0 NW5050(ETHICON)</t>
  </si>
  <si>
    <t>224.06</t>
  </si>
  <si>
    <t>MICRO POLY SYTE BI EXTENSION(POLYMED)</t>
  </si>
  <si>
    <t>MICU133</t>
  </si>
  <si>
    <t>MICRO INFUSION SET(BUYMED-BUYWEL)</t>
  </si>
  <si>
    <t>225</t>
  </si>
  <si>
    <t>NASU122</t>
  </si>
  <si>
    <t>NASAL CANNULA ADULT(LIFE-O-LINE)</t>
  </si>
  <si>
    <t>229.69</t>
  </si>
  <si>
    <t>NEEU69</t>
  </si>
  <si>
    <t>NEEDLE DISPOSABLE 26G X 0.5IN(NIPRO)</t>
  </si>
  <si>
    <t>3.28</t>
  </si>
  <si>
    <t>NEEU85</t>
  </si>
  <si>
    <t>NEEDLES 16G*1.5IN(ROMSONS)</t>
  </si>
  <si>
    <t>NOVR06</t>
  </si>
  <si>
    <t>NOVOSYN VIOLET 2(5)90CM HS40S(M) DDP(BBRAUN)</t>
  </si>
  <si>
    <t>1546.88</t>
  </si>
  <si>
    <t>OXYU86</t>
  </si>
  <si>
    <t>OXYGEN MASK ADULT(LIFE-O-LINE)</t>
  </si>
  <si>
    <t>PHYR01</t>
  </si>
  <si>
    <t>PHYSIO BALLS(DYNAMIC)</t>
  </si>
  <si>
    <t>999</t>
  </si>
  <si>
    <t>PROR53</t>
  </si>
  <si>
    <t>PROLENE 2-0 NW844(ETHICON)</t>
  </si>
  <si>
    <t>PULSAVAC WOUND DEBRIDEMENT SYSTEM(BELL PHARMA)</t>
  </si>
  <si>
    <t>8250</t>
  </si>
  <si>
    <t>ROMU04</t>
  </si>
  <si>
    <t>ROMO VAC SET-12(ROMSONS)</t>
  </si>
  <si>
    <t>928</t>
  </si>
  <si>
    <t>SIGU09</t>
  </si>
  <si>
    <t>SIGNATURE LATEX MICRO STERILE GLOVE 6.5(MEDLINE)</t>
  </si>
  <si>
    <t>112.5</t>
  </si>
  <si>
    <t>STEU119</t>
  </si>
  <si>
    <t>1600</t>
  </si>
  <si>
    <t>STIU14</t>
  </si>
  <si>
    <t>STIMUPLEX ULTRA NEEDLE 22G*50MM(B.BRAUN)</t>
  </si>
  <si>
    <t>1593.75</t>
  </si>
  <si>
    <t>SURU325</t>
  </si>
  <si>
    <t>SURGEON GOWN REINFORCED WRAPAROUND XXL(BIO5506-BIOANTHEM)</t>
  </si>
  <si>
    <t>750</t>
  </si>
  <si>
    <t>THRU36</t>
  </si>
  <si>
    <t>THREE WAY EXTENSION 100CM(POLYMED)</t>
  </si>
  <si>
    <t>316</t>
  </si>
  <si>
    <t>THR/TKR KIT(MEDLINE INDUSTRIES)</t>
  </si>
  <si>
    <t>TRUR116</t>
  </si>
  <si>
    <t>TRUGLYDE 1 SN2421(HEALTHIUM)</t>
  </si>
  <si>
    <t>967</t>
  </si>
  <si>
    <t>TRUR17</t>
  </si>
  <si>
    <t>TRUGLYDE 2-0 SN2345(HEALTHIUM)</t>
  </si>
  <si>
    <t>735.94</t>
  </si>
  <si>
    <t>TRUR54</t>
  </si>
  <si>
    <t>TRUGLYDE 1 SN2347(HEALTHIUM)</t>
  </si>
  <si>
    <t>821.25</t>
  </si>
  <si>
    <t>VELU17</t>
  </si>
  <si>
    <t>VELFIX-EASY WITH PAD 8CM*15CM(5507E-DMP)</t>
  </si>
  <si>
    <t>101</t>
  </si>
  <si>
    <t>VENU8162</t>
  </si>
  <si>
    <t>VENFLON-I 18G(BD)</t>
  </si>
  <si>
    <t>WALU01</t>
  </si>
  <si>
    <t>WALKER FOLDING (DYNA REHAID)</t>
  </si>
  <si>
    <t>2625</t>
  </si>
  <si>
    <t>Cleaned Service Template</t>
  </si>
  <si>
    <t>Tariff Code</t>
  </si>
  <si>
    <t>Tariff General</t>
  </si>
  <si>
    <t>Tariff Twin</t>
  </si>
  <si>
    <t>Tariff Single</t>
  </si>
  <si>
    <t>Tariff ICU</t>
  </si>
  <si>
    <t>Room Dependent</t>
  </si>
  <si>
    <t>TR1</t>
  </si>
  <si>
    <t>Pharmacy Metrics Across Cohort IPs</t>
  </si>
  <si>
    <t>Admission No</t>
  </si>
  <si>
    <t>Patient Name</t>
  </si>
  <si>
    <t>IP Drugs / LOS Day</t>
  </si>
  <si>
    <t>IP Consumables / LOS Day</t>
  </si>
  <si>
    <t>Implant Amount</t>
  </si>
  <si>
    <t>Implant Line Count</t>
  </si>
  <si>
    <t>IP Drugs Amount</t>
  </si>
  <si>
    <t>IP Drugs Line Count</t>
  </si>
  <si>
    <t>IP Treatment Supplies Amount</t>
  </si>
  <si>
    <t>IP Treatment Supplies Line Count</t>
  </si>
  <si>
    <t>OT Drugs Amount</t>
  </si>
  <si>
    <t>OT Drugs Line Count</t>
  </si>
  <si>
    <t>OT Treatment Supplies Amount</t>
  </si>
  <si>
    <t>OT Treatment Supplies Line Count</t>
  </si>
  <si>
    <t>Gross Return Qty</t>
  </si>
  <si>
    <t>Unclassified Item Count</t>
  </si>
  <si>
    <t>IPGB2526007170</t>
  </si>
  <si>
    <t>MEDA MANGA</t>
  </si>
  <si>
    <t>IPGB2526007396</t>
  </si>
  <si>
    <t>RAFEEQ BEGUM</t>
  </si>
  <si>
    <t>IPGB2526007541</t>
  </si>
  <si>
    <t>SESHA RATNAM V</t>
  </si>
  <si>
    <t>IPGB2526007640</t>
  </si>
  <si>
    <t>ARUNA P</t>
  </si>
  <si>
    <t>IPGB2526007674</t>
  </si>
  <si>
    <t>MARISETTI NAGAVENI</t>
  </si>
  <si>
    <t>IPGB2526007738</t>
  </si>
  <si>
    <t>SUSHMA GROVER</t>
  </si>
  <si>
    <t>IPGB2526008255</t>
  </si>
  <si>
    <t>DURGAM SAMPATH</t>
  </si>
  <si>
    <t>IPGB2526008483</t>
  </si>
  <si>
    <t>U VENKATESWARA RAO</t>
  </si>
  <si>
    <t>IPGB2526008520</t>
  </si>
  <si>
    <t>FARZANA ZAMAN</t>
  </si>
  <si>
    <t>IPGB2526008624</t>
  </si>
  <si>
    <t>BUSIREDDY JAYAMMA</t>
  </si>
  <si>
    <t>IPGB2526009297</t>
  </si>
  <si>
    <t>AKKIPELLI PEDDA PANDU</t>
  </si>
  <si>
    <t>IPGB2526009816</t>
  </si>
  <si>
    <t>A RAMAVANNU REDDY</t>
  </si>
  <si>
    <t>IPGB2526010008</t>
  </si>
  <si>
    <t>KANCHAPU KANAKA RATNAM</t>
  </si>
  <si>
    <t>IPGB2526010133</t>
  </si>
  <si>
    <t>ANUBOTHULA RAMAKOTAMMA</t>
  </si>
  <si>
    <t>IPGB2526010309</t>
  </si>
  <si>
    <t>SATTI SUBBALAKSHMI</t>
  </si>
  <si>
    <t>IPGB2526010374</t>
  </si>
  <si>
    <t>B CHANDARAO</t>
  </si>
  <si>
    <t>IPGB2627000156</t>
  </si>
  <si>
    <t>NAGAPATNAM VARANASI ANNAPURNA</t>
  </si>
  <si>
    <t>IPGB2627000249</t>
  </si>
  <si>
    <t>MAGATHALA RAVI KUMAR</t>
  </si>
  <si>
    <t>IPGB2627000257</t>
  </si>
  <si>
    <t>S DILSHAD</t>
  </si>
  <si>
    <t>IPGB2627000485</t>
  </si>
  <si>
    <t>MATTA KRISHNAVENI</t>
  </si>
  <si>
    <t>IPGB2627000577</t>
  </si>
  <si>
    <t>PATRA MEENAKUMARI TALASU</t>
  </si>
  <si>
    <t>IPGB2627000622</t>
  </si>
  <si>
    <t>PARVATHI DONTHINENI</t>
  </si>
  <si>
    <t>IPGB2627000729</t>
  </si>
  <si>
    <t>ATYAM RAMANI</t>
  </si>
  <si>
    <t>IPGB2627000947</t>
  </si>
  <si>
    <t>HEMALATHA THOTA</t>
  </si>
  <si>
    <t>IPGB2627001047</t>
  </si>
  <si>
    <t>S VENKATA NARAYANA</t>
  </si>
  <si>
    <t>IPGB2627001175</t>
  </si>
  <si>
    <t>HAJAPPA</t>
  </si>
  <si>
    <t>Per-IP Actual FC Bucket Amounts</t>
  </si>
  <si>
    <t>Actual billed amounts by IP after excluding Food &amp; Beverage service rows and pharmacy returns, with a separate 12.5% drug administration field added on top of pharmacy. This audit layer also shows management type, ICU unit, LOS breakup, and per-day normalized room/IP-pharmacy fields.</t>
  </si>
  <si>
    <t>Payor Bucket</t>
  </si>
  <si>
    <t>Payer / Patient Type</t>
  </si>
  <si>
    <t>Organization</t>
  </si>
  <si>
    <t>Management Type</t>
  </si>
  <si>
    <t>Room Category</t>
  </si>
  <si>
    <t>ICU Unit</t>
  </si>
  <si>
    <t>Services Total ex F&amp;B</t>
  </si>
  <si>
    <t>Food &amp; Beverage Excluded</t>
  </si>
  <si>
    <t>Pharmacy Returns Excluded</t>
  </si>
  <si>
    <t>General Patients</t>
  </si>
  <si>
    <t>Surgical</t>
  </si>
  <si>
    <t>Deluxe</t>
  </si>
  <si>
    <t>Professional Fees Review</t>
  </si>
  <si>
    <t>Current Estimate PF Behavior</t>
  </si>
  <si>
    <t>Cash formula in estimate body; historical PF shown as review context.</t>
  </si>
  <si>
    <t>Purpose</t>
  </si>
  <si>
    <t>Historical PF reference only. This sheet does not auto-change the modeled estimate.</t>
  </si>
  <si>
    <t>Template-Level PF Signals</t>
  </si>
  <si>
    <t>Payer Sensitive</t>
  </si>
  <si>
    <t>Mixed Billing Shape</t>
  </si>
  <si>
    <t>Stable Across Payers</t>
  </si>
  <si>
    <t>Package Override Expected Later</t>
  </si>
  <si>
    <t>Overall Note</t>
  </si>
  <si>
    <t>PF insight is review-only in this pass; package-level PF handling remains a later layer.</t>
  </si>
  <si>
    <t>Payer-Wise Historical PF Summary</t>
  </si>
  <si>
    <t>payor_bucket</t>
  </si>
  <si>
    <t>admission_count</t>
  </si>
  <si>
    <t>pf_collectible_historical_total_p25</t>
  </si>
  <si>
    <t>pf_collectible_historical_total_p50</t>
  </si>
  <si>
    <t>pf_collectible_historical_total_p75</t>
  </si>
  <si>
    <t>pf_named_total_p50</t>
  </si>
  <si>
    <t>pf_general_needed_total_p50</t>
  </si>
  <si>
    <t>surgeon_row_prevalence_pct</t>
  </si>
  <si>
    <t>assistant_surgeon_row_prevalence_pct</t>
  </si>
  <si>
    <t>anesthetist_row_prevalence_pct</t>
  </si>
  <si>
    <t>assistant_anesthetist_row_prevalence_pct</t>
  </si>
  <si>
    <t>consultant_or_physician_row_prevalence_pct</t>
  </si>
  <si>
    <t>dominant_pf_shape</t>
  </si>
  <si>
    <t>69.23</t>
  </si>
  <si>
    <t>cash_formula_like</t>
  </si>
  <si>
    <t>Modeled PF vs Historical PF</t>
  </si>
  <si>
    <t>Historical Collectible PF P25</t>
  </si>
  <si>
    <t>Historical Collectible PF P50</t>
  </si>
  <si>
    <t>Historical Collectible PF P75</t>
  </si>
  <si>
    <t>Modeled PF Formula P25</t>
  </si>
  <si>
    <t>Modeled PF Formula P50</t>
  </si>
  <si>
    <t>Modeled PF Formula P75</t>
  </si>
  <si>
    <t>Difference P50</t>
  </si>
  <si>
    <t>Median Absolute % Error</t>
  </si>
  <si>
    <t>Reference Data</t>
  </si>
  <si>
    <t>basis_label</t>
  </si>
  <si>
    <t>cohort_size</t>
  </si>
  <si>
    <t>cash_count</t>
  </si>
  <si>
    <t>gipsa_count</t>
  </si>
  <si>
    <t>non_gipsa_count</t>
  </si>
  <si>
    <t>corporate_count</t>
  </si>
  <si>
    <t>los_p25</t>
  </si>
  <si>
    <t>los_p50</t>
  </si>
  <si>
    <t>los_p75</t>
  </si>
  <si>
    <t>icu_p25</t>
  </si>
  <si>
    <t>icu_p50</t>
  </si>
  <si>
    <t>icu_p75</t>
  </si>
  <si>
    <t>ward_p25</t>
  </si>
  <si>
    <t>ward_p50</t>
  </si>
  <si>
    <t>ward_p75</t>
  </si>
  <si>
    <t>ot_p25</t>
  </si>
  <si>
    <t>ot_p50</t>
  </si>
  <si>
    <t>ot_p75</t>
  </si>
  <si>
    <t>service_line_p25</t>
  </si>
  <si>
    <t>service_line_p50</t>
  </si>
  <si>
    <t>service_line_p75</t>
  </si>
  <si>
    <t>ip_drugs_p25</t>
  </si>
  <si>
    <t>ip_drugs_p50</t>
  </si>
  <si>
    <t>ip_drugs_p75</t>
  </si>
  <si>
    <t>ip_consumables_p25</t>
  </si>
  <si>
    <t>ip_consumables_p50</t>
  </si>
  <si>
    <t>ip_consumables_p75</t>
  </si>
  <si>
    <t>ot_drugs_p25</t>
  </si>
  <si>
    <t>ot_drugs_p50</t>
  </si>
  <si>
    <t>ot_drugs_p75</t>
  </si>
  <si>
    <t>ot_consumables_p25</t>
  </si>
  <si>
    <t>ot_consumables_p50</t>
  </si>
  <si>
    <t>ot_consumables_p75</t>
  </si>
  <si>
    <t>implants_p25</t>
  </si>
  <si>
    <t>implants_p50</t>
  </si>
  <si>
    <t>implants_p75</t>
  </si>
  <si>
    <t>ip_drugs_day_p25</t>
  </si>
  <si>
    <t>ip_drugs_day_p50</t>
  </si>
  <si>
    <t>ip_drugs_day_p75</t>
  </si>
  <si>
    <t>ip_consumables_day_p25</t>
  </si>
  <si>
    <t>ip_consumables_day_p50</t>
  </si>
  <si>
    <t>ip_consumables_day_p75</t>
  </si>
  <si>
    <t>cath_lab_p25</t>
  </si>
  <si>
    <t>key</t>
  </si>
  <si>
    <t>item_code</t>
  </si>
  <si>
    <t>item_name</t>
  </si>
  <si>
    <t>fc_estimate_bucket</t>
  </si>
  <si>
    <t>grouping</t>
  </si>
  <si>
    <t>case_presence_rate</t>
  </si>
  <si>
    <t>quantity_p25</t>
  </si>
  <si>
    <t>quantity_p50</t>
  </si>
  <si>
    <t>quantity_p75</t>
  </si>
  <si>
    <t>amount_cash_typical</t>
  </si>
  <si>
    <t>tariff_general</t>
  </si>
  <si>
    <t>tariff_twin</t>
  </si>
  <si>
    <t>tariff_single</t>
  </si>
  <si>
    <t>tariff_icu</t>
  </si>
  <si>
    <t>classification</t>
  </si>
  <si>
    <t>present_in_ip_pharmacy</t>
  </si>
  <si>
    <t>present_in_ot_pharmacy</t>
  </si>
  <si>
    <t>ot_quantity_typical_cleaned</t>
  </si>
  <si>
    <t>ot_amount_typical_cleaned</t>
  </si>
  <si>
    <t>overall_amount_typical_cleaned</t>
  </si>
  <si>
    <t>basis_name_key</t>
  </si>
  <si>
    <t>organization_cd</t>
  </si>
  <si>
    <t>organization_name</t>
  </si>
  <si>
    <t>organization_label</t>
  </si>
  <si>
    <t>tariff_code</t>
  </si>
  <si>
    <t>tariff_name</t>
  </si>
  <si>
    <t>case_count</t>
  </si>
  <si>
    <t>matrix_key</t>
  </si>
  <si>
    <t>general</t>
  </si>
  <si>
    <t>twin</t>
  </si>
  <si>
    <t>single</t>
  </si>
  <si>
    <t>icu</t>
  </si>
  <si>
    <t>ot_slot_hours</t>
  </si>
  <si>
    <t>ot_mode</t>
  </si>
  <si>
    <t>policy_scope</t>
  </si>
  <si>
    <t>exclude_from_insurance_estimate</t>
  </si>
  <si>
    <t>note</t>
  </si>
  <si>
    <t>pf_named_total_p25</t>
  </si>
  <si>
    <t>pf_named_total_p75</t>
  </si>
  <si>
    <t>pf_general_needed_total_p25</t>
  </si>
  <si>
    <t>pf_general_needed_total_p75</t>
  </si>
  <si>
    <t>surgeon_named_total_p25</t>
  </si>
  <si>
    <t>surgeon_named_total_p50</t>
  </si>
  <si>
    <t>surgeon_named_total_p75</t>
  </si>
  <si>
    <t>assistant_surgeon_named_total_p25</t>
  </si>
  <si>
    <t>assistant_surgeon_named_total_p50</t>
  </si>
  <si>
    <t>assistant_surgeon_named_total_p75</t>
  </si>
  <si>
    <t>anesthetist_named_total_p25</t>
  </si>
  <si>
    <t>anesthetist_named_total_p50</t>
  </si>
  <si>
    <t>anesthetist_named_total_p75</t>
  </si>
  <si>
    <t>assistant_anesthetist_named_total_p25</t>
  </si>
  <si>
    <t>assistant_anesthetist_named_total_p50</t>
  </si>
  <si>
    <t>assistant_anesthetist_named_total_p75</t>
  </si>
  <si>
    <t>consultant_or_physician_named_total_p25</t>
  </si>
  <si>
    <t>consultant_or_physician_named_total_p50</t>
  </si>
  <si>
    <t>consultant_or_physician_named_total_p75</t>
  </si>
  <si>
    <t>lookup_key</t>
  </si>
  <si>
    <t>component</t>
  </si>
  <si>
    <t>target_payor_bucket</t>
  </si>
  <si>
    <t>basis</t>
  </si>
  <si>
    <t>anchor_p25</t>
  </si>
  <si>
    <t>anchor_p50</t>
  </si>
  <si>
    <t>anchor_p75</t>
  </si>
  <si>
    <t>variability_score</t>
  </si>
  <si>
    <t>spread_vs_insurance_all</t>
  </si>
  <si>
    <t>spread_vs_all_payers</t>
  </si>
  <si>
    <t>recommended_status</t>
  </si>
  <si>
    <t>selected_basis</t>
  </si>
  <si>
    <t>selected_case_count</t>
  </si>
  <si>
    <t>confidence</t>
  </si>
  <si>
    <t>selection_reason</t>
  </si>
  <si>
    <t>field_key</t>
  </si>
  <si>
    <t>field_label</t>
  </si>
  <si>
    <t>min</t>
  </si>
  <si>
    <t>max</t>
  </si>
  <si>
    <t>average</t>
  </si>
  <si>
    <t>p25</t>
  </si>
  <si>
    <t>p50</t>
  </si>
  <si>
    <t>p75</t>
  </si>
  <si>
    <t>Cath Lab Family Metrics</t>
  </si>
  <si>
    <t>Cash|CAR0080</t>
  </si>
  <si>
    <t>Cash|CLOG03|CLOHEX ADS 200ML MOUTH WASH</t>
  </si>
  <si>
    <t>Cash|CLOHEX ADS 200ML MOUTH WASH</t>
  </si>
  <si>
    <t>ORG56</t>
  </si>
  <si>
    <t>THE NEW INDIA ASSURANCE CO. LTD.</t>
  </si>
  <si>
    <t>ORG56 - THE NEW INDIA ASSURANCE CO. LTD.</t>
  </si>
  <si>
    <t>TR290</t>
  </si>
  <si>
    <t>KIMI_GIPS_24(C)</t>
  </si>
  <si>
    <t>TR1|BIO0001</t>
  </si>
  <si>
    <t>KIMS</t>
  </si>
  <si>
    <t>UREA</t>
  </si>
  <si>
    <t>TR1|normal|0.5</t>
  </si>
  <si>
    <t>normal</t>
  </si>
  <si>
    <t>OTC0005</t>
  </si>
  <si>
    <t>OT - 1/2 HOUR</t>
  </si>
  <si>
    <t>RNS0070</t>
  </si>
  <si>
    <t>both_gipsa_and_non_gipsa</t>
  </si>
  <si>
    <t>Excluded for insurance FC estimate basis in v1.</t>
  </si>
  <si>
    <t>service_basis|Cash</t>
  </si>
  <si>
    <t>service_basis</t>
  </si>
  <si>
    <t>recommended_exact</t>
  </si>
  <si>
    <t>medium</t>
  </si>
  <si>
    <t>Cash selected for service_basis against Cash; recommended exact with 26 cases.</t>
  </si>
  <si>
    <t>Cash|los_days</t>
  </si>
  <si>
    <t>los_days</t>
  </si>
  <si>
    <t>LOS / ICU / Ward / OT Quartiles</t>
  </si>
  <si>
    <t>metric</t>
  </si>
  <si>
    <t>Cash|XRY044</t>
  </si>
  <si>
    <t>Cash|ENOI05|ENOXATIL 40MG INJ</t>
  </si>
  <si>
    <t>Cash|ENOXATIL 40MG INJ</t>
  </si>
  <si>
    <t>ORG54</t>
  </si>
  <si>
    <t>THE ORIENTAL INSURANCE CO. LTD.</t>
  </si>
  <si>
    <t>ORG54 - THE ORIENTAL INSURANCE CO. LTD.</t>
  </si>
  <si>
    <t>TR1|BIO0002</t>
  </si>
  <si>
    <t>CREATININE</t>
  </si>
  <si>
    <t>TR1|emergency|0.5</t>
  </si>
  <si>
    <t>emergency</t>
  </si>
  <si>
    <t>OTC0054</t>
  </si>
  <si>
    <t>OT-E - 1/2 HOUR</t>
  </si>
  <si>
    <t>OTI0060</t>
  </si>
  <si>
    <t>insufficient_volume</t>
  </si>
  <si>
    <t>Cash|icu_days</t>
  </si>
  <si>
    <t>icu_days</t>
  </si>
  <si>
    <t>cath_lab_amount_net</t>
  </si>
  <si>
    <t>Cash|XRY5090</t>
  </si>
  <si>
    <t>Cash|G2KI01|G2K 40MG INJ</t>
  </si>
  <si>
    <t>Cash|G2K 40MG INJ</t>
  </si>
  <si>
    <t>ORG53</t>
  </si>
  <si>
    <t>UNITED INDIA INSURANCE CO. LTD.</t>
  </si>
  <si>
    <t>ORG53 - UNITED INDIA INSURANCE CO. LTD.</t>
  </si>
  <si>
    <t>TR1|BIO0003</t>
  </si>
  <si>
    <t>ELECTROLYTES</t>
  </si>
  <si>
    <t>TR1|normal|1</t>
  </si>
  <si>
    <t>OTC0006</t>
  </si>
  <si>
    <t>OT - 1 HOUR</t>
  </si>
  <si>
    <t>Cash|ward_days</t>
  </si>
  <si>
    <t>ward_days</t>
  </si>
  <si>
    <t>Cash|XRY5133</t>
  </si>
  <si>
    <t>Cash|ROPI13|ROPIZUVA 0.2% 20ML INJ</t>
  </si>
  <si>
    <t>Cash|ROPIZUVA 0.2% 20ML INJ</t>
  </si>
  <si>
    <t>ORG55</t>
  </si>
  <si>
    <t>NATIONAL INSURANCE COMPANY LTD.</t>
  </si>
  <si>
    <t>ORG55 - NATIONAL INSURANCE COMPANY LTD.</t>
  </si>
  <si>
    <t>TR1|BIO0004</t>
  </si>
  <si>
    <t>SODIUM</t>
  </si>
  <si>
    <t>TR1|emergency|1</t>
  </si>
  <si>
    <t>OTC0055</t>
  </si>
  <si>
    <t>OT-E - 1 HOUR</t>
  </si>
  <si>
    <t>OTI0001</t>
  </si>
  <si>
    <t>Cash|ot_hours</t>
  </si>
  <si>
    <t>ot_hours</t>
  </si>
  <si>
    <t>Cash|BIO0001</t>
  </si>
  <si>
    <t>Cash|VERI10|VERFEN 2ML INJ</t>
  </si>
  <si>
    <t>Cash|VERFEN 2ML INJ</t>
  </si>
  <si>
    <t>ORG61</t>
  </si>
  <si>
    <t>STAR HEALTH AND ALLIED INSURANCE CO. LTD.</t>
  </si>
  <si>
    <t>ORG61 - STAR HEALTH AND ALLIED INSURANCE CO. LTD.</t>
  </si>
  <si>
    <t>TR287</t>
  </si>
  <si>
    <t>STAR_HYD_23(C)</t>
  </si>
  <si>
    <t>TR1|BIO0162</t>
  </si>
  <si>
    <t>ALBUMIN</t>
  </si>
  <si>
    <t>TR1|normal|1.5</t>
  </si>
  <si>
    <t>OTC0007</t>
  </si>
  <si>
    <t>OT - 1 1/2 HOUR</t>
  </si>
  <si>
    <t>OTI0061</t>
  </si>
  <si>
    <t>Cash|service_line_count</t>
  </si>
  <si>
    <t>service_line_count</t>
  </si>
  <si>
    <t>Cash|BIO0002</t>
  </si>
  <si>
    <t>Cash|ADVR01|ADVACRYL 0 ADVA2534(AMS)</t>
  </si>
  <si>
    <t>Cash|ADVACRYL 0 ADVA2534(AMS)</t>
  </si>
  <si>
    <t>ORG59</t>
  </si>
  <si>
    <t>ICICI LOMBARD GENERAL INSURANCE CO. LTD.</t>
  </si>
  <si>
    <t>ORG59 - ICICI LOMBARD GENERAL INSURANCE CO. LTD.</t>
  </si>
  <si>
    <t>TR201</t>
  </si>
  <si>
    <t>SSG_ICICI</t>
  </si>
  <si>
    <t>TR1|CAR5341</t>
  </si>
  <si>
    <t>BEDSIDE ECG</t>
  </si>
  <si>
    <t>TR1|emergency|1.5</t>
  </si>
  <si>
    <t>OTC0056</t>
  </si>
  <si>
    <t>OT-E - 1 1/2 HOUR</t>
  </si>
  <si>
    <t>materially_different_keep_separate</t>
  </si>
  <si>
    <t>Cash|room_charges</t>
  </si>
  <si>
    <t>room_charges</t>
  </si>
  <si>
    <t>Cash|BIO0003</t>
  </si>
  <si>
    <t>Cash|CLIU5|CLING DRAPE 15CM*500CM(CD01-SURGIWEAR)</t>
  </si>
  <si>
    <t>Cash|CLING DRAPE 15CM*500CM(CD01-SURGIWEAR)</t>
  </si>
  <si>
    <t>ORG1199</t>
  </si>
  <si>
    <t>CARE HEALTH INSURANCE LTD.</t>
  </si>
  <si>
    <t>ORG1199 - CARE HEALTH INSURANCE LTD.</t>
  </si>
  <si>
    <t>TR202</t>
  </si>
  <si>
    <t>SSG_CARE</t>
  </si>
  <si>
    <t>TR1|CAS0007</t>
  </si>
  <si>
    <t>DRESSING-MINOR</t>
  </si>
  <si>
    <t>TR1|normal|2</t>
  </si>
  <si>
    <t>OTC0008</t>
  </si>
  <si>
    <t>OT - 2 HOURS</t>
  </si>
  <si>
    <t>EME5011</t>
  </si>
  <si>
    <t>pharmacy_basis|Cash</t>
  </si>
  <si>
    <t>pharmacy_basis</t>
  </si>
  <si>
    <t>Cash selected for pharmacy_basis against Cash; recommended exact with 26 cases.</t>
  </si>
  <si>
    <t>Cash|room_charges_per_day</t>
  </si>
  <si>
    <t>room_charges_per_day</t>
  </si>
  <si>
    <t>Cash|BIO0004</t>
  </si>
  <si>
    <t>Cash|ECGU48|ECG ELECTRODES ADULT(SUCHIKA)</t>
  </si>
  <si>
    <t>Cash|ECG ELECTRODES ADULT(SUCHIKA)</t>
  </si>
  <si>
    <t>ORG1197</t>
  </si>
  <si>
    <t>ADITYA BIRLA HEALTH INSURANCE CO. LTD.</t>
  </si>
  <si>
    <t>ORG1197 - ADITYA BIRLA HEALTH INSURANCE CO. LTD.</t>
  </si>
  <si>
    <t>TR285</t>
  </si>
  <si>
    <t>MEDI ASST-23(C)</t>
  </si>
  <si>
    <t>TR1|DIE0001</t>
  </si>
  <si>
    <t>DIET CONSULTATION</t>
  </si>
  <si>
    <t>TR1|emergency|2</t>
  </si>
  <si>
    <t>OTC0057</t>
  </si>
  <si>
    <t>OT-E - 2 HOURS</t>
  </si>
  <si>
    <t>Cash|investigations</t>
  </si>
  <si>
    <t>investigations</t>
  </si>
  <si>
    <t>Pharmacy Bucket Quartiles</t>
  </si>
  <si>
    <t>Cash|BIO0005</t>
  </si>
  <si>
    <t>Cash|IOBU02|IOBAN 56CM*45CM(6650-3M)</t>
  </si>
  <si>
    <t>Cash|IOBAN 56CM*45CM(6650-3M)</t>
  </si>
  <si>
    <t>ORG57</t>
  </si>
  <si>
    <t>BAJAJ ALLIANZ GENERAL INSURANCE CO. LTD.</t>
  </si>
  <si>
    <t>ORG57 - BAJAJ ALLIANZ GENERAL INSURANCE CO. LTD.</t>
  </si>
  <si>
    <t>TR289</t>
  </si>
  <si>
    <t>BAJA_HYD_23(C)</t>
  </si>
  <si>
    <t>TR1|EME0017</t>
  </si>
  <si>
    <t>OXYGEN PER HOUR</t>
  </si>
  <si>
    <t>TR1|normal|2.5</t>
  </si>
  <si>
    <t>OTC0009</t>
  </si>
  <si>
    <t>OT - 2 1/2 HOURS</t>
  </si>
  <si>
    <t>OTI0075</t>
  </si>
  <si>
    <t>Cash|procedure_ot_charges</t>
  </si>
  <si>
    <t>procedure_ot_charges</t>
  </si>
  <si>
    <t>bucket</t>
  </si>
  <si>
    <t>Cash|BIO0064</t>
  </si>
  <si>
    <t>Cash|MEPU50|MEPILEX BORDER POST-OP 10CM*35CM(496650-MOLNLYCKE)</t>
  </si>
  <si>
    <t>Cash|MEPILEX BORDER POST-OP 10CM*35CM(496650-MOLNLYCKE)</t>
  </si>
  <si>
    <t>ORG126</t>
  </si>
  <si>
    <t>HDFC ERGO GENERAL INSURANCE CO. LTD.</t>
  </si>
  <si>
    <t>ORG126 - HDFC ERGO GENERAL INSURANCE CO. LTD.</t>
  </si>
  <si>
    <t>TR286</t>
  </si>
  <si>
    <t>HDFC_HYD_23(C)</t>
  </si>
  <si>
    <t>TR1|EME0019</t>
  </si>
  <si>
    <t>MONITOR PER DAY</t>
  </si>
  <si>
    <t>TR1|emergency|2.5</t>
  </si>
  <si>
    <t>OTC0058</t>
  </si>
  <si>
    <t>OT-E - 2 1/2 HOURS</t>
  </si>
  <si>
    <t>OTI0059</t>
  </si>
  <si>
    <t>Cash|bedside_services</t>
  </si>
  <si>
    <t>bedside_services</t>
  </si>
  <si>
    <t>ip_drugs</t>
  </si>
  <si>
    <t>Cash|BIO0075</t>
  </si>
  <si>
    <t>Cash|SURU160|SURGICAL GLOVE 7.5(BLISTER PACK-SURGICARE-KANAM)</t>
  </si>
  <si>
    <t>Cash|SURGICAL GLOVE 7.5(BLISTER PACK-SURGICARE-KANAM)</t>
  </si>
  <si>
    <t>ORG71</t>
  </si>
  <si>
    <t>MEDI ASSIST INSURANCE TPA PVT. LTD.</t>
  </si>
  <si>
    <t>ORG71 - MEDI ASSIST INSURANCE TPA PVT. LTD.</t>
  </si>
  <si>
    <t>TR292</t>
  </si>
  <si>
    <t>KIMSI_MA_2024(C</t>
  </si>
  <si>
    <t>TR1|EME0087</t>
  </si>
  <si>
    <t>WARMER</t>
  </si>
  <si>
    <t>TR1|normal|3</t>
  </si>
  <si>
    <t>OTC0010</t>
  </si>
  <si>
    <t>OT - 3 HOURS</t>
  </si>
  <si>
    <t>Cash|professional_fees</t>
  </si>
  <si>
    <t>professional_fees</t>
  </si>
  <si>
    <t>ip_consumables</t>
  </si>
  <si>
    <t>Cash|BIO0097</t>
  </si>
  <si>
    <t>Cash|SURU84|SURGICAL BLADE 11(GLASSVAN)</t>
  </si>
  <si>
    <t>Cash|SURGICAL BLADE 11(GLASSVAN)</t>
  </si>
  <si>
    <t>ORG1206</t>
  </si>
  <si>
    <t>TATA AIG GENERAL INSURANCE CO. LTD.</t>
  </si>
  <si>
    <t>ORG1206 - TATA AIG GENERAL INSURANCE CO. LTD.</t>
  </si>
  <si>
    <t>TR288</t>
  </si>
  <si>
    <t>KIMSI-2023(C)</t>
  </si>
  <si>
    <t>TR1|HSP0047</t>
  </si>
  <si>
    <t>MLC CHARGES-IP</t>
  </si>
  <si>
    <t>TR1|emergency|3</t>
  </si>
  <si>
    <t>OTC0059</t>
  </si>
  <si>
    <t>OT-E - 3 HOURS</t>
  </si>
  <si>
    <t>Cash|ip_drugs</t>
  </si>
  <si>
    <t>ot_drugs</t>
  </si>
  <si>
    <t>Cash|BIO0098</t>
  </si>
  <si>
    <t>Cash|SURU85|SURGICAL BLADE 22(GLASSVAN)</t>
  </si>
  <si>
    <t>Cash|SURGICAL BLADE 22(GLASSVAN)</t>
  </si>
  <si>
    <t>ORG1249</t>
  </si>
  <si>
    <t>SBI GENERAL INSURANCE CO. LTD.</t>
  </si>
  <si>
    <t>ORG1249 - SBI GENERAL INSURANCE CO. LTD.</t>
  </si>
  <si>
    <t>TR240</t>
  </si>
  <si>
    <t>KIMSI_MA_2024</t>
  </si>
  <si>
    <t>TR1|HSP5013</t>
  </si>
  <si>
    <t>WARD CONSUMABLES</t>
  </si>
  <si>
    <t>TR1|normal|3.5</t>
  </si>
  <si>
    <t>OTC0011</t>
  </si>
  <si>
    <t>OT - 3 1/2 HOURS</t>
  </si>
  <si>
    <t>pf_basis|Cash</t>
  </si>
  <si>
    <t>pf_basis</t>
  </si>
  <si>
    <t>Cash selected for pf_basis against Cash; recommended exact with 26 cases.</t>
  </si>
  <si>
    <t>Cash|ip_drugs_per_day</t>
  </si>
  <si>
    <t>ip_drugs_per_day</t>
  </si>
  <si>
    <t>ot_consumables</t>
  </si>
  <si>
    <t>Cash|BIO0106</t>
  </si>
  <si>
    <t>Cash|SYRU121|SYRINGE 50ML LL(LIFELONG)</t>
  </si>
  <si>
    <t>Cash|SYRINGE 50ML LL(LIFELONG)</t>
  </si>
  <si>
    <t>ORG1238</t>
  </si>
  <si>
    <t>GO DIGIT GENERAL INSURANCE LTD.</t>
  </si>
  <si>
    <t>ORG1238 - GO DIGIT GENERAL INSURANCE LTD.</t>
  </si>
  <si>
    <t>TR1|ICC0001</t>
  </si>
  <si>
    <t>ASSISTANT INTENSIVIST PER DAY</t>
  </si>
  <si>
    <t>TR1|emergency|3.5</t>
  </si>
  <si>
    <t>OTC0060</t>
  </si>
  <si>
    <t>OT-E - 3 1/2 HOURS</t>
  </si>
  <si>
    <t>OTI0014</t>
  </si>
  <si>
    <t>Cash|ip_consumables</t>
  </si>
  <si>
    <t>implants</t>
  </si>
  <si>
    <t>Cash|BIO0121</t>
  </si>
  <si>
    <t>Cash|SYRU63|SYRINGE 10ML(LIFELONG)</t>
  </si>
  <si>
    <t>Cash|SYRINGE 10ML(LIFELONG)</t>
  </si>
  <si>
    <t>ORG119</t>
  </si>
  <si>
    <t>GENERALI CENTRAL INSURANCE CO. LTD.</t>
  </si>
  <si>
    <t>ORG119 - GENERALI CENTRAL INSURANCE CO. LTD.</t>
  </si>
  <si>
    <t>TR1|ICC0002</t>
  </si>
  <si>
    <t>INTENSIVIST PER DAY</t>
  </si>
  <si>
    <t>TR1|normal|4</t>
  </si>
  <si>
    <t>OTC0012</t>
  </si>
  <si>
    <t>OT - 4 HOURS</t>
  </si>
  <si>
    <t>Cash|ip_consumables_per_day</t>
  </si>
  <si>
    <t>ip_consumables_per_day</t>
  </si>
  <si>
    <t>Cash|BIO0162</t>
  </si>
  <si>
    <t>Liver Function Tests</t>
  </si>
  <si>
    <t>Cash|SYRU70|SYRINGE 2ML(LIFELONG)</t>
  </si>
  <si>
    <t>Cash|SYRINGE 2ML(LIFELONG)</t>
  </si>
  <si>
    <t>ORG1147</t>
  </si>
  <si>
    <t>MANIPALCIGNA HEALTH INSURANCE CO. LTD.</t>
  </si>
  <si>
    <t>ORG1147 - MANIPALCIGNA HEALTH INSURANCE CO. LTD.</t>
  </si>
  <si>
    <t>TR1|OTC0010</t>
  </si>
  <si>
    <t>TR1|emergency|4</t>
  </si>
  <si>
    <t>OTC0061</t>
  </si>
  <si>
    <t>OT-E - 4 HOURS</t>
  </si>
  <si>
    <t>EME5047</t>
  </si>
  <si>
    <t>Cash|ot_drugs</t>
  </si>
  <si>
    <t>IP Pharmacy Per LOS Day Quartiles</t>
  </si>
  <si>
    <t>Cash|BIO0181</t>
  </si>
  <si>
    <t>Cash|UNDU17|UNDERPAD 90CM X 60CM(MAGMACARE)</t>
  </si>
  <si>
    <t>Cash|UNDERPAD 90CM X 60CM(MAGMACARE)</t>
  </si>
  <si>
    <t>ORG60</t>
  </si>
  <si>
    <t>INDUSIND GENERAL INSURANCE CO. LTD.</t>
  </si>
  <si>
    <t>ORG60 - INDUSIND GENERAL INSURANCE CO. LTD.</t>
  </si>
  <si>
    <t>TR1|OTC5005</t>
  </si>
  <si>
    <t>POST SURGERY RECOVERY CHARGES</t>
  </si>
  <si>
    <t>TR1|normal|4.5</t>
  </si>
  <si>
    <t>OTC0013</t>
  </si>
  <si>
    <t>OT - 4 1/2 HOURS</t>
  </si>
  <si>
    <t>OTI0036</t>
  </si>
  <si>
    <t>Cash|ot_consumables</t>
  </si>
  <si>
    <t>Cash|BLD0001</t>
  </si>
  <si>
    <t>Cash|CHGC01|CHG SKIN PREP 2% 500ML(3M)</t>
  </si>
  <si>
    <t>Cash|CHG SKIN PREP 2% 500ML(3M)</t>
  </si>
  <si>
    <t>ORG120</t>
  </si>
  <si>
    <t>NIVA BUPA HEALTH INSURANCE CO. LTD.</t>
  </si>
  <si>
    <t>ORG120 - NIVA BUPA HEALTH INSURANCE CO. LTD.</t>
  </si>
  <si>
    <t>TR303</t>
  </si>
  <si>
    <t>KIMSI_NIVA_2025</t>
  </si>
  <si>
    <t>TR1|OTI0015</t>
  </si>
  <si>
    <t>OT DISINFECTION CHARGES</t>
  </si>
  <si>
    <t>TR1|emergency|4.5</t>
  </si>
  <si>
    <t>OTC0062</t>
  </si>
  <si>
    <t>OT-E - 4 1/2 HOURS</t>
  </si>
  <si>
    <t>HSP5049</t>
  </si>
  <si>
    <t>Cash|implants</t>
  </si>
  <si>
    <t>ip_drugs_per_los_day</t>
  </si>
  <si>
    <t>Cash|BLD0009</t>
  </si>
  <si>
    <t>Cash|ADVR04|ADVACRYL 1 ADVA2421P(AMS)</t>
  </si>
  <si>
    <t>Cash|ADVACRYL 1 ADVA2421P(AMS)</t>
  </si>
  <si>
    <t>ORG1425</t>
  </si>
  <si>
    <t>MAGMA GENERAL INSURANCE LTD.</t>
  </si>
  <si>
    <t>ORG1425 - MAGMA GENERAL INSURANCE LTD.</t>
  </si>
  <si>
    <t>TR1|OTI0018</t>
  </si>
  <si>
    <t>INSTRUMENT CHARGES (MAJOR)</t>
  </si>
  <si>
    <t>TR1|normal|5</t>
  </si>
  <si>
    <t>OTC0014</t>
  </si>
  <si>
    <t>OT - 5 HOURS</t>
  </si>
  <si>
    <t>CAR5028</t>
  </si>
  <si>
    <t>service_basis|GIPSA Insurance</t>
  </si>
  <si>
    <t>All Payers selected for service_basis against GIPSA Insurance; recommended fallback all payers with 26 cases.</t>
  </si>
  <si>
    <t>Cash|pharmacy_total</t>
  </si>
  <si>
    <t>pharmacy_total</t>
  </si>
  <si>
    <t>ip_consumables_per_los_day</t>
  </si>
  <si>
    <t>Cash|BLD0024</t>
  </si>
  <si>
    <t>Cash|SKIS01|SKIN STAPLER 35 PIN(ADVASKN-35-AMS)</t>
  </si>
  <si>
    <t>Cash|SKIN STAPLER 35 PIN(ADVASKN-35-AMS)</t>
  </si>
  <si>
    <t>ORG778</t>
  </si>
  <si>
    <t>LIBERTY GENERAL INSURANCE LTD.</t>
  </si>
  <si>
    <t>ORG778 - LIBERTY GENERAL INSURANCE LTD.</t>
  </si>
  <si>
    <t>TR284</t>
  </si>
  <si>
    <t>KIMSI-22(C)</t>
  </si>
  <si>
    <t>TR1|OTI0098</t>
  </si>
  <si>
    <t>TR1|emergency|5</t>
  </si>
  <si>
    <t>OTC0063</t>
  </si>
  <si>
    <t>OT-E - 5 HOURS</t>
  </si>
  <si>
    <t>OTI0058</t>
  </si>
  <si>
    <t>Cash|drug_administration_charges</t>
  </si>
  <si>
    <t>drug_administration_charges</t>
  </si>
  <si>
    <t>Cash|PAT0007</t>
  </si>
  <si>
    <t>Cash|SPOC03|SPONGE GAUZE 4 BUNDLE(STERILE)</t>
  </si>
  <si>
    <t>Cash|SPONGE GAUZE 4 BUNDLE(STERILE)</t>
  </si>
  <si>
    <t>ORG1144</t>
  </si>
  <si>
    <t>VIDAL HEALTH INSURANCE TPA PVT. LTD.</t>
  </si>
  <si>
    <t>ORG1144 - VIDAL HEALTH INSURANCE TPA PVT. LTD.</t>
  </si>
  <si>
    <t>TR1|PAT0042</t>
  </si>
  <si>
    <t>TR1|normal|5.5</t>
  </si>
  <si>
    <t>OTC0015</t>
  </si>
  <si>
    <t>OT - 5 1/2 HOURS</t>
  </si>
  <si>
    <t>OTI0025</t>
  </si>
  <si>
    <t>Cash|services_total_excluding_food_and_beverage</t>
  </si>
  <si>
    <t>services_total_excluding_food_and_beverage</t>
  </si>
  <si>
    <t>Cleaned Service Line Count Quartiles</t>
  </si>
  <si>
    <t>Cash|PAT0041</t>
  </si>
  <si>
    <t>Cash|STIU9|STIMUPLEX NEEDLE 100MM 21G*4IN(4894260-BBRAUN)</t>
  </si>
  <si>
    <t>Cash|STIMUPLEX NEEDLE 100MM 21G*4IN(4894260-BBRAUN)</t>
  </si>
  <si>
    <t>ORG66</t>
  </si>
  <si>
    <t>FAMILY HEALTH PLAN INSURANCE TPA LTD.</t>
  </si>
  <si>
    <t>ORG66 - FAMILY HEALTH PLAN INSURANCE TPA LTD.</t>
  </si>
  <si>
    <t>TR1|PAT0045</t>
  </si>
  <si>
    <t>TR1|emergency|5.5</t>
  </si>
  <si>
    <t>OTC0064</t>
  </si>
  <si>
    <t>OT-E - 5 1/2 HOURS</t>
  </si>
  <si>
    <t>OTI0101</t>
  </si>
  <si>
    <t>Cash|food_and_beverage_excluded</t>
  </si>
  <si>
    <t>food_and_beverage_excluded</t>
  </si>
  <si>
    <t>Cash|PAT0042</t>
  </si>
  <si>
    <t>Cash|SURU107|SURGICAL CLIPPER BLADE ( 9680 -3M )</t>
  </si>
  <si>
    <t>Cash|SURGICAL CLIPPER BLADE ( 9680 -3M )</t>
  </si>
  <si>
    <t>ORG50</t>
  </si>
  <si>
    <t>IFFCO-TOKIO GENERAL INSURANCE CO. LTD.</t>
  </si>
  <si>
    <t>ORG50 - IFFCO-TOKIO GENERAL INSURANCE CO. LTD.</t>
  </si>
  <si>
    <t>TR206</t>
  </si>
  <si>
    <t>SSG_IFFCO</t>
  </si>
  <si>
    <t>TR1|PHY5082</t>
  </si>
  <si>
    <t>TR1|normal|6</t>
  </si>
  <si>
    <t>OTC0016</t>
  </si>
  <si>
    <t>OT - 6 HOURS</t>
  </si>
  <si>
    <t>Cash|pharmacy_returns_excluded</t>
  </si>
  <si>
    <t>pharmacy_returns_excluded</t>
  </si>
  <si>
    <t>cleaned_distinct_service_line_count</t>
  </si>
  <si>
    <t>Cash|PAT0045</t>
  </si>
  <si>
    <t>Cash|SYRU90|SYRINGE 5ML(LIFELONG)</t>
  </si>
  <si>
    <t>Cash|SYRINGE 5ML(LIFELONG)</t>
  </si>
  <si>
    <t>ORG1424</t>
  </si>
  <si>
    <t>ZURICH KOTAK GENERAL INSURANCE CO. (I) LTD.</t>
  </si>
  <si>
    <t>ORG1424 - ZURICH KOTAK GENERAL INSURANCE CO. (I) LTD.</t>
  </si>
  <si>
    <t>TR1|RNS0120</t>
  </si>
  <si>
    <t>MEDICAL RECORDS- &gt; 1 DAY</t>
  </si>
  <si>
    <t>TR1|emergency|6</t>
  </si>
  <si>
    <t>OTC0065</t>
  </si>
  <si>
    <t>OT-E - 6 HOURS</t>
  </si>
  <si>
    <t>recommended_fallback_all_payers</t>
  </si>
  <si>
    <t>Cash|total_amount_excluding_food_and_beverage_and_returns_plus_drug_admin</t>
  </si>
  <si>
    <t>total_amount_excluding_food_and_beverage_and_returns_plus_drug_admin</t>
  </si>
  <si>
    <t>Cash|PAT0078</t>
  </si>
  <si>
    <t>Cash|ROPI09|ROPIZUVA 0.75% 20ML INJ</t>
  </si>
  <si>
    <t>Cash|ROPIZUVA 0.75% 20ML INJ</t>
  </si>
  <si>
    <t>ORG73</t>
  </si>
  <si>
    <t>PARAMOUNT HEALTH SERVICES &amp; INSURANCE TPA PVT. LTD.</t>
  </si>
  <si>
    <t>ORG73 - PARAMOUNT HEALTH SERVICES &amp; INSURANCE TPA PVT. LTD.</t>
  </si>
  <si>
    <t>TR1|RNS5005</t>
  </si>
  <si>
    <t>TR1|normal|6.5</t>
  </si>
  <si>
    <t>OTC0017</t>
  </si>
  <si>
    <t>OT - 6 1/2 HOURS</t>
  </si>
  <si>
    <t>pharmacy_basis|GIPSA Insurance</t>
  </si>
  <si>
    <t>All Payers selected for pharmacy_basis against GIPSA Insurance; recommended fallback all payers with 26 cases.</t>
  </si>
  <si>
    <t>GIPSA Insurance|los_days</t>
  </si>
  <si>
    <t>Cleaned Services Template</t>
  </si>
  <si>
    <t>Cash|PHY5082</t>
  </si>
  <si>
    <t>Cash|ROPI16|ROPIN HEAVY 0.75% 4ML INJ</t>
  </si>
  <si>
    <t>Cash|ROPIN HEAVY 0.75% 4ML INJ</t>
  </si>
  <si>
    <t>ORG99</t>
  </si>
  <si>
    <t>ROYAL SUNDARAM GENERAL INSURANCE CO. LTD.</t>
  </si>
  <si>
    <t>ORG99 - ROYAL SUNDARAM GENERAL INSURANCE CO. LTD.</t>
  </si>
  <si>
    <t>TR1|ROM0001</t>
  </si>
  <si>
    <t>ROM0001</t>
  </si>
  <si>
    <t>BED CHARGES - GENERAL WARD</t>
  </si>
  <si>
    <t>TR1|emergency|6.5</t>
  </si>
  <si>
    <t>OTC0066</t>
  </si>
  <si>
    <t>OT-E - 6 1/2 HOURS</t>
  </si>
  <si>
    <t>GIPSA Insurance|icu_days</t>
  </si>
  <si>
    <t>Cash|ANS0003</t>
  </si>
  <si>
    <t>Cash|ADVR07|ADVACRYL 2 ADVA2478P(AMS)</t>
  </si>
  <si>
    <t>Cash|ADVACRYL 2 ADVA2478P(AMS)</t>
  </si>
  <si>
    <t>ORG1368</t>
  </si>
  <si>
    <t>AMANAH INSURANCE</t>
  </si>
  <si>
    <t>ORG1368 - AMANAH INSURANCE</t>
  </si>
  <si>
    <t>TR177</t>
  </si>
  <si>
    <t>KIMS_INT_23</t>
  </si>
  <si>
    <t>TR1|ROM0024</t>
  </si>
  <si>
    <t>ROM0024</t>
  </si>
  <si>
    <t>BED CHARGES - TWIN SHARING</t>
  </si>
  <si>
    <t>TR1|normal|7</t>
  </si>
  <si>
    <t>OTC0018</t>
  </si>
  <si>
    <t>OT - 7 HOURS</t>
  </si>
  <si>
    <t>GIPSA Insurance|ward_days</t>
  </si>
  <si>
    <t>500</t>
  </si>
  <si>
    <t>Cash|DIE0001</t>
  </si>
  <si>
    <t>Cash|PROS60|PRO-OPERATIVE SHOWER KIT(3M)</t>
  </si>
  <si>
    <t>Cash|PRO-OPERATIVE SHOWER KIT(3M)</t>
  </si>
  <si>
    <t>ORG1428</t>
  </si>
  <si>
    <t>ZUNO GENERAL INSURANCE LTD.</t>
  </si>
  <si>
    <t>ORG1428 - ZUNO GENERAL INSURANCE LTD.</t>
  </si>
  <si>
    <t>TR1|ROM0036</t>
  </si>
  <si>
    <t>ROM0036</t>
  </si>
  <si>
    <t>BED CHARGES - SINGLE</t>
  </si>
  <si>
    <t>TR1|emergency|7</t>
  </si>
  <si>
    <t>OTC0067</t>
  </si>
  <si>
    <t>OT-E - 7 HOURS</t>
  </si>
  <si>
    <t>GIPSA Insurance|ot_hours</t>
  </si>
  <si>
    <t>1200</t>
  </si>
  <si>
    <t>Cash|PHY5076</t>
  </si>
  <si>
    <t>Cash|TOPU09|TOP C NET 15CM*10M(4100-DYNA)</t>
  </si>
  <si>
    <t>Cash|TOP C NET 15CM*10M(4100-DYNA)</t>
  </si>
  <si>
    <t>ORG95</t>
  </si>
  <si>
    <t>CHOLAMANDALAM MS GENERAL INSURANCE CO. LTD.</t>
  </si>
  <si>
    <t>ORG95 - CHOLAMANDALAM MS GENERAL INSURANCE CO. LTD.</t>
  </si>
  <si>
    <t>TR1|ROM0093</t>
  </si>
  <si>
    <t>DMO CHARGES</t>
  </si>
  <si>
    <t>TR1|normal|7.5</t>
  </si>
  <si>
    <t>OTC0019</t>
  </si>
  <si>
    <t>OT - 7 1/2 HOURS</t>
  </si>
  <si>
    <t>GIPSA Insurance|service_line_count</t>
  </si>
  <si>
    <t>410.5</t>
  </si>
  <si>
    <t>Cash|CAR5341</t>
  </si>
  <si>
    <t>Cash|POVC01|POVINANZ SOLUTION 10% 500ML(NANZ MEDSCIENCE)</t>
  </si>
  <si>
    <t>Cash|POVINANZ SOLUTION 10% 500ML(NANZ MEDSCIENCE)</t>
  </si>
  <si>
    <t>ORG68</t>
  </si>
  <si>
    <t>HERITAGE HEALTH INSURANCE TPA PVT. LTD.</t>
  </si>
  <si>
    <t>ORG68 - HERITAGE HEALTH INSURANCE TPA PVT. LTD.</t>
  </si>
  <si>
    <t>TR160</t>
  </si>
  <si>
    <t>SUNSHINE 18-20</t>
  </si>
  <si>
    <t>TR1|ROM5009</t>
  </si>
  <si>
    <t>ICU CHARGES - SURGICAL</t>
  </si>
  <si>
    <t>TR1|emergency|7.5</t>
  </si>
  <si>
    <t>OTC0068</t>
  </si>
  <si>
    <t>OT-E - 7 1/2 HOURS</t>
  </si>
  <si>
    <t>GIPSA Insurance|room_charges</t>
  </si>
  <si>
    <t>940</t>
  </si>
  <si>
    <t>Cash|CAS0007</t>
  </si>
  <si>
    <t>Dressing Charges</t>
  </si>
  <si>
    <t>Cash|VASI03|VASOCON 1ML INJ</t>
  </si>
  <si>
    <t>Cash|VASOCON 1ML INJ</t>
  </si>
  <si>
    <t>ORG1154</t>
  </si>
  <si>
    <t>UNIVERSAL SOMPO GENERAL INSURANCE CO. LTD.</t>
  </si>
  <si>
    <t>ORG1154 - UNIVERSAL SOMPO GENERAL INSURANCE CO. LTD.</t>
  </si>
  <si>
    <t>TR1|ROM5189</t>
  </si>
  <si>
    <t>NURSING CHARGES</t>
  </si>
  <si>
    <t>TR1|normal|8</t>
  </si>
  <si>
    <t>OTC0020</t>
  </si>
  <si>
    <t>OT - 8 HOURS</t>
  </si>
  <si>
    <t>pf_basis|GIPSA Insurance</t>
  </si>
  <si>
    <t>All Payers selected for pf_basis against GIPSA Insurance; recommended fallback all payers with 26 cases.</t>
  </si>
  <si>
    <t>GIPSA Insurance|room_charges_per_day</t>
  </si>
  <si>
    <t>1710</t>
  </si>
  <si>
    <t>Cash|EME0016</t>
  </si>
  <si>
    <t>Cash|DEXI20|DEXARIL 2ML INJ</t>
  </si>
  <si>
    <t>Cash|DEXARIL 2ML INJ</t>
  </si>
  <si>
    <t>VOLO HEALTH INSURANCE TPA PVT. LTD.</t>
  </si>
  <si>
    <t>ORG1144 - VOLO HEALTH INSURANCE TPA PVT. LTD.</t>
  </si>
  <si>
    <t>TR1|XRY5090</t>
  </si>
  <si>
    <t>TR1|emergency|8</t>
  </si>
  <si>
    <t>OTC0069</t>
  </si>
  <si>
    <t>OT-E - 8 HOURS</t>
  </si>
  <si>
    <t>GIPSA Insurance|investigations</t>
  </si>
  <si>
    <t>415</t>
  </si>
  <si>
    <t>Cash|EME0017</t>
  </si>
  <si>
    <t>Cash|KETI01|KETOROL 1ML INJ</t>
  </si>
  <si>
    <t>Cash|KETOROL 1ML INJ</t>
  </si>
  <si>
    <t>ORG753</t>
  </si>
  <si>
    <t>HEALTH INSURANCE TPA OF INDIA LTD.</t>
  </si>
  <si>
    <t>ORG753 - HEALTH INSURANCE TPA OF INDIA LTD.</t>
  </si>
  <si>
    <t>TR1|CAR0080</t>
  </si>
  <si>
    <t>TR160|normal|0.5</t>
  </si>
  <si>
    <t>GIPSA Insurance|procedure_ot_charges</t>
  </si>
  <si>
    <t>2290</t>
  </si>
  <si>
    <t>Cash|EME0018</t>
  </si>
  <si>
    <t>Cash|CAUU19|CAUTERY PENCIL(E2516-MEDTRONIC)</t>
  </si>
  <si>
    <t>Cash|CAUTERY PENCIL(E2516-MEDTRONIC)</t>
  </si>
  <si>
    <t>ORG125</t>
  </si>
  <si>
    <t>HEALTHINDIA INSURANCE TPA SERVICES PVT. LTD.</t>
  </si>
  <si>
    <t>ORG125 - HEALTHINDIA INSURANCE TPA SERVICES PVT. LTD.</t>
  </si>
  <si>
    <t>TR1|XRY044</t>
  </si>
  <si>
    <t>TR160|normal|1</t>
  </si>
  <si>
    <t>GIPSA Insurance|bedside_services</t>
  </si>
  <si>
    <t>3470</t>
  </si>
  <si>
    <t>Cash|EME0019</t>
  </si>
  <si>
    <t>Cash|AVAC02|AVAGARD 4% CHG SCRUB 500ML(3M)</t>
  </si>
  <si>
    <t>Cash|AVAGARD 4% CHG SCRUB 500ML(3M)</t>
  </si>
  <si>
    <t>ORG72</t>
  </si>
  <si>
    <t>MDINDIA HEALTH INSURANCE TPA PVT. LTD.</t>
  </si>
  <si>
    <t>ORG72 - MDINDIA HEALTH INSURANCE TPA PVT. LTD.</t>
  </si>
  <si>
    <t>TR1|XRY5133</t>
  </si>
  <si>
    <t>TR160|normal|1.5</t>
  </si>
  <si>
    <t>GIPSA Insurance|professional_fees</t>
  </si>
  <si>
    <t>5590</t>
  </si>
  <si>
    <t>Cash|EME0020</t>
  </si>
  <si>
    <t>Cash|PARI07|PARAGLASS 100ML IV</t>
  </si>
  <si>
    <t>Cash|PARAGLASS 100ML IV</t>
  </si>
  <si>
    <t>ORG123</t>
  </si>
  <si>
    <t>GOOD HEALTH INSURANCE TPA LTD.</t>
  </si>
  <si>
    <t>ORG123 - GOOD HEALTH INSURANCE TPA LTD.</t>
  </si>
  <si>
    <t>TR1|BIO0005</t>
  </si>
  <si>
    <t>TR160|normal|2</t>
  </si>
  <si>
    <t>GIPSA Insurance|ip_drugs</t>
  </si>
  <si>
    <t>53.85</t>
  </si>
  <si>
    <t>1320</t>
  </si>
  <si>
    <t>Cash|EME0052</t>
  </si>
  <si>
    <t>Cash|SURU13|SURGICAL GLOVE 7.5(SURGICARE-KANAM)</t>
  </si>
  <si>
    <t>Cash|SURGICAL GLOVE 7.5(SURGICARE-KANAM)</t>
  </si>
  <si>
    <t>ORG1392</t>
  </si>
  <si>
    <t>BAJAJ ALLIANZ GENERAL INSURANCE CO. LTD. (MSN)</t>
  </si>
  <si>
    <t>ORG1392 - BAJAJ ALLIANZ GENERAL INSURANCE CO. LTD. (MSN)</t>
  </si>
  <si>
    <t>TR291</t>
  </si>
  <si>
    <t>KIMSI_MSN_24(C)</t>
  </si>
  <si>
    <t>TR1|BIO0064</t>
  </si>
  <si>
    <t>TR160|normal|2.5</t>
  </si>
  <si>
    <t>service_basis|Non-GIPSA Insurance</t>
  </si>
  <si>
    <t>All Payers selected for service_basis against Non-GIPSA Insurance; recommended fallback all payers with 26 cases.</t>
  </si>
  <si>
    <t>GIPSA Insurance|ip_drugs_per_day</t>
  </si>
  <si>
    <t>3260</t>
  </si>
  <si>
    <t>Cash|EME0080</t>
  </si>
  <si>
    <t>Cash|SYRU83|SYRINGE 20ML(LIFELONG)</t>
  </si>
  <si>
    <t>Cash|SYRINGE 20ML(LIFELONG)</t>
  </si>
  <si>
    <t>ORG728</t>
  </si>
  <si>
    <t>HEALTH ASSIST INSURANCE TPA PVT. LTD.</t>
  </si>
  <si>
    <t>ORG728 - HEALTH ASSIST INSURANCE TPA PVT. LTD.</t>
  </si>
  <si>
    <t>TR1|BIO0075</t>
  </si>
  <si>
    <t>TR160|normal|3</t>
  </si>
  <si>
    <t>GIPSA Insurance|ip_consumables</t>
  </si>
  <si>
    <t>580</t>
  </si>
  <si>
    <t>Cash|EME0087</t>
  </si>
  <si>
    <t>Neonatal Warmer / Incubator Charges</t>
  </si>
  <si>
    <t>Cash|GLAI09|GLANTRAX 500MG 5ML INJ</t>
  </si>
  <si>
    <t>Cash|GLANTRAX 500MG 5ML INJ</t>
  </si>
  <si>
    <t>ORG121</t>
  </si>
  <si>
    <t>RAKSHA TPA PVT LTD</t>
  </si>
  <si>
    <t>ORG121 - RAKSHA TPA PVT LTD</t>
  </si>
  <si>
    <t>TR1|BIO0097</t>
  </si>
  <si>
    <t>TR160|normal|3.5</t>
  </si>
  <si>
    <t>GIPSA Insurance|ip_consumables_per_day</t>
  </si>
  <si>
    <t>280</t>
  </si>
  <si>
    <t>Cash|EME5045</t>
  </si>
  <si>
    <t>Cash|NS0F04|NS 0.9% 500ML EH(PROPORT NS-PROMEA)</t>
  </si>
  <si>
    <t>Cash|NS 0.9% 500ML EH(PROPORT NS-PROMEA)</t>
  </si>
  <si>
    <t>ORG1311</t>
  </si>
  <si>
    <t>ACKO GENERAL INSURANCE LTD.</t>
  </si>
  <si>
    <t>ORG1311 - ACKO GENERAL INSURANCE LTD.</t>
  </si>
  <si>
    <t>TR1|BIO0098</t>
  </si>
  <si>
    <t>TR160|normal|4</t>
  </si>
  <si>
    <t>GIPSA Insurance|ot_drugs</t>
  </si>
  <si>
    <t>2650</t>
  </si>
  <si>
    <t>Cash|ICC0001</t>
  </si>
  <si>
    <t>Intensivist Charges</t>
  </si>
  <si>
    <t>Cash|ENCU14|MICROOPTIC STERILE GLOVE 7.5(ENCORE-JK ANSELL)</t>
  </si>
  <si>
    <t>Cash|MICROOPTIC STERILE GLOVE 7.5(ENCORE-JK ANSELL)</t>
  </si>
  <si>
    <t>ORG1280</t>
  </si>
  <si>
    <t>NAVI GENERAL INSURANCE LTD.</t>
  </si>
  <si>
    <t>ORG1280 - NAVI GENERAL INSURANCE LTD.</t>
  </si>
  <si>
    <t>TR1|BIO0106</t>
  </si>
  <si>
    <t>TR160|normal|4.5</t>
  </si>
  <si>
    <t>GIPSA Insurance|ot_consumables</t>
  </si>
  <si>
    <t>370</t>
  </si>
  <si>
    <t>Cash|ICC0002</t>
  </si>
  <si>
    <t>Cash|GAUC92|GAUZE MOPS X-RAY 30CM*30CM*6PLY 10PCS(BMT)</t>
  </si>
  <si>
    <t>Cash|GAUZE MOPS X-RAY 30CM*30CM*6PLY 10PCS(BMT)</t>
  </si>
  <si>
    <t>ORG1169</t>
  </si>
  <si>
    <t>ERICSON INSURANCE TPA PVT. LTD.</t>
  </si>
  <si>
    <t>ORG1169 - ERICSON INSURANCE TPA PVT. LTD.</t>
  </si>
  <si>
    <t>TR1|BIO0121</t>
  </si>
  <si>
    <t>TR160|normal|5</t>
  </si>
  <si>
    <t>GIPSA Insurance|implants</t>
  </si>
  <si>
    <t>Cash|EME0088</t>
  </si>
  <si>
    <t>Cash|VENU8161|VENFLON-I 20G(BD)</t>
  </si>
  <si>
    <t>Cash|VENFLON-I 20G(BD)</t>
  </si>
  <si>
    <t>ORG1495</t>
  </si>
  <si>
    <t>HDFC LIFE INSURANCE CO. LTD.</t>
  </si>
  <si>
    <t>ORG1495 - HDFC LIFE INSURANCE CO. LTD.</t>
  </si>
  <si>
    <t>TR1|BIO0181</t>
  </si>
  <si>
    <t>TR160|normal|5.5</t>
  </si>
  <si>
    <t>pharmacy_basis|Non-GIPSA Insurance</t>
  </si>
  <si>
    <t>All Payers selected for pharmacy_basis against Non-GIPSA Insurance; recommended fallback all payers with 26 cases.</t>
  </si>
  <si>
    <t>GIPSA Insurance|pharmacy_total</t>
  </si>
  <si>
    <t>545</t>
  </si>
  <si>
    <t>Cash|OTI0098</t>
  </si>
  <si>
    <t>Robotic Equipment Charges</t>
  </si>
  <si>
    <t>Cash|NS0F08|NS 0.9% 100ML EH(PROPORT NS-PROMEA)</t>
  </si>
  <si>
    <t>Cash|NS 0.9% 100ML EH(PROPORT NS-PROMEA)</t>
  </si>
  <si>
    <t>TR1|BLD0001</t>
  </si>
  <si>
    <t>TR160|normal|6</t>
  </si>
  <si>
    <t>GIPSA Insurance|drug_administration_charges</t>
  </si>
  <si>
    <t>810</t>
  </si>
  <si>
    <t>Cash|RNS5005</t>
  </si>
  <si>
    <t>CSSD Charges</t>
  </si>
  <si>
    <t>Cash|BEDU47|BED BATH TOWELS 300MMX240MM(PACK OF 10-MAGMACARE)</t>
  </si>
  <si>
    <t>Cash|BED BATH TOWELS 300MMX240MM(PACK OF 10-MAGMACARE)</t>
  </si>
  <si>
    <t>TR1|BLD0009</t>
  </si>
  <si>
    <t>TR160|normal|6.5</t>
  </si>
  <si>
    <t>GIPSA Insurance|services_total_excluding_food_and_beverage</t>
  </si>
  <si>
    <t>1110</t>
  </si>
  <si>
    <t>Cash|ROM5189</t>
  </si>
  <si>
    <t>Nursing Charges</t>
  </si>
  <si>
    <t>Cash|ENCU12|MICROOPTIC STERILE GLOVE 7.0(ENCORE-JK ANSELL)</t>
  </si>
  <si>
    <t>Cash|MICROOPTIC STERILE GLOVE 7.0(ENCORE-JK ANSELL)</t>
  </si>
  <si>
    <t>TR1|BLD0024</t>
  </si>
  <si>
    <t>TR160|normal|7</t>
  </si>
  <si>
    <t>GIPSA Insurance|food_and_beverage_excluded</t>
  </si>
  <si>
    <t>7240</t>
  </si>
  <si>
    <t>Cash|HSP5013</t>
  </si>
  <si>
    <t>Cash|SURU159|SURGICAL GLOVE 7.0(BLISTER PACK-SURGICARE-KANAM)</t>
  </si>
  <si>
    <t>Cash|SURGICAL GLOVE 7.0(BLISTER PACK-SURGICARE-KANAM)</t>
  </si>
  <si>
    <t>TR1|PAT0007</t>
  </si>
  <si>
    <t>TR160|normal|7.5</t>
  </si>
  <si>
    <t>GIPSA Insurance|pharmacy_returns_excluded</t>
  </si>
  <si>
    <t>Cash|ROM0093</t>
  </si>
  <si>
    <t>DMO Charges</t>
  </si>
  <si>
    <t>Cash|INJI04|INJICORT 40MG INJ</t>
  </si>
  <si>
    <t>Cash|INJICORT 40MG INJ</t>
  </si>
  <si>
    <t>TR1|PAT0041</t>
  </si>
  <si>
    <t>TR160|normal|8</t>
  </si>
  <si>
    <t>GIPSA Insurance|total_amount_excluding_food_and_beverage_and_returns_plus_drug_admin</t>
  </si>
  <si>
    <t>57.69</t>
  </si>
  <si>
    <t>1690</t>
  </si>
  <si>
    <t>Cash|OTC5005</t>
  </si>
  <si>
    <t>Post-Surgery Recovery Charges</t>
  </si>
  <si>
    <t>Cash|PERI01|PERINORM 2ML INJ</t>
  </si>
  <si>
    <t>Cash|PERINORM 2ML INJ</t>
  </si>
  <si>
    <t>TR1|PAT0078</t>
  </si>
  <si>
    <t>TR177|normal|0.5</t>
  </si>
  <si>
    <t>pf_basis|Non-GIPSA Insurance</t>
  </si>
  <si>
    <t>All Payers selected for pf_basis against Non-GIPSA Insurance; recommended fallback all payers with 26 cases.</t>
  </si>
  <si>
    <t>Non-GIPSA Insurance|los_days</t>
  </si>
  <si>
    <t>1.5</t>
  </si>
  <si>
    <t>2.25</t>
  </si>
  <si>
    <t>1305</t>
  </si>
  <si>
    <t>Cash|OTI0015</t>
  </si>
  <si>
    <t>Cash|BREU21|BREAZER SPIROMETER 5000ML(ROMSONS)</t>
  </si>
  <si>
    <t>Cash|BREAZER SPIROMETER 5000ML(ROMSONS)</t>
  </si>
  <si>
    <t>TR1|ANS0003</t>
  </si>
  <si>
    <t>TR177|emergency|0.5</t>
  </si>
  <si>
    <t>Non-GIPSA Insurance|icu_days</t>
  </si>
  <si>
    <t>980</t>
  </si>
  <si>
    <t>Cash|OTI0018</t>
  </si>
  <si>
    <t>Instrument Charges</t>
  </si>
  <si>
    <t>Cash|EASU30|EASYFIX CLEAR EC 1 7CM X 8.5CM(DYNA)</t>
  </si>
  <si>
    <t>Cash|EASYFIX CLEAR EC 1 7CM X 8.5CM(DYNA)</t>
  </si>
  <si>
    <t>TR1|PHY5076</t>
  </si>
  <si>
    <t>TR177|normal|1</t>
  </si>
  <si>
    <t>Non-GIPSA Insurance|ward_days</t>
  </si>
  <si>
    <t>1250</t>
  </si>
  <si>
    <t>Cash|PSY0036</t>
  </si>
  <si>
    <t>Cash|IVSU25|IV SET-LL(BUYWEL)</t>
  </si>
  <si>
    <t>Cash|IV SET-LL(BUYWEL)</t>
  </si>
  <si>
    <t>TR1|EME0016</t>
  </si>
  <si>
    <t>TR177|emergency|1</t>
  </si>
  <si>
    <t>Non-GIPSA Insurance|ot_hours</t>
  </si>
  <si>
    <t>1020</t>
  </si>
  <si>
    <t>Cash|SYRU95|SYRINGE 20ML LL(LIFE LONG)</t>
  </si>
  <si>
    <t>Cash|SYRINGE 20ML LL(LIFE LONG)</t>
  </si>
  <si>
    <t>TR1|EME0018</t>
  </si>
  <si>
    <t>TR177|normal|1.5</t>
  </si>
  <si>
    <t>Non-GIPSA Insurance|service_line_count</t>
  </si>
  <si>
    <t>GIPSA Insurance|CAR0080</t>
  </si>
  <si>
    <t>Cash|AXII03|AXIFUR H 1.5GM INJ</t>
  </si>
  <si>
    <t>Cash|AXIFUR H 1.5GM INJ</t>
  </si>
  <si>
    <t>TR1|EME0020</t>
  </si>
  <si>
    <t>TR177|emergency|1.5</t>
  </si>
  <si>
    <t>Non-GIPSA Insurance|room_charges</t>
  </si>
  <si>
    <t>GIPSA Insurance|XRY044</t>
  </si>
  <si>
    <t>Cash|SWIS29|SWIFTOLAC SYR 150ML</t>
  </si>
  <si>
    <t>Cash|SWIFTOLAC SYR 150ML</t>
  </si>
  <si>
    <t>TR1|EME0052</t>
  </si>
  <si>
    <t>TR177|normal|2</t>
  </si>
  <si>
    <t>service_basis|Corporate</t>
  </si>
  <si>
    <t>All Payers selected for service_basis against Corporate; recommended fallback all payers with 26 cases.</t>
  </si>
  <si>
    <t>Non-GIPSA Insurance|room_charges_per_day</t>
  </si>
  <si>
    <t>Optional Service Rows</t>
  </si>
  <si>
    <t>GIPSA Insurance|XRY5090</t>
  </si>
  <si>
    <t>Cash|VACU16|VACCULINE(VACCU SUCK SUCTION SET-ROMSON)</t>
  </si>
  <si>
    <t>Cash|VACCULINE(VACCU SUCK SUCTION SET-ROMSON)</t>
  </si>
  <si>
    <t>TR1|EME0080</t>
  </si>
  <si>
    <t>TR177|emergency|2</t>
  </si>
  <si>
    <t>Non-GIPSA Insurance|investigations</t>
  </si>
  <si>
    <t>GIPSA Insurance|XRY5133</t>
  </si>
  <si>
    <t>Cash||NS 0.9% 100ML EH(PROPORT NS-PROMEA)</t>
  </si>
  <si>
    <t>TR1|EME5045</t>
  </si>
  <si>
    <t>TR177|normal|2.5</t>
  </si>
  <si>
    <t>Non-GIPSA Insurance|procedure_ot_charges</t>
  </si>
  <si>
    <t>GIPSA Insurance|BIO0001</t>
  </si>
  <si>
    <t>Cash|VOMI01|VOMIKIND 2ML INJ</t>
  </si>
  <si>
    <t>Cash|VOMIKIND 2ML INJ</t>
  </si>
  <si>
    <t>TR1|EME0088</t>
  </si>
  <si>
    <t>TR177|emergency|2.5</t>
  </si>
  <si>
    <t>Non-GIPSA Insurance|bedside_services</t>
  </si>
  <si>
    <t>GIPSA Insurance|BIO0002</t>
  </si>
  <si>
    <t>Cash|CAPU32|SURGICAL CAPS</t>
  </si>
  <si>
    <t>Cash|SURGICAL CAPS</t>
  </si>
  <si>
    <t>TR1|PSY0036</t>
  </si>
  <si>
    <t>TR177|normal|3</t>
  </si>
  <si>
    <t>Non-GIPSA Insurance|professional_fees</t>
  </si>
  <si>
    <t>GIPSA Insurance|BIO0003</t>
  </si>
  <si>
    <t>Cash|CAUU21|CAUTERY PAD ADULT(MEDTRONIC)</t>
  </si>
  <si>
    <t>Cash|CAUTERY PAD ADULT(MEDTRONIC)</t>
  </si>
  <si>
    <t>TR160|BIO0001</t>
  </si>
  <si>
    <t>TR177|emergency|3</t>
  </si>
  <si>
    <t>Non-GIPSA Insurance|ip_drugs</t>
  </si>
  <si>
    <t>GIPSA Insurance|BIO0004</t>
  </si>
  <si>
    <t>Cash|COTC05|COTTON BALL STERILE(KIMS)</t>
  </si>
  <si>
    <t>Cash|COTTON BALL STERILE(KIMS)</t>
  </si>
  <si>
    <t>TR160|BIO0002</t>
  </si>
  <si>
    <t>TR177|normal|3.5</t>
  </si>
  <si>
    <t>pharmacy_basis|Corporate</t>
  </si>
  <si>
    <t>All Payers selected for pharmacy_basis against Corporate; recommended fallback all payers with 26 cases.</t>
  </si>
  <si>
    <t>Non-GIPSA Insurance|ip_drugs_per_day</t>
  </si>
  <si>
    <t>GIPSA Insurance|BIO0005</t>
  </si>
  <si>
    <t>Cash|MAKU03|MAKO DRAPE KIT(PRYMAX)</t>
  </si>
  <si>
    <t>Cash|MAKO DRAPE KIT(PRYMAX)</t>
  </si>
  <si>
    <t>TR160|BIO0003</t>
  </si>
  <si>
    <t>TR177|emergency|3.5</t>
  </si>
  <si>
    <t>Non-GIPSA Insurance|ip_consumables</t>
  </si>
  <si>
    <t>GIPSA Insurance|BIO0064</t>
  </si>
  <si>
    <t>Cash|SPIU32|SPINAL NEEDLE 26G(BD)</t>
  </si>
  <si>
    <t>Cash|SPINAL NEEDLE 26G(BD)</t>
  </si>
  <si>
    <t>TR160|BIO0004</t>
  </si>
  <si>
    <t>TR177|normal|4</t>
  </si>
  <si>
    <t>Non-GIPSA Insurance|ip_consumables_per_day</t>
  </si>
  <si>
    <t>GIPSA Insurance|BIO0075</t>
  </si>
  <si>
    <t>Cash|STRR18|STRATAFIX 1 SXPP1A203(ETHICON)</t>
  </si>
  <si>
    <t>Cash|STRATAFIX 1 SXPP1A203(ETHICON)</t>
  </si>
  <si>
    <t>TR160|BIO0162</t>
  </si>
  <si>
    <t>TR177|emergency|4</t>
  </si>
  <si>
    <t>Non-GIPSA Insurance|ot_drugs</t>
  </si>
  <si>
    <t>GIPSA Insurance|BIO0097</t>
  </si>
  <si>
    <t>Cash|THEI15|THEMIDOL 2ML INJECTION</t>
  </si>
  <si>
    <t>Cash|THEMIDOL 2ML INJECTION</t>
  </si>
  <si>
    <t>TR160|CAR5341</t>
  </si>
  <si>
    <t>TR177|normal|4.5</t>
  </si>
  <si>
    <t>Non-GIPSA Insurance|ot_consumables</t>
  </si>
  <si>
    <t>GIPSA Insurance|BIO0098</t>
  </si>
  <si>
    <t>Cash|TROI08|TROPINE 1ML INJ</t>
  </si>
  <si>
    <t>Cash|TROPINE 1ML INJ</t>
  </si>
  <si>
    <t>TR160|CAS0007</t>
  </si>
  <si>
    <t>TR177|emergency|4.5</t>
  </si>
  <si>
    <t>Non-GIPSA Insurance|implants</t>
  </si>
  <si>
    <t>GIPSA Insurance|BIO0106</t>
  </si>
  <si>
    <t>Cash|DIGU36|DIGITAL THERMOMETER(GLIDER-MAGMACARE)</t>
  </si>
  <si>
    <t>Cash|DIGITAL THERMOMETER(GLIDER-MAGMACARE)</t>
  </si>
  <si>
    <t>TR160|DIE0001</t>
  </si>
  <si>
    <t>TR177|normal|5</t>
  </si>
  <si>
    <t>pf_basis|Corporate</t>
  </si>
  <si>
    <t>All Payers selected for pf_basis against Corporate; recommended fallback all payers with 26 cases.</t>
  </si>
  <si>
    <t>Non-GIPSA Insurance|pharmacy_total</t>
  </si>
  <si>
    <t>GIPSA Insurance|BIO0121</t>
  </si>
  <si>
    <t>Cash|FACU81|FACE MASK 3PLY(ELASTIC-SVTC)</t>
  </si>
  <si>
    <t>Cash|FACE MASK 3PLY(ELASTIC-SVTC)</t>
  </si>
  <si>
    <t>TR160|EME0017</t>
  </si>
  <si>
    <t>TR177|emergency|5</t>
  </si>
  <si>
    <t>Non-GIPSA Insurance|drug_administration_charges</t>
  </si>
  <si>
    <t>GIPSA Insurance|BIO0162</t>
  </si>
  <si>
    <t>Cash|CREU42|CREPE BANDAGE 15CM(VELSOFT-15-DATT])</t>
  </si>
  <si>
    <t>Cash|CREPE BANDAGE 15CM(VELSOFT-15-DATT])</t>
  </si>
  <si>
    <t>TR160|EME0019</t>
  </si>
  <si>
    <t>TR177|normal|5.5</t>
  </si>
  <si>
    <t>Non-GIPSA Insurance|services_total_excluding_food_and_beverage</t>
  </si>
  <si>
    <t>GIPSA Insurance|BIO0181</t>
  </si>
  <si>
    <t>Cash|DIAU127|DIAPER ADULT XL 120CMX142.5CM(MAGMACARE)</t>
  </si>
  <si>
    <t>Cash|DIAPER ADULT XL 120CMX142.5CM(MAGMACARE)</t>
  </si>
  <si>
    <t>TR160|EME0087</t>
  </si>
  <si>
    <t>TR177|emergency|5.5</t>
  </si>
  <si>
    <t>Non-GIPSA Insurance|food_and_beverage_excluded</t>
  </si>
  <si>
    <t>GIPSA Insurance|BLD0001</t>
  </si>
  <si>
    <t>Cash|THRU09|THREE WAY EXTENSION 10CM(BD)</t>
  </si>
  <si>
    <t>Cash|THREE WAY EXTENSION 10CM(BD)</t>
  </si>
  <si>
    <t>TR160|HSP0047</t>
  </si>
  <si>
    <t>TR177|normal|6</t>
  </si>
  <si>
    <t>Non-GIPSA Insurance|pharmacy_returns_excluded</t>
  </si>
  <si>
    <t>GIPSA Insurance|BLD0009</t>
  </si>
  <si>
    <t>Cash|KABF09|KABILYTE 500ML (FRESENIUS KABI) IV</t>
  </si>
  <si>
    <t>Cash|KABILYTE 500ML (FRESENIUS KABI) IV</t>
  </si>
  <si>
    <t>TR160|HSP5013</t>
  </si>
  <si>
    <t>TR177|emergency|6</t>
  </si>
  <si>
    <t>Non-GIPSA Insurance|total_amount_excluding_food_and_beverage_and_returns_plus_drug_admin</t>
  </si>
  <si>
    <t>GIPSA Insurance|BLD0024</t>
  </si>
  <si>
    <t>Cash|LOCG39|LOCAM 2% 30GM GEL</t>
  </si>
  <si>
    <t>Cash|LOCAM 2% 30GM GEL</t>
  </si>
  <si>
    <t>TR160|ICC0001</t>
  </si>
  <si>
    <t>TR177|normal|6.5</t>
  </si>
  <si>
    <t>Corporate|los_days</t>
  </si>
  <si>
    <t>GIPSA Insurance|PAT0007</t>
  </si>
  <si>
    <t>Cash|NITU59|NITRILE POWDER FREE EXAMINATION GLOVES LARGE(DURAMITT-TEGAMEN)</t>
  </si>
  <si>
    <t>Cash|NITRILE POWDER FREE EXAMINATION GLOVES LARGE(DURAMITT-TEGAMEN)</t>
  </si>
  <si>
    <t>TR160|ICC0002</t>
  </si>
  <si>
    <t>CRITICAL CARE CONSULTATION</t>
  </si>
  <si>
    <t>TR177|emergency|6.5</t>
  </si>
  <si>
    <t>Corporate|icu_days</t>
  </si>
  <si>
    <t>GIPSA Insurance|PAT0041</t>
  </si>
  <si>
    <t>Cash|PARI04|PARACIP 100ML INJECTION(HS)</t>
  </si>
  <si>
    <t>Cash|PARACIP 100ML INJECTION(HS)</t>
  </si>
  <si>
    <t>TR160|OTC0010</t>
  </si>
  <si>
    <t>TR177|normal|7</t>
  </si>
  <si>
    <t>Corporate|ward_days</t>
  </si>
  <si>
    <t>GIPSA Insurance|PAT0042</t>
  </si>
  <si>
    <t>Cash|PHYF01|PHYSIOMAX 500ML IV(OTSUKA)</t>
  </si>
  <si>
    <t>Cash|PHYSIOMAX 500ML IV(OTSUKA)</t>
  </si>
  <si>
    <t>TR160|OTC5005</t>
  </si>
  <si>
    <t>TR177|emergency|7</t>
  </si>
  <si>
    <t>Corporate|ot_hours</t>
  </si>
  <si>
    <t>GIPSA Insurance|PAT0045</t>
  </si>
  <si>
    <t>Cash|DIAU125|DIAPER ADULT LARGE 100CMX150CM(MAGMACARE)</t>
  </si>
  <si>
    <t>Cash|DIAPER ADULT LARGE 100CMX150CM(MAGMACARE)</t>
  </si>
  <si>
    <t>TR160|OTI0015</t>
  </si>
  <si>
    <t>TR177|normal|7.5</t>
  </si>
  <si>
    <t>Corporate|service_line_count</t>
  </si>
  <si>
    <t>GIPSA Insurance|PAT0078</t>
  </si>
  <si>
    <t>Cash|ENCU10|MICROOPTIC STERILE GLOVE 6.5(ENCORE-JK ANSELL)</t>
  </si>
  <si>
    <t>Cash|MICROOPTIC STERILE GLOVE 6.5(ENCORE-JK ANSELL)</t>
  </si>
  <si>
    <t>TR160|OTI0018</t>
  </si>
  <si>
    <t>TR177|emergency|7.5</t>
  </si>
  <si>
    <t>Corporate|room_charges</t>
  </si>
  <si>
    <t>GIPSA Insurance|PHY5082</t>
  </si>
  <si>
    <t>Cash|OXYU83|OXYGEN MASK ADULT(BUYWEL)</t>
  </si>
  <si>
    <t>Cash|OXYGEN MASK ADULT(BUYWEL)</t>
  </si>
  <si>
    <t>TR160|OTI0098</t>
  </si>
  <si>
    <t>TR177|normal|8</t>
  </si>
  <si>
    <t>Corporate|room_charges_per_day</t>
  </si>
  <si>
    <t>GIPSA Insurance|ANS0003</t>
  </si>
  <si>
    <t>Cash|PLAU74|PLASTIC PLAIN SHEET 210CMX120CM(BIOANTHEM)</t>
  </si>
  <si>
    <t>Cash|PLASTIC PLAIN SHEET 210CMX120CM(BIOANTHEM)</t>
  </si>
  <si>
    <t>TR160|PAT0042</t>
  </si>
  <si>
    <t>TR177|emergency|8</t>
  </si>
  <si>
    <t>Corporate|investigations</t>
  </si>
  <si>
    <t>GIPSA Insurance|DIE0001</t>
  </si>
  <si>
    <t>Cash|PREU127|PREFILLED FLUSH SYRINGE BLISTER PACK 10ML(RIBBEL)</t>
  </si>
  <si>
    <t>Cash|PREFILLED FLUSH SYRINGE BLISTER PACK 10ML(RIBBEL)</t>
  </si>
  <si>
    <t>TR160|PAT0045</t>
  </si>
  <si>
    <t>TR201|normal|0.5</t>
  </si>
  <si>
    <t>Corporate|procedure_ot_charges</t>
  </si>
  <si>
    <t>GIPSA Insurance|PHY5076</t>
  </si>
  <si>
    <t>Cash|XAMI03|XAMDEX 100MCG 1ML INJ</t>
  </si>
  <si>
    <t>Cash|XAMDEX 100MCG 1ML INJ</t>
  </si>
  <si>
    <t>TR160|PHY5082</t>
  </si>
  <si>
    <t>TR201|normal|1</t>
  </si>
  <si>
    <t>Corporate|bedside_services</t>
  </si>
  <si>
    <t>GIPSA Insurance|CAR5341</t>
  </si>
  <si>
    <t>Cash|PMLU44|PM LINE M/F 200CM(BUYWEL)</t>
  </si>
  <si>
    <t>Cash|PM LINE M/F 200CM(BUYWEL)</t>
  </si>
  <si>
    <t>TR160|RNS0120</t>
  </si>
  <si>
    <t>TR201|normal|1.5</t>
  </si>
  <si>
    <t>Corporate|professional_fees</t>
  </si>
  <si>
    <t>GIPSA Insurance|CAS0007</t>
  </si>
  <si>
    <t>Cash|SURU158|SURGICAL GLOVE 6.5(BLISTER PACK-SURGICARE-KANAM)</t>
  </si>
  <si>
    <t>Cash|SURGICAL GLOVE 6.5(BLISTER PACK-SURGICARE-KANAM)</t>
  </si>
  <si>
    <t>TR160|RNS5005</t>
  </si>
  <si>
    <t>TR201|normal|2</t>
  </si>
  <si>
    <t>Corporate|ip_drugs</t>
  </si>
  <si>
    <t>GIPSA Insurance|EME0016</t>
  </si>
  <si>
    <t>Cash|ANZT01|ANZILUM 0.5MG TAB</t>
  </si>
  <si>
    <t>Cash|ANZILUM 0.5MG TAB</t>
  </si>
  <si>
    <t>TR160|ROM0001</t>
  </si>
  <si>
    <t>BED CHARGES- GENERAL WARD</t>
  </si>
  <si>
    <t>TR201|normal|2.5</t>
  </si>
  <si>
    <t>Corporate|ip_drugs_per_day</t>
  </si>
  <si>
    <t>TR1 Tariff Rates</t>
  </si>
  <si>
    <t>GIPSA Insurance|EME0017</t>
  </si>
  <si>
    <t>Cash|ENEU07|ENEMA 100ML</t>
  </si>
  <si>
    <t>Cash|ENEMA 100ML</t>
  </si>
  <si>
    <t>TR160|ROM0024</t>
  </si>
  <si>
    <t>BED CHARGES-TWINSHARING</t>
  </si>
  <si>
    <t>TR201|normal|3</t>
  </si>
  <si>
    <t>Corporate|ip_consumables</t>
  </si>
  <si>
    <t>GIPSA Insurance|EME0018</t>
  </si>
  <si>
    <t>Cash||SYRINGE 10ML(LIFELONG)</t>
  </si>
  <si>
    <t>TR160|ROM0036</t>
  </si>
  <si>
    <t>BED CHARGES- SINGLE</t>
  </si>
  <si>
    <t>TR201|normal|3.5</t>
  </si>
  <si>
    <t>Corporate|ip_consumables_per_day</t>
  </si>
  <si>
    <t>GIPSA Insurance|EME0019</t>
  </si>
  <si>
    <t>Cash||SYRINGE 5ML(LIFELONG)</t>
  </si>
  <si>
    <t>TR160|ROM0093</t>
  </si>
  <si>
    <t>TR201|normal|4</t>
  </si>
  <si>
    <t>Corporate|ot_drugs</t>
  </si>
  <si>
    <t>GIPSA Insurance|EME0020</t>
  </si>
  <si>
    <t>Cash|BEDU21|BED PAN PLASTIC(BENCO)</t>
  </si>
  <si>
    <t>Cash|BED PAN PLASTIC(BENCO)</t>
  </si>
  <si>
    <t>TR160|ROM5009</t>
  </si>
  <si>
    <t>TR201|normal|4.5</t>
  </si>
  <si>
    <t>Corporate|ot_consumables</t>
  </si>
  <si>
    <t>GIPSA Insurance|EME0052</t>
  </si>
  <si>
    <t>Cash|CREU11|LEUKOCREPE BANDAGE 15CM(72992-03-BSN)</t>
  </si>
  <si>
    <t>Cash|LEUKOCREPE BANDAGE 15CM(72992-03-BSN)</t>
  </si>
  <si>
    <t>TR160|ROM5189</t>
  </si>
  <si>
    <t>TR201|normal|5</t>
  </si>
  <si>
    <t>Corporate|implants</t>
  </si>
  <si>
    <t>GIPSA Insurance|EME0080</t>
  </si>
  <si>
    <t>Cash|IVCU10|IV CANNULIZATION SET ADVANCED WITH 1683 TEGADERM(3M)</t>
  </si>
  <si>
    <t>Cash|IV CANNULIZATION SET ADVANCED WITH 1683 TEGADERM(3M)</t>
  </si>
  <si>
    <t>TR160|XRY5090</t>
  </si>
  <si>
    <t>TR201|normal|5.5</t>
  </si>
  <si>
    <t>Corporate|pharmacy_total</t>
  </si>
  <si>
    <t>GIPSA Insurance|EME0087</t>
  </si>
  <si>
    <t>Cash||THEMIDOL 2ML INJECTION</t>
  </si>
  <si>
    <t>TR160|CAR0080</t>
  </si>
  <si>
    <t>TR201|normal|6</t>
  </si>
  <si>
    <t>Corporate|drug_administration_charges</t>
  </si>
  <si>
    <t>GIPSA Insurance|EME5045</t>
  </si>
  <si>
    <t>Cash|ATRI01|ATROPINE 1ML INJ</t>
  </si>
  <si>
    <t>Cash|ATROPINE 1ML INJ</t>
  </si>
  <si>
    <t>TR160|XRY044</t>
  </si>
  <si>
    <t>TR201|normal|6.5</t>
  </si>
  <si>
    <t>Corporate|services_total_excluding_food_and_beverage</t>
  </si>
  <si>
    <t>GIPSA Insurance|ICC0001</t>
  </si>
  <si>
    <t>Cash|CEVI02|CEVISTAT 1.5GM INJECTION</t>
  </si>
  <si>
    <t>Cash|CEVISTAT 1.5GM INJECTION</t>
  </si>
  <si>
    <t>TR160|XRY5133</t>
  </si>
  <si>
    <t>TR201|normal|7</t>
  </si>
  <si>
    <t>Corporate|food_and_beverage_excluded</t>
  </si>
  <si>
    <t>GIPSA Insurance|ICC0002</t>
  </si>
  <si>
    <t>Cash|IVFU03|IV FLOW REGULATOR(POLYFLO-POLYMED)</t>
  </si>
  <si>
    <t>Cash|IV FLOW REGULATOR(POLYFLO-POLYMED)</t>
  </si>
  <si>
    <t>TR160|BIO0005</t>
  </si>
  <si>
    <t>TR201|normal|7.5</t>
  </si>
  <si>
    <t>Corporate|pharmacy_returns_excluded</t>
  </si>
  <si>
    <t>GIPSA Insurance|EME0088</t>
  </si>
  <si>
    <t>Cash|NOVI17|NOVOTAM 2MG/2ML INJ</t>
  </si>
  <si>
    <t>Cash|NOVOTAM 2MG/2ML INJ</t>
  </si>
  <si>
    <t>TR160|BIO0064</t>
  </si>
  <si>
    <t>TR201|normal|8</t>
  </si>
  <si>
    <t>Corporate|total_amount_excluding_food_and_beverage_and_returns_plus_drug_admin</t>
  </si>
  <si>
    <t>GIPSA Insurance|OTI0098</t>
  </si>
  <si>
    <t>Cash|NS0F10|NS 0.9% 3000ML NH(PROLINE NS-PROMEA)</t>
  </si>
  <si>
    <t>Cash|NS 0.9% 3000ML NH(PROLINE NS-PROMEA)</t>
  </si>
  <si>
    <t>TR160|BIO0075</t>
  </si>
  <si>
    <t>TR202|normal|0.5</t>
  </si>
  <si>
    <t>Insurance All|los_days</t>
  </si>
  <si>
    <t>GIPSA Insurance|RNS5005</t>
  </si>
  <si>
    <t>Cash|XSUI03|XSULIN R 40 IU/10ML INJECTION</t>
  </si>
  <si>
    <t>Cash|XSULIN R 40 IU/10ML INJECTION</t>
  </si>
  <si>
    <t>TR160|BIO0097</t>
  </si>
  <si>
    <t>TR202|normal|1</t>
  </si>
  <si>
    <t>Insurance All|icu_days</t>
  </si>
  <si>
    <t>GIPSA Insurance|ROM5189</t>
  </si>
  <si>
    <t>Cash||UNDERPAD 90CM X 60CM(MAGMACARE)</t>
  </si>
  <si>
    <t>TR160|BIO0098</t>
  </si>
  <si>
    <t>TR202|normal|1.5</t>
  </si>
  <si>
    <t>Insurance All|ward_days</t>
  </si>
  <si>
    <t>GIPSA Insurance|HSP5013</t>
  </si>
  <si>
    <t>Cash|CAPU37|CAPS(MEDIBLUE)</t>
  </si>
  <si>
    <t>Cash|CAPS(MEDIBLUE)</t>
  </si>
  <si>
    <t>TR160|BIO0106</t>
  </si>
  <si>
    <t>TR202|normal|2</t>
  </si>
  <si>
    <t>Insurance All|ot_hours</t>
  </si>
  <si>
    <t>GIPSA Insurance|ROM0093</t>
  </si>
  <si>
    <t>Cash|DIAU124|DIAPER ADULT XXL 110CMX154CMS(MAGMACARE)</t>
  </si>
  <si>
    <t>Cash|DIAPER ADULT XXL 110CMX154CMS(MAGMACARE)</t>
  </si>
  <si>
    <t>TR160|BIO0121</t>
  </si>
  <si>
    <t>TR202|normal|2.5</t>
  </si>
  <si>
    <t>Insurance All|service_line_count</t>
  </si>
  <si>
    <t>GIPSA Insurance|OTC5005</t>
  </si>
  <si>
    <t>Cash|ENCU26|ENCORE LATEX UNDERGLOVE 7.5 NO(ANSELL)</t>
  </si>
  <si>
    <t>Cash|ENCORE LATEX UNDERGLOVE 7.5 NO(ANSELL)</t>
  </si>
  <si>
    <t>TR160|BIO0181</t>
  </si>
  <si>
    <t>TR202|normal|3</t>
  </si>
  <si>
    <t>Insurance All|room_charges</t>
  </si>
  <si>
    <t>GIPSA Insurance|OTI0015</t>
  </si>
  <si>
    <t>Cash|FACU131|FACE MASK 3 PLY EARLOOP(PROVIN HEALTHCARE-SVTC)</t>
  </si>
  <si>
    <t>Cash|FACE MASK 3 PLY EARLOOP(PROVIN HEALTHCARE-SVTC)</t>
  </si>
  <si>
    <t>TR160|BLD0001</t>
  </si>
  <si>
    <t>TR202|normal|3.5</t>
  </si>
  <si>
    <t>Insurance All|room_charges_per_day</t>
  </si>
  <si>
    <t>GIPSA Insurance|OTI0018</t>
  </si>
  <si>
    <t>Cash|NEEU67|NEEDLE DISPOSABLE 18G X 1.5IN(NIPRO)</t>
  </si>
  <si>
    <t>Cash|NEEDLE DISPOSABLE 18G X 1.5IN(NIPRO)</t>
  </si>
  <si>
    <t>TR160|BLD0009</t>
  </si>
  <si>
    <t>Cross Matching Charges</t>
  </si>
  <si>
    <t>TR202|normal|4</t>
  </si>
  <si>
    <t>Insurance All|investigations</t>
  </si>
  <si>
    <t>GIPSA Insurance|PSY0036</t>
  </si>
  <si>
    <t>Cash|POSI03|POSIFLUSH SP 10ML(306575-BD)</t>
  </si>
  <si>
    <t>Cash|POSIFLUSH SP 10ML(306575-BD)</t>
  </si>
  <si>
    <t>TR160|BLD0024</t>
  </si>
  <si>
    <t>PACKED CELLS (WITH REPLACEMENT)</t>
  </si>
  <si>
    <t>TR202|normal|4.5</t>
  </si>
  <si>
    <t>Insurance All|procedure_ot_charges</t>
  </si>
  <si>
    <t>Cash|PURU02|PURESIGHT ARRAY SET KNEE(4515-70-011-DEPUY)</t>
  </si>
  <si>
    <t>Cash|PURESIGHT ARRAY SET KNEE(4515-70-011-DEPUY)</t>
  </si>
  <si>
    <t>TR160|PAT0007</t>
  </si>
  <si>
    <t>TR202|normal|5</t>
  </si>
  <si>
    <t>Insurance All|bedside_services</t>
  </si>
  <si>
    <t>Non-GIPSA Insurance|CAR0080</t>
  </si>
  <si>
    <t>Cash|SPIU59|SPIKIER VENTE(ROMSONS)</t>
  </si>
  <si>
    <t>Cash|SPIKIER VENTE(ROMSONS)</t>
  </si>
  <si>
    <t>TR160|PAT0041</t>
  </si>
  <si>
    <t>TR202|normal|5.5</t>
  </si>
  <si>
    <t>Insurance All|professional_fees</t>
  </si>
  <si>
    <t>Non-GIPSA Insurance|XRY044</t>
  </si>
  <si>
    <t>Cash|SYRU140|SYRINGE 3ML LL(KAREJET-ROMSONS)</t>
  </si>
  <si>
    <t>Cash|SYRINGE 3ML LL(KAREJET-ROMSONS)</t>
  </si>
  <si>
    <t>TR160|PAT0078</t>
  </si>
  <si>
    <t>TR202|normal|6</t>
  </si>
  <si>
    <t>Insurance All|ip_drugs</t>
  </si>
  <si>
    <t>Non-GIPSA Insurance|XRY5090</t>
  </si>
  <si>
    <t>Cash||NS 0.9% 500ML EH(PROPORT NS-PROMEA)</t>
  </si>
  <si>
    <t>TR160|ANS0003</t>
  </si>
  <si>
    <t>TR202|normal|6.5</t>
  </si>
  <si>
    <t>Insurance All|ip_drugs_per_day</t>
  </si>
  <si>
    <t>Non-GIPSA Insurance|XRY5133</t>
  </si>
  <si>
    <t>Cash|ALPT01|ALPRAX 0.25MG TAB</t>
  </si>
  <si>
    <t>Cash|ALPRAX 0.25MG TAB</t>
  </si>
  <si>
    <t>TR160|PHY5076</t>
  </si>
  <si>
    <t>TR202|normal|7</t>
  </si>
  <si>
    <t>Insurance All|ip_consumables</t>
  </si>
  <si>
    <t>Non-GIPSA Insurance|BIO0001</t>
  </si>
  <si>
    <t>Cash|NITU57|NITRILE POWDER FREE EXAMINATION GLOVES MEDIUM(DURAMITT-TEGAMEN)</t>
  </si>
  <si>
    <t>Cash|NITRILE POWDER FREE EXAMINATION GLOVES MEDIUM(DURAMITT-TEGAMEN)</t>
  </si>
  <si>
    <t>TR160|EME0016</t>
  </si>
  <si>
    <t>TR202|normal|7.5</t>
  </si>
  <si>
    <t>Insurance All|ip_consumables_per_day</t>
  </si>
  <si>
    <t>Non-GIPSA Insurance|BIO0002</t>
  </si>
  <si>
    <t>Cash|SMAM40|SMARTSET GHV BONE CEMENT GENTAMICIN 40GM(3095-040-DEPUY SYNTHES)</t>
  </si>
  <si>
    <t>Cash|SMARTSET GHV BONE CEMENT GENTAMICIN 40GM(3095-040-DEPUY SYNTHES)</t>
  </si>
  <si>
    <t>TR160|EME0018</t>
  </si>
  <si>
    <t>TR202|normal|8</t>
  </si>
  <si>
    <t>Insurance All|ot_drugs</t>
  </si>
  <si>
    <t>Non-GIPSA Insurance|BIO0003</t>
  </si>
  <si>
    <t>Cash|COTC05|COTTON BALLS(STERILE)</t>
  </si>
  <si>
    <t>Cash|COTTON BALLS(STERILE)</t>
  </si>
  <si>
    <t>TR160|EME0020</t>
  </si>
  <si>
    <t>TR206|normal|0.5</t>
  </si>
  <si>
    <t>Insurance All|ot_consumables</t>
  </si>
  <si>
    <t>Non-GIPSA Insurance|BIO0004</t>
  </si>
  <si>
    <t>Cash|DIGU22|DIGITAL THERMOMETER(MICROGENE)</t>
  </si>
  <si>
    <t>Cash|DIGITAL THERMOMETER(MICROGENE)</t>
  </si>
  <si>
    <t>TR160|EME0052</t>
  </si>
  <si>
    <t>TR206|normal|1</t>
  </si>
  <si>
    <t>Insurance All|implants</t>
  </si>
  <si>
    <t>Non-GIPSA Insurance|BIO0005</t>
  </si>
  <si>
    <t>Cash|DISU100|PLAIN SHEET 210CM*120CM(RAJ MEDITECH)</t>
  </si>
  <si>
    <t>Cash|PLAIN SHEET 210CM*120CM(RAJ MEDITECH)</t>
  </si>
  <si>
    <t>TR160|EME0080</t>
  </si>
  <si>
    <t>TR206|normal|1.5</t>
  </si>
  <si>
    <t>Insurance All|pharmacy_total</t>
  </si>
  <si>
    <t>Non-GIPSA Insurance|BIO0064</t>
  </si>
  <si>
    <t>Cash|HIPU08|HIP U DRAPE(E511- SURGIWEAR)</t>
  </si>
  <si>
    <t>Cash|HIP U DRAPE(E511- SURGIWEAR)</t>
  </si>
  <si>
    <t>TR160|EME5045</t>
  </si>
  <si>
    <t>TR206|normal|2</t>
  </si>
  <si>
    <t>Insurance All|drug_administration_charges</t>
  </si>
  <si>
    <t>Non-GIPSA Insurance|BIO0075</t>
  </si>
  <si>
    <t>Cash|OXYU01|OXYGEN MASK ADULT(VINJOH)</t>
  </si>
  <si>
    <t>Cash|OXYGEN MASK ADULT(VINJOH)</t>
  </si>
  <si>
    <t>TR160|EME0088</t>
  </si>
  <si>
    <t>TR206|normal|2.5</t>
  </si>
  <si>
    <t>Insurance All|services_total_excluding_food_and_beverage</t>
  </si>
  <si>
    <t>Non-GIPSA Insurance|BIO0097</t>
  </si>
  <si>
    <t>Cash|SPIU19|SPINAL NEEDLE 27G(BD)</t>
  </si>
  <si>
    <t>Cash|SPINAL NEEDLE 27G(BD)</t>
  </si>
  <si>
    <t>TR160|PSY0036</t>
  </si>
  <si>
    <t>TR206|normal|3</t>
  </si>
  <si>
    <t>Insurance All|food_and_beverage_excluded</t>
  </si>
  <si>
    <t>Non-GIPSA Insurance|BIO0098</t>
  </si>
  <si>
    <t>Cash|SURU11|SURGICAL GLOVE 6.5(SURGICARE-KANAM)</t>
  </si>
  <si>
    <t>Cash|SURGICAL GLOVE 6.5(SURGICARE-KANAM)</t>
  </si>
  <si>
    <t>TR177|BIO0001</t>
  </si>
  <si>
    <t>TR206|normal|3.5</t>
  </si>
  <si>
    <t>Insurance All|pharmacy_returns_excluded</t>
  </si>
  <si>
    <t>Non-GIPSA Insurance|BIO0106</t>
  </si>
  <si>
    <t>Cash|SURU12|SURGICAL GLOVE 7.0(SURGICARE-KANAM)</t>
  </si>
  <si>
    <t>Cash|SURGICAL GLOVE 7.0(SURGICARE-KANAM)</t>
  </si>
  <si>
    <t>TR177|BIO0002</t>
  </si>
  <si>
    <t>TR206|normal|4</t>
  </si>
  <si>
    <t>Insurance All|total_amount_excluding_food_and_beverage_and_returns_plus_drug_admin</t>
  </si>
  <si>
    <t>Non-GIPSA Insurance|BIO0121</t>
  </si>
  <si>
    <t>Cash|VACU27|VACUUM SUCTION SET 250CM(MORRISONS)</t>
  </si>
  <si>
    <t>Cash|VACUUM SUCTION SET 250CM(MORRISONS)</t>
  </si>
  <si>
    <t>TR177|BIO0003</t>
  </si>
  <si>
    <t>TR206|normal|4.5</t>
  </si>
  <si>
    <t>All Payers|los_days</t>
  </si>
  <si>
    <t>Non-GIPSA Insurance|BIO0162</t>
  </si>
  <si>
    <t>Cash||G2K 40MG INJ</t>
  </si>
  <si>
    <t>TR177|BIO0004</t>
  </si>
  <si>
    <t>TR206|normal|5</t>
  </si>
  <si>
    <t>All Payers|icu_days</t>
  </si>
  <si>
    <t>Non-GIPSA Insurance|BIO0181</t>
  </si>
  <si>
    <t>Cash||PARACIP 100ML INJECTION(HS)</t>
  </si>
  <si>
    <t>TR177|BIO0162</t>
  </si>
  <si>
    <t>TR206|normal|5.5</t>
  </si>
  <si>
    <t>All Payers|ward_days</t>
  </si>
  <si>
    <t>Non-GIPSA Insurance|BLD0001</t>
  </si>
  <si>
    <t>Cash|IDII01|IDIAQUA 1ML INJ</t>
  </si>
  <si>
    <t>Cash|IDIAQUA 1ML INJ</t>
  </si>
  <si>
    <t>TR177|CAR5341</t>
  </si>
  <si>
    <t>TR206|normal|6</t>
  </si>
  <si>
    <t>All Payers|ot_hours</t>
  </si>
  <si>
    <t>Non-GIPSA Insurance|BLD0009</t>
  </si>
  <si>
    <t>Cash|IFIF01|IFIMOL 1000MG 100ML IV</t>
  </si>
  <si>
    <t>Cash|IFIMOL 1000MG 100ML IV</t>
  </si>
  <si>
    <t>TR177|CAS0007</t>
  </si>
  <si>
    <t>TR206|normal|6.5</t>
  </si>
  <si>
    <t>All Payers|service_line_count</t>
  </si>
  <si>
    <t>Non-GIPSA Insurance|BLD0024</t>
  </si>
  <si>
    <t>Cash|MEZI01|MEZOLAM 5ML INJ</t>
  </si>
  <si>
    <t>Cash|MEZOLAM 5ML INJ</t>
  </si>
  <si>
    <t>TR177|DIE0001</t>
  </si>
  <si>
    <t>TR206|normal|7</t>
  </si>
  <si>
    <t>All Payers|room_charges</t>
  </si>
  <si>
    <t>Non-GIPSA Insurance|PAT0007</t>
  </si>
  <si>
    <t>Cash|NORF136|NORMAL SALINE 0.9% 100ML PLASTIC EH(ACULIFE)</t>
  </si>
  <si>
    <t>Cash|NORMAL SALINE 0.9% 100ML PLASTIC EH(ACULIFE)</t>
  </si>
  <si>
    <t>TR177|EME0017</t>
  </si>
  <si>
    <t>TR206|normal|7.5</t>
  </si>
  <si>
    <t>All Payers|room_charges_per_day</t>
  </si>
  <si>
    <t>Non-GIPSA Insurance|PAT0041</t>
  </si>
  <si>
    <t>Cash|NS0F05|NS 0.9% 1000ML NH(PROLINE NS-PROMEA)</t>
  </si>
  <si>
    <t>Cash|NS 0.9% 1000ML NH(PROLINE NS-PROMEA)</t>
  </si>
  <si>
    <t>TR177|EME0019</t>
  </si>
  <si>
    <t>TR206|normal|8</t>
  </si>
  <si>
    <t>All Payers|investigations</t>
  </si>
  <si>
    <t>Non-GIPSA Insurance|PAT0042</t>
  </si>
  <si>
    <t>Cash|NS0F06|NS 0.9% 100ML NH(PRODISC NS-PROMEA)</t>
  </si>
  <si>
    <t>Cash|NS 0.9% 100ML NH(PRODISC NS-PROMEA)</t>
  </si>
  <si>
    <t>TR177|EME0087</t>
  </si>
  <si>
    <t>TR240|normal|0.5</t>
  </si>
  <si>
    <t>All Payers|procedure_ot_charges</t>
  </si>
  <si>
    <t>Non-GIPSA Insurance|PAT0045</t>
  </si>
  <si>
    <t>Cash|PREC103|PRENURA 75MG CAP</t>
  </si>
  <si>
    <t>Cash|PRENURA 75MG CAP</t>
  </si>
  <si>
    <t>TR177|HSP0047</t>
  </si>
  <si>
    <t>TR240|emergency|0.5</t>
  </si>
  <si>
    <t>All Payers|bedside_services</t>
  </si>
  <si>
    <t>Non-GIPSA Insurance|PAT0078</t>
  </si>
  <si>
    <t>Cash|SUPI10|SUPRIDOL 2ML INJ</t>
  </si>
  <si>
    <t>Cash|SUPRIDOL 2ML INJ</t>
  </si>
  <si>
    <t>TR177|HSP5013</t>
  </si>
  <si>
    <t>TR240|normal|1</t>
  </si>
  <si>
    <t>All Payers|professional_fees</t>
  </si>
  <si>
    <t>Non-GIPSA Insurance|PHY5082</t>
  </si>
  <si>
    <t>Cash|SIMM30|SIMPLEX PALCOS BONE CEMENT(61910001-STRYKER)</t>
  </si>
  <si>
    <t>Cash|SIMPLEX PALCOS BONE CEMENT(61910001-STRYKER)</t>
  </si>
  <si>
    <t>TR177|ICC0001</t>
  </si>
  <si>
    <t>TR240|emergency|1</t>
  </si>
  <si>
    <t>All Payers|ip_drugs</t>
  </si>
  <si>
    <t>Non-GIPSA Insurance|ANS0003</t>
  </si>
  <si>
    <t>Cash||SYRINGE 2ML(LIFELONG)</t>
  </si>
  <si>
    <t>TR177|ICC0002</t>
  </si>
  <si>
    <t>TR240|normal|1.5</t>
  </si>
  <si>
    <t>All Payers|ip_drugs_per_day</t>
  </si>
  <si>
    <t>Non-GIPSA Insurance|DIE0001</t>
  </si>
  <si>
    <t>Cash|LATU73|LATEX EXAMINATION GLOVES-MEDIUM(NITRILE-SUCHIKA)</t>
  </si>
  <si>
    <t>Cash|LATEX EXAMINATION GLOVES-MEDIUM(NITRILE-SUCHIKA)</t>
  </si>
  <si>
    <t>TR177|OTC0010</t>
  </si>
  <si>
    <t>TR240|emergency|1.5</t>
  </si>
  <si>
    <t>All Payers|ip_consumables</t>
  </si>
  <si>
    <t>Non-GIPSA Insurance|PHY5076</t>
  </si>
  <si>
    <t>Cash|NEEU08|NEEDLES 16G*1.5 IN(HMD)</t>
  </si>
  <si>
    <t>Cash|NEEDLES 16G*1.5 IN(HMD)</t>
  </si>
  <si>
    <t>TR177|OTC5005</t>
  </si>
  <si>
    <t>TR240|normal|2</t>
  </si>
  <si>
    <t>All Payers|ip_consumables_per_day</t>
  </si>
  <si>
    <t>Non-GIPSA Insurance|CAR5341</t>
  </si>
  <si>
    <t>Cash|NEEU66|NEEDLE DISPOSABLE 16G X 1.5IN(NIPRO)</t>
  </si>
  <si>
    <t>Cash|NEEDLE DISPOSABLE 16G X 1.5IN(NIPRO)</t>
  </si>
  <si>
    <t>TR177|OTI0015</t>
  </si>
  <si>
    <t>TR240|emergency|2</t>
  </si>
  <si>
    <t>All Payers|ot_drugs</t>
  </si>
  <si>
    <t>Non-GIPSA Insurance|CAS0007</t>
  </si>
  <si>
    <t>Cash||VOMIKIND 2ML INJ</t>
  </si>
  <si>
    <t>TR177|OTI0018</t>
  </si>
  <si>
    <t>TR240|normal|2.5</t>
  </si>
  <si>
    <t>All Payers|ot_consumables</t>
  </si>
  <si>
    <t>Non-GIPSA Insurance|EME0016</t>
  </si>
  <si>
    <t>Cash|GB2C01|GB 29-75MG CAPSULE</t>
  </si>
  <si>
    <t>Cash|GB 29-75MG CAPSULE</t>
  </si>
  <si>
    <t>TR177|OTI0098</t>
  </si>
  <si>
    <t>TR240|emergency|2.5</t>
  </si>
  <si>
    <t>All Payers|implants</t>
  </si>
  <si>
    <t>Non-GIPSA Insurance|EME0017</t>
  </si>
  <si>
    <t>Cash|BEDU36|BED BATH TOWEL 300MM*240MM 10S PACK(WIPEX-ROMSONS)</t>
  </si>
  <si>
    <t>Cash|BED BATH TOWEL 300MM*240MM 10S PACK(WIPEX-ROMSONS)</t>
  </si>
  <si>
    <t>TR177|PAT0042</t>
  </si>
  <si>
    <t>TR240|normal|3</t>
  </si>
  <si>
    <t>All Payers|pharmacy_total</t>
  </si>
  <si>
    <t>Non-GIPSA Insurance|EME0018</t>
  </si>
  <si>
    <t>Cash|CARU60|C ARM COVER POLY 2PIECE(P0325-PRIMEWEAR)</t>
  </si>
  <si>
    <t>Cash|C ARM COVER POLY 2PIECE(P0325-PRIMEWEAR)</t>
  </si>
  <si>
    <t>TR177|PAT0045</t>
  </si>
  <si>
    <t>TR240|emergency|3</t>
  </si>
  <si>
    <t>All Payers|drug_administration_charges</t>
  </si>
  <si>
    <t>Non-GIPSA Insurance|EME0019</t>
  </si>
  <si>
    <t>Cash|LEGU6|LEG U DRAPE(PRIMEWEAR)</t>
  </si>
  <si>
    <t>Cash|LEG U DRAPE(PRIMEWEAR)</t>
  </si>
  <si>
    <t>TR177|PHY5082</t>
  </si>
  <si>
    <t>TR240|normal|3.5</t>
  </si>
  <si>
    <t>All Payers|services_total_excluding_food_and_beverage</t>
  </si>
  <si>
    <t>Non-GIPSA Insurance|EME0020</t>
  </si>
  <si>
    <t>Cash|MAKM01|107120 MAKO VIZADISCS</t>
  </si>
  <si>
    <t>Cash|107120 MAKO VIZADISCS</t>
  </si>
  <si>
    <t>TR177|RNS0120</t>
  </si>
  <si>
    <t>TR240|emergency|3.5</t>
  </si>
  <si>
    <t>All Payers|food_and_beverage_excluded</t>
  </si>
  <si>
    <t>Non-GIPSA Insurance|EME0052</t>
  </si>
  <si>
    <t>Cash|MICU137|MICS SAGITTAL BLADE STANDARD(116170-STRYKER)</t>
  </si>
  <si>
    <t>Cash|MICS SAGITTAL BLADE STANDARD(116170-STRYKER)</t>
  </si>
  <si>
    <t>TR177|RNS5005</t>
  </si>
  <si>
    <t>TR240|normal|4</t>
  </si>
  <si>
    <t>All Payers|pharmacy_returns_excluded</t>
  </si>
  <si>
    <t>Non-GIPSA Insurance|EME0080</t>
  </si>
  <si>
    <t>Cash|SPIU05|SPINAL NEEDLE 25G(BD)</t>
  </si>
  <si>
    <t>Cash|SPINAL NEEDLE 25G(BD)</t>
  </si>
  <si>
    <t>TR177|ROM0001</t>
  </si>
  <si>
    <t>TR240|emergency|4</t>
  </si>
  <si>
    <t>All Payers|total_amount_excluding_food_and_beverage_and_returns_plus_drug_admin</t>
  </si>
  <si>
    <t>Non-GIPSA Insurance|EME0087</t>
  </si>
  <si>
    <t>Cash|SURU10|SURGICAL GLOVE 6.0(SURGICARE-KANAM)</t>
  </si>
  <si>
    <t>Cash|SURGICAL GLOVE 6.0(SURGICARE-KANAM)</t>
  </si>
  <si>
    <t>TR177|ROM0024</t>
  </si>
  <si>
    <t>TR240|normal|4.5</t>
  </si>
  <si>
    <t>Non-GIPSA Insurance|EME5045</t>
  </si>
  <si>
    <t>Cash|SYRU119|SYRINGE 5ML LL(LIFE LONG)</t>
  </si>
  <si>
    <t>Cash|SYRINGE 5ML LL(LIFE LONG)</t>
  </si>
  <si>
    <t>TR177|ROM0036</t>
  </si>
  <si>
    <t>TR240|emergency|4.5</t>
  </si>
  <si>
    <t>Non-GIPSA Insurance|ICC0001</t>
  </si>
  <si>
    <t>Cash|VOLU08|VOLDYNE SPIROMETER LUNG EXERCISER 4000ML(8884719016-MEDLINE)</t>
  </si>
  <si>
    <t>Cash|VOLDYNE SPIROMETER LUNG EXERCISER 4000ML(8884719016-MEDLINE)</t>
  </si>
  <si>
    <t>TR177|ROM0093</t>
  </si>
  <si>
    <t>TR240|normal|5</t>
  </si>
  <si>
    <t>Implant Reference</t>
  </si>
  <si>
    <t>Non-GIPSA Insurance|ICC0002</t>
  </si>
  <si>
    <t>Cash|DEPI16|DEPOCILONE 40MG INJ</t>
  </si>
  <si>
    <t>Cash|DEPOCILONE 40MG INJ</t>
  </si>
  <si>
    <t>TR177|ROM5009</t>
  </si>
  <si>
    <t>TR240|emergency|5</t>
  </si>
  <si>
    <t>implant_family</t>
  </si>
  <si>
    <t>brand_family</t>
  </si>
  <si>
    <t>item_presence_rate</t>
  </si>
  <si>
    <t>item_quantity_p50</t>
  </si>
  <si>
    <t>typical_rate_p50</t>
  </si>
  <si>
    <t>Non-GIPSA Insurance|EME0088</t>
  </si>
  <si>
    <t>Cash|JUSI02|JUSTIN AQ 1ML INJ</t>
  </si>
  <si>
    <t>Cash|JUSTIN AQ 1ML INJ</t>
  </si>
  <si>
    <t>TR177|ROM5189</t>
  </si>
  <si>
    <t>TR240|normal|5.5</t>
  </si>
  <si>
    <t>Non-GIPSA Insurance|OTI0098</t>
  </si>
  <si>
    <t>Cash|MIDI09|MIDFAST 5ML INJ</t>
  </si>
  <si>
    <t>Cash|MIDFAST 5ML INJ</t>
  </si>
  <si>
    <t>TR177|XRY5090</t>
  </si>
  <si>
    <t>TR240|emergency|5.5</t>
  </si>
  <si>
    <t>Non-GIPSA Insurance|RNS5005</t>
  </si>
  <si>
    <t>Cash|NORF140|NORMAL SALINE 0.9% 500ML FREEPORT/FLEXI(UNIBAG-ACULIFE)</t>
  </si>
  <si>
    <t>Cash|NORMAL SALINE 0.9% 500ML FREEPORT/FLEXI(UNIBAG-ACULIFE)</t>
  </si>
  <si>
    <t>TR177|CAR0080</t>
  </si>
  <si>
    <t>TR240|normal|6</t>
  </si>
  <si>
    <t>Non-GIPSA Insurance|ROM5189</t>
  </si>
  <si>
    <t>Cash|NORF177|NORMAL SALINE 0.9% 3000ML EH(ACULIFE)</t>
  </si>
  <si>
    <t>Cash|NORMAL SALINE 0.9% 3000ML EH(ACULIFE)</t>
  </si>
  <si>
    <t>TR177|XRY044</t>
  </si>
  <si>
    <t>TR240|emergency|6</t>
  </si>
  <si>
    <t>Non-GIPSA Insurance|HSP5013</t>
  </si>
  <si>
    <t>Cash|NORF90|NORMAL SALINE 0.9% 500ML PLASTIC EH(FRESENIUS)</t>
  </si>
  <si>
    <t>Cash|NORMAL SALINE 0.9% 500ML PLASTIC EH(FRESENIUS)</t>
  </si>
  <si>
    <t>TR177|XRY5133</t>
  </si>
  <si>
    <t>TR240|normal|6.5</t>
  </si>
  <si>
    <t>Non-GIPSA Insurance|ROM0093</t>
  </si>
  <si>
    <t>Cash|REST03|RESTYL 0.25MG TAB</t>
  </si>
  <si>
    <t>Cash|RESTYL 0.25MG TAB</t>
  </si>
  <si>
    <t>TR177|BIO0005</t>
  </si>
  <si>
    <t>TR240|emergency|6.5</t>
  </si>
  <si>
    <t>Non-GIPSA Insurance|OTC5005</t>
  </si>
  <si>
    <t>Cash|ARRU07|ARRAY DRILL PIN 4X175MM(4515-70-006-DEPUY SYNTHES)</t>
  </si>
  <si>
    <t>Cash|ARRAY DRILL PIN 4X175MM(4515-70-006-DEPUY SYNTHES)</t>
  </si>
  <si>
    <t>TR177|BIO0064</t>
  </si>
  <si>
    <t>TR240|normal|7</t>
  </si>
  <si>
    <t>Non-GIPSA Insurance|OTI0015</t>
  </si>
  <si>
    <t>Cash|BONM151|SIMPLEX P BONE CEMENT 40GM(6191-0-001-STRYKER CORP)</t>
  </si>
  <si>
    <t>Cash|SIMPLEX P BONE CEMENT 40GM(6191-0-001-STRYKER CORP)</t>
  </si>
  <si>
    <t>TR177|BIO0075</t>
  </si>
  <si>
    <t>TR240|emergency|7</t>
  </si>
  <si>
    <t>Non-GIPSA Insurance|OTI0018</t>
  </si>
  <si>
    <t>Cash||SYRINGE 3ML LL(KAREJET-ROMSONS)</t>
  </si>
  <si>
    <t>TR177|BIO0097</t>
  </si>
  <si>
    <t>TR240|normal|7.5</t>
  </si>
  <si>
    <t>OT 7 1/2 HOURS</t>
  </si>
  <si>
    <t>Non-GIPSA Insurance|PSY0036</t>
  </si>
  <si>
    <t>Cash|ENCU13|MICROOPTIC STERILE GLOVE 8.0(ENCORE-JK ANSELL)</t>
  </si>
  <si>
    <t>Cash|MICROOPTIC STERILE GLOVE 8.0(ENCORE-JK ANSELL)</t>
  </si>
  <si>
    <t>TR177|BIO0098</t>
  </si>
  <si>
    <t>TR240|emergency|7.5</t>
  </si>
  <si>
    <t>Cash|ENCU24|ENCORE LATEX UNDERGLOVE 7.0 NO(ANSELL)</t>
  </si>
  <si>
    <t>Cash|ENCORE LATEX UNDERGLOVE 7.0 NO(ANSELL)</t>
  </si>
  <si>
    <t>TR177|BIO0106</t>
  </si>
  <si>
    <t>TR240|normal|8</t>
  </si>
  <si>
    <t>OT 8 HOURS</t>
  </si>
  <si>
    <t>Corporate|CAR0080</t>
  </si>
  <si>
    <t>Cash|GDRU06|G DRESS-5 5CM*6CM(GD5-SURGIWEAR )</t>
  </si>
  <si>
    <t>Cash|G DRESS-5 5CM*6CM(GD5-SURGIWEAR )</t>
  </si>
  <si>
    <t>TR177|BIO0121</t>
  </si>
  <si>
    <t>TR240|emergency|8</t>
  </si>
  <si>
    <t>OT-E 8 HOURS</t>
  </si>
  <si>
    <t>Corporate|XRY044</t>
  </si>
  <si>
    <t>Cash|MOPC04|MOPS WITH X-RAY DETECTABLE FILAMENT 6PLY 25CM*25CM(READY GAUGE-BMT)</t>
  </si>
  <si>
    <t>Cash|MOPS WITH X-RAY DETECTABLE FILAMENT 6PLY 25CM*25CM(READY GAUGE-BMT)</t>
  </si>
  <si>
    <t>TR177|BIO0181</t>
  </si>
  <si>
    <t>TR284|normal|0.5</t>
  </si>
  <si>
    <t>Corporate|XRY5090</t>
  </si>
  <si>
    <t>Cash|PMLU33|PM LINE M/F 200CM(LIFE-O-LINE)</t>
  </si>
  <si>
    <t>Cash|PM LINE M/F 200CM(LIFE-O-LINE)</t>
  </si>
  <si>
    <t>TR177|BLD0001</t>
  </si>
  <si>
    <t>TR284|emergency|0.5</t>
  </si>
  <si>
    <t>Corporate|XRY5133</t>
  </si>
  <si>
    <t>Cash|STEU256|STERILE DRAPE KIT(4515-70-018-DEPUY)</t>
  </si>
  <si>
    <t>Cash|STERILE DRAPE KIT(4515-70-018-DEPUY)</t>
  </si>
  <si>
    <t>TR177|BLD0009</t>
  </si>
  <si>
    <t>TR284|normal|1</t>
  </si>
  <si>
    <t>Corporate|BIO0001</t>
  </si>
  <si>
    <t>Cash|STRR05|STRATAFIX SYMMETRIC PDS PLUS 1 SXPP1A201(ETHICON)</t>
  </si>
  <si>
    <t>Cash|STRATAFIX SYMMETRIC PDS PLUS 1 SXPP1A201(ETHICON)</t>
  </si>
  <si>
    <t>TR177|BLD0024</t>
  </si>
  <si>
    <t>TR284|emergency|1</t>
  </si>
  <si>
    <t>Corporate|BIO0002</t>
  </si>
  <si>
    <t>Cash|SURU69|SURGICAL BLADE 15(GLASSVAN)</t>
  </si>
  <si>
    <t>Cash|SURGICAL BLADE 15(GLASSVAN)</t>
  </si>
  <si>
    <t>TR177|PAT0007</t>
  </si>
  <si>
    <t>TR284|normal|1.5</t>
  </si>
  <si>
    <t>Corporate|BIO0003</t>
  </si>
  <si>
    <t>Cash|SYRU49|SYRINGE 3ML LUERLOCK(BD)</t>
  </si>
  <si>
    <t>Cash|SYRINGE 3ML LUERLOCK(BD)</t>
  </si>
  <si>
    <t>TR177|PAT0041</t>
  </si>
  <si>
    <t>TR284|emergency|1.5</t>
  </si>
  <si>
    <t>Corporate|BIO0004</t>
  </si>
  <si>
    <t>Cash|SYRU75|SYRINGE INSULIN 1ML 31G NEEDLE 40 UNITS(HMD)</t>
  </si>
  <si>
    <t>Cash|SYRINGE INSULIN 1ML 31G NEEDLE 40 UNITS(HMD)</t>
  </si>
  <si>
    <t>TR177|PAT0078</t>
  </si>
  <si>
    <t>TR284|normal|2</t>
  </si>
  <si>
    <t>Corporate|BIO0005</t>
  </si>
  <si>
    <t>Cash|THRU08|THREE WAY EXTENSION 10CM(POLYMED)</t>
  </si>
  <si>
    <t>Cash|THREE WAY EXTENSION 10CM(POLYMED)</t>
  </si>
  <si>
    <t>TR177|ANS0003</t>
  </si>
  <si>
    <t>TR284|emergency|2</t>
  </si>
  <si>
    <t>Corporate|BIO0064</t>
  </si>
  <si>
    <t>Cash|THRU61|THR/TKR KIT(SMART PACK-MEDLINE)</t>
  </si>
  <si>
    <t>Cash|THR/TKR KIT(SMART PACK-MEDLINE)</t>
  </si>
  <si>
    <t>TR177|PHY5076</t>
  </si>
  <si>
    <t>TR284|normal|2.5</t>
  </si>
  <si>
    <t>Corporate|BIO0075</t>
  </si>
  <si>
    <t>Cash|URIU35|URINAL POT MALE FEMALE(ALPHA MEDICARE AND DEVICES)</t>
  </si>
  <si>
    <t>Cash|URINAL POT MALE FEMALE(ALPHA MEDICARE AND DEVICES)</t>
  </si>
  <si>
    <t>TR177|EME0016</t>
  </si>
  <si>
    <t>TR284|emergency|2.5</t>
  </si>
  <si>
    <t>Corporate|BIO0097</t>
  </si>
  <si>
    <t>Cash|VENU57|VENFLON PRO SAFETY 20G(BD)</t>
  </si>
  <si>
    <t>Cash|VENFLON PRO SAFETY 20G(BD)</t>
  </si>
  <si>
    <t>TR177|EME0018</t>
  </si>
  <si>
    <t>TR284|normal|3</t>
  </si>
  <si>
    <t>Corporate|BIO0098</t>
  </si>
  <si>
    <t>Cash||ENOXATIL 40MG INJ</t>
  </si>
  <si>
    <t>TR177|EME0020</t>
  </si>
  <si>
    <t>TR284|emergency|3</t>
  </si>
  <si>
    <t>Corporate|BIO0106</t>
  </si>
  <si>
    <t>Cash|AVII01|AVIL 2ML INJ</t>
  </si>
  <si>
    <t>Cash|AVIL 2ML INJ</t>
  </si>
  <si>
    <t>TR177|EME0052</t>
  </si>
  <si>
    <t>TR284|normal|3.5</t>
  </si>
  <si>
    <t>Corporate|BIO0121</t>
  </si>
  <si>
    <t>Cash|NORF45|NORMAL SALINE 1000ML(PLASTIC)(ACULIFE)</t>
  </si>
  <si>
    <t>Cash|NORMAL SALINE 1000ML(PLASTIC)(ACULIFE)</t>
  </si>
  <si>
    <t>TR177|EME0080</t>
  </si>
  <si>
    <t>TR284|emergency|3.5</t>
  </si>
  <si>
    <t>Corporate|BIO0162</t>
  </si>
  <si>
    <t>Cash|NORF93|NORMAL SALINE 0.9% 500ML FREEFLEX(FRESENIUS)</t>
  </si>
  <si>
    <t>Cash|NORMAL SALINE 0.9% 500ML FREEFLEX(FRESENIUS)</t>
  </si>
  <si>
    <t>TR177|EME5045</t>
  </si>
  <si>
    <t>TR284|normal|4</t>
  </si>
  <si>
    <t>Corporate|BIO0181</t>
  </si>
  <si>
    <t>Cash|LEGU37|LEG U DRAPE(D501-SURGIWARE)</t>
  </si>
  <si>
    <t>Cash|LEG U DRAPE(D501-SURGIWARE)</t>
  </si>
  <si>
    <t>TR177|EME0088</t>
  </si>
  <si>
    <t>TR284|emergency|4</t>
  </si>
  <si>
    <t>Corporate|BLD0001</t>
  </si>
  <si>
    <t>Cash|SURU14|SURGICAL GLOVE 8.0(SURGICARE-KANAM)</t>
  </si>
  <si>
    <t>Cash|SURGICAL GLOVE 8.0(SURGICARE-KANAM)</t>
  </si>
  <si>
    <t>TR177|PSY0036</t>
  </si>
  <si>
    <t>TR284|normal|4.5</t>
  </si>
  <si>
    <t>Corporate|BLD0009</t>
  </si>
  <si>
    <t>Cash|SYRU137|SYRINGE INSULIN 1ML 31G NEEDLE (40 UNITS)(NIPRO)</t>
  </si>
  <si>
    <t>Cash|SYRINGE INSULIN 1ML 31G NEEDLE (40 UNITS)(NIPRO)</t>
  </si>
  <si>
    <t>TR201|BIO0001</t>
  </si>
  <si>
    <t>TR284|emergency|4.5</t>
  </si>
  <si>
    <t>Corporate|BLD0024</t>
  </si>
  <si>
    <t>Cash|HORP04|HORLICKS DIABETES PLUS VANILLA 400GM</t>
  </si>
  <si>
    <t>Cash|HORLICKS DIABETES PLUS VANILLA 400GM</t>
  </si>
  <si>
    <t>TR201|BIO0002</t>
  </si>
  <si>
    <t>TR284|normal|5</t>
  </si>
  <si>
    <t>Corporate|PAT0007</t>
  </si>
  <si>
    <t>Cash|LOXI6|LOXICARD 2% 50ML INJ</t>
  </si>
  <si>
    <t>Cash|LOXICARD 2% 50ML INJ</t>
  </si>
  <si>
    <t>TR201|BIO0003</t>
  </si>
  <si>
    <t>TR284|emergency|5</t>
  </si>
  <si>
    <t>Corporate|PAT0041</t>
  </si>
  <si>
    <t>Cash|MEPI18|MEPUP 10ML INJ</t>
  </si>
  <si>
    <t>Cash|MEPUP 10ML INJ</t>
  </si>
  <si>
    <t>TR201|BIO0004</t>
  </si>
  <si>
    <t>TR284|normal|5.5</t>
  </si>
  <si>
    <t>Corporate|PAT0042</t>
  </si>
  <si>
    <t>Cash|NORF140|NORMAL SALINE 0.9% 500ML FLEXIFLOW(UNIBAG-ACULIFE)</t>
  </si>
  <si>
    <t>Cash|NORMAL SALINE 0.9% 500ML FLEXIFLOW(UNIBAG-ACULIFE)</t>
  </si>
  <si>
    <t>TR201|BIO0162</t>
  </si>
  <si>
    <t>TR284|emergency|5.5</t>
  </si>
  <si>
    <t>Corporate|PAT0045</t>
  </si>
  <si>
    <t>Cash|NORF72|NORMAL SALINE 0.9% 3000ML PLASTIC(PENTAGON)</t>
  </si>
  <si>
    <t>Cash|NORMAL SALINE 0.9% 3000ML PLASTIC(PENTAGON)</t>
  </si>
  <si>
    <t>TR201|CAR5341</t>
  </si>
  <si>
    <t>TR284|normal|6</t>
  </si>
  <si>
    <t>Corporate|PAT0078</t>
  </si>
  <si>
    <t>Cash|SYRU122|SYRINGES INSULIN 1ML 40 IU(POLYMED)</t>
  </si>
  <si>
    <t>Cash|SYRINGES INSULIN 1ML 40 IU(POLYMED)</t>
  </si>
  <si>
    <t>TR201|CAS0007</t>
  </si>
  <si>
    <t>TR284|emergency|6</t>
  </si>
  <si>
    <t>Corporate|PHY5082</t>
  </si>
  <si>
    <t>Cash|ATTM168|ATTUNE TIBIAL BASEPLATE FIXED BEARING REVISION CEMENTED CONSTRAINED KNEE 3(1506-40-003-DEPUY SYNTHES)</t>
  </si>
  <si>
    <t>Cash|ATTUNE TIBIAL BASEPLATE FIXED BEARING REVISION CEMENTED CONSTRAINED KNEE 3(1506-40-003-DEPUY SYNTHES)</t>
  </si>
  <si>
    <t>TR201|DIE0001</t>
  </si>
  <si>
    <t>TR284|normal|6.5</t>
  </si>
  <si>
    <t>Corporate|ANS0003</t>
  </si>
  <si>
    <t>Cash||BED BATH TOWELS 300MMX240MM(PACK OF 10-MAGMACARE)</t>
  </si>
  <si>
    <t>TR201|EME0017</t>
  </si>
  <si>
    <t>TR284|emergency|6.5</t>
  </si>
  <si>
    <t>Corporate|DIE0001</t>
  </si>
  <si>
    <t>Cash||SYRINGE 5ML LL(LIFE LONG)</t>
  </si>
  <si>
    <t>TR201|EME0019</t>
  </si>
  <si>
    <t>TR284|normal|7</t>
  </si>
  <si>
    <t>Corporate|PHY5076</t>
  </si>
  <si>
    <t>Cash|NEBU29|NEBULIZER MASK ADULT(LIFE-O-LINE)</t>
  </si>
  <si>
    <t>Cash|NEBULIZER MASK ADULT(LIFE-O-LINE)</t>
  </si>
  <si>
    <t>TR201|EME0087</t>
  </si>
  <si>
    <t>TR284|emergency|7</t>
  </si>
  <si>
    <t>Corporate|CAR5341</t>
  </si>
  <si>
    <t>Cash|PREU128|PREFILLED FLUSH SYRINGE BLISTER PACK 5ML(RIBBEL)</t>
  </si>
  <si>
    <t>Cash|PREFILLED FLUSH SYRINGE BLISTER PACK 5ML(RIBBEL)</t>
  </si>
  <si>
    <t>TR201|HSP0047</t>
  </si>
  <si>
    <t>TR284|normal|7.5</t>
  </si>
  <si>
    <t>Corporate|CAS0007</t>
  </si>
  <si>
    <t>Cash|SAGM04|SAGITAL STRIKER BLADE MEDIUM/LONG(2108-109-000-STRYKER)</t>
  </si>
  <si>
    <t>Cash|SAGITAL STRIKER BLADE MEDIUM/LONG(2108-109-000-STRYKER)</t>
  </si>
  <si>
    <t>TR201|HSP5013</t>
  </si>
  <si>
    <t>TR284|emergency|7.5</t>
  </si>
  <si>
    <t>Corporate|EME0016</t>
  </si>
  <si>
    <t>Cash|SAGM13|116171 MICS SAGITTAL BLADE NARROW</t>
  </si>
  <si>
    <t>Cash|116171 MICS SAGITTAL BLADE NARROW</t>
  </si>
  <si>
    <t>TR201|ICC0001</t>
  </si>
  <si>
    <t>TR284|normal|8</t>
  </si>
  <si>
    <t>Corporate|EME0017</t>
  </si>
  <si>
    <t>Cash|STEU194|STERILE DRAPE KIT(4515-70-008-DEPUY)</t>
  </si>
  <si>
    <t>Cash|STERILE DRAPE KIT(4515-70-008-DEPUY)</t>
  </si>
  <si>
    <t>TR201|ICC0002</t>
  </si>
  <si>
    <t>TR284|emergency|8</t>
  </si>
  <si>
    <t>Corporate|EME0018</t>
  </si>
  <si>
    <t>Cash|SURU182|SURGEON GOWN REINFORCED 5515</t>
  </si>
  <si>
    <t>Cash|SURGEON GOWN REINFORCED 5515</t>
  </si>
  <si>
    <t>TR201|OTC0010</t>
  </si>
  <si>
    <t>TR285|normal|0.5</t>
  </si>
  <si>
    <t>Corporate|EME0019</t>
  </si>
  <si>
    <t>Cash|SYRU120|SYRINGE 10ML LL(LIFE LONG)</t>
  </si>
  <si>
    <t>Cash|SYRINGE 10ML LL(LIFE LONG)</t>
  </si>
  <si>
    <t>TR201|OTC5005</t>
  </si>
  <si>
    <t>TR285|emergency|0.5</t>
  </si>
  <si>
    <t>Corporate|EME0020</t>
  </si>
  <si>
    <t>Cash|SYRU136|SYRINGE 5ML(DISPOJEKT-HMD)</t>
  </si>
  <si>
    <t>Cash|SYRINGE 5ML(DISPOJEKT-HMD)</t>
  </si>
  <si>
    <t>TR201|OTI0015</t>
  </si>
  <si>
    <t>TR285|normal|1</t>
  </si>
  <si>
    <t>Corporate|EME0052</t>
  </si>
  <si>
    <t>Cash||IV FLOW REGULATOR(POLYFLO-POLYMED)</t>
  </si>
  <si>
    <t>TR201|OTI0018</t>
  </si>
  <si>
    <t>TR285|emergency|1</t>
  </si>
  <si>
    <t>Corporate|EME0080</t>
  </si>
  <si>
    <t>Cash||NOVOTAM 2MG/2ML INJ</t>
  </si>
  <si>
    <t>TR201|OTI0098</t>
  </si>
  <si>
    <t>TR285|normal|1.5</t>
  </si>
  <si>
    <t>Corporate|EME0087</t>
  </si>
  <si>
    <t>Cash|ADRI15|ADRENALINE 1MG INJECTION</t>
  </si>
  <si>
    <t>Cash|ADRENALINE 1MG INJECTION</t>
  </si>
  <si>
    <t>TR201|PAT0042</t>
  </si>
  <si>
    <t>TR285|emergency|1.5</t>
  </si>
  <si>
    <t>Corporate|EME5045</t>
  </si>
  <si>
    <t>Cash|DERI03|DERINIDE RESPULES 0.5MG</t>
  </si>
  <si>
    <t>Cash|DERINIDE RESPULES 0.5MG</t>
  </si>
  <si>
    <t>TR201|PAT0045</t>
  </si>
  <si>
    <t>TR285|normal|2</t>
  </si>
  <si>
    <t>Corporate|ICC0001</t>
  </si>
  <si>
    <t>Cash|DEXI13|DEXTOMID 100MCG 1ML INJ</t>
  </si>
  <si>
    <t>Cash|DEXTOMID 100MCG 1ML INJ</t>
  </si>
  <si>
    <t>TR201|PHY5082</t>
  </si>
  <si>
    <t>TR285|emergency|2</t>
  </si>
  <si>
    <t>Corporate|ICC0002</t>
  </si>
  <si>
    <t>Cash|GLYI06|GLYCOGEM 0.2MG INJECTION</t>
  </si>
  <si>
    <t>Cash|GLYCOGEM 0.2MG INJECTION</t>
  </si>
  <si>
    <t>TR201|RNS0120</t>
  </si>
  <si>
    <t>TR285|normal|2.5</t>
  </si>
  <si>
    <t>Corporate|EME0088</t>
  </si>
  <si>
    <t>Cash|HORP04|HORLICKS DIABETES + VANILLA 400GM POWDER</t>
  </si>
  <si>
    <t>Cash|HORLICKS DIABETES + VANILLA 400GM POWDER</t>
  </si>
  <si>
    <t>TR201|RNS5005</t>
  </si>
  <si>
    <t>TR285|emergency|2.5</t>
  </si>
  <si>
    <t>RESTORIS MCK TIBIAL INSERT 3 X 8MM</t>
  </si>
  <si>
    <t>Corporate|OTI0098</t>
  </si>
  <si>
    <t>Cash|NORF39|NORMAL SALINE 0.9% 500ML(PLASTIC)(ACULIFE)</t>
  </si>
  <si>
    <t>Cash|NORMAL SALINE 0.9% 500ML(PLASTIC)(ACULIFE)</t>
  </si>
  <si>
    <t>TR201|ROM0001</t>
  </si>
  <si>
    <t>TR285|normal|3</t>
  </si>
  <si>
    <t>Corporate|RNS5005</t>
  </si>
  <si>
    <t>Cash|NS0F11|NS 0.9% 500ML NH(PRODISC NS-PROMEA)</t>
  </si>
  <si>
    <t>Cash|NS 0.9% 500ML NH(PRODISC NS-PROMEA)</t>
  </si>
  <si>
    <t>TR201|ROM0024</t>
  </si>
  <si>
    <t>TR285|emergency|3</t>
  </si>
  <si>
    <t>Corporate|ROM5189</t>
  </si>
  <si>
    <t>Cash|RL5F18|RL 500ML IV NH(PRORING RL-PROMEA)</t>
  </si>
  <si>
    <t>Cash|RL 500ML IV NH(PRORING RL-PROMEA)</t>
  </si>
  <si>
    <t>TR201|ROM0036</t>
  </si>
  <si>
    <t>TR285|normal|3.5</t>
  </si>
  <si>
    <t>Corporate|HSP5013</t>
  </si>
  <si>
    <t>Cash|SALR03|SALBAIR I NEB 1.25MG TRANSPULES</t>
  </si>
  <si>
    <t>Cash|SALBAIR I NEB 1.25MG TRANSPULES</t>
  </si>
  <si>
    <t>TR201|ROM0093</t>
  </si>
  <si>
    <t>TR285|emergency|3.5</t>
  </si>
  <si>
    <t>Corporate|ROM0093</t>
  </si>
  <si>
    <t>Cash|THYT60|THYRORITE 25MCG TAB</t>
  </si>
  <si>
    <t>Cash|THYRORITE 25MCG TAB</t>
  </si>
  <si>
    <t>TR201|ROM5009</t>
  </si>
  <si>
    <t>TR285|normal|4</t>
  </si>
  <si>
    <t>Corporate|OTC5005</t>
  </si>
  <si>
    <t>Cash|WOSI02|WOSULIN-R 40 IU/ML 10ML INJ</t>
  </si>
  <si>
    <t>Cash|WOSULIN-R 40 IU/ML 10ML INJ</t>
  </si>
  <si>
    <t>TR201|ROM5189</t>
  </si>
  <si>
    <t>TR285|emergency|4</t>
  </si>
  <si>
    <t>Corporate|OTI0015</t>
  </si>
  <si>
    <t>Cash|TRIM110|TRIATHLON X3 TIBIAL BEARING INSERT CS SIZE-3*9MM(5531G309E-STRYKER)</t>
  </si>
  <si>
    <t>Cash|TRIATHLON X3 TIBIAL BEARING INSERT CS SIZE-3*9MM(5531G309E-STRYKER)</t>
  </si>
  <si>
    <t>TR201|XRY5090</t>
  </si>
  <si>
    <t>TR285|normal|4.5</t>
  </si>
  <si>
    <t>Corporate|OTI0018</t>
  </si>
  <si>
    <t>Cash|TRIM132|5510F402 TRIATHLON CR FEMORAL CEMENT RIGHT 4</t>
  </si>
  <si>
    <t>Cash|5510F402 TRIATHLON CR FEMORAL CEMENT RIGHT 4</t>
  </si>
  <si>
    <t>TR201|CAR0080</t>
  </si>
  <si>
    <t>TR285|emergency|4.5</t>
  </si>
  <si>
    <t>Corporate|PSY0036</t>
  </si>
  <si>
    <t>Cash|TRIM187|TRIATHLON TIBIAL BASEPLATE CEMENTED 2 UNIVERSAL(5521-B-200-STRYKER CORP)</t>
  </si>
  <si>
    <t>Cash|TRIATHLON TIBIAL BASEPLATE CEMENTED 2 UNIVERSAL(5521-B-200-STRYKER CORP)</t>
  </si>
  <si>
    <t>TR201|XRY044</t>
  </si>
  <si>
    <t>TR285|normal|5</t>
  </si>
  <si>
    <t>Cash|TRIM188|5521B300 TRIATHLON UNIVERSAL BP 3(STRYKER)</t>
  </si>
  <si>
    <t>Cash|5521B300 TRIATHLON UNIVERSAL BP 3(STRYKER)</t>
  </si>
  <si>
    <t>TR201|XRY5133</t>
  </si>
  <si>
    <t>TR285|emergency|5</t>
  </si>
  <si>
    <t>Insurance All|CAR0080</t>
  </si>
  <si>
    <t>Cash||DIAPER ADULT XXL 110CMX154CMS(MAGMACARE)</t>
  </si>
  <si>
    <t>TR201|BIO0005</t>
  </si>
  <si>
    <t>TR285|normal|5.5</t>
  </si>
  <si>
    <t>Insurance All|XRY044</t>
  </si>
  <si>
    <t>Cash||PREFILLED FLUSH SYRINGE BLISTER PACK 10ML(RIBBEL)</t>
  </si>
  <si>
    <t>TR201|BIO0064</t>
  </si>
  <si>
    <t>TR285|emergency|5.5</t>
  </si>
  <si>
    <t>Insurance All|XRY5090</t>
  </si>
  <si>
    <t>Cash|EEXU02|EEXTRA LINE TRIO 15CM(GS-3178T-ROMSONS)</t>
  </si>
  <si>
    <t>Cash|EEXTRA LINE TRIO 15CM(GS-3178T-ROMSONS)</t>
  </si>
  <si>
    <t>TR201|BIO0075</t>
  </si>
  <si>
    <t>TR285|normal|6</t>
  </si>
  <si>
    <t>Insurance All|XRY5133</t>
  </si>
  <si>
    <t>Cash|EPIU02|EPIDURAL MINIPACK SYSTEM-1 18G(PORTEX)</t>
  </si>
  <si>
    <t>Cash|EPIDURAL MINIPACK SYSTEM-1 18G(PORTEX)</t>
  </si>
  <si>
    <t>TR201|BIO0097</t>
  </si>
  <si>
    <t>TR285|emergency|6</t>
  </si>
  <si>
    <t>Insurance All|BIO0001</t>
  </si>
  <si>
    <t>Cash|IVSU38|IV SET(INTRACARE BCV-ROMSONS)</t>
  </si>
  <si>
    <t>Cash|IV SET(INTRACARE BCV-ROMSONS)</t>
  </si>
  <si>
    <t>TR201|BIO0098</t>
  </si>
  <si>
    <t>TR285|normal|6.5</t>
  </si>
  <si>
    <t>Insurance All|BIO0002</t>
  </si>
  <si>
    <t>Cash|KWIM176|KIRSCHNER SURGICAL WIRE STERILE 2.5X150MM(1450.S.2.5.150-OROMED)</t>
  </si>
  <si>
    <t>Cash|KIRSCHNER SURGICAL WIRE STERILE 2.5X150MM(1450.S.2.5.150-OROMED)</t>
  </si>
  <si>
    <t>TR201|BIO0106</t>
  </si>
  <si>
    <t>TR285|emergency|6.5</t>
  </si>
  <si>
    <t>Insurance All|BIO0003</t>
  </si>
  <si>
    <t>Cash|MICU115|MICRO POLYSITE PLUS (DUO) EXTENSION(POLYMED)</t>
  </si>
  <si>
    <t>Cash|MICRO POLYSITE PLUS (DUO) EXTENSION(POLYMED)</t>
  </si>
  <si>
    <t>TR201|BIO0121</t>
  </si>
  <si>
    <t>TR285|normal|7</t>
  </si>
  <si>
    <t>Insurance All|BIO0004</t>
  </si>
  <si>
    <t>Cash|OSCU03|OSCILLATING SAW BLADE 85MMX19X2MM(4515-70-000-DEPUY)</t>
  </si>
  <si>
    <t>Cash|OSCILLATING SAW BLADE 85MMX19X2MM(4515-70-000-DEPUY)</t>
  </si>
  <si>
    <t>TR201|BIO0181</t>
  </si>
  <si>
    <t>TR285|emergency|7</t>
  </si>
  <si>
    <t>Insurance All|BIO0005</t>
  </si>
  <si>
    <t>Cash|OXYU72|OXYGEN MASK ADULT(FLEXI COMFORT-ROMSON)</t>
  </si>
  <si>
    <t>Cash|OXYGEN MASK ADULT(FLEXI COMFORT-ROMSON)</t>
  </si>
  <si>
    <t>TR201|BLD0001</t>
  </si>
  <si>
    <t>TR285|normal|7.5</t>
  </si>
  <si>
    <t>Insurance All|BIO0064</t>
  </si>
  <si>
    <t>Cash|PMLU46|PM LINE M/M 200CM(BUYWEL)</t>
  </si>
  <si>
    <t>Cash|PM LINE M/M 200CM(BUYWEL)</t>
  </si>
  <si>
    <t>TR201|BLD0009</t>
  </si>
  <si>
    <t>TR285|emergency|7.5</t>
  </si>
  <si>
    <t>Insurance All|BIO0075</t>
  </si>
  <si>
    <t>Cash|SAGM05|SAGITTAL BLADE LONG NARROW THIN(2108-103-000-STRYKER)</t>
  </si>
  <si>
    <t>Cash|SAGITTAL BLADE LONG NARROW THIN(2108-103-000-STRYKER)</t>
  </si>
  <si>
    <t>TR201|BLD0024</t>
  </si>
  <si>
    <t>TR285|normal|8</t>
  </si>
  <si>
    <t>Insurance All|BIO0097</t>
  </si>
  <si>
    <t>Cash|STEI10|STERILE WATER 10ML(ACULIFE)</t>
  </si>
  <si>
    <t>Cash|STERILE WATER 10ML(ACULIFE)</t>
  </si>
  <si>
    <t>TR201|PAT0007</t>
  </si>
  <si>
    <t>TR285|emergency|8</t>
  </si>
  <si>
    <t>Insurance All|BIO0098</t>
  </si>
  <si>
    <t>Cash|SURU157|SURGICAL GLOVE 6.0(BLISTER PACK-SURGICARE-KANAM)</t>
  </si>
  <si>
    <t>Cash|SURGICAL GLOVE 6.0(BLISTER PACK-SURGICARE-KANAM)</t>
  </si>
  <si>
    <t>TR201|PAT0041</t>
  </si>
  <si>
    <t>TR288|normal|0.5</t>
  </si>
  <si>
    <t>Insurance All|BIO0106</t>
  </si>
  <si>
    <t>Cash|SURU337|SURGICAL GOWN STERILE PRIMARY PLUS HP XL LEVEL-3(MOLNLYCKE)</t>
  </si>
  <si>
    <t>Cash|SURGICAL GOWN STERILE PRIMARY PLUS HP XL LEVEL-3(MOLNLYCKE)</t>
  </si>
  <si>
    <t>TR201|PAT0078</t>
  </si>
  <si>
    <t>TR288|emergency|0.5</t>
  </si>
  <si>
    <t>Insurance All|BIO0121</t>
  </si>
  <si>
    <t>Cash|SYRU88|SYRINGE 10ML LL(BD)</t>
  </si>
  <si>
    <t>Cash|SYRINGE 10ML LL(BD)</t>
  </si>
  <si>
    <t>TR201|ANS0003</t>
  </si>
  <si>
    <t>TR288|normal|1</t>
  </si>
  <si>
    <t>Insurance All|BIO0162</t>
  </si>
  <si>
    <t>Cash|THRU79|THREE WAY EXTENSION 10CM(DISPOWAY+-HMD)</t>
  </si>
  <si>
    <t>Cash|THREE WAY EXTENSION 10CM(DISPOWAY+-HMD)</t>
  </si>
  <si>
    <t>TR201|PHY5076</t>
  </si>
  <si>
    <t>TR288|emergency|1</t>
  </si>
  <si>
    <t>Insurance All|BIO0181</t>
  </si>
  <si>
    <t>Cash|VENU8160|VENFLON-I 22G(BD)</t>
  </si>
  <si>
    <t>Cash|VENFLON-I 22G(BD)</t>
  </si>
  <si>
    <t>TR201|EME0016</t>
  </si>
  <si>
    <t>TR288|normal|1.5</t>
  </si>
  <si>
    <t>Insurance All|BLD0001</t>
  </si>
  <si>
    <t>Cash||IDIAQUA 1ML INJ</t>
  </si>
  <si>
    <t>TR201|EME0018</t>
  </si>
  <si>
    <t>TR288|emergency|1.5</t>
  </si>
  <si>
    <t>Insurance All|BLD0009</t>
  </si>
  <si>
    <t>Cash||NITRILE POWDER FREE EXAMINATION GLOVES MEDIUM(DURAMITT-TEGAMEN)</t>
  </si>
  <si>
    <t>TR201|EME0020</t>
  </si>
  <si>
    <t>TR288|normal|2</t>
  </si>
  <si>
    <t>Insurance All|BLD0024</t>
  </si>
  <si>
    <t>Cash||RL 500ML IV NH(PRORING RL-PROMEA)</t>
  </si>
  <si>
    <t>TR201|EME0052</t>
  </si>
  <si>
    <t>TR288|emergency|2</t>
  </si>
  <si>
    <t>Insurance All|PAT0007</t>
  </si>
  <si>
    <t>Cash||SUPRIDOL 2ML INJ</t>
  </si>
  <si>
    <t>TR201|EME0080</t>
  </si>
  <si>
    <t>TR288|normal|2.5</t>
  </si>
  <si>
    <t>Insurance All|PAT0041</t>
  </si>
  <si>
    <t>Cash|ANAI01|ANAWIN 0.25% 20ML INJ</t>
  </si>
  <si>
    <t>Cash|ANAWIN 0.25% 20ML INJ</t>
  </si>
  <si>
    <t>TR201|EME5045</t>
  </si>
  <si>
    <t>TR288|emergency|2.5</t>
  </si>
  <si>
    <t>Insurance All|PAT0042</t>
  </si>
  <si>
    <t>Cash|ANZT02|ANZILIUM 0.25 MG TAB</t>
  </si>
  <si>
    <t>Cash|ANZILIUM 0.25 MG TAB</t>
  </si>
  <si>
    <t>TR201|EME0088</t>
  </si>
  <si>
    <t>TR288|normal|3</t>
  </si>
  <si>
    <t>Insurance All|PAT0045</t>
  </si>
  <si>
    <t>Cash|ASTI01|ASTHALIN RESPULES 2.5ML</t>
  </si>
  <si>
    <t>Cash|ASTHALIN RESPULES 2.5ML</t>
  </si>
  <si>
    <t>TR201|PSY0036</t>
  </si>
  <si>
    <t>TR288|emergency|3</t>
  </si>
  <si>
    <t>Insurance All|PAT0078</t>
  </si>
  <si>
    <t>Cash|AZTT03|AZTOR 10MG TAB</t>
  </si>
  <si>
    <t>Cash|AZTOR 10MG TAB</t>
  </si>
  <si>
    <t>TR202|BIO0001</t>
  </si>
  <si>
    <t>TR288|normal|3.5</t>
  </si>
  <si>
    <t>Insurance All|PHY5082</t>
  </si>
  <si>
    <t>Cash|BUPI09|BUPITROY HEAVY 4ML INJ</t>
  </si>
  <si>
    <t>Cash|BUPITROY HEAVY 4ML INJ</t>
  </si>
  <si>
    <t>TR202|BIO0002</t>
  </si>
  <si>
    <t>TR288|emergency|3.5</t>
  </si>
  <si>
    <t>Insurance All|ANS0003</t>
  </si>
  <si>
    <t>Cash|BUPP01|BUPRIGESIC 10MCG PATCH</t>
  </si>
  <si>
    <t>Cash|BUPRIGESIC 10MCG PATCH</t>
  </si>
  <si>
    <t>TR202|BIO0003</t>
  </si>
  <si>
    <t>TR288|normal|4</t>
  </si>
  <si>
    <t>Insurance All|DIE0001</t>
  </si>
  <si>
    <t>Cash|CALI01|CALCIUM GLUCONATE 10ML INJ</t>
  </si>
  <si>
    <t>Cash|CALCIUM GLUCONATE 10ML INJ</t>
  </si>
  <si>
    <t>TR202|BIO0004</t>
  </si>
  <si>
    <t>TR288|emergency|4</t>
  </si>
  <si>
    <t>Insurance All|PHY5076</t>
  </si>
  <si>
    <t>Cash|CORI02|CORT S 100MG INJ</t>
  </si>
  <si>
    <t>Cash|CORT S 100MG INJ</t>
  </si>
  <si>
    <t>TR202|BIO0162</t>
  </si>
  <si>
    <t>TR288|normal|4.5</t>
  </si>
  <si>
    <t>Insurance All|CAR5341</t>
  </si>
  <si>
    <t>Cash|CURU43|CUROS DISINFECTING CAP STRIP FOR MALE LUERS(3M)</t>
  </si>
  <si>
    <t>Cash|CUROS DISINFECTING CAP STRIP FOR MALE LUERS(3M)</t>
  </si>
  <si>
    <t>TR202|CAR5341</t>
  </si>
  <si>
    <t>TR288|emergency|4.5</t>
  </si>
  <si>
    <t>Insurance All|CAS0007</t>
  </si>
  <si>
    <t>Cash|DICI13|DICLORAN AQ 75MG/1ML INJECTION</t>
  </si>
  <si>
    <t>Cash|DICLORAN AQ 75MG/1ML INJECTION</t>
  </si>
  <si>
    <t>TR202|CAS0007</t>
  </si>
  <si>
    <t>TR288|normal|5</t>
  </si>
  <si>
    <t>Insurance All|EME0016</t>
  </si>
  <si>
    <t>Cash|FORR01|FORMONIDE REPSULES 0.5MG</t>
  </si>
  <si>
    <t>Cash|FORMONIDE REPSULES 0.5MG</t>
  </si>
  <si>
    <t>TR202|DIE0001</t>
  </si>
  <si>
    <t>TR288|emergency|5</t>
  </si>
  <si>
    <t>Insurance All|EME0017</t>
  </si>
  <si>
    <t>Cash|GEMT3|GEMER 1MG TAB</t>
  </si>
  <si>
    <t>Cash|GEMER 1MG TAB</t>
  </si>
  <si>
    <t>TR202|EME0017</t>
  </si>
  <si>
    <t>TR288|normal|5.5</t>
  </si>
  <si>
    <t>Insurance All|EME0018</t>
  </si>
  <si>
    <t>Cash|HISI03|HISONE-100MG INJ</t>
  </si>
  <si>
    <t>Cash|HISONE-100MG INJ</t>
  </si>
  <si>
    <t>TR202|EME0019</t>
  </si>
  <si>
    <t>TR288|emergency|5.5</t>
  </si>
  <si>
    <t>Insurance All|EME0019</t>
  </si>
  <si>
    <t>Cash|LOCI04|LOCAM A 2% 30ML INJECTION</t>
  </si>
  <si>
    <t>Cash|LOCAM A 2% 30ML INJECTION</t>
  </si>
  <si>
    <t>TR202|EME0087</t>
  </si>
  <si>
    <t>TR288|normal|6</t>
  </si>
  <si>
    <t>Insurance All|EME0020</t>
  </si>
  <si>
    <t>Cash|LOXI8|LOX 2% ADRENALINE 30ML INJ</t>
  </si>
  <si>
    <t>Cash|LOX 2% ADRENALINE 30ML INJ</t>
  </si>
  <si>
    <t>TR202|HSP0047</t>
  </si>
  <si>
    <t>TR288|emergency|6</t>
  </si>
  <si>
    <t>Insurance All|EME0052</t>
  </si>
  <si>
    <t>Cash|LYCI02|LYCORTIN-S 100MG INJ</t>
  </si>
  <si>
    <t>Cash|LYCORTIN-S 100MG INJ</t>
  </si>
  <si>
    <t>TR202|HSP5013</t>
  </si>
  <si>
    <t>TR288|normal|6.5</t>
  </si>
  <si>
    <t>Insurance All|EME0080</t>
  </si>
  <si>
    <t>Cash|MAGI04|MAGNESIUM SULPHATE 2ML INJ</t>
  </si>
  <si>
    <t>Cash|MAGNESIUM SULPHATE 2ML INJ</t>
  </si>
  <si>
    <t>TR202|ICC0001</t>
  </si>
  <si>
    <t>TR288|emergency|6.5</t>
  </si>
  <si>
    <t>Insurance All|EME0087</t>
  </si>
  <si>
    <t>Cash|MAXC5|MAXGALIN 75MG CAP</t>
  </si>
  <si>
    <t>Cash|MAXGALIN 75MG CAP</t>
  </si>
  <si>
    <t>TR202|ICC0002</t>
  </si>
  <si>
    <t>TR288|normal|7</t>
  </si>
  <si>
    <t>Insurance All|EME5045</t>
  </si>
  <si>
    <t>Cash|REST04|RESTYL 0.5MG TAB</t>
  </si>
  <si>
    <t>Cash|RESTYL 0.5MG TAB</t>
  </si>
  <si>
    <t>TR202|OTC0010</t>
  </si>
  <si>
    <t>TR288|emergency|7</t>
  </si>
  <si>
    <t>Insurance All|ICC0001</t>
  </si>
  <si>
    <t>Cash|RINF21|RL 500ML PLASTIC IV(ACULIFE)</t>
  </si>
  <si>
    <t>Cash|RL 500ML PLASTIC IV(ACULIFE)</t>
  </si>
  <si>
    <t>TR202|OTC5005</t>
  </si>
  <si>
    <t>TR288|normal|7.5</t>
  </si>
  <si>
    <t>Insurance All|ICC0002</t>
  </si>
  <si>
    <t>Cash|RINF22|RL 1000ML PLASTIC IV(ACULIFE)</t>
  </si>
  <si>
    <t>Cash|RL 1000ML PLASTIC IV(ACULIFE)</t>
  </si>
  <si>
    <t>TR202|OTI0015</t>
  </si>
  <si>
    <t>TR288|emergency|7.5</t>
  </si>
  <si>
    <t>Insurance All|EME0088</t>
  </si>
  <si>
    <t>Cash|ROPI21|ROPIZUVA 7.5MG/20ML INJECTION</t>
  </si>
  <si>
    <t>Cash|ROPIZUVA 7.5MG/20ML INJECTION</t>
  </si>
  <si>
    <t>TR202|OTI0018</t>
  </si>
  <si>
    <t>TR288|normal|8</t>
  </si>
  <si>
    <t>Insurance All|OTI0098</t>
  </si>
  <si>
    <t>Cash|ROST30|ROSUBEST 10MG TAB</t>
  </si>
  <si>
    <t>Cash|ROSUBEST 10MG TAB</t>
  </si>
  <si>
    <t>TR202|OTI0098</t>
  </si>
  <si>
    <t>TR288|emergency|8</t>
  </si>
  <si>
    <t>Insurance All|RNS5005</t>
  </si>
  <si>
    <t>Cash|STAT01|STAMLO 5MG TAB</t>
  </si>
  <si>
    <t>Cash|STAMLO 5MG TAB</t>
  </si>
  <si>
    <t>TR202|PAT0042</t>
  </si>
  <si>
    <t>TR290|normal|1</t>
  </si>
  <si>
    <t>Insurance All|ROM5189</t>
  </si>
  <si>
    <t>Cash|SURU220|SURGICARE NUERO POWDER FREE GLOVE 7.0(KANAM)</t>
  </si>
  <si>
    <t>Cash|SURGICARE NUERO POWDER FREE GLOVE 7.0(KANAM)</t>
  </si>
  <si>
    <t>TR202|PAT0045</t>
  </si>
  <si>
    <t>Insurance All|HSP5013</t>
  </si>
  <si>
    <t>Cash|TEMT10|TEMFIX 650MG TAB</t>
  </si>
  <si>
    <t>Cash|TEMFIX 650MG TAB</t>
  </si>
  <si>
    <t>TR202|PHY5082</t>
  </si>
  <si>
    <t>TR290|emergency|1</t>
  </si>
  <si>
    <t>Insurance All|ROM0093</t>
  </si>
  <si>
    <t>Cash|THYT01|THYRONORM 50MCG TAB</t>
  </si>
  <si>
    <t>Cash|THYRONORM 50MCG TAB</t>
  </si>
  <si>
    <t>TR202|RNS0120</t>
  </si>
  <si>
    <t>Insurance All|OTC5005</t>
  </si>
  <si>
    <t>Cash|THYT17|THYRONORM 88MCG TAB</t>
  </si>
  <si>
    <t>Cash|THYRONORM 88MCG TAB</t>
  </si>
  <si>
    <t>TR202|RNS5005</t>
  </si>
  <si>
    <t>TR290|normal|2</t>
  </si>
  <si>
    <t>Insurance All|OTI0015</t>
  </si>
  <si>
    <t>Cash|ZUPP01|ZUPRINOR 10MCG PATCH</t>
  </si>
  <si>
    <t>Cash|ZUPRINOR 10MCG PATCH</t>
  </si>
  <si>
    <t>TR202|ROM0001</t>
  </si>
  <si>
    <t>Insurance All|OTI0018</t>
  </si>
  <si>
    <t>Cash|ATTM83|ATTUNE FEMORAL COMPONENT CEMENTED CRUCIATE RETAINING RIGHT 3(1504-00-203-DEPUY SYNTHES)</t>
  </si>
  <si>
    <t>Cash|ATTUNE FEMORAL COMPONENT CEMENTED CRUCIATE RETAINING RIGHT 3(1504-00-203-DEPUY SYNTHES)</t>
  </si>
  <si>
    <t>TR202|ROM0024</t>
  </si>
  <si>
    <t>TR290|emergency|2</t>
  </si>
  <si>
    <t>Insurance All|PSY0036</t>
  </si>
  <si>
    <t>Cash|ATTM84|ATTUNE FEMORAL COMPONENT CEMENTED CRUCIATE RETAINING RIGHT 4(1504-00-204-DEPUY SYNTHES)</t>
  </si>
  <si>
    <t>Cash|ATTUNE FEMORAL COMPONENT CEMENTED CRUCIATE RETAINING RIGHT 4(1504-00-204-DEPUY SYNTHES)</t>
  </si>
  <si>
    <t>TR202|ROM0036</t>
  </si>
  <si>
    <t>Cash|ATTM85|ATTUNE FEMORAL COMPONENT CEMENTED CRUCIATE RETAINING RIGHT 5(1504-00-205-DEPUY SYNTHES)</t>
  </si>
  <si>
    <t>Cash|ATTUNE FEMORAL COMPONENT CEMENTED CRUCIATE RETAINING RIGHT 5(1504-00-205-DEPUY SYNTHES)</t>
  </si>
  <si>
    <t>TR202|ROM0093</t>
  </si>
  <si>
    <t>TR290|normal|3</t>
  </si>
  <si>
    <t>All Payers|CAR0080</t>
  </si>
  <si>
    <t>Cash|TRIM108|TRIATHLON FEMORAL COMPONENT CRUCIATE RETAINING CEMENTED PRIMARY REFERENCING RIGHT KNEE TRITANIUM 3(5510F302-STRYKER CORP)</t>
  </si>
  <si>
    <t>Cash|TRIATHLON FEMORAL COMPONENT CRUCIATE RETAINING CEMENTED PRIMARY REFERENCING RIGHT KNEE TRITANIUM 3(5510F302-STRYKER CORP)</t>
  </si>
  <si>
    <t>TR202|ROM5009</t>
  </si>
  <si>
    <t>All Payers|XRY044</t>
  </si>
  <si>
    <t>Cash|TRIM131|5510F202 TRIATHLON -CR FEM CEMENT RIGHT 2</t>
  </si>
  <si>
    <t>Cash|5510F202 TRIATHLON -CR FEM CEMENT RIGHT 2</t>
  </si>
  <si>
    <t>TR202|ROM5189</t>
  </si>
  <si>
    <t>TR290|emergency|3</t>
  </si>
  <si>
    <t>All Payers|XRY5090</t>
  </si>
  <si>
    <t>Cash|TRIM131|TRIATHLON FEMORAL COMPONENT CEMENTED CRUCIATE RETAINING RIGHT TRITANIUM 2(5510-F-202-STRYKER CORP)</t>
  </si>
  <si>
    <t>Cash|TRIATHLON FEMORAL COMPONENT CEMENTED CRUCIATE RETAINING RIGHT TRITANIUM 2(5510-F-202-STRYKER CORP)</t>
  </si>
  <si>
    <t>TR202|XRY5090</t>
  </si>
  <si>
    <t>All Payers|XRY5133</t>
  </si>
  <si>
    <t>Cash|TRIM153|TRIATHLON TIBIAL INSERT CRUCIATE SUBSTITUTING BEARING KNEE X3 2 11MM(5531-G-211-STRYKER CORP)</t>
  </si>
  <si>
    <t>Cash|TRIATHLON TIBIAL INSERT CRUCIATE SUBSTITUTING BEARING KNEE X3 2 11MM(5531-G-211-STRYKER CORP)</t>
  </si>
  <si>
    <t>TR202|CAR0080</t>
  </si>
  <si>
    <t>TR290|normal|4</t>
  </si>
  <si>
    <t>All Payers|BIO0001</t>
  </si>
  <si>
    <t>Cash|TRIM197|5560S112 TRIATHLON TOTAL KNEE CEMENTED STEM 12MM X 50 MM</t>
  </si>
  <si>
    <t>Cash|5560S112 TRIATHLON TOTAL KNEE CEMENTED STEM 12MM X 50 MM</t>
  </si>
  <si>
    <t>TR202|XRY044</t>
  </si>
  <si>
    <t>All Payers|BIO0002</t>
  </si>
  <si>
    <t>Cash||DIAPER ADULT LARGE 100CMX150CM(MAGMACARE)</t>
  </si>
  <si>
    <t>TR202|XRY5133</t>
  </si>
  <si>
    <t>TR290|emergency|4</t>
  </si>
  <si>
    <t>All Payers|BIO0003</t>
  </si>
  <si>
    <t>Cash||SPIKIER VENTE(ROMSONS)</t>
  </si>
  <si>
    <t>TR202|BIO0005</t>
  </si>
  <si>
    <t>All Payers|BIO0004</t>
  </si>
  <si>
    <t>Cash||SYRINGE 10ML LL WITH NEEDLE(KAREJET-ROMSONS)</t>
  </si>
  <si>
    <t>Cash|SYRINGE 10ML LL WITH NEEDLE(KAREJET-ROMSONS)</t>
  </si>
  <si>
    <t>TR202|BIO0064</t>
  </si>
  <si>
    <t>TR290|normal|5</t>
  </si>
  <si>
    <t>All Payers|BIO0005</t>
  </si>
  <si>
    <t>Cash||SYRINGE 10ML LL(BD)</t>
  </si>
  <si>
    <t>TR202|BIO0075</t>
  </si>
  <si>
    <t>All Payers|BIO0064</t>
  </si>
  <si>
    <t>Cash||SYRINGE 3ML LUERLOCK(BD)</t>
  </si>
  <si>
    <t>TR202|BIO0097</t>
  </si>
  <si>
    <t>TR290|emergency|5</t>
  </si>
  <si>
    <t>All Payers|BIO0075</t>
  </si>
  <si>
    <t>Cash||SYRINGE 5ML LL(KARE JET-ROMSONS)</t>
  </si>
  <si>
    <t>Cash|SYRINGE 5ML LL(KARE JET-ROMSONS)</t>
  </si>
  <si>
    <t>TR202|BIO0098</t>
  </si>
  <si>
    <t>All Payers|BIO0097</t>
  </si>
  <si>
    <t>Cash||SYRINGE 5ML(DISPOJEKT-HMD)</t>
  </si>
  <si>
    <t>TR202|BIO0106</t>
  </si>
  <si>
    <t>TR290|normal|6</t>
  </si>
  <si>
    <t>All Payers|BIO0098</t>
  </si>
  <si>
    <t>Cash||SYRINGE INSULIN 1ML 31G NEEDLE (40 UNITS)(NIPRO)</t>
  </si>
  <si>
    <t>TR202|BIO0121</t>
  </si>
  <si>
    <t>All Payers|BIO0106</t>
  </si>
  <si>
    <t>Cash|BALM23|BALL BUR MICS 6MM(110135-ZIMMER)</t>
  </si>
  <si>
    <t>Cash|BALL BUR MICS 6MM(110135-ZIMMER)</t>
  </si>
  <si>
    <t>TR202|BIO0181</t>
  </si>
  <si>
    <t>TR290|emergency|6</t>
  </si>
  <si>
    <t>All Payers|BIO0121</t>
  </si>
  <si>
    <t>Cash|BANU51|BANDAGE 10CMX3M(BAPUJI)</t>
  </si>
  <si>
    <t>Cash|BANDAGE 10CMX3M(BAPUJI)</t>
  </si>
  <si>
    <t>TR202|BLD0001</t>
  </si>
  <si>
    <t>All Payers|BIO0162</t>
  </si>
  <si>
    <t>Cash|BLOU55|BLOOD SET(MORRISONS)</t>
  </si>
  <si>
    <t>Cash|BLOOD SET(MORRISONS)</t>
  </si>
  <si>
    <t>TR202|BLD0009</t>
  </si>
  <si>
    <t>TR290|normal|7</t>
  </si>
  <si>
    <t>All Payers|BIO0181</t>
  </si>
  <si>
    <t>Cash|CHEM05|111645 CHECK POINT KIT STERILE</t>
  </si>
  <si>
    <t>Cash|111645 CHECK POINT KIT STERILE</t>
  </si>
  <si>
    <t>TR202|BLD0024</t>
  </si>
  <si>
    <t>All Payers|BLD0001</t>
  </si>
  <si>
    <t>Cash|CREU07|CREPE BANDAGE 10CM(3M)</t>
  </si>
  <si>
    <t>Cash|CREPE BANDAGE 10CM(3M)</t>
  </si>
  <si>
    <t>TR202|PAT0007</t>
  </si>
  <si>
    <t>TR290|emergency|7</t>
  </si>
  <si>
    <t>All Payers|BLD0009</t>
  </si>
  <si>
    <t>Cash|CURU44|CUROS TIPS DISINFECTING CAP FOR NEEDLELESS CONNECTORS(3M)</t>
  </si>
  <si>
    <t>Cash|CUROS TIPS DISINFECTING CAP FOR NEEDLELESS CONNECTORS(3M)</t>
  </si>
  <si>
    <t>TR202|PAT0041</t>
  </si>
  <si>
    <t>All Payers|BLD0024</t>
  </si>
  <si>
    <t>Cash|DISU367|DISPOSABLE PLASTIC APRON(RESPICARE)</t>
  </si>
  <si>
    <t>Cash|DISPOSABLE PLASTIC APRON(RESPICARE)</t>
  </si>
  <si>
    <t>TR202|PAT0078</t>
  </si>
  <si>
    <t>TR290|normal|8</t>
  </si>
  <si>
    <t>All Payers|PAT0007</t>
  </si>
  <si>
    <t>Cash|FEEU06|FEEDY NO-10(ROMSONS)</t>
  </si>
  <si>
    <t>Cash|FEEDY NO-10(ROMSONS)</t>
  </si>
  <si>
    <t>TR202|ANS0003</t>
  </si>
  <si>
    <t>All Payers|PAT0041</t>
  </si>
  <si>
    <t>Cash|FOLU02|FOLEYS CATHETER 2WAY 14F(RUSCH)</t>
  </si>
  <si>
    <t>Cash|FOLEYS CATHETER 2WAY 14F(RUSCH)</t>
  </si>
  <si>
    <t>TR202|PHY5076</t>
  </si>
  <si>
    <t>TR290|emergency|8</t>
  </si>
  <si>
    <t>All Payers|PAT0042</t>
  </si>
  <si>
    <t>Cash|KWIM175|KIRSCHNER SURGICAL WIRE STERILE 2X150MM(1450.S.2.0.150-OROMED)</t>
  </si>
  <si>
    <t>Cash|KIRSCHNER SURGICAL WIRE STERILE 2X150MM(1450.S.2.0.150-OROMED)</t>
  </si>
  <si>
    <t>TR202|EME0016</t>
  </si>
  <si>
    <t>All Payers|PAT0045</t>
  </si>
  <si>
    <t>Cash|POLU32|POLYURO URINE COLLECTION BAG 2000ML(POLYMED)</t>
  </si>
  <si>
    <t>Cash|POLYURO URINE COLLECTION BAG 2000ML(POLYMED)</t>
  </si>
  <si>
    <t>TR202|EME0018</t>
  </si>
  <si>
    <t>TR290|normal|9</t>
  </si>
  <si>
    <t>OTC5003</t>
  </si>
  <si>
    <t>OT - 9 HOURS</t>
  </si>
  <si>
    <t>All Payers|PAT0078</t>
  </si>
  <si>
    <t>Cash|POSI02|POSIFLUSH SP 5ML(306574-BD)</t>
  </si>
  <si>
    <t>Cash|POSIFLUSH SP 5ML(306574-BD)</t>
  </si>
  <si>
    <t>TR202|EME0020</t>
  </si>
  <si>
    <t>TR291|normal|1</t>
  </si>
  <si>
    <t>All Payers|PHY5082</t>
  </si>
  <si>
    <t>Cash|PULM04|PULSAVAC (BELL)</t>
  </si>
  <si>
    <t>Cash|PULSAVAC (BELL)</t>
  </si>
  <si>
    <t>TR202|EME0052</t>
  </si>
  <si>
    <t>All Payers|ANS0003</t>
  </si>
  <si>
    <t>Cash|SMAU13|SMARTSITE TRI EXTENSION(BD)</t>
  </si>
  <si>
    <t>Cash|SMARTSITE TRI EXTENSION(BD)</t>
  </si>
  <si>
    <t>TR202|EME0080</t>
  </si>
  <si>
    <t>TR291|emergency|1</t>
  </si>
  <si>
    <t>All Payers|DIE0001</t>
  </si>
  <si>
    <t>Cash|SURU168|SURGICAL GLOVE 8.0(BLISTER PACK-SURGICARE-KANAM)</t>
  </si>
  <si>
    <t>Cash|SURGICAL GLOVE 8.0(BLISTER PACK-SURGICARE-KANAM)</t>
  </si>
  <si>
    <t>TR202|EME5045</t>
  </si>
  <si>
    <t>All Payers|PHY5076</t>
  </si>
  <si>
    <t>Cash|SYRU145|SYRINGE 5ML LL(KARE JET-ROMSONS)</t>
  </si>
  <si>
    <t>TR202|EME0088</t>
  </si>
  <si>
    <t>TR291|normal|2</t>
  </si>
  <si>
    <t>All Payers|CAR5341</t>
  </si>
  <si>
    <t>Cash|SYRU146|SYRINGE 10ML LL WITH NEEDLE(KAREJET-ROMSONS)</t>
  </si>
  <si>
    <t>TR202|PSY0036</t>
  </si>
  <si>
    <t>All Payers|CAS0007</t>
  </si>
  <si>
    <t>Cash|TRUR117|TRUGLYDE 2 SN2478(HEALTHIUM)</t>
  </si>
  <si>
    <t>Cash|TRUGLYDE 2 SN2478(HEALTHIUM)</t>
  </si>
  <si>
    <t>TR206|BIO0001</t>
  </si>
  <si>
    <t>TR291|emergency|2</t>
  </si>
  <si>
    <t>OT Tariff Slot Reference</t>
  </si>
  <si>
    <t>All Payers|EME0016</t>
  </si>
  <si>
    <t>Cash|URIU35|URINAL POT MALE/FEMALE(ALPHA MEDICARE)</t>
  </si>
  <si>
    <t>Cash|URINAL POT MALE/FEMALE(ALPHA MEDICARE)</t>
  </si>
  <si>
    <t>TR206|BIO0002</t>
  </si>
  <si>
    <t>All Payers|EME0017</t>
  </si>
  <si>
    <t>Cash||CEVISTAT 1.5GM INJECTION</t>
  </si>
  <si>
    <t>TR206|BIO0003</t>
  </si>
  <si>
    <t>TR291|normal|3</t>
  </si>
  <si>
    <t>All Payers|EME0018</t>
  </si>
  <si>
    <t>Cash||GB 29-75MG CAPSULE</t>
  </si>
  <si>
    <t>TR206|BIO0004</t>
  </si>
  <si>
    <t>All Payers|EME0019</t>
  </si>
  <si>
    <t>Cash||GLANTRAX 500MG 5ML INJ</t>
  </si>
  <si>
    <t>TR206|BIO0162</t>
  </si>
  <si>
    <t>TR291|emergency|3</t>
  </si>
  <si>
    <t>All Payers|EME0020</t>
  </si>
  <si>
    <t>Cash||HORLICKS DIABETES PLUS VANILLA 400GM</t>
  </si>
  <si>
    <t>TR206|CAR5341</t>
  </si>
  <si>
    <t>All Payers|EME0052</t>
  </si>
  <si>
    <t>Cash||IFIMOL 1000MG 100ML IV</t>
  </si>
  <si>
    <t>TR206|CAS0007</t>
  </si>
  <si>
    <t>TR291|normal|4</t>
  </si>
  <si>
    <t>All Payers|EME0080</t>
  </si>
  <si>
    <t>Cash||JUSTIN AQ 1ML INJ</t>
  </si>
  <si>
    <t>TR206|DIE0001</t>
  </si>
  <si>
    <t>All Payers|EME0087</t>
  </si>
  <si>
    <t>Cash||NEOMIT 8MG/4ML INJ</t>
  </si>
  <si>
    <t>Cash|NEOMIT 8MG/4ML INJ</t>
  </si>
  <si>
    <t>TR206|EME0017</t>
  </si>
  <si>
    <t>TR291|emergency|4</t>
  </si>
  <si>
    <t>All Payers|EME5045</t>
  </si>
  <si>
    <t>Cash||NORMAL SALINE 0.9% 100ML PLASTIC EH(ACULIFE)</t>
  </si>
  <si>
    <t>TR206|EME0019</t>
  </si>
  <si>
    <t>All Payers|ICC0001</t>
  </si>
  <si>
    <t>Cash||PARAGLASS 100ML IV</t>
  </si>
  <si>
    <t>TR206|EME0087</t>
  </si>
  <si>
    <t>TR291|normal|5</t>
  </si>
  <si>
    <t>All Payers|ICC0002</t>
  </si>
  <si>
    <t>Cash||ROPIZUVA 0.2% 20ML INJ</t>
  </si>
  <si>
    <t>TR206|HSP0047</t>
  </si>
  <si>
    <t>All Payers|EME0088</t>
  </si>
  <si>
    <t>Cash||SWIFTOLAC SYR 150ML</t>
  </si>
  <si>
    <t>TR206|HSP5013</t>
  </si>
  <si>
    <t>TR291|emergency|5</t>
  </si>
  <si>
    <t>All Payers|OTI0098</t>
  </si>
  <si>
    <t>Cash||SYRINGES INSULIN 1ML 40 IU(POLYMED)</t>
  </si>
  <si>
    <t>TR206|ICC0001</t>
  </si>
  <si>
    <t>All Payers|RNS5005</t>
  </si>
  <si>
    <t>Cash||TRANEMIC 500MG 5ML INJ</t>
  </si>
  <si>
    <t>Cash|TRANEMIC 500MG 5ML INJ</t>
  </si>
  <si>
    <t>TR206|ICC0002</t>
  </si>
  <si>
    <t>TR291|normal|6</t>
  </si>
  <si>
    <t>All Payers|ROM5189</t>
  </si>
  <si>
    <t>Cash||XSULIN R 40 IU/10ML INJECTION</t>
  </si>
  <si>
    <t>TR206|OTC0010</t>
  </si>
  <si>
    <t>All Payers|HSP5013</t>
  </si>
  <si>
    <t>Cash|AMLT22|AMLOVAS 5MG TAB</t>
  </si>
  <si>
    <t>Cash|AMLOVAS 5MG TAB</t>
  </si>
  <si>
    <t>TR206|OTC5005</t>
  </si>
  <si>
    <t>TR291|emergency|6</t>
  </si>
  <si>
    <t>All Payers|ROM0093</t>
  </si>
  <si>
    <t>Cash|AMLT36|AMLOKIND 5MG TAB</t>
  </si>
  <si>
    <t>Cash|AMLOKIND 5MG TAB</t>
  </si>
  <si>
    <t>TR206|OTI0015</t>
  </si>
  <si>
    <t>All Payers|OTC5005</t>
  </si>
  <si>
    <t>Cash|ASEC05|ASEPTOSHIELD PLUS 500ML(DR SCHUMACHER)</t>
  </si>
  <si>
    <t>Cash|ASEPTOSHIELD PLUS 500ML(DR SCHUMACHER)</t>
  </si>
  <si>
    <t>TR206|OTI0018</t>
  </si>
  <si>
    <t>TR291|normal|7</t>
  </si>
  <si>
    <t>All Payers|OTI0015</t>
  </si>
  <si>
    <t>Cash|ATOT59|ATOCOR 40MG TAB</t>
  </si>
  <si>
    <t>Cash|ATOCOR 40MG TAB</t>
  </si>
  <si>
    <t>TR206|OTI0098</t>
  </si>
  <si>
    <t>All Payers|OTI0018</t>
  </si>
  <si>
    <t>Cash|BEPI03|BEPARINE 5000 IU INJ 5ML</t>
  </si>
  <si>
    <t>Cash|BEPARINE 5000 IU INJ 5ML</t>
  </si>
  <si>
    <t>TR206|PAT0042</t>
  </si>
  <si>
    <t>TR291|emergency|7</t>
  </si>
  <si>
    <t>All Payers|PSY0036</t>
  </si>
  <si>
    <t>Cash|BETS08|BETADINE 10% 100ML SOLUTION</t>
  </si>
  <si>
    <t>Cash|BETADINE 10% 100ML SOLUTION</t>
  </si>
  <si>
    <t>TR206|PAT0045</t>
  </si>
  <si>
    <t>Cash|BIOC56|BIODOXI-LB CAP</t>
  </si>
  <si>
    <t>Cash|BIODOXI-LB CAP</t>
  </si>
  <si>
    <t>TR206|PHY5082</t>
  </si>
  <si>
    <t>TR291|normal|8</t>
  </si>
  <si>
    <t>Cash|BIST08|BISOTAB 5MG TAB</t>
  </si>
  <si>
    <t>Cash|BISOTAB 5MG TAB</t>
  </si>
  <si>
    <t>TR206|RNS0120</t>
  </si>
  <si>
    <t>Cash|BIST12|BISOHEART 2.5MG TAB</t>
  </si>
  <si>
    <t>Cash|BISOHEART 2.5MG TAB</t>
  </si>
  <si>
    <t>TR206|RNS5005</t>
  </si>
  <si>
    <t>TR291|emergency|8</t>
  </si>
  <si>
    <t>Cash|BRIT13|BRIV 100MG TAB</t>
  </si>
  <si>
    <t>Cash|BRIV 100MG TAB</t>
  </si>
  <si>
    <t>TR206|ROM0001</t>
  </si>
  <si>
    <t>Cash|BUPP02|BUPRIGESIC PATCH 5MCG</t>
  </si>
  <si>
    <t>Cash|BUPRIGESIC PATCH 5MCG</t>
  </si>
  <si>
    <t>TR206|ROM0024</t>
  </si>
  <si>
    <t>TR291|normal|9</t>
  </si>
  <si>
    <t>Cash|BUSI03|BUSCOGAST 1ML INJ</t>
  </si>
  <si>
    <t>Cash|BUSCOGAST 1ML INJ</t>
  </si>
  <si>
    <t>TR206|ROM0036</t>
  </si>
  <si>
    <t>TR303|normal|0.5</t>
  </si>
  <si>
    <t>Cash|CEGI03|CEGAVA 1.5GM INJ</t>
  </si>
  <si>
    <t>Cash|CEGAVA 1.5GM INJ</t>
  </si>
  <si>
    <t>TR206|ROM0093</t>
  </si>
  <si>
    <t>TR303|emergency|0.5</t>
  </si>
  <si>
    <t>Cash|CELP05|CELEVIDA DLS STRAWBERRY 400GM POWDER</t>
  </si>
  <si>
    <t>Cash|CELEVIDA DLS STRAWBERRY 400GM POWDER</t>
  </si>
  <si>
    <t>TR206|ROM5009</t>
  </si>
  <si>
    <t>TR303|normal|1</t>
  </si>
  <si>
    <t>Cash|CELS39|CELEVIDA DIAFIBER SACHET 12GM(PACK OF 30S)</t>
  </si>
  <si>
    <t>Cash|CELEVIDA DIAFIBER SACHET 12GM(PACK OF 30S)</t>
  </si>
  <si>
    <t>TR206|ROM5189</t>
  </si>
  <si>
    <t>TR303|emergency|1</t>
  </si>
  <si>
    <t>Cash|CHYT05|CHYMOTHAL FORTE TAB</t>
  </si>
  <si>
    <t>Cash|CHYMOTHAL FORTE TAB</t>
  </si>
  <si>
    <t>TR206|XRY5090</t>
  </si>
  <si>
    <t>TR303|normal|1.5</t>
  </si>
  <si>
    <t>Cash|CILT06|CILAMET XL 25MG TAB</t>
  </si>
  <si>
    <t>Cash|CILAMET XL 25MG TAB</t>
  </si>
  <si>
    <t>TR206|CAR0080</t>
  </si>
  <si>
    <t>TR303|emergency|1.5</t>
  </si>
  <si>
    <t>Cash|CILT12|CILACAR 5MG TAB</t>
  </si>
  <si>
    <t>Cash|CILACAR 5MG TAB</t>
  </si>
  <si>
    <t>TR206|XRY044</t>
  </si>
  <si>
    <t>TR303|normal|2</t>
  </si>
  <si>
    <t>Cash|CINT04|CINOD 10MG TAB</t>
  </si>
  <si>
    <t>Cash|CINOD 10MG TAB</t>
  </si>
  <si>
    <t>TR206|XRY5133</t>
  </si>
  <si>
    <t>TR303|emergency|2</t>
  </si>
  <si>
    <t>Cash|CINT06|CINOD 20MG TAB</t>
  </si>
  <si>
    <t>Cash|CINOD 20MG TAB</t>
  </si>
  <si>
    <t>TR206|BIO0005</t>
  </si>
  <si>
    <t>TR303|normal|2.5</t>
  </si>
  <si>
    <t>Cash|CIPT11|CIPLAR LA 40MG TAB</t>
  </si>
  <si>
    <t>Cash|CIPLAR LA 40MG TAB</t>
  </si>
  <si>
    <t>TR206|BIO0064</t>
  </si>
  <si>
    <t>TR303|emergency|2.5</t>
  </si>
  <si>
    <t>Cash|CONT02|CONCOR 5MG TAB</t>
  </si>
  <si>
    <t>Cash|CONCOR 5MG TAB</t>
  </si>
  <si>
    <t>TR206|BIO0075</t>
  </si>
  <si>
    <t>TR303|normal|3</t>
  </si>
  <si>
    <t>Cash|DEXI38|DEXLOG 100MCG/1ML INJECTION</t>
  </si>
  <si>
    <t>Cash|DEXLOG 100MCG/1ML INJECTION</t>
  </si>
  <si>
    <t>TR206|BIO0097</t>
  </si>
  <si>
    <t>TR303|emergency|3</t>
  </si>
  <si>
    <t>Cash|DULT15|DULCOFLEX TAB</t>
  </si>
  <si>
    <t>Cash|DULCOFLEX TAB</t>
  </si>
  <si>
    <t>TR206|BIO0098</t>
  </si>
  <si>
    <t>TR303|normal|3.5</t>
  </si>
  <si>
    <t>Cash|ECOC08|ECOSPRIN-AV 150/20MG CAP</t>
  </si>
  <si>
    <t>Cash|ECOSPRIN-AV 150/20MG CAP</t>
  </si>
  <si>
    <t>TR206|BIO0106</t>
  </si>
  <si>
    <t>TR303|emergency|3.5</t>
  </si>
  <si>
    <t>Cash|ECOT01|ECOSPRIN 75MG TAB</t>
  </si>
  <si>
    <t>Cash|ECOSPRIN 75MG TAB</t>
  </si>
  <si>
    <t>TR206|BIO0121</t>
  </si>
  <si>
    <t>TR303|normal|4</t>
  </si>
  <si>
    <t>Cash|GABT5|GABAPIN 300MG CAP</t>
  </si>
  <si>
    <t>Cash|GABAPIN 300MG CAP</t>
  </si>
  <si>
    <t>TR206|BIO0181</t>
  </si>
  <si>
    <t>TR303|emergency|4</t>
  </si>
  <si>
    <t>Cash|HETI13|HETROFOL 1% 20ML INJECTION</t>
  </si>
  <si>
    <t>Cash|HETROFOL 1% 20ML INJECTION</t>
  </si>
  <si>
    <t>TR206|BLD0001</t>
  </si>
  <si>
    <t>TR303|normal|4.5</t>
  </si>
  <si>
    <t>Cash|IPRI03|IPRAVENT 2ML RESPULES</t>
  </si>
  <si>
    <t>Cash|IPRAVENT 2ML RESPULES</t>
  </si>
  <si>
    <t>TR206|BLD0009</t>
  </si>
  <si>
    <t>TR303|emergency|4.5</t>
  </si>
  <si>
    <t>Cash|IVFU02|IV FLOW REGULATOR(BUYWEL)</t>
  </si>
  <si>
    <t>Cash|IV FLOW REGULATOR(BUYWEL)</t>
  </si>
  <si>
    <t>TR206|BLD0024</t>
  </si>
  <si>
    <t>TR303|normal|5</t>
  </si>
  <si>
    <t>Cash|LETT03|LETHYROX 12.5MCG TAB</t>
  </si>
  <si>
    <t>Cash|LETHYROX 12.5MCG TAB</t>
  </si>
  <si>
    <t>TR206|PAT0007</t>
  </si>
  <si>
    <t>TR303|emergency|5</t>
  </si>
  <si>
    <t>Cash|LIMT01|LIMCEE 500MG TAB</t>
  </si>
  <si>
    <t>Cash|LIMCEE 500MG TAB</t>
  </si>
  <si>
    <t>TR206|PAT0041</t>
  </si>
  <si>
    <t>TR303|normal|5.5</t>
  </si>
  <si>
    <t>Cash|LIZT01|LIZOLID 600MG TAB</t>
  </si>
  <si>
    <t>Cash|LIZOLID 600MG TAB</t>
  </si>
  <si>
    <t>TR206|PAT0078</t>
  </si>
  <si>
    <t>TR303|emergency|5.5</t>
  </si>
  <si>
    <t>Cash|LOCI03|LOCAM 2% 30ML INJECTION</t>
  </si>
  <si>
    <t>Cash|LOCAM 2% 30ML INJECTION</t>
  </si>
  <si>
    <t>TR206|ANS0003</t>
  </si>
  <si>
    <t>TR303|normal|6</t>
  </si>
  <si>
    <t>Cash|MEPI16|MEPHNOR 30MG INJ</t>
  </si>
  <si>
    <t>Cash|MEPHNOR 30MG INJ</t>
  </si>
  <si>
    <t>TR206|PHY5076</t>
  </si>
  <si>
    <t>TR303|emergency|6</t>
  </si>
  <si>
    <t>Cash|METI7|METOLAR 5ML INJ</t>
  </si>
  <si>
    <t>Cash|METOLAR 5ML INJ</t>
  </si>
  <si>
    <t>TR206|EME0016</t>
  </si>
  <si>
    <t>TR303|normal|6.5</t>
  </si>
  <si>
    <t>Cash|METT03|MET XL 50MG TAB</t>
  </si>
  <si>
    <t>Cash|MET XL 50MG TAB</t>
  </si>
  <si>
    <t>TR206|EME0018</t>
  </si>
  <si>
    <t>TR303|emergency|6.5</t>
  </si>
  <si>
    <t>Cash|METT04|MET XL 25MG TAB</t>
  </si>
  <si>
    <t>Cash|MET XL 25MG TAB</t>
  </si>
  <si>
    <t>TR206|EME0020</t>
  </si>
  <si>
    <t>TR303|normal|7</t>
  </si>
  <si>
    <t>Cash|METT32|MET XL-AM 50/5MG TAB</t>
  </si>
  <si>
    <t>Cash|MET XL-AM 50/5MG TAB</t>
  </si>
  <si>
    <t>TR206|EME0052</t>
  </si>
  <si>
    <t>TR303|emergency|7</t>
  </si>
  <si>
    <t>Cash|MIDI04|MIDFAST 10ML INJ</t>
  </si>
  <si>
    <t>Cash|MIDFAST 10ML INJ</t>
  </si>
  <si>
    <t>TR206|EME0080</t>
  </si>
  <si>
    <t>TR303|normal|7.5</t>
  </si>
  <si>
    <t>Cash|MONT28|MONTEK-LC TAB</t>
  </si>
  <si>
    <t>Cash|MONTEK-LC TAB</t>
  </si>
  <si>
    <t>TR206|EME5045</t>
  </si>
  <si>
    <t>TR303|emergency|7.5</t>
  </si>
  <si>
    <t>Cash|MUCT13|MUCINAC-AB TAB</t>
  </si>
  <si>
    <t>Cash|MUCINAC-AB TAB</t>
  </si>
  <si>
    <t>TR206|EME0088</t>
  </si>
  <si>
    <t>TR303|normal|8</t>
  </si>
  <si>
    <t>Cash|NEOI57|NEOMIT 8MG/4ML INJ</t>
  </si>
  <si>
    <t>TR206|PSY0036</t>
  </si>
  <si>
    <t>TR303|emergency|8</t>
  </si>
  <si>
    <t>Cash|NEUT40|NEURIT-CD3 TAB</t>
  </si>
  <si>
    <t>Cash|NEURIT-CD3 TAB</t>
  </si>
  <si>
    <t>TR240|BIO0001</t>
  </si>
  <si>
    <t>Cash|NEXT16|NEXITO LS TAB</t>
  </si>
  <si>
    <t>Cash|NEXITO LS TAB</t>
  </si>
  <si>
    <t>TR240|BIO0002</t>
  </si>
  <si>
    <t>Cash|NEXT8|NEXITO FORTE TAB</t>
  </si>
  <si>
    <t>Cash|NEXITO FORTE TAB</t>
  </si>
  <si>
    <t>TR240|BIO0003</t>
  </si>
  <si>
    <t>Cash|NICT02|NICARDIA RETARD 20MG TAB</t>
  </si>
  <si>
    <t>Cash|NICARDIA RETARD 20MG TAB</t>
  </si>
  <si>
    <t>TR240|BIO0004</t>
  </si>
  <si>
    <t>Cash|NURU02|NURSE CRIMP CAP(SRI VIJAYA SAI)</t>
  </si>
  <si>
    <t>Cash|NURSE CRIMP CAP(SRI VIJAYA SAI)</t>
  </si>
  <si>
    <t>TR240|BIO0162</t>
  </si>
  <si>
    <t>Cash|PHEI08|PHENPRES INJ</t>
  </si>
  <si>
    <t>Cash|PHENPRES INJ</t>
  </si>
  <si>
    <t>TR240|CAR5341</t>
  </si>
  <si>
    <t>Cash|POTI08|POTLYTE 10ML INJ</t>
  </si>
  <si>
    <t>Cash|POTLYTE 10ML INJ</t>
  </si>
  <si>
    <t>TR240|CAS0007</t>
  </si>
  <si>
    <t>Cash|POTI10|POTSAV 10ML INJECTION</t>
  </si>
  <si>
    <t>Cash|POTSAV 10ML INJECTION</t>
  </si>
  <si>
    <t>TR240|DIE0001</t>
  </si>
  <si>
    <t>Cash|POVC03|POVINANZ SCRUB 7.5% 500ML(NANZ MEDSCIENCE)</t>
  </si>
  <si>
    <t>Cash|POVINANZ SCRUB 7.5% 500ML(NANZ MEDSCIENCE)</t>
  </si>
  <si>
    <t>TR240|EME0017</t>
  </si>
  <si>
    <t>Cash|PRAT83|PRASOPHEG 40MG TABLET</t>
  </si>
  <si>
    <t>Cash|PRASOPHEG 40MG TABLET</t>
  </si>
  <si>
    <t>TR240|EME0019</t>
  </si>
  <si>
    <t>Cash|ROPI04|ROPIN 0.2% 20ML INJ</t>
  </si>
  <si>
    <t>Cash|ROPIN 0.2% 20ML INJ</t>
  </si>
  <si>
    <t>TR240|EME0087</t>
  </si>
  <si>
    <t>Cash|ROST02|ROSUVAS 10MG TAB</t>
  </si>
  <si>
    <t>Cash|ROSUVAS 10MG TAB</t>
  </si>
  <si>
    <t>TR240|HSP0047</t>
  </si>
  <si>
    <t>Cash|ROST124|ROSUR 10MG TAB</t>
  </si>
  <si>
    <t>Cash|ROSUR 10MG TAB</t>
  </si>
  <si>
    <t>TR240|HSP5013</t>
  </si>
  <si>
    <t>Cash|SERG02|SEROFLO 250MCG INHALER</t>
  </si>
  <si>
    <t>Cash|SEROFLO 250MCG INHALER</t>
  </si>
  <si>
    <t>TR240|ICC0001</t>
  </si>
  <si>
    <t>Cash|SERO01|SERVINADINE 20GM OINTMENT</t>
  </si>
  <si>
    <t>Cash|SERVINADINE 20GM OINTMENT</t>
  </si>
  <si>
    <t>TR240|ICC0002</t>
  </si>
  <si>
    <t>Cash|SHET09|SHELCAL-XT TAB</t>
  </si>
  <si>
    <t>Cash|SHELCAL-XT TAB</t>
  </si>
  <si>
    <t>TR240|OTC0010</t>
  </si>
  <si>
    <t>Cash|SYNT01|SYNDOPA PLUS TAB</t>
  </si>
  <si>
    <t>Cash|SYNDOPA PLUS TAB</t>
  </si>
  <si>
    <t>TR240|OTC5005</t>
  </si>
  <si>
    <t>Cash|TELT308|TELDIL 40MG TAB</t>
  </si>
  <si>
    <t>Cash|TELDIL 40MG TAB</t>
  </si>
  <si>
    <t>TR240|OTI0015</t>
  </si>
  <si>
    <t>Cash|TELT423|TELMISPOT 40MG TABLET</t>
  </si>
  <si>
    <t>Cash|TELMISPOT 40MG TABLET</t>
  </si>
  <si>
    <t>TR240|OTI0018</t>
  </si>
  <si>
    <t>Cash|TELT63|TELMINORM BXL 40/25 MG TAB</t>
  </si>
  <si>
    <t>Cash|TELMINORM BXL 40/25 MG TAB</t>
  </si>
  <si>
    <t>TR240|OTI0098</t>
  </si>
  <si>
    <t>Cash|TEMT14|TEMFIX TR TABLET</t>
  </si>
  <si>
    <t>Cash|TEMFIX TR TABLET</t>
  </si>
  <si>
    <t>TR240|PAT0042</t>
  </si>
  <si>
    <t>Cash|TEXT02|TEXAKIND 500MG TAB</t>
  </si>
  <si>
    <t>Cash|TEXAKIND 500MG TAB</t>
  </si>
  <si>
    <t>TR240|PAT0045</t>
  </si>
  <si>
    <t>Cash|THEP06|THEMIBUPRINE-P 5MCG PATCH</t>
  </si>
  <si>
    <t>Cash|THEMIBUPRINE-P 5MCG PATCH</t>
  </si>
  <si>
    <t>TR240|PHY5082</t>
  </si>
  <si>
    <t>Cash|THYT06|THYROX 100MCG TAB</t>
  </si>
  <si>
    <t>Cash|THYROX 100MCG TAB</t>
  </si>
  <si>
    <t>TR240|RNS0120</t>
  </si>
  <si>
    <t>Cash|THYT15|THYRONORM 75MCG TAB</t>
  </si>
  <si>
    <t>Cash|THYRONORM 75MCG TAB</t>
  </si>
  <si>
    <t>TR240|RNS5005</t>
  </si>
  <si>
    <t>Cash|TRAI09|TRANEMIC 500MG 5ML INJ</t>
  </si>
  <si>
    <t>TR240|ROM0001</t>
  </si>
  <si>
    <t>BED CHARGES-GENERAL WARD</t>
  </si>
  <si>
    <t>Cash|TRET02|TRENAXA 500MG TAB</t>
  </si>
  <si>
    <t>Cash|TRENAXA 500MG TAB</t>
  </si>
  <si>
    <t>TR240|ROM0024</t>
  </si>
  <si>
    <t>Cash|TRIT44|TRIOLMEZEST 40MG TAB</t>
  </si>
  <si>
    <t>Cash|TRIOLMEZEST 40MG TAB</t>
  </si>
  <si>
    <t>TR240|ROM0036</t>
  </si>
  <si>
    <t>BED CHARGES-SINGLE</t>
  </si>
  <si>
    <t>Cash|VERI06|VERFEN 10ML INJ</t>
  </si>
  <si>
    <t>Cash|VERFEN 10ML INJ</t>
  </si>
  <si>
    <t>TR240|ROM0093</t>
  </si>
  <si>
    <t>Cash|VETI01|VETIRA 5ML INJ</t>
  </si>
  <si>
    <t>Cash|VETIRA 5ML INJ</t>
  </si>
  <si>
    <t>TR240|ROM5009</t>
  </si>
  <si>
    <t>BED CHARGES - SICU</t>
  </si>
  <si>
    <t>Cash|VILT31|VILDAPRIDE-M 50/500MG TAB</t>
  </si>
  <si>
    <t>Cash|VILDAPRIDE-M 50/500MG TAB</t>
  </si>
  <si>
    <t>TR240|ROM5189</t>
  </si>
  <si>
    <t>Cash|WOKS02|WOKADINE 100ML SOL</t>
  </si>
  <si>
    <t>Cash|WOKADINE 100ML SOL</t>
  </si>
  <si>
    <t>TR240|XRY5090</t>
  </si>
  <si>
    <t>BED SIDE X-RAY KNEE JOINT AP AND LAT VIEW</t>
  </si>
  <si>
    <t>Cash|ZOVC01|ZOVANTA 40MG TAB</t>
  </si>
  <si>
    <t>Cash|ZOVANTA 40MG TAB</t>
  </si>
  <si>
    <t>TR240|CAR0080</t>
  </si>
  <si>
    <t>Cash|ZU-T01|ZU-C 500MG TAB</t>
  </si>
  <si>
    <t>Cash|ZU-C 500MG TAB</t>
  </si>
  <si>
    <t>TR240|XRY044</t>
  </si>
  <si>
    <t>Cash|ZUVT03|ZUVASTAT 20MG TAB</t>
  </si>
  <si>
    <t>Cash|ZUVASTAT 20MG TAB</t>
  </si>
  <si>
    <t>TR240|XRY5133</t>
  </si>
  <si>
    <t>Cash|ZYRT09|ZYROVA 20MG TAB</t>
  </si>
  <si>
    <t>Cash|ZYROVA 20MG TAB</t>
  </si>
  <si>
    <t>TR240|BIO0005</t>
  </si>
  <si>
    <t>Cash|ZYTO02|ZYTEE RB GEL 10ML</t>
  </si>
  <si>
    <t>Cash|ZYTEE RB GEL 10ML</t>
  </si>
  <si>
    <t>TR240|BIO0064</t>
  </si>
  <si>
    <t>Cash|ARRU07|ARRAY DRILL PIN 175MM*4MM(4515-70-006-DEPUY)</t>
  </si>
  <si>
    <t>Cash|ARRAY DRILL PIN 175MM*4MM(4515-70-006-DEPUY)</t>
  </si>
  <si>
    <t>TR240|BIO0075</t>
  </si>
  <si>
    <t>Cash|ATTM101|ATTUNE TIBIAL INSERT FIXED BEARING CRUCIATE RETAINING AOX 2 6MM(1516-20-206-DEPUY SYNTHES)</t>
  </si>
  <si>
    <t>Cash|ATTUNE TIBIAL INSERT FIXED BEARING CRUCIATE RETAINING AOX 2 6MM(1516-20-206-DEPUY SYNTHES)</t>
  </si>
  <si>
    <t>TR240|BIO0097</t>
  </si>
  <si>
    <t>Cash|ATTM106|ATTUNE TIBIAL INSERT F/B CRUCIATE RETAINING 3MM*6MM(1516-20-306-DEPUY)</t>
  </si>
  <si>
    <t>Cash|ATTUNE TIBIAL INSERT F/B CRUCIATE RETAINING 3MM*6MM(1516-20-306-DEPUY)</t>
  </si>
  <si>
    <t>TR240|BIO0098</t>
  </si>
  <si>
    <t>Cash|ATTM108|ATTUNE TIBIAL INSERT FIXED BEARING CRUCIATE RETAINING AOX 3 8MM(1516-20-308-DEPUY SYNTHES)</t>
  </si>
  <si>
    <t>Cash|ATTUNE TIBIAL INSERT FIXED BEARING CRUCIATE RETAINING AOX 3 8MM(1516-20-308-DEPUY SYNTHES)</t>
  </si>
  <si>
    <t>TR240|BIO0106</t>
  </si>
  <si>
    <t>Cash|ATTM110|ATTUNE TIBIAL INSERT FIXED BEARING CRUCIATE RETAINING AOX 4 5MM(1516-20-405-DEPUY SYNTHES)</t>
  </si>
  <si>
    <t>Cash|ATTUNE TIBIAL INSERT FIXED BEARING CRUCIATE RETAINING AOX 4 5MM(1516-20-405-DEPUY SYNTHES)</t>
  </si>
  <si>
    <t>TR240|BIO0121</t>
  </si>
  <si>
    <t>Cash|ATTM111|ATTUNE TIBIAL INSERT FIXED BEARING CRUCIATE RETAINING AOX 4 6MM(1516-20-406-DEPUY SYNTHES)</t>
  </si>
  <si>
    <t>Cash|ATTUNE TIBIAL INSERT FIXED BEARING CRUCIATE RETAINING AOX 4 6MM(1516-20-406-DEPUY SYNTHES)</t>
  </si>
  <si>
    <t>TR240|BIO0181</t>
  </si>
  <si>
    <t>Cash|ATTM115|ATTUNE TIBIAL INSERT FIXED BEARING CRUCIATE RETAINING AOX 5 5MM(1516-20-505-DEPUY SYNTHES)</t>
  </si>
  <si>
    <t>Cash|ATTUNE TIBIAL INSERT FIXED BEARING CRUCIATE RETAINING AOX 5 5MM(1516-20-505-DEPUY SYNTHES)</t>
  </si>
  <si>
    <t>TR240|BLD0001</t>
  </si>
  <si>
    <t>Cash|ATTM138|ATTUNE TIBIAL BASEPLATE FIXED BEARING CEMENTED 4MM(1506-70-004-JOHNSON &amp; JOHNSON)</t>
  </si>
  <si>
    <t>Cash|ATTUNE TIBIAL BASEPLATE FIXED BEARING CEMENTED 4MM(1506-70-004-JOHNSON &amp; JOHNSON)</t>
  </si>
  <si>
    <t>TR240|BLD0009</t>
  </si>
  <si>
    <t>Cash|ATTM161|ATTUNE FEMORAL COMPONENT CEMENTED CRUCIATE RETAINING RIGHT 2(1504-00-202-DEPUY SYNTHES)</t>
  </si>
  <si>
    <t>Cash|ATTUNE FEMORAL COMPONENT CEMENTED CRUCIATE RETAINING RIGHT 2(1504-00-202-DEPUY SYNTHES)</t>
  </si>
  <si>
    <t>TR240|BLD0024</t>
  </si>
  <si>
    <t>PACKED CELLS</t>
  </si>
  <si>
    <t>Cash|ATTM164|ATTUNE TIBIAL BASEPLATE STEMMABLE CEMENTED KNEE 4MM(1506-40-004-DEPUY SYNTHES)</t>
  </si>
  <si>
    <t>Cash|ATTUNE TIBIAL BASEPLATE STEMMABLE CEMENTED KNEE 4MM(1506-40-004-DEPUY SYNTHES)</t>
  </si>
  <si>
    <t>TR240|PAT0007</t>
  </si>
  <si>
    <t>Cash|ATTM169|ATTUNE KNEE SYSTEM REVISION TIBIAL BASE FIXED BEARING CEMENTED SIZE 2MM(1506-40-002-DEPUY)</t>
  </si>
  <si>
    <t>Cash|ATTUNE KNEE SYSTEM REVISION TIBIAL BASE FIXED BEARING CEMENTED SIZE 2MM(1506-40-002-DEPUY)</t>
  </si>
  <si>
    <t>TR240|PAT0041</t>
  </si>
  <si>
    <t>Cash|ATTM169|ATTUNE TIBIAL BASEPLATE FIXED BEARING REVISION CEMENTED CONSTRAINED KNEE 2(1506-40-002-DEPUY SYNTHES)</t>
  </si>
  <si>
    <t>Cash|ATTUNE TIBIAL BASEPLATE FIXED BEARING REVISION CEMENTED CONSTRAINED KNEE 2(1506-40-002-DEPUY SYNTHES)</t>
  </si>
  <si>
    <t>TR240|PAT0078</t>
  </si>
  <si>
    <t>Cash|ATTM176|ORTHOPAEDIC BEARING TIBIAL BASE FIXED CEMENTED KNEE SYSTEM REVISION 6MM(1506-40-006-DEPUY SYNTHES)</t>
  </si>
  <si>
    <t>Cash|ORTHOPAEDIC BEARING TIBIAL BASE FIXED CEMENTED KNEE SYSTEM REVISION 6MM(1506-40-006-DEPUY SYNTHES)</t>
  </si>
  <si>
    <t>TR240|ANS0003</t>
  </si>
  <si>
    <t>Cash|ATTM208|ATTUNE KNEE SYSTEM TIBIAL INSERT FIXED BEARING MEDIAL STABILIZED RIGHT SIZE AOX 6MM*6MM(1520-20-606-DEPUY)</t>
  </si>
  <si>
    <t>Cash|ATTUNE KNEE SYSTEM TIBIAL INSERT FIXED BEARING MEDIAL STABILIZED RIGHT SIZE AOX 6MM*6MM(1520-20-606-DEPUY)</t>
  </si>
  <si>
    <t>TR240|PHY5076</t>
  </si>
  <si>
    <t>Cash|ATTM221|ATTUNE KNEE SYSTEM TIBIAL INSERT FIXED BEARING MEDIAL STABILIZED RIGHTSIZE 5MM X 10MM(1520-20-510-DEPUY)</t>
  </si>
  <si>
    <t>Cash|ATTUNE KNEE SYSTEM TIBIAL INSERT FIXED BEARING MEDIAL STABILIZED RIGHTSIZE 5MM X 10MM(1520-20-510-DEPUY)</t>
  </si>
  <si>
    <t>TR240|EME0016</t>
  </si>
  <si>
    <t>Cash|ATTM223|ATTUNE KNEE SYSTEM TIBIAL INSERT FIXED BEARING MEDIAL STABILIZED RIGHT SIZE 4MM*6MM(1520-20-406-DEPUY)</t>
  </si>
  <si>
    <t>Cash|ATTUNE KNEE SYSTEM TIBIAL INSERT FIXED BEARING MEDIAL STABILIZED RIGHT SIZE 4MM*6MM(1520-20-406-DEPUY)</t>
  </si>
  <si>
    <t>TR240|EME0018</t>
  </si>
  <si>
    <t>Cash|ATTM232|ATTUNE KNEE SYSTEM TIBIAL INSERT FIXED BEARING MEDIAL STABILIZED RIGHTSIZE 3MM X 7MM(1520-20-307-DEPUY)</t>
  </si>
  <si>
    <t>Cash|ATTUNE KNEE SYSTEM TIBIAL INSERT FIXED BEARING MEDIAL STABILIZED RIGHTSIZE 3MM X 7MM(1520-20-307-DEPUY)</t>
  </si>
  <si>
    <t>TR240|EME0020</t>
  </si>
  <si>
    <t>Cash|ATTM27|ATTUNE TIBIAL BASEPLATE FIXED BEARING CEMENTED 5MM(1506-70-005-DEPUY SYNTHES)</t>
  </si>
  <si>
    <t>Cash|ATTUNE TIBIAL BASEPLATE FIXED BEARING CEMENTED 5MM(1506-70-005-DEPUY SYNTHES)</t>
  </si>
  <si>
    <t>TR240|EME0052</t>
  </si>
  <si>
    <t>Cash|ATTM83|ATTUNE FEMORAL C/R CEMENTED RIGHT SEZE 3(1504-00-203-DEPUY)</t>
  </si>
  <si>
    <t>Cash|ATTUNE FEMORAL C/R CEMENTED RIGHT SEZE 3(1504-00-203-DEPUY)</t>
  </si>
  <si>
    <t>TR240|EME0080</t>
  </si>
  <si>
    <t>Cash|ATTM86|ATTUNE FEMORAL COMPONENT CEMENTED CRUCIATE RETAINING RIGHT 6(1504-00-206-DEPUY SYNTHES)</t>
  </si>
  <si>
    <t>Cash|ATTUNE FEMORAL COMPONENT CEMENTED CRUCIATE RETAINING RIGHT 6(1504-00-206-DEPUY SYNTHES)</t>
  </si>
  <si>
    <t>TR240|EME5045</t>
  </si>
  <si>
    <t>Cash|ATTM97|ATTUNE FEMORAL COMPONENT CEMENTED CRUCIATE RETAINING RIGHT 4 NARROW(1504-00-224-DEPUY SYNTHES)</t>
  </si>
  <si>
    <t>Cash|ATTUNE FEMORAL COMPONENT CEMENTED CRUCIATE RETAINING RIGHT 4 NARROW(1504-00-224-DEPUY SYNTHES)</t>
  </si>
  <si>
    <t>TR240|EME0088</t>
  </si>
  <si>
    <t>Cash|BONM229|BONE PIN 3.2MM*140MM(143140/213527-STRYKER)</t>
  </si>
  <si>
    <t>Cash|BONE PIN 3.2MM*140MM(143140/213527-STRYKER)</t>
  </si>
  <si>
    <t>TR240|PSY0036</t>
  </si>
  <si>
    <t>Cash|CORM9076|CORTICAL SCREW SLF TAPP 3.5MM*20MM 20TPI(A458000020-PITKAR)</t>
  </si>
  <si>
    <t>Cash|CORTICAL SCREW SLF TAPP 3.5MM*20MM 20TPI(A458000020-PITKAR)</t>
  </si>
  <si>
    <t>TR284|BIO0001</t>
  </si>
  <si>
    <t>Cash|LOCM2609|LOCKING SCREW SELF-TAPPING 3.5X26MM(AI07100026-PITKAR ORTHOTOOLS PVT LTD)</t>
  </si>
  <si>
    <t>Cash|LOCKING SCREW SELF-TAPPING 3.5X26MM(AI07100026-PITKAR ORTHOTOOLS PVT LTD)</t>
  </si>
  <si>
    <t>TR284|BIO0002</t>
  </si>
  <si>
    <t>Cash|MCKM01|MCK ONLAY TIBIAL INSERT SIZE 1MM*9MM(180701-2-STRYKER)</t>
  </si>
  <si>
    <t>Cash|MCK ONLAY TIBIAL INSERT SIZE 1MM*9MM(180701-2-STRYKER)</t>
  </si>
  <si>
    <t>TR284|BIO0003</t>
  </si>
  <si>
    <t>Cash|RESM100|RESTORIS MCK TIBIAL ONLAY INSERT SIZE-2MM*09MM(180702-2-STRYKER)</t>
  </si>
  <si>
    <t>Cash|RESTORIS MCK TIBIAL ONLAY INSERT SIZE-2MM*09MM(180702-2-STRYKER)</t>
  </si>
  <si>
    <t>TR284|BIO0004</t>
  </si>
  <si>
    <t>Cash|RESM68|RESTORIS MCK FEMORAL COMPONET RM/LL SIZE-1(180511-STRYKER)</t>
  </si>
  <si>
    <t>Cash|RESTORIS MCK FEMORAL COMPONET RM/LL SIZE-1(180511-STRYKER)</t>
  </si>
  <si>
    <t>TR284|BIO0162</t>
  </si>
  <si>
    <t>Cash|RESM69|RESTORIS MCK FEMORAL COMPONET RM/LL SIZE-2(180512-STRYKER)</t>
  </si>
  <si>
    <t>Cash|RESTORIS MCK FEMORAL COMPONET RM/LL SIZE-2(180512-STRYKER)</t>
  </si>
  <si>
    <t>TR284|CAR5341</t>
  </si>
  <si>
    <t>Cash|RESM70|RESTORIS MCK FEMORAL COMPONET RM/LL SIZE-3(180513-STRYKER)</t>
  </si>
  <si>
    <t>Cash|RESTORIS MCK FEMORAL COMPONET RM/LL SIZE-3(180513-STRYKER)</t>
  </si>
  <si>
    <t>TR284|CAS0007</t>
  </si>
  <si>
    <t>Cash|RESM71|RESTORIS MCK FEMORAL COMPONENT RIGHT MEDIAL LEFT LATERAL KNEE 4(180514-STRYKER CORP)</t>
  </si>
  <si>
    <t>Cash|RESTORIS MCK FEMORAL COMPONENT RIGHT MEDIAL LEFT LATERAL KNEE 4(180514-STRYKER CORP)</t>
  </si>
  <si>
    <t>TR284|DIE0001</t>
  </si>
  <si>
    <t>Cash|RESM79|RESTORIS MCK TIBIAL BASE PLATE RM/LL SIZE-1(180611-STRYKER)</t>
  </si>
  <si>
    <t>Cash|RESTORIS MCK TIBIAL BASE PLATE RM/LL SIZE-1(180611-STRYKER)</t>
  </si>
  <si>
    <t>TR284|EME0017</t>
  </si>
  <si>
    <t>Cash|RESM80|RESTORIS MCK TIBIAL BASE PLATE RM/LL SIZE-2(180612-STRYKER)</t>
  </si>
  <si>
    <t>Cash|RESTORIS MCK TIBIAL BASE PLATE RM/LL SIZE-2(180612-STRYKER)</t>
  </si>
  <si>
    <t>TR284|EME0019</t>
  </si>
  <si>
    <t>Cash|RESM81|RESTORIS MCK TIBIAL BASE PLATE RM/LL SIZE-3(180613-STRYKER)</t>
  </si>
  <si>
    <t>Cash|RESTORIS MCK TIBIAL BASE PLATE RM/LL SIZE-3(180613-STRYKER)</t>
  </si>
  <si>
    <t>TR284|EME0087</t>
  </si>
  <si>
    <t>Cash|RESM82|RESTORIS MCK TIBIAL BASEPLATE ONLAY RIGHT MEDIAL LEFT LATERAL 4(180614-STRYKER CORP)</t>
  </si>
  <si>
    <t>Cash|RESTORIS MCK TIBIAL BASEPLATE ONLAY RIGHT MEDIAL LEFT LATERAL 4(180614-STRYKER CORP)</t>
  </si>
  <si>
    <t>TR284|HSP0047</t>
  </si>
  <si>
    <t>Cash|RESM87|1807031 RESTORIS MCK TIBIAL INSERT 3 X 8MM</t>
  </si>
  <si>
    <t>Cash|1807031 RESTORIS MCK TIBIAL INSERT 3 X 8MM</t>
  </si>
  <si>
    <t>TR284|HSP5013</t>
  </si>
  <si>
    <t>Cash|RESM88|RESTORIS TIBIAL INSERT MULTI COMPARTMENTAL ONLAY KNEE 4 9MM(180704-2-STRYKER CORP)</t>
  </si>
  <si>
    <t>Cash|RESTORIS TIBIAL INSERT MULTI COMPARTMENTAL ONLAY KNEE 4 9MM(180704-2-STRYKER CORP)</t>
  </si>
  <si>
    <t>TR284|ICC0001</t>
  </si>
  <si>
    <t>Cash|SIMM01|SIMPLEX BONE CEMENT 40 GR [6191-0-001]</t>
  </si>
  <si>
    <t>Cash|SIMPLEX BONE CEMENT 40 GR [6191-0-001]</t>
  </si>
  <si>
    <t>TR284|ICC0002</t>
  </si>
  <si>
    <t>Cash|SIMM30|SIMPLEX P BONE CEMENT 40GM(6191-0-001-STRYKER CORP)</t>
  </si>
  <si>
    <t>TR284|OTC0010</t>
  </si>
  <si>
    <t>Cash|SMAM40|SMART SET GHV GENTAMICIAN 40GRM(3095-040-DEPUY)</t>
  </si>
  <si>
    <t>Cash|SMART SET GHV GENTAMICIAN 40GRM(3095-040-DEPUY)</t>
  </si>
  <si>
    <t>TR284|OTC5005</t>
  </si>
  <si>
    <t>Cash|TRIM114|TRIATHLON TIBIAL INSERT CRUCIATE SUBSTITUTING BEARING KNEE X3 2 9MM(5531-G-209-E-STRYKER CORP)</t>
  </si>
  <si>
    <t>Cash|TRIATHLON TIBIAL INSERT CRUCIATE SUBSTITUTING BEARING KNEE X3 2 9MM(5531-G-209-E-STRYKER CORP)</t>
  </si>
  <si>
    <t>TR284|OTI0015</t>
  </si>
  <si>
    <t>Cash|TRIM122|TRIATHLON CR FEMORAL CEMENT RIGHT-3(5510F302-STRYKER)</t>
  </si>
  <si>
    <t>Cash|TRIATHLON CR FEMORAL CEMENT RIGHT-3(5510F302-STRYKER)</t>
  </si>
  <si>
    <t>TR284|OTI0018</t>
  </si>
  <si>
    <t>Cash|TRIM132|TRIATHLON FEMORAL COMPONENT CRUCIATE RETAINING CEMENTED PRIMARY REFERENCING RIGHT KNEE TRITANIUM 4(5510F402-STRYKER CORP)</t>
  </si>
  <si>
    <t>Cash|TRIATHLON FEMORAL COMPONENT CRUCIATE RETAINING CEMENTED PRIMARY REFERENCING RIGHT KNEE TRITANIUM 4(5510F402-STRYKER CORP)</t>
  </si>
  <si>
    <t>TR284|OTI0098</t>
  </si>
  <si>
    <t>Cash|TRIM133|TRIATHLON FEMORAL COMPONENT CEMENTED CRUCIATE RETAINING RIGHT TRITANIUM 5(5510-F-502-STRYKER CORP)</t>
  </si>
  <si>
    <t>Cash|TRIATHLON FEMORAL COMPONENT CEMENTED CRUCIATE RETAINING RIGHT TRITANIUM 5(5510-F-502-STRYKER CORP)</t>
  </si>
  <si>
    <t>TR284|PAT0042</t>
  </si>
  <si>
    <t>Cash|TRIM151|TRIATHLON INSERT CS X31MM*11MM(5531G111-STRYKER)</t>
  </si>
  <si>
    <t>Cash|TRIATHLON INSERT CS X31MM*11MM(5531G111-STRYKER)</t>
  </si>
  <si>
    <t>TR284|PAT0045</t>
  </si>
  <si>
    <t>Cash|TRIM153|TRIATHLON INSERT CS X3 2*11MM(5531G211-STRYKER)</t>
  </si>
  <si>
    <t>Cash|TRIATHLON INSERT CS X3 2*11MM(5531G211-STRYKER)</t>
  </si>
  <si>
    <t>TR284|PHY5082</t>
  </si>
  <si>
    <t>Cash|TRIM157|5531G409E TRIATHLON X3 TIBIAL BEARING INSERT CS 4 X 9 MM</t>
  </si>
  <si>
    <t>Cash|5531G409E TRIATHLON X3 TIBIAL BEARING INSERT CS 4 X 9 MM</t>
  </si>
  <si>
    <t>TR284|RNS0120</t>
  </si>
  <si>
    <t>Cash|TRIM158|TRIATHLON TIBIAL INSERT CRUCIATE SUBSTITUTING BEARING KNEE X3 4 11MM(5531-G-411-E-STRYKER CORP)</t>
  </si>
  <si>
    <t>Cash|TRIATHLON TIBIAL INSERT CRUCIATE SUBSTITUTING BEARING KNEE X3 4 11MM(5531-G-411-E-STRYKER CORP)</t>
  </si>
  <si>
    <t>TR284|RNS5005</t>
  </si>
  <si>
    <t>Cash|TRIM184|5520B400 TRIATHLON TIBIA BP CEMENTED SIZE 4</t>
  </si>
  <si>
    <t>Cash|5520B400 TRIATHLON TIBIA BP CEMENTED SIZE 4</t>
  </si>
  <si>
    <t>TR284|ROM0001</t>
  </si>
  <si>
    <t>ROOM CHARGES- GENERAL WARD</t>
  </si>
  <si>
    <t>Cash|TRIM185|5521B100 TRIATHLON TOT KNEE UNIVERSAL TIB BASE PLATE (STRYKER)</t>
  </si>
  <si>
    <t>Cash|5521B100 TRIATHLON TOT KNEE UNIVERSAL TIB BASE PLATE (STRYKER)</t>
  </si>
  <si>
    <t>TR284|ROM0024</t>
  </si>
  <si>
    <t>ROOM CHARGES- TWIN SHARING</t>
  </si>
  <si>
    <t>Cash|TRIM187|5521B200 TRIATHLON UNIVERSAL BP 2(STRYKER)</t>
  </si>
  <si>
    <t>Cash|5521B200 TRIATHLON UNIVERSAL BP 2(STRYKER)</t>
  </si>
  <si>
    <t>TR284|ROM0036</t>
  </si>
  <si>
    <t>ROOM CHARGES- SINGLE</t>
  </si>
  <si>
    <t>Cash|TRIM188|TRIATHLON TIBIAL BASEPLATE CEMENTED 3 UNIVERSAL(5521-B-300-STRYKER CORP)</t>
  </si>
  <si>
    <t>Cash|TRIATHLON TIBIAL BASEPLATE CEMENTED 3 UNIVERSAL(5521-B-300-STRYKER CORP)</t>
  </si>
  <si>
    <t>TR284|ROM0093</t>
  </si>
  <si>
    <t>Cash|TRIM189|TRIATHLON TIBIAL BASEPLATE CEMENTED TOTAL KNEE UNIVERSAL 4(5521-B-400-STRYKER CORP)</t>
  </si>
  <si>
    <t>Cash|TRIATHLON TIBIAL BASEPLATE CEMENTED TOTAL KNEE UNIVERSAL 4(5521-B-400-STRYKER CORP)</t>
  </si>
  <si>
    <t>TR284|ROM5009</t>
  </si>
  <si>
    <t>Cash|TRIM191|TRIATHLON TIBIAL BASEPLATE PRIMARY CEMENTED STERILE 5(5520-B-500-STRYKER CORP)</t>
  </si>
  <si>
    <t>Cash|TRIATHLON TIBIAL BASEPLATE PRIMARY CEMENTED STERILE 5(5520-B-500-STRYKER CORP)</t>
  </si>
  <si>
    <t>TR284|ROM5189</t>
  </si>
  <si>
    <t>Cash|TRIM196|TRIATHLON TS FEMORAL STEM CEMENTED KNEE TITANIUM 12X100MM(5560-S-212-STRYKER CORP)</t>
  </si>
  <si>
    <t>Cash|TRIATHLON TS FEMORAL STEM CEMENTED KNEE TITANIUM 12X100MM(5560-S-212-STRYKER CORP)</t>
  </si>
  <si>
    <t>TR284|XRY5090</t>
  </si>
  <si>
    <t>Cash|TRIM197|TRIATHLON TS FEMORAL STEM CEMENTED KNEE TITANIUM 12X50MM(5560-S-112-STRYKER CORP)</t>
  </si>
  <si>
    <t>Cash|TRIATHLON TS FEMORAL STEM CEMENTED KNEE TITANIUM 12X50MM(5560-S-112-STRYKER CORP)</t>
  </si>
  <si>
    <t>TR284|CAR0080</t>
  </si>
  <si>
    <t>Cash|TRIM355|TRIATHLON TIBIAL INSERT CRUCIATE STABILIZED BEARING KNEE X3 3 10MM(5531-G-310-E-STRYKER CORP)</t>
  </si>
  <si>
    <t>Cash|TRIATHLON TIBIAL INSERT CRUCIATE STABILIZED BEARING KNEE X3 3 10MM(5531-G-310-E-STRYKER CORP)</t>
  </si>
  <si>
    <t>TR284|XRY044</t>
  </si>
  <si>
    <t>Cash|TRIM358|TRIATHLON TIBIAL INSERT CRUCIATE STABILIZED BEARING KNEE X3 5 10MM(5531-G-510-E-STRYKER CORP)</t>
  </si>
  <si>
    <t>Cash|TRIATHLON TIBIAL INSERT CRUCIATE STABILIZED BEARING KNEE X3 5 10MM(5531-G-510-E-STRYKER CORP)</t>
  </si>
  <si>
    <t>TR284|XRY5133</t>
  </si>
  <si>
    <t>Cash||BED BATH TOWEL 300MM*240MM 10S PACK(WIPEX-ROMSONS)</t>
  </si>
  <si>
    <t>TR284|BIO0005</t>
  </si>
  <si>
    <t>Cash||DIAPER ADULT MEDIUM 75CMX110CM(MAGMACARE)</t>
  </si>
  <si>
    <t>Cash|DIAPER ADULT MEDIUM 75CMX110CM(MAGMACARE)</t>
  </si>
  <si>
    <t>TR284|BIO0064</t>
  </si>
  <si>
    <t>Cash||DIAPER ADULT XL 120CMX142.5CM(MAGMACARE)</t>
  </si>
  <si>
    <t>TR284|BIO0075</t>
  </si>
  <si>
    <t>Cash||ECG ELECTRODES ADULT(SUCHIKA)</t>
  </si>
  <si>
    <t>TR284|BIO0097</t>
  </si>
  <si>
    <t>Cash||MICRO POLYSITE PLUS (DUO) EXTENSION(POLYMED)</t>
  </si>
  <si>
    <t>TR284|BIO0098</t>
  </si>
  <si>
    <t>Cash||POSIFLUSH SP 10ML(306575-BD)</t>
  </si>
  <si>
    <t>TR284|BIO0106</t>
  </si>
  <si>
    <t>Cash||POSIFLUSH SP 5ML(306574-BD)</t>
  </si>
  <si>
    <t>TR284|BIO0121</t>
  </si>
  <si>
    <t>Cash||STERIDRAPE ISOLATION BAG 50CM*50CM(1003-3M)</t>
  </si>
  <si>
    <t>Cash|STERIDRAPE ISOLATION BAG 50CM*50CM(1003-3M)</t>
  </si>
  <si>
    <t>TR284|BIO0181</t>
  </si>
  <si>
    <t>Cash||SURGICAL GLOVE 7.5(BLISTER PACK-SURGICARE-KANAM)</t>
  </si>
  <si>
    <t>TR284|BLD0001</t>
  </si>
  <si>
    <t>Cash||SURGICAL GLOVE 7.5(SURGICARE-KANAM)</t>
  </si>
  <si>
    <t>TR284|BLD0009</t>
  </si>
  <si>
    <t>Cash||SYRINGE 10ML LL(LIFE LONG)</t>
  </si>
  <si>
    <t>TR284|BLD0024</t>
  </si>
  <si>
    <t>Cash|ADVR02|ADVACRYL 1 ADVA2347(AMS)</t>
  </si>
  <si>
    <t>Cash|ADVACRYL 1 ADVA2347(AMS)</t>
  </si>
  <si>
    <t>TR284|PAT0007</t>
  </si>
  <si>
    <t>Cash|ADVR10|ADVACRYL 2-0 ADVA2404(AMS)</t>
  </si>
  <si>
    <t>Cash|ADVACRYL 2-0 ADVA2404(AMS)</t>
  </si>
  <si>
    <t>TR284|PAT0041</t>
  </si>
  <si>
    <t>Cash|ADVR105|ADVAGRIP 180 1-0 ADVAGL0337(AMS)</t>
  </si>
  <si>
    <t>Cash|ADVAGRIP 180 1-0 ADVAGL0337(AMS)</t>
  </si>
  <si>
    <t>TR284|PAT0078</t>
  </si>
  <si>
    <t>Cash|ADVR21|ADVACRYL 1 ADVA2826E(AMS)</t>
  </si>
  <si>
    <t>Cash|ADVACRYL 1 ADVA2826E(AMS)</t>
  </si>
  <si>
    <t>TR284|ANS0003</t>
  </si>
  <si>
    <t>Cash|ADVR34|ADVALENE 0 ADVA830(AMS)</t>
  </si>
  <si>
    <t>Cash|ADVALENE 0 ADVA830(AMS)</t>
  </si>
  <si>
    <t>TR284|PHY5076</t>
  </si>
  <si>
    <t>Cash|ALCC05|ALCOHOL SWABS(NANZ)</t>
  </si>
  <si>
    <t>Cash|ALCOHOL SWABS(NANZ)</t>
  </si>
  <si>
    <t>TR284|EME0016</t>
  </si>
  <si>
    <t>Cash|APRU13|APRON PLASTIC DISPOSABLE(MEDIBLUE)</t>
  </si>
  <si>
    <t>Cash|APRON PLASTIC DISPOSABLE(MEDIBLUE)</t>
  </si>
  <si>
    <t>TR284|EME0018</t>
  </si>
  <si>
    <t>Cash|ARTU02|ARTIFLEX 15CM*3M(72966-01/72966-03-BSN)</t>
  </si>
  <si>
    <t>Cash|ARTIFLEX 15CM*3M(72966-01/72966-03-BSN)</t>
  </si>
  <si>
    <t>TR284|EME0020</t>
  </si>
  <si>
    <t>Cash|BLOU54|BLOOD SET(BUYWEL)</t>
  </si>
  <si>
    <t>Cash|BLOOD SET(BUYWEL)</t>
  </si>
  <si>
    <t>TR284|EME0052</t>
  </si>
  <si>
    <t>Cash|CARU47|C ARM COVER 2PIECE(D306-2-SURGIWEAR)</t>
  </si>
  <si>
    <t>Cash|C ARM COVER 2PIECE(D306-2-SURGIWEAR)</t>
  </si>
  <si>
    <t>TR284|EME0080</t>
  </si>
  <si>
    <t>Cash|CAUU22|CAUTERY PENCIL LONG TIP(MEDTRONIC)</t>
  </si>
  <si>
    <t>Cash|CAUTERY PENCIL LONG TIP(MEDTRONIC)</t>
  </si>
  <si>
    <t>TR284|EME5045</t>
  </si>
  <si>
    <t>Cash|CORM10400|CORK SCREW FT-2 5.5MM WITH NEEDLE 16.3MM(AR-1928SNF-2-ARTHREX)</t>
  </si>
  <si>
    <t>Cash|CORK SCREW FT-2 5.5MM WITH NEEDLE 16.3MM(AR-1928SNF-2-ARTHREX)</t>
  </si>
  <si>
    <t>TR284|EME0088</t>
  </si>
  <si>
    <t>Cash|CREU27|CREPE BANDAGE 10CM(VELSOFT-10-DATT)</t>
  </si>
  <si>
    <t>Cash|CREPE BANDAGE 10CM(VELSOFT-10-DATT)</t>
  </si>
  <si>
    <t>TR284|PSY0036</t>
  </si>
  <si>
    <t>Cash|CURU01|CURAPORE STERILE 10CM X 30CM/9CM X 30CM(LOHMANN AND RAUSCHER)</t>
  </si>
  <si>
    <t>Cash|CURAPORE STERILE 10CM X 30CM/9CM X 30CM(LOHMANN AND RAUSCHER)</t>
  </si>
  <si>
    <t>TR285|BIO0001</t>
  </si>
  <si>
    <t>Cash|DERU28|DERMI SURGICAL MARKER(DERMARK-ROMSONS)</t>
  </si>
  <si>
    <t>Cash|DERMI SURGICAL MARKER(DERMARK-ROMSONS)</t>
  </si>
  <si>
    <t>TR285|BIO0002</t>
  </si>
  <si>
    <t>Cash|DIAU126|DIAPER ADULT MEDIUM 75CMX110CM(MAGMACARE)</t>
  </si>
  <si>
    <t>TR285|BIO0003</t>
  </si>
  <si>
    <t>Cash|DREC02|DRESSING PAD STERILE(KIMS)</t>
  </si>
  <si>
    <t>Cash|DRESSING PAD STERILE(KIMS)</t>
  </si>
  <si>
    <t>TR285|BIO0004</t>
  </si>
  <si>
    <t>Cash|ENCU11|MICROOPTIC STERILE GLOVE 6.0(ENCORE-JK ANSELL)</t>
  </si>
  <si>
    <t>Cash|MICROOPTIC STERILE GLOVE 6.0(ENCORE-JK ANSELL)</t>
  </si>
  <si>
    <t>TR285|BIO0162</t>
  </si>
  <si>
    <t>Cash|ENCU25|ENCORE LATEX UNDERGLOVE 6.5 NO(ANSELL)</t>
  </si>
  <si>
    <t>Cash|ENCORE LATEX UNDERGLOVE 6.5 NO(ANSELL)</t>
  </si>
  <si>
    <t>TR285|CAR5341</t>
  </si>
  <si>
    <t>Cash|ENCU29|ENCORE LATEX UNDERGLOVE 8.0 NO(ANSELL)</t>
  </si>
  <si>
    <t>Cash|ENCORE LATEX UNDERGLOVE 8.0 NO(ANSELL)</t>
  </si>
  <si>
    <t>TR285|CAS0007</t>
  </si>
  <si>
    <t>Cash|ENCU3|ENCORE ORTHOPEDIC GLOVES 6.5(JK ANSELL)</t>
  </si>
  <si>
    <t>Cash|ENCORE ORTHOPEDIC GLOVES 6.5(JK ANSELL)</t>
  </si>
  <si>
    <t>TR285|DIE0001</t>
  </si>
  <si>
    <t>Cash|FEEU05|FEEDY NO-09(ROMSONS)</t>
  </si>
  <si>
    <t>Cash|FEEDY NO-09(ROMSONS)</t>
  </si>
  <si>
    <t>TR285|EME0017</t>
  </si>
  <si>
    <t>Cash|FOLU08|FOLEYS CATHETER 2WAY 12F(RUSCH)</t>
  </si>
  <si>
    <t>Cash|FOLEYS CATHETER 2WAY 12F(RUSCH)</t>
  </si>
  <si>
    <t>TR285|EME0019</t>
  </si>
  <si>
    <t>Cash|FOLU161|FOLEYS CATHETER TWO WAY 14F(UROCATH-ROMSONS)</t>
  </si>
  <si>
    <t>Cash|FOLEYS CATHETER TWO WAY 14F(UROCATH-ROMSONS)</t>
  </si>
  <si>
    <t>TR285|EME0087</t>
  </si>
  <si>
    <t>Cash|GAUC20|GAUZE DRESSING MOP 12 PLY WITH X-RAY THREAD 10X10CM(VELSAWAB)</t>
  </si>
  <si>
    <t>Cash|GAUZE DRESSING MOP 12 PLY WITH X-RAY THREAD 10X10CM(VELSAWAB)</t>
  </si>
  <si>
    <t>TR285|HSP0047</t>
  </si>
  <si>
    <t>Cash|GDRU07|G DRESS-10 8.5X6.5CM(GD10-SURGIWEAR)</t>
  </si>
  <si>
    <t>Cash|G DRESS-10 8.5X6.5CM(GD10-SURGIWEAR)</t>
  </si>
  <si>
    <t>TR285|HSP5013</t>
  </si>
  <si>
    <t>Cash|GEEC02|GE ENTROPY SENSOR(M1038681-GE HEALTHCARE PVT LTD)</t>
  </si>
  <si>
    <t>Cash|GE ENTROPY SENSOR(M1038681-GE HEALTHCARE PVT LTD)</t>
  </si>
  <si>
    <t>TR285|ICC0001</t>
  </si>
  <si>
    <t>Cash|HANU01|HAND CARE GLOVES STERILE SMALL EVA(HI-CARE)</t>
  </si>
  <si>
    <t>Cash|HAND CARE GLOVES STERILE SMALL EVA(HI-CARE)</t>
  </si>
  <si>
    <t>TR285|ICC0002</t>
  </si>
  <si>
    <t>Cash|HOTU11|HOT AND COLD PACK(DYNAMIC)</t>
  </si>
  <si>
    <t>Cash|HOT AND COLD PACK(DYNAMIC)</t>
  </si>
  <si>
    <t>TR285|OTC0010</t>
  </si>
  <si>
    <t>Cash|KNEU03|KNEE IMMOBILIZER LARGE(DYNAMIC TECHNO MEDICALS)</t>
  </si>
  <si>
    <t>Cash|KNEE IMMOBILIZER LARGE(DYNAMIC TECHNO MEDICALS)</t>
  </si>
  <si>
    <t>TR285|OTC5005</t>
  </si>
  <si>
    <t>Cash|KWIM232|KIRSCHNER SURGICAL WIRE DOUBLE ENDED TROCAR POINT 2.5X285MM(1450.2.5.285-OROMED)</t>
  </si>
  <si>
    <t>Cash|KIRSCHNER SURGICAL WIRE DOUBLE ENDED TROCAR POINT 2.5X285MM(1450.2.5.285-OROMED)</t>
  </si>
  <si>
    <t>TR285|OTI0015</t>
  </si>
  <si>
    <t>Cash|MEAU26|MEASUREXE 250ML(UROMETER-ROMSONS)</t>
  </si>
  <si>
    <t>Cash|MEASUREXE 250ML(UROMETER-ROMSONS)</t>
  </si>
  <si>
    <t>TR285|OTI0018</t>
  </si>
  <si>
    <t>Cash|MEPU46|MEPILEX BORDER POST-OP 10CM*20CM(496400-MOLNLYCKE)</t>
  </si>
  <si>
    <t>Cash|MEPILEX BORDER POST-OP 10CM*20CM(496400-MOLNLYCKE)</t>
  </si>
  <si>
    <t>TR285|OTI0098</t>
  </si>
  <si>
    <t>Cash|MEPU62|MEPILEX BORDER POST OP 9CM*10CM(MOLNYCKE)</t>
  </si>
  <si>
    <t>Cash|MEPILEX BORDER POST OP 9CM*10CM(MOLNYCKE)</t>
  </si>
  <si>
    <t>TR285|PAT0042</t>
  </si>
  <si>
    <t>Cash|MERR26|MERSILK 4-0 NW5050(ETHICON)</t>
  </si>
  <si>
    <t>Cash|MERSILK 4-0 NW5050(ETHICON)</t>
  </si>
  <si>
    <t>TR285|PAT0045</t>
  </si>
  <si>
    <t>Cash|MICU115|MICRO POLY SYTE BI EXTENSION(POLYMED)</t>
  </si>
  <si>
    <t>Cash|MICRO POLY SYTE BI EXTENSION(POLYMED)</t>
  </si>
  <si>
    <t>TR285|PHY5082</t>
  </si>
  <si>
    <t>Cash|MICU133|MICRO INFUSION SET(BUYMED-BUYWEL)</t>
  </si>
  <si>
    <t>Cash|MICRO INFUSION SET(BUYMED-BUYWEL)</t>
  </si>
  <si>
    <t>TR285|RNS0120</t>
  </si>
  <si>
    <t>Cash|NASU122|NASAL CANNULA ADULT(LIFE-O-LINE)</t>
  </si>
  <si>
    <t>Cash|NASAL CANNULA ADULT(LIFE-O-LINE)</t>
  </si>
  <si>
    <t>TR285|RNS5005</t>
  </si>
  <si>
    <t>Cash|NEEU69|NEEDLE DISPOSABLE 26G X 0.5IN(NIPRO)</t>
  </si>
  <si>
    <t>Cash|NEEDLE DISPOSABLE 26G X 0.5IN(NIPRO)</t>
  </si>
  <si>
    <t>TR285|ROM0001</t>
  </si>
  <si>
    <t>Cash|NEEU85|NEEDLES 16G*1.5IN(ROMSONS)</t>
  </si>
  <si>
    <t>Cash|NEEDLES 16G*1.5IN(ROMSONS)</t>
  </si>
  <si>
    <t>TR285|ROM0024</t>
  </si>
  <si>
    <t>Cash|NOVR06|NOVOSYN VIOLET 2(5)90CM HS40S(M) DDP(BBRAUN)</t>
  </si>
  <si>
    <t>Cash|NOVOSYN VIOLET 2(5)90CM HS40S(M) DDP(BBRAUN)</t>
  </si>
  <si>
    <t>TR285|ROM0036</t>
  </si>
  <si>
    <t>Cash|OXYU86|OXYGEN MASK ADULT(LIFE-O-LINE)</t>
  </si>
  <si>
    <t>Cash|OXYGEN MASK ADULT(LIFE-O-LINE)</t>
  </si>
  <si>
    <t>TR285|ROM0093</t>
  </si>
  <si>
    <t>Cash|PHYR01|PHYSIO BALLS(DYNAMIC)</t>
  </si>
  <si>
    <t>Cash|PHYSIO BALLS(DYNAMIC)</t>
  </si>
  <si>
    <t>TR285|ROM5009</t>
  </si>
  <si>
    <t>Cash|PROR53|PROLENE 2-0 NW844(ETHICON)</t>
  </si>
  <si>
    <t>Cash|PROLENE 2-0 NW844(ETHICON)</t>
  </si>
  <si>
    <t>TR285|ROM5189</t>
  </si>
  <si>
    <t>Cash|PULM04|PULSAVAC WOUND DEBRIDEMENT SYSTEM(BELL PHARMA)</t>
  </si>
  <si>
    <t>Cash|PULSAVAC WOUND DEBRIDEMENT SYSTEM(BELL PHARMA)</t>
  </si>
  <si>
    <t>TR285|XRY5090</t>
  </si>
  <si>
    <t>Cash|ROMU04|ROMO VAC SET-12(ROMSONS)</t>
  </si>
  <si>
    <t>Cash|ROMO VAC SET-12(ROMSONS)</t>
  </si>
  <si>
    <t>TR285|CAR0080</t>
  </si>
  <si>
    <t>Cash|SIGU09|SIGNATURE LATEX MICRO STERILE GLOVE 6.5(MEDLINE)</t>
  </si>
  <si>
    <t>Cash|SIGNATURE LATEX MICRO STERILE GLOVE 6.5(MEDLINE)</t>
  </si>
  <si>
    <t>TR285|XRY044</t>
  </si>
  <si>
    <t>Cash|STEU119|STERIDRAPE ISOLATION BAG 50CM*50CM(1003-3M)</t>
  </si>
  <si>
    <t>TR285|XRY5133</t>
  </si>
  <si>
    <t>Cash|STIU14|STIMUPLEX ULTRA NEEDLE 22G*50MM(B.BRAUN)</t>
  </si>
  <si>
    <t>Cash|STIMUPLEX ULTRA NEEDLE 22G*50MM(B.BRAUN)</t>
  </si>
  <si>
    <t>TR285|BIO0005</t>
  </si>
  <si>
    <t>Cash|SURU325|SURGEON GOWN REINFORCED WRAPAROUND XXL(BIO5506-BIOANTHEM)</t>
  </si>
  <si>
    <t>Cash|SURGEON GOWN REINFORCED WRAPAROUND XXL(BIO5506-BIOANTHEM)</t>
  </si>
  <si>
    <t>TR285|BIO0064</t>
  </si>
  <si>
    <t>Cash|THRU36|THREE WAY EXTENSION 100CM(POLYMED)</t>
  </si>
  <si>
    <t>Cash|THREE WAY EXTENSION 100CM(POLYMED)</t>
  </si>
  <si>
    <t>TR285|BIO0075</t>
  </si>
  <si>
    <t>Cash|THRU61|THR/TKR KIT(MEDLINE INDUSTRIES)</t>
  </si>
  <si>
    <t>Cash|THR/TKR KIT(MEDLINE INDUSTRIES)</t>
  </si>
  <si>
    <t>TR285|BIO0097</t>
  </si>
  <si>
    <t>Cash|TRUR116|TRUGLYDE 1 SN2421(HEALTHIUM)</t>
  </si>
  <si>
    <t>Cash|TRUGLYDE 1 SN2421(HEALTHIUM)</t>
  </si>
  <si>
    <t>TR285|BIO0098</t>
  </si>
  <si>
    <t>Cash|TRUR17|TRUGLYDE 2-0 SN2345(HEALTHIUM)</t>
  </si>
  <si>
    <t>Cash|TRUGLYDE 2-0 SN2345(HEALTHIUM)</t>
  </si>
  <si>
    <t>TR285|BIO0106</t>
  </si>
  <si>
    <t>Cash|TRUR54|TRUGLYDE 1 SN2347(HEALTHIUM)</t>
  </si>
  <si>
    <t>Cash|TRUGLYDE 1 SN2347(HEALTHIUM)</t>
  </si>
  <si>
    <t>TR285|BIO0121</t>
  </si>
  <si>
    <t>Cash|VELU17|VELFIX-EASY WITH PAD 8CM*15CM(5507E-DMP)</t>
  </si>
  <si>
    <t>Cash|VELFIX-EASY WITH PAD 8CM*15CM(5507E-DMP)</t>
  </si>
  <si>
    <t>TR285|BIO0181</t>
  </si>
  <si>
    <t>Cash|VENU8162|VENFLON-I 18G(BD)</t>
  </si>
  <si>
    <t>Cash|VENFLON-I 18G(BD)</t>
  </si>
  <si>
    <t>TR285|BLD0001</t>
  </si>
  <si>
    <t>Cash|WALU01|WALKER FOLDING (DYNA REHAID)</t>
  </si>
  <si>
    <t>Cash|WALKER FOLDING (DYNA REHAID)</t>
  </si>
  <si>
    <t>TR285|BLD0009</t>
  </si>
  <si>
    <t>All Payers|CLOG03|CLOHEX ADS 200ML MOUTH WASH</t>
  </si>
  <si>
    <t>All Payers|CLOHEX ADS 200ML MOUTH WASH</t>
  </si>
  <si>
    <t>TR285|BLD0024</t>
  </si>
  <si>
    <t>All Payers|ENOI05|ENOXATIL 40MG INJ</t>
  </si>
  <si>
    <t>All Payers|ENOXATIL 40MG INJ</t>
  </si>
  <si>
    <t>TR285|PAT0007</t>
  </si>
  <si>
    <t>All Payers|G2KI01|G2K 40MG INJ</t>
  </si>
  <si>
    <t>All Payers|G2K 40MG INJ</t>
  </si>
  <si>
    <t>TR285|PAT0041</t>
  </si>
  <si>
    <t>All Payers|ROPI13|ROPIZUVA 0.2% 20ML INJ</t>
  </si>
  <si>
    <t>All Payers|ROPIZUVA 0.2% 20ML INJ</t>
  </si>
  <si>
    <t>TR285|PAT0078</t>
  </si>
  <si>
    <t>All Payers|VERI10|VERFEN 2ML INJ</t>
  </si>
  <si>
    <t>All Payers|VERFEN 2ML INJ</t>
  </si>
  <si>
    <t>TR285|ANS0003</t>
  </si>
  <si>
    <t>All Payers|ADVR01|ADVACRYL 0 ADVA2534(AMS)</t>
  </si>
  <si>
    <t>All Payers|ADVACRYL 0 ADVA2534(AMS)</t>
  </si>
  <si>
    <t>TR285|PHY5076</t>
  </si>
  <si>
    <t>All Payers|CLIU5|CLING DRAPE 15CM*500CM(CD01-SURGIWEAR)</t>
  </si>
  <si>
    <t>All Payers|CLING DRAPE 15CM*500CM(CD01-SURGIWEAR)</t>
  </si>
  <si>
    <t>TR285|EME0016</t>
  </si>
  <si>
    <t>All Payers|ECGU48|ECG ELECTRODES ADULT(SUCHIKA)</t>
  </si>
  <si>
    <t>All Payers|ECG ELECTRODES ADULT(SUCHIKA)</t>
  </si>
  <si>
    <t>TR285|EME0018</t>
  </si>
  <si>
    <t>All Payers|IOBU02|IOBAN 56CM*45CM(6650-3M)</t>
  </si>
  <si>
    <t>All Payers|IOBAN 56CM*45CM(6650-3M)</t>
  </si>
  <si>
    <t>TR285|EME0020</t>
  </si>
  <si>
    <t>All Payers|MEPU50|MEPILEX BORDER POST-OP 10CM*35CM(496650-MOLNLYCKE)</t>
  </si>
  <si>
    <t>All Payers|MEPILEX BORDER POST-OP 10CM*35CM(496650-MOLNLYCKE)</t>
  </si>
  <si>
    <t>TR285|EME0052</t>
  </si>
  <si>
    <t>All Payers|SURU160|SURGICAL GLOVE 7.5(BLISTER PACK-SURGICARE-KANAM)</t>
  </si>
  <si>
    <t>All Payers|SURGICAL GLOVE 7.5(BLISTER PACK-SURGICARE-KANAM)</t>
  </si>
  <si>
    <t>TR285|EME0080</t>
  </si>
  <si>
    <t>All Payers|SURU84|SURGICAL BLADE 11(GLASSVAN)</t>
  </si>
  <si>
    <t>All Payers|SURGICAL BLADE 11(GLASSVAN)</t>
  </si>
  <si>
    <t>TR285|EME5045</t>
  </si>
  <si>
    <t>All Payers|SURU85|SURGICAL BLADE 22(GLASSVAN)</t>
  </si>
  <si>
    <t>All Payers|SURGICAL BLADE 22(GLASSVAN)</t>
  </si>
  <si>
    <t>TR285|EME0088</t>
  </si>
  <si>
    <t>All Payers|SYRU121|SYRINGE 50ML LL(LIFELONG)</t>
  </si>
  <si>
    <t>All Payers|SYRINGE 50ML LL(LIFELONG)</t>
  </si>
  <si>
    <t>TR285|PSY0036</t>
  </si>
  <si>
    <t>All Payers|SYRU63|SYRINGE 10ML(LIFELONG)</t>
  </si>
  <si>
    <t>All Payers|SYRINGE 10ML(LIFELONG)</t>
  </si>
  <si>
    <t>TR286|BIO0001</t>
  </si>
  <si>
    <t>All Payers|SYRU70|SYRINGE 2ML(LIFELONG)</t>
  </si>
  <si>
    <t>All Payers|SYRINGE 2ML(LIFELONG)</t>
  </si>
  <si>
    <t>TR286|BIO0002</t>
  </si>
  <si>
    <t>All Payers|UNDU17|UNDERPAD 90CM X 60CM(MAGMACARE)</t>
  </si>
  <si>
    <t>All Payers|UNDERPAD 90CM X 60CM(MAGMACARE)</t>
  </si>
  <si>
    <t>TR286|BIO0003</t>
  </si>
  <si>
    <t>All Payers|CHGC01|CHG SKIN PREP 2% 500ML(3M)</t>
  </si>
  <si>
    <t>All Payers|CHG SKIN PREP 2% 500ML(3M)</t>
  </si>
  <si>
    <t>TR286|BIO0004</t>
  </si>
  <si>
    <t>All Payers|ADVR04|ADVACRYL 1 ADVA2421P(AMS)</t>
  </si>
  <si>
    <t>All Payers|ADVACRYL 1 ADVA2421P(AMS)</t>
  </si>
  <si>
    <t>TR286|BIO0162</t>
  </si>
  <si>
    <t>All Payers|SKIS01|SKIN STAPLER 35 PIN(ADVASKN-35-AMS)</t>
  </si>
  <si>
    <t>All Payers|SKIN STAPLER 35 PIN(ADVASKN-35-AMS)</t>
  </si>
  <si>
    <t>TR286|CAR5341</t>
  </si>
  <si>
    <t>All Payers|SPOC03|SPONGE GAUZE 4 BUNDLE(STERILE)</t>
  </si>
  <si>
    <t>All Payers|SPONGE GAUZE 4 BUNDLE(STERILE)</t>
  </si>
  <si>
    <t>TR286|CAS0007</t>
  </si>
  <si>
    <t>All Payers|STIU9|STIMUPLEX NEEDLE 100MM 21G*4IN(4894260-BBRAUN)</t>
  </si>
  <si>
    <t>All Payers|STIMUPLEX NEEDLE 100MM 21G*4IN(4894260-BBRAUN)</t>
  </si>
  <si>
    <t>TR286|DIE0001</t>
  </si>
  <si>
    <t>All Payers|SURU107|SURGICAL CLIPPER BLADE ( 9680 -3M )</t>
  </si>
  <si>
    <t>All Payers|SURGICAL CLIPPER BLADE ( 9680 -3M )</t>
  </si>
  <si>
    <t>TR286|EME0017</t>
  </si>
  <si>
    <t>All Payers|SYRU90|SYRINGE 5ML(LIFELONG)</t>
  </si>
  <si>
    <t>All Payers|SYRINGE 5ML(LIFELONG)</t>
  </si>
  <si>
    <t>TR286|EME0019</t>
  </si>
  <si>
    <t>All Payers|ROPI09|ROPIZUVA 0.75% 20ML INJ</t>
  </si>
  <si>
    <t>All Payers|ROPIZUVA 0.75% 20ML INJ</t>
  </si>
  <si>
    <t>TR286|EME0087</t>
  </si>
  <si>
    <t>All Payers|ROPI16|ROPIN HEAVY 0.75% 4ML INJ</t>
  </si>
  <si>
    <t>All Payers|ROPIN HEAVY 0.75% 4ML INJ</t>
  </si>
  <si>
    <t>TR286|HSP0047</t>
  </si>
  <si>
    <t>All Payers|ADVR07|ADVACRYL 2 ADVA2478P(AMS)</t>
  </si>
  <si>
    <t>All Payers|ADVACRYL 2 ADVA2478P(AMS)</t>
  </si>
  <si>
    <t>TR286|HSP5013</t>
  </si>
  <si>
    <t>All Payers|PROS60|PRO-OPERATIVE SHOWER KIT(3M)</t>
  </si>
  <si>
    <t>All Payers|PRO-OPERATIVE SHOWER KIT(3M)</t>
  </si>
  <si>
    <t>TR286|ICC0001</t>
  </si>
  <si>
    <t>All Payers|TOPU09|TOP C NET 15CM*10M(4100-DYNA)</t>
  </si>
  <si>
    <t>All Payers|TOP C NET 15CM*10M(4100-DYNA)</t>
  </si>
  <si>
    <t>TR286|ICC0002</t>
  </si>
  <si>
    <t>All Payers|POVC01|POVINANZ SOLUTION 10% 500ML(NANZ MEDSCIENCE)</t>
  </si>
  <si>
    <t>All Payers|POVINANZ SOLUTION 10% 500ML(NANZ MEDSCIENCE)</t>
  </si>
  <si>
    <t>TR286|OTC0010</t>
  </si>
  <si>
    <t>All Payers|VASI03|VASOCON 1ML INJ</t>
  </si>
  <si>
    <t>All Payers|VASOCON 1ML INJ</t>
  </si>
  <si>
    <t>TR286|OTC5005</t>
  </si>
  <si>
    <t>All Payers|DEXI20|DEXARIL 2ML INJ</t>
  </si>
  <si>
    <t>All Payers|DEXARIL 2ML INJ</t>
  </si>
  <si>
    <t>TR286|OTI0015</t>
  </si>
  <si>
    <t>All Payers|KETI01|KETOROL 1ML INJ</t>
  </si>
  <si>
    <t>All Payers|KETOROL 1ML INJ</t>
  </si>
  <si>
    <t>TR286|OTI0018</t>
  </si>
  <si>
    <t>All Payers|CAUU19|CAUTERY PENCIL(E2516-MEDTRONIC)</t>
  </si>
  <si>
    <t>All Payers|CAUTERY PENCIL(E2516-MEDTRONIC)</t>
  </si>
  <si>
    <t>TR286|OTI0098</t>
  </si>
  <si>
    <t>All Payers|AVAC02|AVAGARD 4% CHG SCRUB 500ML(3M)</t>
  </si>
  <si>
    <t>All Payers|AVAGARD 4% CHG SCRUB 500ML(3M)</t>
  </si>
  <si>
    <t>TR286|PAT0042</t>
  </si>
  <si>
    <t>All Payers|PARI07|PARAGLASS 100ML IV</t>
  </si>
  <si>
    <t>All Payers|PARAGLASS 100ML IV</t>
  </si>
  <si>
    <t>TR286|PAT0045</t>
  </si>
  <si>
    <t>All Payers|SURU13|SURGICAL GLOVE 7.5(SURGICARE-KANAM)</t>
  </si>
  <si>
    <t>All Payers|SURGICAL GLOVE 7.5(SURGICARE-KANAM)</t>
  </si>
  <si>
    <t>TR286|PHY5082</t>
  </si>
  <si>
    <t>All Payers|SYRU83|SYRINGE 20ML(LIFELONG)</t>
  </si>
  <si>
    <t>All Payers|SYRINGE 20ML(LIFELONG)</t>
  </si>
  <si>
    <t>TR286|RNS0120</t>
  </si>
  <si>
    <t>All Payers|GLAI09|GLANTRAX 500MG 5ML INJ</t>
  </si>
  <si>
    <t>All Payers|GLANTRAX 500MG 5ML INJ</t>
  </si>
  <si>
    <t>TR286|RNS5005</t>
  </si>
  <si>
    <t>All Payers|NS0F04|NS 0.9% 500ML EH(PROPORT NS-PROMEA)</t>
  </si>
  <si>
    <t>All Payers|NS 0.9% 500ML EH(PROPORT NS-PROMEA)</t>
  </si>
  <si>
    <t>TR286|ROM0001</t>
  </si>
  <si>
    <t>All Payers|ENCU14|MICROOPTIC STERILE GLOVE 7.5(ENCORE-JK ANSELL)</t>
  </si>
  <si>
    <t>All Payers|MICROOPTIC STERILE GLOVE 7.5(ENCORE-JK ANSELL)</t>
  </si>
  <si>
    <t>TR286|ROM0024</t>
  </si>
  <si>
    <t>All Payers|GAUC92|GAUZE MOPS X-RAY 30CM*30CM*6PLY 10PCS(BMT)</t>
  </si>
  <si>
    <t>All Payers|GAUZE MOPS X-RAY 30CM*30CM*6PLY 10PCS(BMT)</t>
  </si>
  <si>
    <t>TR286|ROM0036</t>
  </si>
  <si>
    <t>All Payers|VENU8161|VENFLON-I 20G(BD)</t>
  </si>
  <si>
    <t>All Payers|VENFLON-I 20G(BD)</t>
  </si>
  <si>
    <t>TR286|ROM0093</t>
  </si>
  <si>
    <t>All Payers|NS0F08|NS 0.9% 100ML EH(PROPORT NS-PROMEA)</t>
  </si>
  <si>
    <t>All Payers|NS 0.9% 100ML EH(PROPORT NS-PROMEA)</t>
  </si>
  <si>
    <t>TR286|ROM5009</t>
  </si>
  <si>
    <t>All Payers|BEDU47|BED BATH TOWELS 300MMX240MM(PACK OF 10-MAGMACARE)</t>
  </si>
  <si>
    <t>All Payers|BED BATH TOWELS 300MMX240MM(PACK OF 10-MAGMACARE)</t>
  </si>
  <si>
    <t>TR286|ROM5189</t>
  </si>
  <si>
    <t>All Payers|ENCU12|MICROOPTIC STERILE GLOVE 7.0(ENCORE-JK ANSELL)</t>
  </si>
  <si>
    <t>All Payers|MICROOPTIC STERILE GLOVE 7.0(ENCORE-JK ANSELL)</t>
  </si>
  <si>
    <t>TR286|XRY5090</t>
  </si>
  <si>
    <t>All Payers|SURU159|SURGICAL GLOVE 7.0(BLISTER PACK-SURGICARE-KANAM)</t>
  </si>
  <si>
    <t>All Payers|SURGICAL GLOVE 7.0(BLISTER PACK-SURGICARE-KANAM)</t>
  </si>
  <si>
    <t>TR286|CAR0080</t>
  </si>
  <si>
    <t>All Payers|INJI04|INJICORT 40MG INJ</t>
  </si>
  <si>
    <t>All Payers|INJICORT 40MG INJ</t>
  </si>
  <si>
    <t>TR286|XRY044</t>
  </si>
  <si>
    <t>All Payers|PERI01|PERINORM 2ML INJ</t>
  </si>
  <si>
    <t>All Payers|PERINORM 2ML INJ</t>
  </si>
  <si>
    <t>TR286|XRY5133</t>
  </si>
  <si>
    <t>All Payers|BREU21|BREAZER SPIROMETER 5000ML(ROMSONS)</t>
  </si>
  <si>
    <t>All Payers|BREAZER SPIROMETER 5000ML(ROMSONS)</t>
  </si>
  <si>
    <t>TR286|BIO0005</t>
  </si>
  <si>
    <t>All Payers|EASU30|EASYFIX CLEAR EC 1 7CM X 8.5CM(DYNA)</t>
  </si>
  <si>
    <t>All Payers|EASYFIX CLEAR EC 1 7CM X 8.5CM(DYNA)</t>
  </si>
  <si>
    <t>TR286|BIO0064</t>
  </si>
  <si>
    <t>All Payers|IVSU25|IV SET-LL(BUYWEL)</t>
  </si>
  <si>
    <t>All Payers|IV SET-LL(BUYWEL)</t>
  </si>
  <si>
    <t>TR286|BIO0075</t>
  </si>
  <si>
    <t>All Payers|SYRU95|SYRINGE 20ML LL(LIFE LONG)</t>
  </si>
  <si>
    <t>All Payers|SYRINGE 20ML LL(LIFE LONG)</t>
  </si>
  <si>
    <t>TR286|BIO0097</t>
  </si>
  <si>
    <t>All Payers|AXII03|AXIFUR H 1.5GM INJ</t>
  </si>
  <si>
    <t>All Payers|AXIFUR H 1.5GM INJ</t>
  </si>
  <si>
    <t>TR286|BIO0098</t>
  </si>
  <si>
    <t>All Payers|SWIS29|SWIFTOLAC SYR 150ML</t>
  </si>
  <si>
    <t>All Payers|SWIFTOLAC SYR 150ML</t>
  </si>
  <si>
    <t>TR286|BIO0106</t>
  </si>
  <si>
    <t>All Payers|VACU16|VACCULINE(VACCU SUCK SUCTION SET-ROMSON)</t>
  </si>
  <si>
    <t>All Payers|VACCULINE(VACCU SUCK SUCTION SET-ROMSON)</t>
  </si>
  <si>
    <t>TR286|BIO0121</t>
  </si>
  <si>
    <t>All Payers||NS 0.9% 100ML EH(PROPORT NS-PROMEA)</t>
  </si>
  <si>
    <t>TR286|BIO0181</t>
  </si>
  <si>
    <t>All Payers|VOMI01|VOMIKIND 2ML INJ</t>
  </si>
  <si>
    <t>All Payers|VOMIKIND 2ML INJ</t>
  </si>
  <si>
    <t>TR286|BLD0001</t>
  </si>
  <si>
    <t>All Payers|CAPU32|SURGICAL CAPS</t>
  </si>
  <si>
    <t>All Payers|SURGICAL CAPS</t>
  </si>
  <si>
    <t>TR286|BLD0009</t>
  </si>
  <si>
    <t>All Payers|CAUU21|CAUTERY PAD ADULT(MEDTRONIC)</t>
  </si>
  <si>
    <t>All Payers|CAUTERY PAD ADULT(MEDTRONIC)</t>
  </si>
  <si>
    <t>TR286|BLD0024</t>
  </si>
  <si>
    <t>All Payers|COTC05|COTTON BALL STERILE(KIMS)</t>
  </si>
  <si>
    <t>All Payers|COTTON BALL STERILE(KIMS)</t>
  </si>
  <si>
    <t>TR286|PAT0007</t>
  </si>
  <si>
    <t>All Payers|MAKU03|MAKO DRAPE KIT(PRYMAX)</t>
  </si>
  <si>
    <t>All Payers|MAKO DRAPE KIT(PRYMAX)</t>
  </si>
  <si>
    <t>TR286|PAT0041</t>
  </si>
  <si>
    <t>All Payers|SPIU32|SPINAL NEEDLE 26G(BD)</t>
  </si>
  <si>
    <t>All Payers|SPINAL NEEDLE 26G(BD)</t>
  </si>
  <si>
    <t>TR286|PAT0078</t>
  </si>
  <si>
    <t>All Payers|STRR18|STRATAFIX 1 SXPP1A203(ETHICON)</t>
  </si>
  <si>
    <t>All Payers|STRATAFIX 1 SXPP1A203(ETHICON)</t>
  </si>
  <si>
    <t>TR286|ANS0003</t>
  </si>
  <si>
    <t>All Payers|THEI15|THEMIDOL 2ML INJECTION</t>
  </si>
  <si>
    <t>All Payers|THEMIDOL 2ML INJECTION</t>
  </si>
  <si>
    <t>TR286|PHY5076</t>
  </si>
  <si>
    <t>All Payers|TROI08|TROPINE 1ML INJ</t>
  </si>
  <si>
    <t>All Payers|TROPINE 1ML INJ</t>
  </si>
  <si>
    <t>TR286|EME0016</t>
  </si>
  <si>
    <t>All Payers|DIGU36|DIGITAL THERMOMETER(GLIDER-MAGMACARE)</t>
  </si>
  <si>
    <t>All Payers|DIGITAL THERMOMETER(GLIDER-MAGMACARE)</t>
  </si>
  <si>
    <t>TR286|EME0018</t>
  </si>
  <si>
    <t>All Payers|FACU81|FACE MASK 3PLY(ELASTIC-SVTC)</t>
  </si>
  <si>
    <t>All Payers|FACE MASK 3PLY(ELASTIC-SVTC)</t>
  </si>
  <si>
    <t>TR286|EME0020</t>
  </si>
  <si>
    <t>All Payers|CREU42|CREPE BANDAGE 15CM(VELSOFT-15-DATT])</t>
  </si>
  <si>
    <t>All Payers|CREPE BANDAGE 15CM(VELSOFT-15-DATT])</t>
  </si>
  <si>
    <t>TR286|EME0052</t>
  </si>
  <si>
    <t>All Payers|DIAU127|DIAPER ADULT XL 120CMX142.5CM(MAGMACARE)</t>
  </si>
  <si>
    <t>All Payers|DIAPER ADULT XL 120CMX142.5CM(MAGMACARE)</t>
  </si>
  <si>
    <t>TR286|EME0080</t>
  </si>
  <si>
    <t>All Payers|THRU09|THREE WAY EXTENSION 10CM(BD)</t>
  </si>
  <si>
    <t>All Payers|THREE WAY EXTENSION 10CM(BD)</t>
  </si>
  <si>
    <t>TR286|EME5045</t>
  </si>
  <si>
    <t>All Payers|KABF09|KABILYTE 500ML (FRESENIUS KABI) IV</t>
  </si>
  <si>
    <t>All Payers|KABILYTE 500ML (FRESENIUS KABI) IV</t>
  </si>
  <si>
    <t>TR286|EME0088</t>
  </si>
  <si>
    <t>All Payers|LOCG39|LOCAM 2% 30GM GEL</t>
  </si>
  <si>
    <t>All Payers|LOCAM 2% 30GM GEL</t>
  </si>
  <si>
    <t>TR286|PSY0036</t>
  </si>
  <si>
    <t>All Payers|NITU59|NITRILE POWDER FREE EXAMINATION GLOVES LARGE(DURAMITT-TEGAMEN)</t>
  </si>
  <si>
    <t>All Payers|NITRILE POWDER FREE EXAMINATION GLOVES LARGE(DURAMITT-TEGAMEN)</t>
  </si>
  <si>
    <t>TR287|BIO0001</t>
  </si>
  <si>
    <t>All Payers|PARI04|PARACIP 100ML INJECTION(HS)</t>
  </si>
  <si>
    <t>All Payers|PARACIP 100ML INJECTION(HS)</t>
  </si>
  <si>
    <t>TR287|BIO0002</t>
  </si>
  <si>
    <t>All Payers|PHYF01|PHYSIOMAX 500ML IV(OTSUKA)</t>
  </si>
  <si>
    <t>All Payers|PHYSIOMAX 500ML IV(OTSUKA)</t>
  </si>
  <si>
    <t>TR287|BIO0003</t>
  </si>
  <si>
    <t>All Payers|DIAU125|DIAPER ADULT LARGE 100CMX150CM(MAGMACARE)</t>
  </si>
  <si>
    <t>All Payers|DIAPER ADULT LARGE 100CMX150CM(MAGMACARE)</t>
  </si>
  <si>
    <t>TR287|BIO0004</t>
  </si>
  <si>
    <t>All Payers|ENCU10|MICROOPTIC STERILE GLOVE 6.5(ENCORE-JK ANSELL)</t>
  </si>
  <si>
    <t>All Payers|MICROOPTIC STERILE GLOVE 6.5(ENCORE-JK ANSELL)</t>
  </si>
  <si>
    <t>TR287|BIO0162</t>
  </si>
  <si>
    <t>All Payers|OXYU83|OXYGEN MASK ADULT(BUYWEL)</t>
  </si>
  <si>
    <t>All Payers|OXYGEN MASK ADULT(BUYWEL)</t>
  </si>
  <si>
    <t>TR287|CAR5341</t>
  </si>
  <si>
    <t>All Payers|PLAU74|PLASTIC PLAIN SHEET 210CMX120CM(BIOANTHEM)</t>
  </si>
  <si>
    <t>All Payers|PLASTIC PLAIN SHEET 210CMX120CM(BIOANTHEM)</t>
  </si>
  <si>
    <t>TR287|CAS0007</t>
  </si>
  <si>
    <t>All Payers|PREU127|PREFILLED FLUSH SYRINGE BLISTER PACK 10ML(RIBBEL)</t>
  </si>
  <si>
    <t>All Payers|PREFILLED FLUSH SYRINGE BLISTER PACK 10ML(RIBBEL)</t>
  </si>
  <si>
    <t>TR287|DIE0001</t>
  </si>
  <si>
    <t>All Payers|XAMI03|XAMDEX 100MCG 1ML INJ</t>
  </si>
  <si>
    <t>All Payers|XAMDEX 100MCG 1ML INJ</t>
  </si>
  <si>
    <t>TR287|EME0017</t>
  </si>
  <si>
    <t>All Payers|PMLU44|PM LINE M/F 200CM(BUYWEL)</t>
  </si>
  <si>
    <t>All Payers|PM LINE M/F 200CM(BUYWEL)</t>
  </si>
  <si>
    <t>TR287|EME0019</t>
  </si>
  <si>
    <t>All Payers|SURU158|SURGICAL GLOVE 6.5(BLISTER PACK-SURGICARE-KANAM)</t>
  </si>
  <si>
    <t>All Payers|SURGICAL GLOVE 6.5(BLISTER PACK-SURGICARE-KANAM)</t>
  </si>
  <si>
    <t>TR287|EME0087</t>
  </si>
  <si>
    <t>All Payers|ANZT01|ANZILUM 0.5MG TAB</t>
  </si>
  <si>
    <t>All Payers|ANZILUM 0.5MG TAB</t>
  </si>
  <si>
    <t>TR287|HSP0047</t>
  </si>
  <si>
    <t>All Payers|ENEU07|ENEMA 100ML</t>
  </si>
  <si>
    <t>All Payers|ENEMA 100ML</t>
  </si>
  <si>
    <t>TR287|HSP5013</t>
  </si>
  <si>
    <t>All Payers||SYRINGE 10ML(LIFELONG)</t>
  </si>
  <si>
    <t>TR287|ICC0001</t>
  </si>
  <si>
    <t>All Payers||SYRINGE 5ML(LIFELONG)</t>
  </si>
  <si>
    <t>TR287|ICC0002</t>
  </si>
  <si>
    <t>All Payers|BEDU21|BED PAN PLASTIC(BENCO)</t>
  </si>
  <si>
    <t>All Payers|BED PAN PLASTIC(BENCO)</t>
  </si>
  <si>
    <t>TR287|OTC0010</t>
  </si>
  <si>
    <t>All Payers|CREU11|LEUKOCREPE BANDAGE 15CM(72992-03-BSN)</t>
  </si>
  <si>
    <t>All Payers|LEUKOCREPE BANDAGE 15CM(72992-03-BSN)</t>
  </si>
  <si>
    <t>TR287|OTC5005</t>
  </si>
  <si>
    <t>All Payers|IVCU10|IV CANNULIZATION SET ADVANCED WITH 1683 TEGADERM(3M)</t>
  </si>
  <si>
    <t>All Payers|IV CANNULIZATION SET ADVANCED WITH 1683 TEGADERM(3M)</t>
  </si>
  <si>
    <t>TR287|OTI0015</t>
  </si>
  <si>
    <t>All Payers||THEMIDOL 2ML INJECTION</t>
  </si>
  <si>
    <t>TR287|OTI0018</t>
  </si>
  <si>
    <t>All Payers|ATRI01|ATROPINE 1ML INJ</t>
  </si>
  <si>
    <t>All Payers|ATROPINE 1ML INJ</t>
  </si>
  <si>
    <t>TR287|OTI0098</t>
  </si>
  <si>
    <t>All Payers|CEVI02|CEVISTAT 1.5GM INJECTION</t>
  </si>
  <si>
    <t>All Payers|CEVISTAT 1.5GM INJECTION</t>
  </si>
  <si>
    <t>TR287|PAT0042</t>
  </si>
  <si>
    <t>All Payers|IVFU03|IV FLOW REGULATOR(POLYFLO-POLYMED)</t>
  </si>
  <si>
    <t>All Payers|IV FLOW REGULATOR(POLYFLO-POLYMED)</t>
  </si>
  <si>
    <t>TR287|PAT0045</t>
  </si>
  <si>
    <t>All Payers|NOVI17|NOVOTAM 2MG/2ML INJ</t>
  </si>
  <si>
    <t>All Payers|NOVOTAM 2MG/2ML INJ</t>
  </si>
  <si>
    <t>TR287|PHY5082</t>
  </si>
  <si>
    <t>All Payers|NS0F10|NS 0.9% 3000ML NH(PROLINE NS-PROMEA)</t>
  </si>
  <si>
    <t>All Payers|NS 0.9% 3000ML NH(PROLINE NS-PROMEA)</t>
  </si>
  <si>
    <t>TR287|RNS0120</t>
  </si>
  <si>
    <t>All Payers|XSUI03|XSULIN R 40 IU/10ML INJECTION</t>
  </si>
  <si>
    <t>All Payers|XSULIN R 40 IU/10ML INJECTION</t>
  </si>
  <si>
    <t>TR287|RNS5005</t>
  </si>
  <si>
    <t>All Payers||UNDERPAD 90CM X 60CM(MAGMACARE)</t>
  </si>
  <si>
    <t>TR287|ROM0001</t>
  </si>
  <si>
    <t>All Payers|CAPU37|CAPS(MEDIBLUE)</t>
  </si>
  <si>
    <t>All Payers|CAPS(MEDIBLUE)</t>
  </si>
  <si>
    <t>TR287|ROM0024</t>
  </si>
  <si>
    <t>All Payers|DIAU124|DIAPER ADULT XXL 110CMX154CMS(MAGMACARE)</t>
  </si>
  <si>
    <t>All Payers|DIAPER ADULT XXL 110CMX154CMS(MAGMACARE)</t>
  </si>
  <si>
    <t>TR287|ROM0036</t>
  </si>
  <si>
    <t>All Payers|ENCU26|ENCORE LATEX UNDERGLOVE 7.5 NO(ANSELL)</t>
  </si>
  <si>
    <t>All Payers|ENCORE LATEX UNDERGLOVE 7.5 NO(ANSELL)</t>
  </si>
  <si>
    <t>TR287|ROM0093</t>
  </si>
  <si>
    <t>All Payers|FACU131|FACE MASK 3 PLY EARLOOP(PROVIN HEALTHCARE-SVTC)</t>
  </si>
  <si>
    <t>All Payers|FACE MASK 3 PLY EARLOOP(PROVIN HEALTHCARE-SVTC)</t>
  </si>
  <si>
    <t>TR287|ROM5009</t>
  </si>
  <si>
    <t>All Payers|NEEU67|NEEDLE DISPOSABLE 18G X 1.5IN(NIPRO)</t>
  </si>
  <si>
    <t>All Payers|NEEDLE DISPOSABLE 18G X 1.5IN(NIPRO)</t>
  </si>
  <si>
    <t>TR287|ROM5189</t>
  </si>
  <si>
    <t>All Payers|POSI03|POSIFLUSH SP 10ML(306575-BD)</t>
  </si>
  <si>
    <t>All Payers|POSIFLUSH SP 10ML(306575-BD)</t>
  </si>
  <si>
    <t>TR287|XRY5090</t>
  </si>
  <si>
    <t>All Payers|PURU02|PURESIGHT ARRAY SET KNEE(4515-70-011-DEPUY)</t>
  </si>
  <si>
    <t>All Payers|PURESIGHT ARRAY SET KNEE(4515-70-011-DEPUY)</t>
  </si>
  <si>
    <t>TR287|CAR0080</t>
  </si>
  <si>
    <t>All Payers|SPIU59|SPIKIER VENTE(ROMSONS)</t>
  </si>
  <si>
    <t>All Payers|SPIKIER VENTE(ROMSONS)</t>
  </si>
  <si>
    <t>TR287|XRY044</t>
  </si>
  <si>
    <t>All Payers|SYRU140|SYRINGE 3ML LL(KAREJET-ROMSONS)</t>
  </si>
  <si>
    <t>All Payers|SYRINGE 3ML LL(KAREJET-ROMSONS)</t>
  </si>
  <si>
    <t>TR287|XRY5133</t>
  </si>
  <si>
    <t>All Payers||NS 0.9% 500ML EH(PROPORT NS-PROMEA)</t>
  </si>
  <si>
    <t>TR287|BIO0005</t>
  </si>
  <si>
    <t>All Payers|ALPT01|ALPRAX 0.25MG TAB</t>
  </si>
  <si>
    <t>All Payers|ALPRAX 0.25MG TAB</t>
  </si>
  <si>
    <t>TR287|BIO0064</t>
  </si>
  <si>
    <t>All Payers|NITU57|NITRILE POWDER FREE EXAMINATION GLOVES MEDIUM(DURAMITT-TEGAMEN)</t>
  </si>
  <si>
    <t>All Payers|NITRILE POWDER FREE EXAMINATION GLOVES MEDIUM(DURAMITT-TEGAMEN)</t>
  </si>
  <si>
    <t>TR287|BIO0075</t>
  </si>
  <si>
    <t>All Payers|SMAM40|SMARTSET GHV BONE CEMENT GENTAMICIN 40GM(3095-040-DEPUY SYNTHES)</t>
  </si>
  <si>
    <t>All Payers|SMARTSET GHV BONE CEMENT GENTAMICIN 40GM(3095-040-DEPUY SYNTHES)</t>
  </si>
  <si>
    <t>TR287|BIO0097</t>
  </si>
  <si>
    <t>All Payers|COTC05|COTTON BALLS(STERILE)</t>
  </si>
  <si>
    <t>All Payers|COTTON BALLS(STERILE)</t>
  </si>
  <si>
    <t>TR287|BIO0098</t>
  </si>
  <si>
    <t>All Payers|DIGU22|DIGITAL THERMOMETER(MICROGENE)</t>
  </si>
  <si>
    <t>All Payers|DIGITAL THERMOMETER(MICROGENE)</t>
  </si>
  <si>
    <t>TR287|BIO0106</t>
  </si>
  <si>
    <t>All Payers|DISU100|PLAIN SHEET 210CM*120CM(RAJ MEDITECH)</t>
  </si>
  <si>
    <t>All Payers|PLAIN SHEET 210CM*120CM(RAJ MEDITECH)</t>
  </si>
  <si>
    <t>TR287|BIO0121</t>
  </si>
  <si>
    <t>All Payers|HIPU08|HIP U DRAPE(E511- SURGIWEAR)</t>
  </si>
  <si>
    <t>All Payers|HIP U DRAPE(E511- SURGIWEAR)</t>
  </si>
  <si>
    <t>TR287|BIO0181</t>
  </si>
  <si>
    <t>All Payers|OXYU01|OXYGEN MASK ADULT(VINJOH)</t>
  </si>
  <si>
    <t>All Payers|OXYGEN MASK ADULT(VINJOH)</t>
  </si>
  <si>
    <t>TR287|BLD0001</t>
  </si>
  <si>
    <t>All Payers|SPIU19|SPINAL NEEDLE 27G(BD)</t>
  </si>
  <si>
    <t>All Payers|SPINAL NEEDLE 27G(BD)</t>
  </si>
  <si>
    <t>TR287|BLD0009</t>
  </si>
  <si>
    <t>All Payers|SURU11|SURGICAL GLOVE 6.5(SURGICARE-KANAM)</t>
  </si>
  <si>
    <t>All Payers|SURGICAL GLOVE 6.5(SURGICARE-KANAM)</t>
  </si>
  <si>
    <t>TR287|BLD0024</t>
  </si>
  <si>
    <t>All Payers|SURU12|SURGICAL GLOVE 7.0(SURGICARE-KANAM)</t>
  </si>
  <si>
    <t>All Payers|SURGICAL GLOVE 7.0(SURGICARE-KANAM)</t>
  </si>
  <si>
    <t>TR287|PAT0007</t>
  </si>
  <si>
    <t>All Payers|VACU27|VACUUM SUCTION SET 250CM(MORRISONS)</t>
  </si>
  <si>
    <t>All Payers|VACUUM SUCTION SET 250CM(MORRISONS)</t>
  </si>
  <si>
    <t>TR287|PAT0041</t>
  </si>
  <si>
    <t>All Payers||G2K 40MG INJ</t>
  </si>
  <si>
    <t>TR287|PAT0078</t>
  </si>
  <si>
    <t>All Payers||PARACIP 100ML INJECTION(HS)</t>
  </si>
  <si>
    <t>TR287|ANS0003</t>
  </si>
  <si>
    <t>All Payers|IDII01|IDIAQUA 1ML INJ</t>
  </si>
  <si>
    <t>All Payers|IDIAQUA 1ML INJ</t>
  </si>
  <si>
    <t>TR287|PHY5076</t>
  </si>
  <si>
    <t>All Payers|IFIF01|IFIMOL 1000MG 100ML IV</t>
  </si>
  <si>
    <t>All Payers|IFIMOL 1000MG 100ML IV</t>
  </si>
  <si>
    <t>TR287|EME0016</t>
  </si>
  <si>
    <t>All Payers|MEZI01|MEZOLAM 5ML INJ</t>
  </si>
  <si>
    <t>All Payers|MEZOLAM 5ML INJ</t>
  </si>
  <si>
    <t>TR287|EME0018</t>
  </si>
  <si>
    <t>All Payers|NORF136|NORMAL SALINE 0.9% 100ML PLASTIC EH(ACULIFE)</t>
  </si>
  <si>
    <t>All Payers|NORMAL SALINE 0.9% 100ML PLASTIC EH(ACULIFE)</t>
  </si>
  <si>
    <t>TR287|EME0020</t>
  </si>
  <si>
    <t>All Payers|NS0F05|NS 0.9% 1000ML NH(PROLINE NS-PROMEA)</t>
  </si>
  <si>
    <t>All Payers|NS 0.9% 1000ML NH(PROLINE NS-PROMEA)</t>
  </si>
  <si>
    <t>TR287|EME0052</t>
  </si>
  <si>
    <t>All Payers|NS0F06|NS 0.9% 100ML NH(PRODISC NS-PROMEA)</t>
  </si>
  <si>
    <t>All Payers|NS 0.9% 100ML NH(PRODISC NS-PROMEA)</t>
  </si>
  <si>
    <t>TR287|EME0080</t>
  </si>
  <si>
    <t>All Payers|PREC103|PRENURA 75MG CAP</t>
  </si>
  <si>
    <t>All Payers|PRENURA 75MG CAP</t>
  </si>
  <si>
    <t>TR287|EME5045</t>
  </si>
  <si>
    <t>All Payers|SUPI10|SUPRIDOL 2ML INJ</t>
  </si>
  <si>
    <t>All Payers|SUPRIDOL 2ML INJ</t>
  </si>
  <si>
    <t>TR287|EME0088</t>
  </si>
  <si>
    <t>All Payers|SIMM30|SIMPLEX PALCOS BONE CEMENT(61910001-STRYKER)</t>
  </si>
  <si>
    <t>All Payers|SIMPLEX PALCOS BONE CEMENT(61910001-STRYKER)</t>
  </si>
  <si>
    <t>TR287|PSY0036</t>
  </si>
  <si>
    <t>All Payers||SYRINGE 2ML(LIFELONG)</t>
  </si>
  <si>
    <t>TR288|BIO0001</t>
  </si>
  <si>
    <t>All Payers|LATU73|LATEX EXAMINATION GLOVES-MEDIUM(NITRILE-SUCHIKA)</t>
  </si>
  <si>
    <t>All Payers|LATEX EXAMINATION GLOVES-MEDIUM(NITRILE-SUCHIKA)</t>
  </si>
  <si>
    <t>TR288|BIO0002</t>
  </si>
  <si>
    <t>All Payers|NEEU08|NEEDLES 16G*1.5 IN(HMD)</t>
  </si>
  <si>
    <t>All Payers|NEEDLES 16G*1.5 IN(HMD)</t>
  </si>
  <si>
    <t>TR288|BIO0003</t>
  </si>
  <si>
    <t>All Payers|NEEU66|NEEDLE DISPOSABLE 16G X 1.5IN(NIPRO)</t>
  </si>
  <si>
    <t>All Payers|NEEDLE DISPOSABLE 16G X 1.5IN(NIPRO)</t>
  </si>
  <si>
    <t>TR288|BIO0004</t>
  </si>
  <si>
    <t>All Payers||VOMIKIND 2ML INJ</t>
  </si>
  <si>
    <t>TR288|BIO0162</t>
  </si>
  <si>
    <t>All Payers|GB2C01|GB 29-75MG CAPSULE</t>
  </si>
  <si>
    <t>All Payers|GB 29-75MG CAPSULE</t>
  </si>
  <si>
    <t>TR288|CAR5341</t>
  </si>
  <si>
    <t>All Payers|BEDU36|BED BATH TOWEL 300MM*240MM 10S PACK(WIPEX-ROMSONS)</t>
  </si>
  <si>
    <t>All Payers|BED BATH TOWEL 300MM*240MM 10S PACK(WIPEX-ROMSONS)</t>
  </si>
  <si>
    <t>TR288|CAS0007</t>
  </si>
  <si>
    <t>All Payers|CARU60|C ARM COVER POLY 2PIECE(P0325-PRIMEWEAR)</t>
  </si>
  <si>
    <t>All Payers|C ARM COVER POLY 2PIECE(P0325-PRIMEWEAR)</t>
  </si>
  <si>
    <t>TR288|DIE0001</t>
  </si>
  <si>
    <t>All Payers|LEGU6|LEG U DRAPE(PRIMEWEAR)</t>
  </si>
  <si>
    <t>All Payers|LEG U DRAPE(PRIMEWEAR)</t>
  </si>
  <si>
    <t>TR288|EME0017</t>
  </si>
  <si>
    <t>All Payers|MAKM01|107120 MAKO VIZADISCS</t>
  </si>
  <si>
    <t>All Payers|107120 MAKO VIZADISCS</t>
  </si>
  <si>
    <t>TR288|EME0019</t>
  </si>
  <si>
    <t>All Payers|MICU137|MICS SAGITTAL BLADE STANDARD(116170-STRYKER)</t>
  </si>
  <si>
    <t>All Payers|MICS SAGITTAL BLADE STANDARD(116170-STRYKER)</t>
  </si>
  <si>
    <t>TR288|EME0087</t>
  </si>
  <si>
    <t>All Payers|SPIU05|SPINAL NEEDLE 25G(BD)</t>
  </si>
  <si>
    <t>All Payers|SPINAL NEEDLE 25G(BD)</t>
  </si>
  <si>
    <t>TR288|HSP0047</t>
  </si>
  <si>
    <t>All Payers|SURU10|SURGICAL GLOVE 6.0(SURGICARE-KANAM)</t>
  </si>
  <si>
    <t>All Payers|SURGICAL GLOVE 6.0(SURGICARE-KANAM)</t>
  </si>
  <si>
    <t>TR288|HSP5013</t>
  </si>
  <si>
    <t>All Payers|SYRU119|SYRINGE 5ML LL(LIFE LONG)</t>
  </si>
  <si>
    <t>All Payers|SYRINGE 5ML LL(LIFE LONG)</t>
  </si>
  <si>
    <t>TR288|ICC0001</t>
  </si>
  <si>
    <t>All Payers|VOLU08|VOLDYNE SPIROMETER LUNG EXERCISER 4000ML(8884719016-MEDLINE)</t>
  </si>
  <si>
    <t>All Payers|VOLDYNE SPIROMETER LUNG EXERCISER 4000ML(8884719016-MEDLINE)</t>
  </si>
  <si>
    <t>TR288|ICC0002</t>
  </si>
  <si>
    <t>All Payers|DEPI16|DEPOCILONE 40MG INJ</t>
  </si>
  <si>
    <t>All Payers|DEPOCILONE 40MG INJ</t>
  </si>
  <si>
    <t>TR288|OTC0010</t>
  </si>
  <si>
    <t>All Payers|JUSI02|JUSTIN AQ 1ML INJ</t>
  </si>
  <si>
    <t>All Payers|JUSTIN AQ 1ML INJ</t>
  </si>
  <si>
    <t>TR288|OTC5005</t>
  </si>
  <si>
    <t>All Payers|MIDI09|MIDFAST 5ML INJ</t>
  </si>
  <si>
    <t>All Payers|MIDFAST 5ML INJ</t>
  </si>
  <si>
    <t>TR288|OTI0015</t>
  </si>
  <si>
    <t>All Payers|NORF140|NORMAL SALINE 0.9% 500ML FREEPORT/FLEXI(UNIBAG-ACULIFE)</t>
  </si>
  <si>
    <t>All Payers|NORMAL SALINE 0.9% 500ML FREEPORT/FLEXI(UNIBAG-ACULIFE)</t>
  </si>
  <si>
    <t>TR288|OTI0018</t>
  </si>
  <si>
    <t>All Payers|NORF177|NORMAL SALINE 0.9% 3000ML EH(ACULIFE)</t>
  </si>
  <si>
    <t>All Payers|NORMAL SALINE 0.9% 3000ML EH(ACULIFE)</t>
  </si>
  <si>
    <t>TR288|OTI0098</t>
  </si>
  <si>
    <t>All Payers|NORF90|NORMAL SALINE 0.9% 500ML PLASTIC EH(FRESENIUS)</t>
  </si>
  <si>
    <t>All Payers|NORMAL SALINE 0.9% 500ML PLASTIC EH(FRESENIUS)</t>
  </si>
  <si>
    <t>TR288|PAT0042</t>
  </si>
  <si>
    <t>All Payers|REST03|RESTYL 0.25MG TAB</t>
  </si>
  <si>
    <t>All Payers|RESTYL 0.25MG TAB</t>
  </si>
  <si>
    <t>TR288|PAT0045</t>
  </si>
  <si>
    <t>All Payers|ARRU07|ARRAY DRILL PIN 4X175MM(4515-70-006-DEPUY SYNTHES)</t>
  </si>
  <si>
    <t>All Payers|ARRAY DRILL PIN 4X175MM(4515-70-006-DEPUY SYNTHES)</t>
  </si>
  <si>
    <t>TR288|PHY5082</t>
  </si>
  <si>
    <t>All Payers|BONM151|SIMPLEX P BONE CEMENT 40GM(6191-0-001-STRYKER CORP)</t>
  </si>
  <si>
    <t>All Payers|SIMPLEX P BONE CEMENT 40GM(6191-0-001-STRYKER CORP)</t>
  </si>
  <si>
    <t>TR288|RNS0120</t>
  </si>
  <si>
    <t>All Payers||SYRINGE 3ML LL(KAREJET-ROMSONS)</t>
  </si>
  <si>
    <t>TR288|RNS5005</t>
  </si>
  <si>
    <t>All Payers|ENCU13|MICROOPTIC STERILE GLOVE 8.0(ENCORE-JK ANSELL)</t>
  </si>
  <si>
    <t>All Payers|MICROOPTIC STERILE GLOVE 8.0(ENCORE-JK ANSELL)</t>
  </si>
  <si>
    <t>TR288|ROM0001</t>
  </si>
  <si>
    <t>All Payers|ENCU24|ENCORE LATEX UNDERGLOVE 7.0 NO(ANSELL)</t>
  </si>
  <si>
    <t>All Payers|ENCORE LATEX UNDERGLOVE 7.0 NO(ANSELL)</t>
  </si>
  <si>
    <t>TR288|ROM0024</t>
  </si>
  <si>
    <t>All Payers|GDRU06|G DRESS-5 5CM*6CM(GD5-SURGIWEAR )</t>
  </si>
  <si>
    <t>All Payers|G DRESS-5 5CM*6CM(GD5-SURGIWEAR )</t>
  </si>
  <si>
    <t>TR288|ROM0036</t>
  </si>
  <si>
    <t>All Payers|MOPC04|MOPS WITH X-RAY DETECTABLE FILAMENT 6PLY 25CM*25CM(READY GAUGE-BMT)</t>
  </si>
  <si>
    <t>All Payers|MOPS WITH X-RAY DETECTABLE FILAMENT 6PLY 25CM*25CM(READY GAUGE-BMT)</t>
  </si>
  <si>
    <t>TR288|ROM0093</t>
  </si>
  <si>
    <t>All Payers|PMLU33|PM LINE M/F 200CM(LIFE-O-LINE)</t>
  </si>
  <si>
    <t>All Payers|PM LINE M/F 200CM(LIFE-O-LINE)</t>
  </si>
  <si>
    <t>TR288|ROM5009</t>
  </si>
  <si>
    <t>All Payers|STEU256|STERILE DRAPE KIT(4515-70-018-DEPUY)</t>
  </si>
  <si>
    <t>All Payers|STERILE DRAPE KIT(4515-70-018-DEPUY)</t>
  </si>
  <si>
    <t>TR288|ROM5189</t>
  </si>
  <si>
    <t>All Payers|STRR05|STRATAFIX SYMMETRIC PDS PLUS 1 SXPP1A201(ETHICON)</t>
  </si>
  <si>
    <t>All Payers|STRATAFIX SYMMETRIC PDS PLUS 1 SXPP1A201(ETHICON)</t>
  </si>
  <si>
    <t>TR288|XRY5090</t>
  </si>
  <si>
    <t>All Payers|SURU69|SURGICAL BLADE 15(GLASSVAN)</t>
  </si>
  <si>
    <t>All Payers|SURGICAL BLADE 15(GLASSVAN)</t>
  </si>
  <si>
    <t>TR288|CAR0080</t>
  </si>
  <si>
    <t>All Payers|SYRU49|SYRINGE 3ML LUERLOCK(BD)</t>
  </si>
  <si>
    <t>All Payers|SYRINGE 3ML LUERLOCK(BD)</t>
  </si>
  <si>
    <t>TR288|XRY044</t>
  </si>
  <si>
    <t>All Payers|SYRU75|SYRINGE INSULIN 1ML 31G NEEDLE 40 UNITS(HMD)</t>
  </si>
  <si>
    <t>All Payers|SYRINGE INSULIN 1ML 31G NEEDLE 40 UNITS(HMD)</t>
  </si>
  <si>
    <t>TR288|XRY5133</t>
  </si>
  <si>
    <t>All Payers|THRU08|THREE WAY EXTENSION 10CM(POLYMED)</t>
  </si>
  <si>
    <t>All Payers|THREE WAY EXTENSION 10CM(POLYMED)</t>
  </si>
  <si>
    <t>TR288|BIO0005</t>
  </si>
  <si>
    <t>All Payers|THRU61|THR/TKR KIT(SMART PACK-MEDLINE)</t>
  </si>
  <si>
    <t>All Payers|THR/TKR KIT(SMART PACK-MEDLINE)</t>
  </si>
  <si>
    <t>TR288|BIO0064</t>
  </si>
  <si>
    <t>All Payers|URIU35|URINAL POT MALE FEMALE(ALPHA MEDICARE AND DEVICES)</t>
  </si>
  <si>
    <t>All Payers|URINAL POT MALE FEMALE(ALPHA MEDICARE AND DEVICES)</t>
  </si>
  <si>
    <t>TR288|BIO0075</t>
  </si>
  <si>
    <t>All Payers|VENU57|VENFLON PRO SAFETY 20G(BD)</t>
  </si>
  <si>
    <t>All Payers|VENFLON PRO SAFETY 20G(BD)</t>
  </si>
  <si>
    <t>TR288|BIO0097</t>
  </si>
  <si>
    <t>All Payers||ENOXATIL 40MG INJ</t>
  </si>
  <si>
    <t>TR288|BIO0098</t>
  </si>
  <si>
    <t>All Payers|AVII01|AVIL 2ML INJ</t>
  </si>
  <si>
    <t>All Payers|AVIL 2ML INJ</t>
  </si>
  <si>
    <t>TR288|BIO0106</t>
  </si>
  <si>
    <t>All Payers|NORF45|NORMAL SALINE 1000ML(PLASTIC)(ACULIFE)</t>
  </si>
  <si>
    <t>All Payers|NORMAL SALINE 1000ML(PLASTIC)(ACULIFE)</t>
  </si>
  <si>
    <t>TR288|BIO0121</t>
  </si>
  <si>
    <t>All Payers|NORF93|NORMAL SALINE 0.9% 500ML FREEFLEX(FRESENIUS)</t>
  </si>
  <si>
    <t>All Payers|NORMAL SALINE 0.9% 500ML FREEFLEX(FRESENIUS)</t>
  </si>
  <si>
    <t>TR288|BIO0181</t>
  </si>
  <si>
    <t>All Payers|LEGU37|LEG U DRAPE(D501-SURGIWARE)</t>
  </si>
  <si>
    <t>All Payers|LEG U DRAPE(D501-SURGIWARE)</t>
  </si>
  <si>
    <t>TR288|BLD0001</t>
  </si>
  <si>
    <t>All Payers|SURU14|SURGICAL GLOVE 8.0(SURGICARE-KANAM)</t>
  </si>
  <si>
    <t>All Payers|SURGICAL GLOVE 8.0(SURGICARE-KANAM)</t>
  </si>
  <si>
    <t>TR288|BLD0009</t>
  </si>
  <si>
    <t>All Payers|SYRU137|SYRINGE INSULIN 1ML 31G NEEDLE (40 UNITS)(NIPRO)</t>
  </si>
  <si>
    <t>All Payers|SYRINGE INSULIN 1ML 31G NEEDLE (40 UNITS)(NIPRO)</t>
  </si>
  <si>
    <t>TR288|BLD0024</t>
  </si>
  <si>
    <t>All Payers|HORP04|HORLICKS DIABETES PLUS VANILLA 400GM</t>
  </si>
  <si>
    <t>All Payers|HORLICKS DIABETES PLUS VANILLA 400GM</t>
  </si>
  <si>
    <t>TR288|PAT0007</t>
  </si>
  <si>
    <t>All Payers|LOXI6|LOXICARD 2% 50ML INJ</t>
  </si>
  <si>
    <t>All Payers|LOXICARD 2% 50ML INJ</t>
  </si>
  <si>
    <t>TR288|PAT0041</t>
  </si>
  <si>
    <t>All Payers|MEPI18|MEPUP 10ML INJ</t>
  </si>
  <si>
    <t>All Payers|MEPUP 10ML INJ</t>
  </si>
  <si>
    <t>TR288|PAT0078</t>
  </si>
  <si>
    <t>All Payers|NORF140|NORMAL SALINE 0.9% 500ML FLEXIFLOW(UNIBAG-ACULIFE)</t>
  </si>
  <si>
    <t>All Payers|NORMAL SALINE 0.9% 500ML FLEXIFLOW(UNIBAG-ACULIFE)</t>
  </si>
  <si>
    <t>TR288|ANS0003</t>
  </si>
  <si>
    <t>All Payers|NORF72|NORMAL SALINE 0.9% 3000ML PLASTIC(PENTAGON)</t>
  </si>
  <si>
    <t>All Payers|NORMAL SALINE 0.9% 3000ML PLASTIC(PENTAGON)</t>
  </si>
  <si>
    <t>TR288|PHY5076</t>
  </si>
  <si>
    <t>All Payers|SYRU122|SYRINGES INSULIN 1ML 40 IU(POLYMED)</t>
  </si>
  <si>
    <t>All Payers|SYRINGES INSULIN 1ML 40 IU(POLYMED)</t>
  </si>
  <si>
    <t>TR288|EME0016</t>
  </si>
  <si>
    <t>All Payers|ATTM168|ATTUNE TIBIAL BASEPLATE FIXED BEARING REVISION CEMENTED CONSTRAINED KNEE 3(1506-40-003-DEPUY SYNTHES)</t>
  </si>
  <si>
    <t>All Payers|ATTUNE TIBIAL BASEPLATE FIXED BEARING REVISION CEMENTED CONSTRAINED KNEE 3(1506-40-003-DEPUY SYNTHES)</t>
  </si>
  <si>
    <t>TR288|EME0018</t>
  </si>
  <si>
    <t>All Payers||BED BATH TOWELS 300MMX240MM(PACK OF 10-MAGMACARE)</t>
  </si>
  <si>
    <t>TR288|EME0020</t>
  </si>
  <si>
    <t>All Payers||SYRINGE 5ML LL(LIFE LONG)</t>
  </si>
  <si>
    <t>TR288|EME0052</t>
  </si>
  <si>
    <t>All Payers|NEBU29|NEBULIZER MASK ADULT(LIFE-O-LINE)</t>
  </si>
  <si>
    <t>All Payers|NEBULIZER MASK ADULT(LIFE-O-LINE)</t>
  </si>
  <si>
    <t>TR288|EME0080</t>
  </si>
  <si>
    <t>All Payers|PREU128|PREFILLED FLUSH SYRINGE BLISTER PACK 5ML(RIBBEL)</t>
  </si>
  <si>
    <t>All Payers|PREFILLED FLUSH SYRINGE BLISTER PACK 5ML(RIBBEL)</t>
  </si>
  <si>
    <t>TR288|EME5045</t>
  </si>
  <si>
    <t>All Payers|SAGM04|SAGITAL STRIKER BLADE MEDIUM/LONG(2108-109-000-STRYKER)</t>
  </si>
  <si>
    <t>All Payers|SAGITAL STRIKER BLADE MEDIUM/LONG(2108-109-000-STRYKER)</t>
  </si>
  <si>
    <t>TR288|EME0088</t>
  </si>
  <si>
    <t>All Payers|SAGM13|116171 MICS SAGITTAL BLADE NARROW</t>
  </si>
  <si>
    <t>All Payers|116171 MICS SAGITTAL BLADE NARROW</t>
  </si>
  <si>
    <t>TR288|PSY0036</t>
  </si>
  <si>
    <t>All Payers|STEU194|STERILE DRAPE KIT(4515-70-008-DEPUY)</t>
  </si>
  <si>
    <t>All Payers|STERILE DRAPE KIT(4515-70-008-DEPUY)</t>
  </si>
  <si>
    <t>TR289|BIO0001</t>
  </si>
  <si>
    <t>All Payers|SURU182|SURGEON GOWN REINFORCED 5515</t>
  </si>
  <si>
    <t>All Payers|SURGEON GOWN REINFORCED 5515</t>
  </si>
  <si>
    <t>TR289|BIO0002</t>
  </si>
  <si>
    <t>All Payers|SYRU120|SYRINGE 10ML LL(LIFE LONG)</t>
  </si>
  <si>
    <t>All Payers|SYRINGE 10ML LL(LIFE LONG)</t>
  </si>
  <si>
    <t>TR289|BIO0003</t>
  </si>
  <si>
    <t>All Payers|SYRU136|SYRINGE 5ML(DISPOJEKT-HMD)</t>
  </si>
  <si>
    <t>All Payers|SYRINGE 5ML(DISPOJEKT-HMD)</t>
  </si>
  <si>
    <t>TR289|BIO0004</t>
  </si>
  <si>
    <t>All Payers||IV FLOW REGULATOR(POLYFLO-POLYMED)</t>
  </si>
  <si>
    <t>TR289|BIO0162</t>
  </si>
  <si>
    <t>All Payers||NOVOTAM 2MG/2ML INJ</t>
  </si>
  <si>
    <t>TR289|CAR5341</t>
  </si>
  <si>
    <t>All Payers|ADRI15|ADRENALINE 1MG INJECTION</t>
  </si>
  <si>
    <t>All Payers|ADRENALINE 1MG INJECTION</t>
  </si>
  <si>
    <t>TR289|CAS0007</t>
  </si>
  <si>
    <t>All Payers|DERI03|DERINIDE RESPULES 0.5MG</t>
  </si>
  <si>
    <t>All Payers|DERINIDE RESPULES 0.5MG</t>
  </si>
  <si>
    <t>TR289|DIE0001</t>
  </si>
  <si>
    <t>All Payers|DEXI13|DEXTOMID 100MCG 1ML INJ</t>
  </si>
  <si>
    <t>All Payers|DEXTOMID 100MCG 1ML INJ</t>
  </si>
  <si>
    <t>TR289|EME0017</t>
  </si>
  <si>
    <t>All Payers|GLYI06|GLYCOGEM 0.2MG INJECTION</t>
  </si>
  <si>
    <t>All Payers|GLYCOGEM 0.2MG INJECTION</t>
  </si>
  <si>
    <t>TR289|EME0019</t>
  </si>
  <si>
    <t>All Payers|HORP04|HORLICKS DIABETES + VANILLA 400GM POWDER</t>
  </si>
  <si>
    <t>All Payers|HORLICKS DIABETES + VANILLA 400GM POWDER</t>
  </si>
  <si>
    <t>TR289|EME0087</t>
  </si>
  <si>
    <t>All Payers|NORF39|NORMAL SALINE 0.9% 500ML(PLASTIC)(ACULIFE)</t>
  </si>
  <si>
    <t>All Payers|NORMAL SALINE 0.9% 500ML(PLASTIC)(ACULIFE)</t>
  </si>
  <si>
    <t>TR289|HSP0047</t>
  </si>
  <si>
    <t>All Payers|NS0F11|NS 0.9% 500ML NH(PRODISC NS-PROMEA)</t>
  </si>
  <si>
    <t>All Payers|NS 0.9% 500ML NH(PRODISC NS-PROMEA)</t>
  </si>
  <si>
    <t>TR289|HSP5013</t>
  </si>
  <si>
    <t>All Payers|RL5F18|RL 500ML IV NH(PRORING RL-PROMEA)</t>
  </si>
  <si>
    <t>All Payers|RL 500ML IV NH(PRORING RL-PROMEA)</t>
  </si>
  <si>
    <t>TR289|ICC0001</t>
  </si>
  <si>
    <t>All Payers|SALR03|SALBAIR I NEB 1.25MG TRANSPULES</t>
  </si>
  <si>
    <t>All Payers|SALBAIR I NEB 1.25MG TRANSPULES</t>
  </si>
  <si>
    <t>TR289|ICC0002</t>
  </si>
  <si>
    <t>All Payers|THYT60|THYRORITE 25MCG TAB</t>
  </si>
  <si>
    <t>All Payers|THYRORITE 25MCG TAB</t>
  </si>
  <si>
    <t>TR289|OTC0010</t>
  </si>
  <si>
    <t>All Payers|WOSI02|WOSULIN-R 40 IU/ML 10ML INJ</t>
  </si>
  <si>
    <t>All Payers|WOSULIN-R 40 IU/ML 10ML INJ</t>
  </si>
  <si>
    <t>TR289|OTC5005</t>
  </si>
  <si>
    <t>All Payers|TRIM110|TRIATHLON X3 TIBIAL BEARING INSERT CS SIZE-3*9MM(5531G309E-STRYKER)</t>
  </si>
  <si>
    <t>All Payers|TRIATHLON X3 TIBIAL BEARING INSERT CS SIZE-3*9MM(5531G309E-STRYKER)</t>
  </si>
  <si>
    <t>TR289|OTI0015</t>
  </si>
  <si>
    <t>All Payers|TRIM132|5510F402 TRIATHLON CR FEMORAL CEMENT RIGHT 4</t>
  </si>
  <si>
    <t>All Payers|5510F402 TRIATHLON CR FEMORAL CEMENT RIGHT 4</t>
  </si>
  <si>
    <t>TR289|OTI0018</t>
  </si>
  <si>
    <t>All Payers|TRIM187|TRIATHLON TIBIAL BASEPLATE CEMENTED 2 UNIVERSAL(5521-B-200-STRYKER CORP)</t>
  </si>
  <si>
    <t>All Payers|TRIATHLON TIBIAL BASEPLATE CEMENTED 2 UNIVERSAL(5521-B-200-STRYKER CORP)</t>
  </si>
  <si>
    <t>TR289|OTI0098</t>
  </si>
  <si>
    <t>All Payers|TRIM188|5521B300 TRIATHLON UNIVERSAL BP 3(STRYKER)</t>
  </si>
  <si>
    <t>All Payers|5521B300 TRIATHLON UNIVERSAL BP 3(STRYKER)</t>
  </si>
  <si>
    <t>TR289|PAT0042</t>
  </si>
  <si>
    <t>All Payers||DIAPER ADULT XXL 110CMX154CMS(MAGMACARE)</t>
  </si>
  <si>
    <t>TR289|PAT0045</t>
  </si>
  <si>
    <t>All Payers||PREFILLED FLUSH SYRINGE BLISTER PACK 10ML(RIBBEL)</t>
  </si>
  <si>
    <t>TR289|PHY5082</t>
  </si>
  <si>
    <t>All Payers|EEXU02|EEXTRA LINE TRIO 15CM(GS-3178T-ROMSONS)</t>
  </si>
  <si>
    <t>All Payers|EEXTRA LINE TRIO 15CM(GS-3178T-ROMSONS)</t>
  </si>
  <si>
    <t>TR289|RNS0120</t>
  </si>
  <si>
    <t>All Payers|EPIU02|EPIDURAL MINIPACK SYSTEM-1 18G(PORTEX)</t>
  </si>
  <si>
    <t>All Payers|EPIDURAL MINIPACK SYSTEM-1 18G(PORTEX)</t>
  </si>
  <si>
    <t>TR289|RNS5005</t>
  </si>
  <si>
    <t>All Payers|IVSU38|IV SET(INTRACARE BCV-ROMSONS)</t>
  </si>
  <si>
    <t>All Payers|IV SET(INTRACARE BCV-ROMSONS)</t>
  </si>
  <si>
    <t>TR289|ROM0001</t>
  </si>
  <si>
    <t>All Payers|KWIM176|KIRSCHNER SURGICAL WIRE STERILE 2.5X150MM(1450.S.2.5.150-OROMED)</t>
  </si>
  <si>
    <t>All Payers|KIRSCHNER SURGICAL WIRE STERILE 2.5X150MM(1450.S.2.5.150-OROMED)</t>
  </si>
  <si>
    <t>TR289|ROM0024</t>
  </si>
  <si>
    <t>All Payers|MICU115|MICRO POLYSITE PLUS (DUO) EXTENSION(POLYMED)</t>
  </si>
  <si>
    <t>All Payers|MICRO POLYSITE PLUS (DUO) EXTENSION(POLYMED)</t>
  </si>
  <si>
    <t>TR289|ROM0036</t>
  </si>
  <si>
    <t>All Payers|OSCU03|OSCILLATING SAW BLADE 85MMX19X2MM(4515-70-000-DEPUY)</t>
  </si>
  <si>
    <t>All Payers|OSCILLATING SAW BLADE 85MMX19X2MM(4515-70-000-DEPUY)</t>
  </si>
  <si>
    <t>TR289|ROM0093</t>
  </si>
  <si>
    <t>All Payers|OXYU72|OXYGEN MASK ADULT(FLEXI COMFORT-ROMSON)</t>
  </si>
  <si>
    <t>All Payers|OXYGEN MASK ADULT(FLEXI COMFORT-ROMSON)</t>
  </si>
  <si>
    <t>TR289|ROM5009</t>
  </si>
  <si>
    <t>All Payers|PMLU46|PM LINE M/M 200CM(BUYWEL)</t>
  </si>
  <si>
    <t>All Payers|PM LINE M/M 200CM(BUYWEL)</t>
  </si>
  <si>
    <t>TR289|ROM5189</t>
  </si>
  <si>
    <t>All Payers|SAGM05|SAGITTAL BLADE LONG NARROW THIN(2108-103-000-STRYKER)</t>
  </si>
  <si>
    <t>All Payers|SAGITTAL BLADE LONG NARROW THIN(2108-103-000-STRYKER)</t>
  </si>
  <si>
    <t>TR289|XRY5090</t>
  </si>
  <si>
    <t>All Payers|STEI10|STERILE WATER 10ML(ACULIFE)</t>
  </si>
  <si>
    <t>All Payers|STERILE WATER 10ML(ACULIFE)</t>
  </si>
  <si>
    <t>TR289|CAR0080</t>
  </si>
  <si>
    <t>All Payers|SURU157|SURGICAL GLOVE 6.0(BLISTER PACK-SURGICARE-KANAM)</t>
  </si>
  <si>
    <t>All Payers|SURGICAL GLOVE 6.0(BLISTER PACK-SURGICARE-KANAM)</t>
  </si>
  <si>
    <t>TR289|XRY044</t>
  </si>
  <si>
    <t>All Payers|SURU337|SURGICAL GOWN STERILE PRIMARY PLUS HP XL LEVEL-3(MOLNLYCKE)</t>
  </si>
  <si>
    <t>All Payers|SURGICAL GOWN STERILE PRIMARY PLUS HP XL LEVEL-3(MOLNLYCKE)</t>
  </si>
  <si>
    <t>TR289|XRY5133</t>
  </si>
  <si>
    <t>All Payers|SYRU88|SYRINGE 10ML LL(BD)</t>
  </si>
  <si>
    <t>All Payers|SYRINGE 10ML LL(BD)</t>
  </si>
  <si>
    <t>TR289|BIO0005</t>
  </si>
  <si>
    <t>All Payers|THRU79|THREE WAY EXTENSION 10CM(DISPOWAY+-HMD)</t>
  </si>
  <si>
    <t>All Payers|THREE WAY EXTENSION 10CM(DISPOWAY+-HMD)</t>
  </si>
  <si>
    <t>TR289|BIO0064</t>
  </si>
  <si>
    <t>All Payers|VENU8160|VENFLON-I 22G(BD)</t>
  </si>
  <si>
    <t>All Payers|VENFLON-I 22G(BD)</t>
  </si>
  <si>
    <t>TR289|BIO0075</t>
  </si>
  <si>
    <t>All Payers||IDIAQUA 1ML INJ</t>
  </si>
  <si>
    <t>TR289|BIO0097</t>
  </si>
  <si>
    <t>All Payers||NITRILE POWDER FREE EXAMINATION GLOVES MEDIUM(DURAMITT-TEGAMEN)</t>
  </si>
  <si>
    <t>TR289|BIO0098</t>
  </si>
  <si>
    <t>All Payers||RL 500ML IV NH(PRORING RL-PROMEA)</t>
  </si>
  <si>
    <t>TR289|BIO0106</t>
  </si>
  <si>
    <t>All Payers||SUPRIDOL 2ML INJ</t>
  </si>
  <si>
    <t>TR289|BIO0121</t>
  </si>
  <si>
    <t>All Payers|ANAI01|ANAWIN 0.25% 20ML INJ</t>
  </si>
  <si>
    <t>All Payers|ANAWIN 0.25% 20ML INJ</t>
  </si>
  <si>
    <t>TR289|BIO0181</t>
  </si>
  <si>
    <t>All Payers|ANZT02|ANZILIUM 0.25 MG TAB</t>
  </si>
  <si>
    <t>All Payers|ANZILIUM 0.25 MG TAB</t>
  </si>
  <si>
    <t>TR289|BLD0001</t>
  </si>
  <si>
    <t>All Payers|ASTI01|ASTHALIN RESPULES 2.5ML</t>
  </si>
  <si>
    <t>All Payers|ASTHALIN RESPULES 2.5ML</t>
  </si>
  <si>
    <t>TR289|BLD0009</t>
  </si>
  <si>
    <t>All Payers|AZTT03|AZTOR 10MG TAB</t>
  </si>
  <si>
    <t>All Payers|AZTOR 10MG TAB</t>
  </si>
  <si>
    <t>TR289|BLD0024</t>
  </si>
  <si>
    <t>All Payers|BUPI09|BUPITROY HEAVY 4ML INJ</t>
  </si>
  <si>
    <t>All Payers|BUPITROY HEAVY 4ML INJ</t>
  </si>
  <si>
    <t>TR289|PAT0007</t>
  </si>
  <si>
    <t>All Payers|BUPP01|BUPRIGESIC 10MCG PATCH</t>
  </si>
  <si>
    <t>All Payers|BUPRIGESIC 10MCG PATCH</t>
  </si>
  <si>
    <t>TR289|PAT0041</t>
  </si>
  <si>
    <t>All Payers|CALI01|CALCIUM GLUCONATE 10ML INJ</t>
  </si>
  <si>
    <t>All Payers|CALCIUM GLUCONATE 10ML INJ</t>
  </si>
  <si>
    <t>TR289|PAT0078</t>
  </si>
  <si>
    <t>All Payers|CORI02|CORT S 100MG INJ</t>
  </si>
  <si>
    <t>All Payers|CORT S 100MG INJ</t>
  </si>
  <si>
    <t>TR289|ANS0003</t>
  </si>
  <si>
    <t>All Payers|CURU43|CUROS DISINFECTING CAP STRIP FOR MALE LUERS(3M)</t>
  </si>
  <si>
    <t>All Payers|CUROS DISINFECTING CAP STRIP FOR MALE LUERS(3M)</t>
  </si>
  <si>
    <t>TR289|PHY5076</t>
  </si>
  <si>
    <t>All Payers|DICI13|DICLORAN AQ 75MG/1ML INJECTION</t>
  </si>
  <si>
    <t>All Payers|DICLORAN AQ 75MG/1ML INJECTION</t>
  </si>
  <si>
    <t>TR289|EME0016</t>
  </si>
  <si>
    <t>All Payers|FORR01|FORMONIDE REPSULES 0.5MG</t>
  </si>
  <si>
    <t>All Payers|FORMONIDE REPSULES 0.5MG</t>
  </si>
  <si>
    <t>TR289|EME0018</t>
  </si>
  <si>
    <t>All Payers|GEMT3|GEMER 1MG TAB</t>
  </si>
  <si>
    <t>All Payers|GEMER 1MG TAB</t>
  </si>
  <si>
    <t>TR289|EME0020</t>
  </si>
  <si>
    <t>All Payers|HISI03|HISONE-100MG INJ</t>
  </si>
  <si>
    <t>All Payers|HISONE-100MG INJ</t>
  </si>
  <si>
    <t>TR289|EME0052</t>
  </si>
  <si>
    <t>All Payers|LOCI04|LOCAM A 2% 30ML INJECTION</t>
  </si>
  <si>
    <t>All Payers|LOCAM A 2% 30ML INJECTION</t>
  </si>
  <si>
    <t>TR289|EME0080</t>
  </si>
  <si>
    <t>All Payers|LOXI8|LOX 2% ADRENALINE 30ML INJ</t>
  </si>
  <si>
    <t>All Payers|LOX 2% ADRENALINE 30ML INJ</t>
  </si>
  <si>
    <t>TR289|EME5045</t>
  </si>
  <si>
    <t>All Payers|LYCI02|LYCORTIN-S 100MG INJ</t>
  </si>
  <si>
    <t>All Payers|LYCORTIN-S 100MG INJ</t>
  </si>
  <si>
    <t>TR289|EME0088</t>
  </si>
  <si>
    <t>All Payers|MAGI04|MAGNESIUM SULPHATE 2ML INJ</t>
  </si>
  <si>
    <t>All Payers|MAGNESIUM SULPHATE 2ML INJ</t>
  </si>
  <si>
    <t>TR289|PSY0036</t>
  </si>
  <si>
    <t>All Payers|MAXC5|MAXGALIN 75MG CAP</t>
  </si>
  <si>
    <t>All Payers|MAXGALIN 75MG CAP</t>
  </si>
  <si>
    <t>TR290|BIO0001</t>
  </si>
  <si>
    <t>All Payers|REST04|RESTYL 0.5MG TAB</t>
  </si>
  <si>
    <t>All Payers|RESTYL 0.5MG TAB</t>
  </si>
  <si>
    <t>TR290|BIO0002</t>
  </si>
  <si>
    <t>All Payers|RINF21|RL 500ML PLASTIC IV(ACULIFE)</t>
  </si>
  <si>
    <t>All Payers|RL 500ML PLASTIC IV(ACULIFE)</t>
  </si>
  <si>
    <t>TR290|BIO0003</t>
  </si>
  <si>
    <t>All Payers|RINF22|RL 1000ML PLASTIC IV(ACULIFE)</t>
  </si>
  <si>
    <t>All Payers|RL 1000ML PLASTIC IV(ACULIFE)</t>
  </si>
  <si>
    <t>TR290|BIO0004</t>
  </si>
  <si>
    <t>All Payers|ROPI21|ROPIZUVA 7.5MG/20ML INJECTION</t>
  </si>
  <si>
    <t>All Payers|ROPIZUVA 7.5MG/20ML INJECTION</t>
  </si>
  <si>
    <t>TR290|BIO0162</t>
  </si>
  <si>
    <t>All Payers|ROST30|ROSUBEST 10MG TAB</t>
  </si>
  <si>
    <t>All Payers|ROSUBEST 10MG TAB</t>
  </si>
  <si>
    <t>TR290|CAR5341</t>
  </si>
  <si>
    <t>All Payers|STAT01|STAMLO 5MG TAB</t>
  </si>
  <si>
    <t>All Payers|STAMLO 5MG TAB</t>
  </si>
  <si>
    <t>TR290|CAS0007</t>
  </si>
  <si>
    <t>All Payers|SURU220|SURGICARE NUERO POWDER FREE GLOVE 7.0(KANAM)</t>
  </si>
  <si>
    <t>All Payers|SURGICARE NUERO POWDER FREE GLOVE 7.0(KANAM)</t>
  </si>
  <si>
    <t>TR290|DIE0001</t>
  </si>
  <si>
    <t>All Payers|TEMT10|TEMFIX 650MG TAB</t>
  </si>
  <si>
    <t>All Payers|TEMFIX 650MG TAB</t>
  </si>
  <si>
    <t>TR290|EME0017</t>
  </si>
  <si>
    <t>All Payers|THYT01|THYRONORM 50MCG TAB</t>
  </si>
  <si>
    <t>All Payers|THYRONORM 50MCG TAB</t>
  </si>
  <si>
    <t>TR290|EME0019</t>
  </si>
  <si>
    <t>All Payers|THYT17|THYRONORM 88MCG TAB</t>
  </si>
  <si>
    <t>All Payers|THYRONORM 88MCG TAB</t>
  </si>
  <si>
    <t>TR290|EME0087</t>
  </si>
  <si>
    <t>All Payers|ZUPP01|ZUPRINOR 10MCG PATCH</t>
  </si>
  <si>
    <t>All Payers|ZUPRINOR 10MCG PATCH</t>
  </si>
  <si>
    <t>TR290|HSP0047</t>
  </si>
  <si>
    <t>All Payers|ATTM83|ATTUNE FEMORAL COMPONENT CEMENTED CRUCIATE RETAINING RIGHT 3(1504-00-203-DEPUY SYNTHES)</t>
  </si>
  <si>
    <t>All Payers|ATTUNE FEMORAL COMPONENT CEMENTED CRUCIATE RETAINING RIGHT 3(1504-00-203-DEPUY SYNTHES)</t>
  </si>
  <si>
    <t>TR290|HSP5013</t>
  </si>
  <si>
    <t>All Payers|ATTM84|ATTUNE FEMORAL COMPONENT CEMENTED CRUCIATE RETAINING RIGHT 4(1504-00-204-DEPUY SYNTHES)</t>
  </si>
  <si>
    <t>All Payers|ATTUNE FEMORAL COMPONENT CEMENTED CRUCIATE RETAINING RIGHT 4(1504-00-204-DEPUY SYNTHES)</t>
  </si>
  <si>
    <t>TR290|ICC0001</t>
  </si>
  <si>
    <t>All Payers|ATTM85|ATTUNE FEMORAL COMPONENT CEMENTED CRUCIATE RETAINING RIGHT 5(1504-00-205-DEPUY SYNTHES)</t>
  </si>
  <si>
    <t>All Payers|ATTUNE FEMORAL COMPONENT CEMENTED CRUCIATE RETAINING RIGHT 5(1504-00-205-DEPUY SYNTHES)</t>
  </si>
  <si>
    <t>TR290|ICC0002</t>
  </si>
  <si>
    <t>All Payers|TRIM108|TRIATHLON FEMORAL COMPONENT CRUCIATE RETAINING CEMENTED PRIMARY REFERENCING RIGHT KNEE TRITANIUM 3(5510F302-STRYKER CORP)</t>
  </si>
  <si>
    <t>All Payers|TRIATHLON FEMORAL COMPONENT CRUCIATE RETAINING CEMENTED PRIMARY REFERENCING RIGHT KNEE TRITANIUM 3(5510F302-STRYKER CORP)</t>
  </si>
  <si>
    <t>TR290|OTC0010</t>
  </si>
  <si>
    <t>All Payers|TRIM131|5510F202 TRIATHLON -CR FEM CEMENT RIGHT 2</t>
  </si>
  <si>
    <t>All Payers|5510F202 TRIATHLON -CR FEM CEMENT RIGHT 2</t>
  </si>
  <si>
    <t>TR290|OTC5005</t>
  </si>
  <si>
    <t>All Payers|TRIM131|TRIATHLON FEMORAL COMPONENT CEMENTED CRUCIATE RETAINING RIGHT TRITANIUM 2(5510-F-202-STRYKER CORP)</t>
  </si>
  <si>
    <t>All Payers|TRIATHLON FEMORAL COMPONENT CEMENTED CRUCIATE RETAINING RIGHT TRITANIUM 2(5510-F-202-STRYKER CORP)</t>
  </si>
  <si>
    <t>TR290|OTI0015</t>
  </si>
  <si>
    <t>All Payers|TRIM153|TRIATHLON TIBIAL INSERT CRUCIATE SUBSTITUTING BEARING KNEE X3 2 11MM(5531-G-211-STRYKER CORP)</t>
  </si>
  <si>
    <t>All Payers|TRIATHLON TIBIAL INSERT CRUCIATE SUBSTITUTING BEARING KNEE X3 2 11MM(5531-G-211-STRYKER CORP)</t>
  </si>
  <si>
    <t>TR290|OTI0018</t>
  </si>
  <si>
    <t>All Payers|TRIM197|5560S112 TRIATHLON TOTAL KNEE CEMENTED STEM 12MM X 50 MM</t>
  </si>
  <si>
    <t>All Payers|5560S112 TRIATHLON TOTAL KNEE CEMENTED STEM 12MM X 50 MM</t>
  </si>
  <si>
    <t>TR290|OTI0098</t>
  </si>
  <si>
    <t>All Payers||DIAPER ADULT LARGE 100CMX150CM(MAGMACARE)</t>
  </si>
  <si>
    <t>TR290|PAT0042</t>
  </si>
  <si>
    <t>All Payers||SPIKIER VENTE(ROMSONS)</t>
  </si>
  <si>
    <t>TR290|PAT0045</t>
  </si>
  <si>
    <t>All Payers||SYRINGE 10ML LL WITH NEEDLE(KAREJET-ROMSONS)</t>
  </si>
  <si>
    <t>All Payers|SYRINGE 10ML LL WITH NEEDLE(KAREJET-ROMSONS)</t>
  </si>
  <si>
    <t>TR290|PHY5082</t>
  </si>
  <si>
    <t>All Payers||SYRINGE 10ML LL(BD)</t>
  </si>
  <si>
    <t>TR290|RNS0120</t>
  </si>
  <si>
    <t>All Payers||SYRINGE 3ML LUERLOCK(BD)</t>
  </si>
  <si>
    <t>TR290|RNS5005</t>
  </si>
  <si>
    <t>All Payers||SYRINGE 5ML LL(KARE JET-ROMSONS)</t>
  </si>
  <si>
    <t>All Payers|SYRINGE 5ML LL(KARE JET-ROMSONS)</t>
  </si>
  <si>
    <t>TR290|ROM0001</t>
  </si>
  <si>
    <t>All Payers||SYRINGE 5ML(DISPOJEKT-HMD)</t>
  </si>
  <si>
    <t>TR290|ROM0024</t>
  </si>
  <si>
    <t>All Payers||SYRINGE INSULIN 1ML 31G NEEDLE (40 UNITS)(NIPRO)</t>
  </si>
  <si>
    <t>TR290|ROM0036</t>
  </si>
  <si>
    <t>All Payers|BALM23|BALL BUR MICS 6MM(110135-ZIMMER)</t>
  </si>
  <si>
    <t>All Payers|BALL BUR MICS 6MM(110135-ZIMMER)</t>
  </si>
  <si>
    <t>TR290|ROM0093</t>
  </si>
  <si>
    <t>All Payers|BANU51|BANDAGE 10CMX3M(BAPUJI)</t>
  </si>
  <si>
    <t>All Payers|BANDAGE 10CMX3M(BAPUJI)</t>
  </si>
  <si>
    <t>TR290|ROM5009</t>
  </si>
  <si>
    <t>All Payers|BLOU55|BLOOD SET(MORRISONS)</t>
  </si>
  <si>
    <t>All Payers|BLOOD SET(MORRISONS)</t>
  </si>
  <si>
    <t>TR290|ROM5189</t>
  </si>
  <si>
    <t>All Payers|CHEM05|111645 CHECK POINT KIT STERILE</t>
  </si>
  <si>
    <t>All Payers|111645 CHECK POINT KIT STERILE</t>
  </si>
  <si>
    <t>TR290|XRY5090</t>
  </si>
  <si>
    <t>All Payers|CREU07|CREPE BANDAGE 10CM(3M)</t>
  </si>
  <si>
    <t>All Payers|CREPE BANDAGE 10CM(3M)</t>
  </si>
  <si>
    <t>TR290|CAR0080</t>
  </si>
  <si>
    <t>All Payers|CURU44|CUROS TIPS DISINFECTING CAP FOR NEEDLELESS CONNECTORS(3M)</t>
  </si>
  <si>
    <t>All Payers|CUROS TIPS DISINFECTING CAP FOR NEEDLELESS CONNECTORS(3M)</t>
  </si>
  <si>
    <t>TR290|XRY044</t>
  </si>
  <si>
    <t>All Payers|DISU367|DISPOSABLE PLASTIC APRON(RESPICARE)</t>
  </si>
  <si>
    <t>All Payers|DISPOSABLE PLASTIC APRON(RESPICARE)</t>
  </si>
  <si>
    <t>TR290|XRY5133</t>
  </si>
  <si>
    <t>All Payers|FEEU06|FEEDY NO-10(ROMSONS)</t>
  </si>
  <si>
    <t>All Payers|FEEDY NO-10(ROMSONS)</t>
  </si>
  <si>
    <t>TR290|BIO0005</t>
  </si>
  <si>
    <t>All Payers|FOLU02|FOLEYS CATHETER 2WAY 14F(RUSCH)</t>
  </si>
  <si>
    <t>All Payers|FOLEYS CATHETER 2WAY 14F(RUSCH)</t>
  </si>
  <si>
    <t>TR290|BIO0064</t>
  </si>
  <si>
    <t>All Payers|KWIM175|KIRSCHNER SURGICAL WIRE STERILE 2X150MM(1450.S.2.0.150-OROMED)</t>
  </si>
  <si>
    <t>All Payers|KIRSCHNER SURGICAL WIRE STERILE 2X150MM(1450.S.2.0.150-OROMED)</t>
  </si>
  <si>
    <t>TR290|BIO0075</t>
  </si>
  <si>
    <t>All Payers|POLU32|POLYURO URINE COLLECTION BAG 2000ML(POLYMED)</t>
  </si>
  <si>
    <t>All Payers|POLYURO URINE COLLECTION BAG 2000ML(POLYMED)</t>
  </si>
  <si>
    <t>TR290|BIO0097</t>
  </si>
  <si>
    <t>All Payers|POSI02|POSIFLUSH SP 5ML(306574-BD)</t>
  </si>
  <si>
    <t>All Payers|POSIFLUSH SP 5ML(306574-BD)</t>
  </si>
  <si>
    <t>TR290|BIO0098</t>
  </si>
  <si>
    <t>All Payers|PULM04|PULSAVAC (BELL)</t>
  </si>
  <si>
    <t>All Payers|PULSAVAC (BELL)</t>
  </si>
  <si>
    <t>TR290|BIO0106</t>
  </si>
  <si>
    <t>All Payers|SMAU13|SMARTSITE TRI EXTENSION(BD)</t>
  </si>
  <si>
    <t>All Payers|SMARTSITE TRI EXTENSION(BD)</t>
  </si>
  <si>
    <t>TR290|BIO0121</t>
  </si>
  <si>
    <t>All Payers|SURU168|SURGICAL GLOVE 8.0(BLISTER PACK-SURGICARE-KANAM)</t>
  </si>
  <si>
    <t>All Payers|SURGICAL GLOVE 8.0(BLISTER PACK-SURGICARE-KANAM)</t>
  </si>
  <si>
    <t>TR290|BIO0181</t>
  </si>
  <si>
    <t>All Payers|SYRU145|SYRINGE 5ML LL(KARE JET-ROMSONS)</t>
  </si>
  <si>
    <t>TR290|BLD0001</t>
  </si>
  <si>
    <t>All Payers|SYRU146|SYRINGE 10ML LL WITH NEEDLE(KAREJET-ROMSONS)</t>
  </si>
  <si>
    <t>TR290|BLD0009</t>
  </si>
  <si>
    <t>All Payers|TRUR117|TRUGLYDE 2 SN2478(HEALTHIUM)</t>
  </si>
  <si>
    <t>All Payers|TRUGLYDE 2 SN2478(HEALTHIUM)</t>
  </si>
  <si>
    <t>TR290|BLD0024</t>
  </si>
  <si>
    <t>All Payers|URIU35|URINAL POT MALE/FEMALE(ALPHA MEDICARE)</t>
  </si>
  <si>
    <t>All Payers|URINAL POT MALE/FEMALE(ALPHA MEDICARE)</t>
  </si>
  <si>
    <t>TR290|PAT0007</t>
  </si>
  <si>
    <t>All Payers||CEVISTAT 1.5GM INJECTION</t>
  </si>
  <si>
    <t>TR290|PAT0041</t>
  </si>
  <si>
    <t>All Payers||GB 29-75MG CAPSULE</t>
  </si>
  <si>
    <t>TR290|PAT0078</t>
  </si>
  <si>
    <t>All Payers||GLANTRAX 500MG 5ML INJ</t>
  </si>
  <si>
    <t>TR290|ANS0003</t>
  </si>
  <si>
    <t>All Payers||HORLICKS DIABETES PLUS VANILLA 400GM</t>
  </si>
  <si>
    <t>TR290|PHY5076</t>
  </si>
  <si>
    <t>PHYSIOTHERAPY</t>
  </si>
  <si>
    <t>All Payers||IFIMOL 1000MG 100ML IV</t>
  </si>
  <si>
    <t>TR290|EME0016</t>
  </si>
  <si>
    <t>All Payers||JUSTIN AQ 1ML INJ</t>
  </si>
  <si>
    <t>TR290|EME0018</t>
  </si>
  <si>
    <t>All Payers||NEOMIT 8MG/4ML INJ</t>
  </si>
  <si>
    <t>All Payers|NEOMIT 8MG/4ML INJ</t>
  </si>
  <si>
    <t>TR290|EME0020</t>
  </si>
  <si>
    <t>All Payers||NORMAL SALINE 0.9% 100ML PLASTIC EH(ACULIFE)</t>
  </si>
  <si>
    <t>TR290|EME0052</t>
  </si>
  <si>
    <t>All Payers||PARAGLASS 100ML IV</t>
  </si>
  <si>
    <t>TR290|EME0080</t>
  </si>
  <si>
    <t>All Payers||ROPIZUVA 0.2% 20ML INJ</t>
  </si>
  <si>
    <t>TR290|EME5045</t>
  </si>
  <si>
    <t>All Payers||SWIFTOLAC SYR 150ML</t>
  </si>
  <si>
    <t>TR290|EME0088</t>
  </si>
  <si>
    <t>All Payers||SYRINGES INSULIN 1ML 40 IU(POLYMED)</t>
  </si>
  <si>
    <t>TR290|PSY0036</t>
  </si>
  <si>
    <t>All Payers||TRANEMIC 500MG 5ML INJ</t>
  </si>
  <si>
    <t>All Payers|TRANEMIC 500MG 5ML INJ</t>
  </si>
  <si>
    <t>TR291|BIO0001</t>
  </si>
  <si>
    <t>All Payers||XSULIN R 40 IU/10ML INJECTION</t>
  </si>
  <si>
    <t>TR291|BIO0002</t>
  </si>
  <si>
    <t>All Payers|AMLT22|AMLOVAS 5MG TAB</t>
  </si>
  <si>
    <t>All Payers|AMLOVAS 5MG TAB</t>
  </si>
  <si>
    <t>TR291|BIO0003</t>
  </si>
  <si>
    <t>All Payers|AMLT36|AMLOKIND 5MG TAB</t>
  </si>
  <si>
    <t>All Payers|AMLOKIND 5MG TAB</t>
  </si>
  <si>
    <t>TR291|BIO0004</t>
  </si>
  <si>
    <t>All Payers|ASEC05|ASEPTOSHIELD PLUS 500ML(DR SCHUMACHER)</t>
  </si>
  <si>
    <t>All Payers|ASEPTOSHIELD PLUS 500ML(DR SCHUMACHER)</t>
  </si>
  <si>
    <t>TR291|BIO0162</t>
  </si>
  <si>
    <t>All Payers|ATOT59|ATOCOR 40MG TAB</t>
  </si>
  <si>
    <t>All Payers|ATOCOR 40MG TAB</t>
  </si>
  <si>
    <t>TR291|CAR5341</t>
  </si>
  <si>
    <t>All Payers|BEPI03|BEPARINE 5000 IU INJ 5ML</t>
  </si>
  <si>
    <t>All Payers|BEPARINE 5000 IU INJ 5ML</t>
  </si>
  <si>
    <t>TR291|CAS0007</t>
  </si>
  <si>
    <t>All Payers|BETS08|BETADINE 10% 100ML SOLUTION</t>
  </si>
  <si>
    <t>All Payers|BETADINE 10% 100ML SOLUTION</t>
  </si>
  <si>
    <t>TR291|DIE0001</t>
  </si>
  <si>
    <t>All Payers|BIOC56|BIODOXI-LB CAP</t>
  </si>
  <si>
    <t>All Payers|BIODOXI-LB CAP</t>
  </si>
  <si>
    <t>TR291|EME0017</t>
  </si>
  <si>
    <t>All Payers|BIST08|BISOTAB 5MG TAB</t>
  </si>
  <si>
    <t>All Payers|BISOTAB 5MG TAB</t>
  </si>
  <si>
    <t>TR291|EME0019</t>
  </si>
  <si>
    <t>All Payers|BIST12|BISOHEART 2.5MG TAB</t>
  </si>
  <si>
    <t>All Payers|BISOHEART 2.5MG TAB</t>
  </si>
  <si>
    <t>TR291|EME0087</t>
  </si>
  <si>
    <t>All Payers|BRIT13|BRIV 100MG TAB</t>
  </si>
  <si>
    <t>All Payers|BRIV 100MG TAB</t>
  </si>
  <si>
    <t>TR291|HSP0047</t>
  </si>
  <si>
    <t>All Payers|BUPP02|BUPRIGESIC PATCH 5MCG</t>
  </si>
  <si>
    <t>All Payers|BUPRIGESIC PATCH 5MCG</t>
  </si>
  <si>
    <t>TR291|HSP5013</t>
  </si>
  <si>
    <t>All Payers|BUSI03|BUSCOGAST 1ML INJ</t>
  </si>
  <si>
    <t>All Payers|BUSCOGAST 1ML INJ</t>
  </si>
  <si>
    <t>TR291|ICC0001</t>
  </si>
  <si>
    <t>All Payers|CEGI03|CEGAVA 1.5GM INJ</t>
  </si>
  <si>
    <t>All Payers|CEGAVA 1.5GM INJ</t>
  </si>
  <si>
    <t>TR291|ICC0002</t>
  </si>
  <si>
    <t>All Payers|CELP05|CELEVIDA DLS STRAWBERRY 400GM POWDER</t>
  </si>
  <si>
    <t>All Payers|CELEVIDA DLS STRAWBERRY 400GM POWDER</t>
  </si>
  <si>
    <t>TR291|OTC0010</t>
  </si>
  <si>
    <t>All Payers|CELS39|CELEVIDA DIAFIBER SACHET 12GM(PACK OF 30S)</t>
  </si>
  <si>
    <t>All Payers|CELEVIDA DIAFIBER SACHET 12GM(PACK OF 30S)</t>
  </si>
  <si>
    <t>TR291|OTC5005</t>
  </si>
  <si>
    <t>All Payers|CHYT05|CHYMOTHAL FORTE TAB</t>
  </si>
  <si>
    <t>All Payers|CHYMOTHAL FORTE TAB</t>
  </si>
  <si>
    <t>TR291|OTI0015</t>
  </si>
  <si>
    <t>All Payers|CILT06|CILAMET XL 25MG TAB</t>
  </si>
  <si>
    <t>All Payers|CILAMET XL 25MG TAB</t>
  </si>
  <si>
    <t>TR291|OTI0018</t>
  </si>
  <si>
    <t>All Payers|CILT12|CILACAR 5MG TAB</t>
  </si>
  <si>
    <t>All Payers|CILACAR 5MG TAB</t>
  </si>
  <si>
    <t>TR291|OTI0098</t>
  </si>
  <si>
    <t>All Payers|CINT04|CINOD 10MG TAB</t>
  </si>
  <si>
    <t>All Payers|CINOD 10MG TAB</t>
  </si>
  <si>
    <t>TR291|PAT0042</t>
  </si>
  <si>
    <t>All Payers|CINT06|CINOD 20MG TAB</t>
  </si>
  <si>
    <t>All Payers|CINOD 20MG TAB</t>
  </si>
  <si>
    <t>TR291|PAT0045</t>
  </si>
  <si>
    <t>All Payers|CIPT11|CIPLAR LA 40MG TAB</t>
  </si>
  <si>
    <t>All Payers|CIPLAR LA 40MG TAB</t>
  </si>
  <si>
    <t>TR291|PHY5082</t>
  </si>
  <si>
    <t>All Payers|CONT02|CONCOR 5MG TAB</t>
  </si>
  <si>
    <t>All Payers|CONCOR 5MG TAB</t>
  </si>
  <si>
    <t>TR291|RNS0120</t>
  </si>
  <si>
    <t>All Payers|DEXI38|DEXLOG 100MCG/1ML INJECTION</t>
  </si>
  <si>
    <t>All Payers|DEXLOG 100MCG/1ML INJECTION</t>
  </si>
  <si>
    <t>TR291|RNS5005</t>
  </si>
  <si>
    <t>All Payers|DULT15|DULCOFLEX TAB</t>
  </si>
  <si>
    <t>All Payers|DULCOFLEX TAB</t>
  </si>
  <si>
    <t>TR291|ROM0001</t>
  </si>
  <si>
    <t>All Payers|ECOC08|ECOSPRIN-AV 150/20MG CAP</t>
  </si>
  <si>
    <t>All Payers|ECOSPRIN-AV 150/20MG CAP</t>
  </si>
  <si>
    <t>TR291|ROM0024</t>
  </si>
  <si>
    <t>All Payers|ECOT01|ECOSPRIN 75MG TAB</t>
  </si>
  <si>
    <t>All Payers|ECOSPRIN 75MG TAB</t>
  </si>
  <si>
    <t>TR291|ROM0036</t>
  </si>
  <si>
    <t>All Payers|GABT5|GABAPIN 300MG CAP</t>
  </si>
  <si>
    <t>All Payers|GABAPIN 300MG CAP</t>
  </si>
  <si>
    <t>TR291|ROM0093</t>
  </si>
  <si>
    <t>All Payers|HETI13|HETROFOL 1% 20ML INJECTION</t>
  </si>
  <si>
    <t>All Payers|HETROFOL 1% 20ML INJECTION</t>
  </si>
  <si>
    <t>TR291|ROM5009</t>
  </si>
  <si>
    <t>All Payers|IPRI03|IPRAVENT 2ML RESPULES</t>
  </si>
  <si>
    <t>All Payers|IPRAVENT 2ML RESPULES</t>
  </si>
  <si>
    <t>TR291|ROM5189</t>
  </si>
  <si>
    <t>All Payers|IVFU02|IV FLOW REGULATOR(BUYWEL)</t>
  </si>
  <si>
    <t>All Payers|IV FLOW REGULATOR(BUYWEL)</t>
  </si>
  <si>
    <t>TR291|XRY5090</t>
  </si>
  <si>
    <t>All Payers|LETT03|LETHYROX 12.5MCG TAB</t>
  </si>
  <si>
    <t>All Payers|LETHYROX 12.5MCG TAB</t>
  </si>
  <si>
    <t>TR291|CAR0080</t>
  </si>
  <si>
    <t>All Payers|LIMT01|LIMCEE 500MG TAB</t>
  </si>
  <si>
    <t>All Payers|LIMCEE 500MG TAB</t>
  </si>
  <si>
    <t>TR291|XRY044</t>
  </si>
  <si>
    <t>All Payers|LIZT01|LIZOLID 600MG TAB</t>
  </si>
  <si>
    <t>All Payers|LIZOLID 600MG TAB</t>
  </si>
  <si>
    <t>TR291|XRY5133</t>
  </si>
  <si>
    <t>All Payers|LOCI03|LOCAM 2% 30ML INJECTION</t>
  </si>
  <si>
    <t>All Payers|LOCAM 2% 30ML INJECTION</t>
  </si>
  <si>
    <t>TR291|BIO0005</t>
  </si>
  <si>
    <t>All Payers|MEPI16|MEPHNOR 30MG INJ</t>
  </si>
  <si>
    <t>All Payers|MEPHNOR 30MG INJ</t>
  </si>
  <si>
    <t>TR291|BIO0064</t>
  </si>
  <si>
    <t>All Payers|METI7|METOLAR 5ML INJ</t>
  </si>
  <si>
    <t>All Payers|METOLAR 5ML INJ</t>
  </si>
  <si>
    <t>TR291|BIO0075</t>
  </si>
  <si>
    <t>All Payers|METT03|MET XL 50MG TAB</t>
  </si>
  <si>
    <t>All Payers|MET XL 50MG TAB</t>
  </si>
  <si>
    <t>TR291|BIO0097</t>
  </si>
  <si>
    <t>All Payers|METT04|MET XL 25MG TAB</t>
  </si>
  <si>
    <t>All Payers|MET XL 25MG TAB</t>
  </si>
  <si>
    <t>TR291|BIO0098</t>
  </si>
  <si>
    <t>All Payers|METT32|MET XL-AM 50/5MG TAB</t>
  </si>
  <si>
    <t>All Payers|MET XL-AM 50/5MG TAB</t>
  </si>
  <si>
    <t>TR291|BIO0106</t>
  </si>
  <si>
    <t>All Payers|MIDI04|MIDFAST 10ML INJ</t>
  </si>
  <si>
    <t>All Payers|MIDFAST 10ML INJ</t>
  </si>
  <si>
    <t>TR291|BIO0121</t>
  </si>
  <si>
    <t>All Payers|MONT28|MONTEK-LC TAB</t>
  </si>
  <si>
    <t>All Payers|MONTEK-LC TAB</t>
  </si>
  <si>
    <t>TR291|BIO0181</t>
  </si>
  <si>
    <t>All Payers|MUCT13|MUCINAC-AB TAB</t>
  </si>
  <si>
    <t>All Payers|MUCINAC-AB TAB</t>
  </si>
  <si>
    <t>TR291|BLD0001</t>
  </si>
  <si>
    <t>All Payers|NEOI57|NEOMIT 8MG/4ML INJ</t>
  </si>
  <si>
    <t>TR291|BLD0009</t>
  </si>
  <si>
    <t>All Payers|NEUT40|NEURIT-CD3 TAB</t>
  </si>
  <si>
    <t>All Payers|NEURIT-CD3 TAB</t>
  </si>
  <si>
    <t>TR291|BLD0024</t>
  </si>
  <si>
    <t>All Payers|NEXT16|NEXITO LS TAB</t>
  </si>
  <si>
    <t>All Payers|NEXITO LS TAB</t>
  </si>
  <si>
    <t>TR291|PAT0007</t>
  </si>
  <si>
    <t>All Payers|NEXT8|NEXITO FORTE TAB</t>
  </si>
  <si>
    <t>All Payers|NEXITO FORTE TAB</t>
  </si>
  <si>
    <t>TR291|PAT0041</t>
  </si>
  <si>
    <t>All Payers|NICT02|NICARDIA RETARD 20MG TAB</t>
  </si>
  <si>
    <t>All Payers|NICARDIA RETARD 20MG TAB</t>
  </si>
  <si>
    <t>TR291|PAT0078</t>
  </si>
  <si>
    <t>All Payers|NURU02|NURSE CRIMP CAP(SRI VIJAYA SAI)</t>
  </si>
  <si>
    <t>All Payers|NURSE CRIMP CAP(SRI VIJAYA SAI)</t>
  </si>
  <si>
    <t>TR291|ANS0003</t>
  </si>
  <si>
    <t>All Payers|PHEI08|PHENPRES INJ</t>
  </si>
  <si>
    <t>All Payers|PHENPRES INJ</t>
  </si>
  <si>
    <t>TR291|PHY5076</t>
  </si>
  <si>
    <t>All Payers|POTI08|POTLYTE 10ML INJ</t>
  </si>
  <si>
    <t>All Payers|POTLYTE 10ML INJ</t>
  </si>
  <si>
    <t>TR291|EME0016</t>
  </si>
  <si>
    <t>All Payers|POTI10|POTSAV 10ML INJECTION</t>
  </si>
  <si>
    <t>All Payers|POTSAV 10ML INJECTION</t>
  </si>
  <si>
    <t>TR291|EME0018</t>
  </si>
  <si>
    <t>All Payers|POVC03|POVINANZ SCRUB 7.5% 500ML(NANZ MEDSCIENCE)</t>
  </si>
  <si>
    <t>All Payers|POVINANZ SCRUB 7.5% 500ML(NANZ MEDSCIENCE)</t>
  </si>
  <si>
    <t>TR291|EME0020</t>
  </si>
  <si>
    <t>All Payers|PRAT83|PRASOPHEG 40MG TABLET</t>
  </si>
  <si>
    <t>All Payers|PRASOPHEG 40MG TABLET</t>
  </si>
  <si>
    <t>TR291|EME0052</t>
  </si>
  <si>
    <t>All Payers|ROPI04|ROPIN 0.2% 20ML INJ</t>
  </si>
  <si>
    <t>All Payers|ROPIN 0.2% 20ML INJ</t>
  </si>
  <si>
    <t>TR291|EME0080</t>
  </si>
  <si>
    <t>All Payers|ROST02|ROSUVAS 10MG TAB</t>
  </si>
  <si>
    <t>All Payers|ROSUVAS 10MG TAB</t>
  </si>
  <si>
    <t>TR291|EME5045</t>
  </si>
  <si>
    <t>All Payers|ROST124|ROSUR 10MG TAB</t>
  </si>
  <si>
    <t>All Payers|ROSUR 10MG TAB</t>
  </si>
  <si>
    <t>TR291|EME0088</t>
  </si>
  <si>
    <t>All Payers|SERG02|SEROFLO 250MCG INHALER</t>
  </si>
  <si>
    <t>All Payers|SEROFLO 250MCG INHALER</t>
  </si>
  <si>
    <t>TR291|PSY0036</t>
  </si>
  <si>
    <t>All Payers|SERO01|SERVINADINE 20GM OINTMENT</t>
  </si>
  <si>
    <t>All Payers|SERVINADINE 20GM OINTMENT</t>
  </si>
  <si>
    <t>TR292|BIO0001</t>
  </si>
  <si>
    <t>All Payers|SHET09|SHELCAL-XT TAB</t>
  </si>
  <si>
    <t>All Payers|SHELCAL-XT TAB</t>
  </si>
  <si>
    <t>TR292|BIO0002</t>
  </si>
  <si>
    <t>All Payers|SYNT01|SYNDOPA PLUS TAB</t>
  </si>
  <si>
    <t>All Payers|SYNDOPA PLUS TAB</t>
  </si>
  <si>
    <t>TR292|BIO0003</t>
  </si>
  <si>
    <t>All Payers|TELT308|TELDIL 40MG TAB</t>
  </si>
  <si>
    <t>All Payers|TELDIL 40MG TAB</t>
  </si>
  <si>
    <t>TR292|BIO0004</t>
  </si>
  <si>
    <t>All Payers|TELT423|TELMISPOT 40MG TABLET</t>
  </si>
  <si>
    <t>All Payers|TELMISPOT 40MG TABLET</t>
  </si>
  <si>
    <t>TR292|BIO0162</t>
  </si>
  <si>
    <t>All Payers|TELT63|TELMINORM BXL 40/25 MG TAB</t>
  </si>
  <si>
    <t>All Payers|TELMINORM BXL 40/25 MG TAB</t>
  </si>
  <si>
    <t>TR292|CAR5341</t>
  </si>
  <si>
    <t>All Payers|TEMT14|TEMFIX TR TABLET</t>
  </si>
  <si>
    <t>All Payers|TEMFIX TR TABLET</t>
  </si>
  <si>
    <t>TR292|CAS0007</t>
  </si>
  <si>
    <t>All Payers|TEXT02|TEXAKIND 500MG TAB</t>
  </si>
  <si>
    <t>All Payers|TEXAKIND 500MG TAB</t>
  </si>
  <si>
    <t>TR292|DIE0001</t>
  </si>
  <si>
    <t>All Payers|THEP06|THEMIBUPRINE-P 5MCG PATCH</t>
  </si>
  <si>
    <t>All Payers|THEMIBUPRINE-P 5MCG PATCH</t>
  </si>
  <si>
    <t>TR292|EME0017</t>
  </si>
  <si>
    <t>All Payers|THYT06|THYROX 100MCG TAB</t>
  </si>
  <si>
    <t>All Payers|THYROX 100MCG TAB</t>
  </si>
  <si>
    <t>TR292|EME0019</t>
  </si>
  <si>
    <t>All Payers|THYT15|THYRONORM 75MCG TAB</t>
  </si>
  <si>
    <t>All Payers|THYRONORM 75MCG TAB</t>
  </si>
  <si>
    <t>TR292|EME0087</t>
  </si>
  <si>
    <t>All Payers|TRAI09|TRANEMIC 500MG 5ML INJ</t>
  </si>
  <si>
    <t>TR292|HSP0047</t>
  </si>
  <si>
    <t>All Payers|TRET02|TRENAXA 500MG TAB</t>
  </si>
  <si>
    <t>All Payers|TRENAXA 500MG TAB</t>
  </si>
  <si>
    <t>TR292|HSP5013</t>
  </si>
  <si>
    <t>All Payers|TRIT44|TRIOLMEZEST 40MG TAB</t>
  </si>
  <si>
    <t>All Payers|TRIOLMEZEST 40MG TAB</t>
  </si>
  <si>
    <t>TR292|ICC0001</t>
  </si>
  <si>
    <t>All Payers|VERI06|VERFEN 10ML INJ</t>
  </si>
  <si>
    <t>All Payers|VERFEN 10ML INJ</t>
  </si>
  <si>
    <t>TR292|ICC0002</t>
  </si>
  <si>
    <t>All Payers|VETI01|VETIRA 5ML INJ</t>
  </si>
  <si>
    <t>All Payers|VETIRA 5ML INJ</t>
  </si>
  <si>
    <t>TR292|OTC0010</t>
  </si>
  <si>
    <t>All Payers|VILT31|VILDAPRIDE-M 50/500MG TAB</t>
  </si>
  <si>
    <t>All Payers|VILDAPRIDE-M 50/500MG TAB</t>
  </si>
  <si>
    <t>TR292|OTC5005</t>
  </si>
  <si>
    <t>All Payers|WOKS02|WOKADINE 100ML SOL</t>
  </si>
  <si>
    <t>All Payers|WOKADINE 100ML SOL</t>
  </si>
  <si>
    <t>TR292|OTI0015</t>
  </si>
  <si>
    <t>All Payers|ZOVC01|ZOVANTA 40MG TAB</t>
  </si>
  <si>
    <t>All Payers|ZOVANTA 40MG TAB</t>
  </si>
  <si>
    <t>TR292|OTI0018</t>
  </si>
  <si>
    <t>All Payers|ZU-T01|ZU-C 500MG TAB</t>
  </si>
  <si>
    <t>All Payers|ZU-C 500MG TAB</t>
  </si>
  <si>
    <t>TR292|OTI0098</t>
  </si>
  <si>
    <t>All Payers|ZUVT03|ZUVASTAT 20MG TAB</t>
  </si>
  <si>
    <t>All Payers|ZUVASTAT 20MG TAB</t>
  </si>
  <si>
    <t>TR292|PAT0042</t>
  </si>
  <si>
    <t>All Payers|ZYRT09|ZYROVA 20MG TAB</t>
  </si>
  <si>
    <t>All Payers|ZYROVA 20MG TAB</t>
  </si>
  <si>
    <t>TR292|PAT0045</t>
  </si>
  <si>
    <t>All Payers|ZYTO02|ZYTEE RB GEL 10ML</t>
  </si>
  <si>
    <t>All Payers|ZYTEE RB GEL 10ML</t>
  </si>
  <si>
    <t>TR292|PHY5082</t>
  </si>
  <si>
    <t>All Payers|ARRU07|ARRAY DRILL PIN 175MM*4MM(4515-70-006-DEPUY)</t>
  </si>
  <si>
    <t>All Payers|ARRAY DRILL PIN 175MM*4MM(4515-70-006-DEPUY)</t>
  </si>
  <si>
    <t>TR292|RNS0120</t>
  </si>
  <si>
    <t>All Payers|ATTM101|ATTUNE TIBIAL INSERT FIXED BEARING CRUCIATE RETAINING AOX 2 6MM(1516-20-206-DEPUY SYNTHES)</t>
  </si>
  <si>
    <t>All Payers|ATTUNE TIBIAL INSERT FIXED BEARING CRUCIATE RETAINING AOX 2 6MM(1516-20-206-DEPUY SYNTHES)</t>
  </si>
  <si>
    <t>TR292|RNS5005</t>
  </si>
  <si>
    <t>All Payers|ATTM106|ATTUNE TIBIAL INSERT F/B CRUCIATE RETAINING 3MM*6MM(1516-20-306-DEPUY)</t>
  </si>
  <si>
    <t>All Payers|ATTUNE TIBIAL INSERT F/B CRUCIATE RETAINING 3MM*6MM(1516-20-306-DEPUY)</t>
  </si>
  <si>
    <t>TR292|ROM0001</t>
  </si>
  <si>
    <t>All Payers|ATTM108|ATTUNE TIBIAL INSERT FIXED BEARING CRUCIATE RETAINING AOX 3 8MM(1516-20-308-DEPUY SYNTHES)</t>
  </si>
  <si>
    <t>All Payers|ATTUNE TIBIAL INSERT FIXED BEARING CRUCIATE RETAINING AOX 3 8MM(1516-20-308-DEPUY SYNTHES)</t>
  </si>
  <si>
    <t>TR292|ROM0024</t>
  </si>
  <si>
    <t>All Payers|ATTM110|ATTUNE TIBIAL INSERT FIXED BEARING CRUCIATE RETAINING AOX 4 5MM(1516-20-405-DEPUY SYNTHES)</t>
  </si>
  <si>
    <t>All Payers|ATTUNE TIBIAL INSERT FIXED BEARING CRUCIATE RETAINING AOX 4 5MM(1516-20-405-DEPUY SYNTHES)</t>
  </si>
  <si>
    <t>TR292|ROM0036</t>
  </si>
  <si>
    <t>All Payers|ATTM111|ATTUNE TIBIAL INSERT FIXED BEARING CRUCIATE RETAINING AOX 4 6MM(1516-20-406-DEPUY SYNTHES)</t>
  </si>
  <si>
    <t>All Payers|ATTUNE TIBIAL INSERT FIXED BEARING CRUCIATE RETAINING AOX 4 6MM(1516-20-406-DEPUY SYNTHES)</t>
  </si>
  <si>
    <t>TR292|ROM0093</t>
  </si>
  <si>
    <t>All Payers|ATTM115|ATTUNE TIBIAL INSERT FIXED BEARING CRUCIATE RETAINING AOX 5 5MM(1516-20-505-DEPUY SYNTHES)</t>
  </si>
  <si>
    <t>All Payers|ATTUNE TIBIAL INSERT FIXED BEARING CRUCIATE RETAINING AOX 5 5MM(1516-20-505-DEPUY SYNTHES)</t>
  </si>
  <si>
    <t>TR292|ROM5009</t>
  </si>
  <si>
    <t>All Payers|ATTM138|ATTUNE TIBIAL BASEPLATE FIXED BEARING CEMENTED 4MM(1506-70-004-JOHNSON &amp; JOHNSON)</t>
  </si>
  <si>
    <t>All Payers|ATTUNE TIBIAL BASEPLATE FIXED BEARING CEMENTED 4MM(1506-70-004-JOHNSON &amp; JOHNSON)</t>
  </si>
  <si>
    <t>TR292|ROM5189</t>
  </si>
  <si>
    <t>All Payers|ATTM161|ATTUNE FEMORAL COMPONENT CEMENTED CRUCIATE RETAINING RIGHT 2(1504-00-202-DEPUY SYNTHES)</t>
  </si>
  <si>
    <t>All Payers|ATTUNE FEMORAL COMPONENT CEMENTED CRUCIATE RETAINING RIGHT 2(1504-00-202-DEPUY SYNTHES)</t>
  </si>
  <si>
    <t>TR292|XRY5090</t>
  </si>
  <si>
    <t>All Payers|ATTM164|ATTUNE TIBIAL BASEPLATE STEMMABLE CEMENTED KNEE 4MM(1506-40-004-DEPUY SYNTHES)</t>
  </si>
  <si>
    <t>All Payers|ATTUNE TIBIAL BASEPLATE STEMMABLE CEMENTED KNEE 4MM(1506-40-004-DEPUY SYNTHES)</t>
  </si>
  <si>
    <t>TR292|CAR0080</t>
  </si>
  <si>
    <t>All Payers|ATTM169|ATTUNE KNEE SYSTEM REVISION TIBIAL BASE FIXED BEARING CEMENTED SIZE 2MM(1506-40-002-DEPUY)</t>
  </si>
  <si>
    <t>All Payers|ATTUNE KNEE SYSTEM REVISION TIBIAL BASE FIXED BEARING CEMENTED SIZE 2MM(1506-40-002-DEPUY)</t>
  </si>
  <si>
    <t>TR292|XRY044</t>
  </si>
  <si>
    <t>All Payers|ATTM169|ATTUNE TIBIAL BASEPLATE FIXED BEARING REVISION CEMENTED CONSTRAINED KNEE 2(1506-40-002-DEPUY SYNTHES)</t>
  </si>
  <si>
    <t>All Payers|ATTUNE TIBIAL BASEPLATE FIXED BEARING REVISION CEMENTED CONSTRAINED KNEE 2(1506-40-002-DEPUY SYNTHES)</t>
  </si>
  <si>
    <t>TR292|XRY5133</t>
  </si>
  <si>
    <t>All Payers|ATTM176|ORTHOPAEDIC BEARING TIBIAL BASE FIXED CEMENTED KNEE SYSTEM REVISION 6MM(1506-40-006-DEPUY SYNTHES)</t>
  </si>
  <si>
    <t>All Payers|ORTHOPAEDIC BEARING TIBIAL BASE FIXED CEMENTED KNEE SYSTEM REVISION 6MM(1506-40-006-DEPUY SYNTHES)</t>
  </si>
  <si>
    <t>TR292|BIO0005</t>
  </si>
  <si>
    <t>All Payers|ATTM208|ATTUNE KNEE SYSTEM TIBIAL INSERT FIXED BEARING MEDIAL STABILIZED RIGHT SIZE AOX 6MM*6MM(1520-20-606-DEPUY)</t>
  </si>
  <si>
    <t>All Payers|ATTUNE KNEE SYSTEM TIBIAL INSERT FIXED BEARING MEDIAL STABILIZED RIGHT SIZE AOX 6MM*6MM(1520-20-606-DEPUY)</t>
  </si>
  <si>
    <t>TR292|BIO0064</t>
  </si>
  <si>
    <t>All Payers|ATTM221|ATTUNE KNEE SYSTEM TIBIAL INSERT FIXED BEARING MEDIAL STABILIZED RIGHTSIZE 5MM X 10MM(1520-20-510-DEPUY)</t>
  </si>
  <si>
    <t>All Payers|ATTUNE KNEE SYSTEM TIBIAL INSERT FIXED BEARING MEDIAL STABILIZED RIGHTSIZE 5MM X 10MM(1520-20-510-DEPUY)</t>
  </si>
  <si>
    <t>TR292|BIO0075</t>
  </si>
  <si>
    <t>All Payers|ATTM223|ATTUNE KNEE SYSTEM TIBIAL INSERT FIXED BEARING MEDIAL STABILIZED RIGHT SIZE 4MM*6MM(1520-20-406-DEPUY)</t>
  </si>
  <si>
    <t>All Payers|ATTUNE KNEE SYSTEM TIBIAL INSERT FIXED BEARING MEDIAL STABILIZED RIGHT SIZE 4MM*6MM(1520-20-406-DEPUY)</t>
  </si>
  <si>
    <t>TR292|BIO0097</t>
  </si>
  <si>
    <t>All Payers|ATTM232|ATTUNE KNEE SYSTEM TIBIAL INSERT FIXED BEARING MEDIAL STABILIZED RIGHTSIZE 3MM X 7MM(1520-20-307-DEPUY)</t>
  </si>
  <si>
    <t>All Payers|ATTUNE KNEE SYSTEM TIBIAL INSERT FIXED BEARING MEDIAL STABILIZED RIGHTSIZE 3MM X 7MM(1520-20-307-DEPUY)</t>
  </si>
  <si>
    <t>TR292|BIO0098</t>
  </si>
  <si>
    <t>All Payers|ATTM27|ATTUNE TIBIAL BASEPLATE FIXED BEARING CEMENTED 5MM(1506-70-005-DEPUY SYNTHES)</t>
  </si>
  <si>
    <t>All Payers|ATTUNE TIBIAL BASEPLATE FIXED BEARING CEMENTED 5MM(1506-70-005-DEPUY SYNTHES)</t>
  </si>
  <si>
    <t>TR292|BIO0106</t>
  </si>
  <si>
    <t>All Payers|ATTM83|ATTUNE FEMORAL C/R CEMENTED RIGHT SEZE 3(1504-00-203-DEPUY)</t>
  </si>
  <si>
    <t>All Payers|ATTUNE FEMORAL C/R CEMENTED RIGHT SEZE 3(1504-00-203-DEPUY)</t>
  </si>
  <si>
    <t>TR292|BIO0121</t>
  </si>
  <si>
    <t>All Payers|ATTM86|ATTUNE FEMORAL COMPONENT CEMENTED CRUCIATE RETAINING RIGHT 6(1504-00-206-DEPUY SYNTHES)</t>
  </si>
  <si>
    <t>All Payers|ATTUNE FEMORAL COMPONENT CEMENTED CRUCIATE RETAINING RIGHT 6(1504-00-206-DEPUY SYNTHES)</t>
  </si>
  <si>
    <t>TR292|BIO0181</t>
  </si>
  <si>
    <t>All Payers|ATTM97|ATTUNE FEMORAL COMPONENT CEMENTED CRUCIATE RETAINING RIGHT 4 NARROW(1504-00-224-DEPUY SYNTHES)</t>
  </si>
  <si>
    <t>All Payers|ATTUNE FEMORAL COMPONENT CEMENTED CRUCIATE RETAINING RIGHT 4 NARROW(1504-00-224-DEPUY SYNTHES)</t>
  </si>
  <si>
    <t>TR292|BLD0001</t>
  </si>
  <si>
    <t>All Payers|BONM229|BONE PIN 3.2MM*140MM(143140/213527-STRYKER)</t>
  </si>
  <si>
    <t>All Payers|BONE PIN 3.2MM*140MM(143140/213527-STRYKER)</t>
  </si>
  <si>
    <t>TR292|BLD0009</t>
  </si>
  <si>
    <t>All Payers|CORM9076|CORTICAL SCREW SLF TAPP 3.5MM*20MM 20TPI(A458000020-PITKAR)</t>
  </si>
  <si>
    <t>All Payers|CORTICAL SCREW SLF TAPP 3.5MM*20MM 20TPI(A458000020-PITKAR)</t>
  </si>
  <si>
    <t>TR292|BLD0024</t>
  </si>
  <si>
    <t>All Payers|LOCM2609|LOCKING SCREW SELF-TAPPING 3.5X26MM(AI07100026-PITKAR ORTHOTOOLS PVT LTD)</t>
  </si>
  <si>
    <t>All Payers|LOCKING SCREW SELF-TAPPING 3.5X26MM(AI07100026-PITKAR ORTHOTOOLS PVT LTD)</t>
  </si>
  <si>
    <t>TR292|PAT0007</t>
  </si>
  <si>
    <t>All Payers|MCKM01|MCK ONLAY TIBIAL INSERT SIZE 1MM*9MM(180701-2-STRYKER)</t>
  </si>
  <si>
    <t>All Payers|MCK ONLAY TIBIAL INSERT SIZE 1MM*9MM(180701-2-STRYKER)</t>
  </si>
  <si>
    <t>TR292|PAT0041</t>
  </si>
  <si>
    <t>All Payers|RESM100|RESTORIS MCK TIBIAL ONLAY INSERT SIZE-2MM*09MM(180702-2-STRYKER)</t>
  </si>
  <si>
    <t>All Payers|RESTORIS MCK TIBIAL ONLAY INSERT SIZE-2MM*09MM(180702-2-STRYKER)</t>
  </si>
  <si>
    <t>TR292|PAT0078</t>
  </si>
  <si>
    <t>All Payers|RESM68|RESTORIS MCK FEMORAL COMPONET RM/LL SIZE-1(180511-STRYKER)</t>
  </si>
  <si>
    <t>All Payers|RESTORIS MCK FEMORAL COMPONET RM/LL SIZE-1(180511-STRYKER)</t>
  </si>
  <si>
    <t>TR292|ANS0003</t>
  </si>
  <si>
    <t>All Payers|RESM69|RESTORIS MCK FEMORAL COMPONET RM/LL SIZE-2(180512-STRYKER)</t>
  </si>
  <si>
    <t>All Payers|RESTORIS MCK FEMORAL COMPONET RM/LL SIZE-2(180512-STRYKER)</t>
  </si>
  <si>
    <t>TR292|PHY5076</t>
  </si>
  <si>
    <t>All Payers|RESM70|RESTORIS MCK FEMORAL COMPONET RM/LL SIZE-3(180513-STRYKER)</t>
  </si>
  <si>
    <t>All Payers|RESTORIS MCK FEMORAL COMPONET RM/LL SIZE-3(180513-STRYKER)</t>
  </si>
  <si>
    <t>TR292|EME0016</t>
  </si>
  <si>
    <t>All Payers|RESM71|RESTORIS MCK FEMORAL COMPONENT RIGHT MEDIAL LEFT LATERAL KNEE 4(180514-STRYKER CORP)</t>
  </si>
  <si>
    <t>All Payers|RESTORIS MCK FEMORAL COMPONENT RIGHT MEDIAL LEFT LATERAL KNEE 4(180514-STRYKER CORP)</t>
  </si>
  <si>
    <t>TR292|EME0018</t>
  </si>
  <si>
    <t>All Payers|RESM79|RESTORIS MCK TIBIAL BASE PLATE RM/LL SIZE-1(180611-STRYKER)</t>
  </si>
  <si>
    <t>All Payers|RESTORIS MCK TIBIAL BASE PLATE RM/LL SIZE-1(180611-STRYKER)</t>
  </si>
  <si>
    <t>TR292|EME0020</t>
  </si>
  <si>
    <t>All Payers|RESM80|RESTORIS MCK TIBIAL BASE PLATE RM/LL SIZE-2(180612-STRYKER)</t>
  </si>
  <si>
    <t>All Payers|RESTORIS MCK TIBIAL BASE PLATE RM/LL SIZE-2(180612-STRYKER)</t>
  </si>
  <si>
    <t>TR292|EME0052</t>
  </si>
  <si>
    <t>All Payers|RESM81|RESTORIS MCK TIBIAL BASE PLATE RM/LL SIZE-3(180613-STRYKER)</t>
  </si>
  <si>
    <t>All Payers|RESTORIS MCK TIBIAL BASE PLATE RM/LL SIZE-3(180613-STRYKER)</t>
  </si>
  <si>
    <t>TR292|EME0080</t>
  </si>
  <si>
    <t>All Payers|RESM82|RESTORIS MCK TIBIAL BASEPLATE ONLAY RIGHT MEDIAL LEFT LATERAL 4(180614-STRYKER CORP)</t>
  </si>
  <si>
    <t>All Payers|RESTORIS MCK TIBIAL BASEPLATE ONLAY RIGHT MEDIAL LEFT LATERAL 4(180614-STRYKER CORP)</t>
  </si>
  <si>
    <t>TR292|EME5045</t>
  </si>
  <si>
    <t>All Payers|RESM87|1807031 RESTORIS MCK TIBIAL INSERT 3 X 8MM</t>
  </si>
  <si>
    <t>All Payers|1807031 RESTORIS MCK TIBIAL INSERT 3 X 8MM</t>
  </si>
  <si>
    <t>TR292|EME0088</t>
  </si>
  <si>
    <t>All Payers|RESM88|RESTORIS TIBIAL INSERT MULTI COMPARTMENTAL ONLAY KNEE 4 9MM(180704-2-STRYKER CORP)</t>
  </si>
  <si>
    <t>All Payers|RESTORIS TIBIAL INSERT MULTI COMPARTMENTAL ONLAY KNEE 4 9MM(180704-2-STRYKER CORP)</t>
  </si>
  <si>
    <t>TR292|PSY0036</t>
  </si>
  <si>
    <t>All Payers|SIMM01|SIMPLEX BONE CEMENT 40 GR [6191-0-001]</t>
  </si>
  <si>
    <t>All Payers|SIMPLEX BONE CEMENT 40 GR [6191-0-001]</t>
  </si>
  <si>
    <t>TR303|BIO0001</t>
  </si>
  <si>
    <t>All Payers|SIMM30|SIMPLEX P BONE CEMENT 40GM(6191-0-001-STRYKER CORP)</t>
  </si>
  <si>
    <t>TR303|BIO0002</t>
  </si>
  <si>
    <t>All Payers|SMAM40|SMART SET GHV GENTAMICIAN 40GRM(3095-040-DEPUY)</t>
  </si>
  <si>
    <t>All Payers|SMART SET GHV GENTAMICIAN 40GRM(3095-040-DEPUY)</t>
  </si>
  <si>
    <t>TR303|BIO0003</t>
  </si>
  <si>
    <t>All Payers|TRIM114|TRIATHLON TIBIAL INSERT CRUCIATE SUBSTITUTING BEARING KNEE X3 2 9MM(5531-G-209-E-STRYKER CORP)</t>
  </si>
  <si>
    <t>All Payers|TRIATHLON TIBIAL INSERT CRUCIATE SUBSTITUTING BEARING KNEE X3 2 9MM(5531-G-209-E-STRYKER CORP)</t>
  </si>
  <si>
    <t>TR303|BIO0004</t>
  </si>
  <si>
    <t>All Payers|TRIM122|TRIATHLON CR FEMORAL CEMENT RIGHT-3(5510F302-STRYKER)</t>
  </si>
  <si>
    <t>All Payers|TRIATHLON CR FEMORAL CEMENT RIGHT-3(5510F302-STRYKER)</t>
  </si>
  <si>
    <t>TR303|BIO0162</t>
  </si>
  <si>
    <t>All Payers|TRIM132|TRIATHLON FEMORAL COMPONENT CRUCIATE RETAINING CEMENTED PRIMARY REFERENCING RIGHT KNEE TRITANIUM 4(5510F402-STRYKER CORP)</t>
  </si>
  <si>
    <t>All Payers|TRIATHLON FEMORAL COMPONENT CRUCIATE RETAINING CEMENTED PRIMARY REFERENCING RIGHT KNEE TRITANIUM 4(5510F402-STRYKER CORP)</t>
  </si>
  <si>
    <t>TR303|CAR5341</t>
  </si>
  <si>
    <t>All Payers|TRIM133|TRIATHLON FEMORAL COMPONENT CEMENTED CRUCIATE RETAINING RIGHT TRITANIUM 5(5510-F-502-STRYKER CORP)</t>
  </si>
  <si>
    <t>All Payers|TRIATHLON FEMORAL COMPONENT CEMENTED CRUCIATE RETAINING RIGHT TRITANIUM 5(5510-F-502-STRYKER CORP)</t>
  </si>
  <si>
    <t>TR303|CAS0007</t>
  </si>
  <si>
    <t>All Payers|TRIM151|TRIATHLON INSERT CS X31MM*11MM(5531G111-STRYKER)</t>
  </si>
  <si>
    <t>All Payers|TRIATHLON INSERT CS X31MM*11MM(5531G111-STRYKER)</t>
  </si>
  <si>
    <t>TR303|DIE0001</t>
  </si>
  <si>
    <t>All Payers|TRIM153|TRIATHLON INSERT CS X3 2*11MM(5531G211-STRYKER)</t>
  </si>
  <si>
    <t>All Payers|TRIATHLON INSERT CS X3 2*11MM(5531G211-STRYKER)</t>
  </si>
  <si>
    <t>TR303|EME0017</t>
  </si>
  <si>
    <t>All Payers|TRIM157|5531G409E TRIATHLON X3 TIBIAL BEARING INSERT CS 4 X 9 MM</t>
  </si>
  <si>
    <t>All Payers|5531G409E TRIATHLON X3 TIBIAL BEARING INSERT CS 4 X 9 MM</t>
  </si>
  <si>
    <t>TR303|EME0019</t>
  </si>
  <si>
    <t>All Payers|TRIM158|TRIATHLON TIBIAL INSERT CRUCIATE SUBSTITUTING BEARING KNEE X3 4 11MM(5531-G-411-E-STRYKER CORP)</t>
  </si>
  <si>
    <t>All Payers|TRIATHLON TIBIAL INSERT CRUCIATE SUBSTITUTING BEARING KNEE X3 4 11MM(5531-G-411-E-STRYKER CORP)</t>
  </si>
  <si>
    <t>TR303|EME0087</t>
  </si>
  <si>
    <t>All Payers|TRIM184|5520B400 TRIATHLON TIBIA BP CEMENTED SIZE 4</t>
  </si>
  <si>
    <t>All Payers|5520B400 TRIATHLON TIBIA BP CEMENTED SIZE 4</t>
  </si>
  <si>
    <t>TR303|HSP0047</t>
  </si>
  <si>
    <t>All Payers|TRIM185|5521B100 TRIATHLON TOT KNEE UNIVERSAL TIB BASE PLATE (STRYKER)</t>
  </si>
  <si>
    <t>All Payers|5521B100 TRIATHLON TOT KNEE UNIVERSAL TIB BASE PLATE (STRYKER)</t>
  </si>
  <si>
    <t>TR303|HSP5013</t>
  </si>
  <si>
    <t>All Payers|TRIM187|5521B200 TRIATHLON UNIVERSAL BP 2(STRYKER)</t>
  </si>
  <si>
    <t>All Payers|5521B200 TRIATHLON UNIVERSAL BP 2(STRYKER)</t>
  </si>
  <si>
    <t>TR303|ICC0001</t>
  </si>
  <si>
    <t>All Payers|TRIM188|TRIATHLON TIBIAL BASEPLATE CEMENTED 3 UNIVERSAL(5521-B-300-STRYKER CORP)</t>
  </si>
  <si>
    <t>All Payers|TRIATHLON TIBIAL BASEPLATE CEMENTED 3 UNIVERSAL(5521-B-300-STRYKER CORP)</t>
  </si>
  <si>
    <t>TR303|ICC0002</t>
  </si>
  <si>
    <t>All Payers|TRIM189|TRIATHLON TIBIAL BASEPLATE CEMENTED TOTAL KNEE UNIVERSAL 4(5521-B-400-STRYKER CORP)</t>
  </si>
  <si>
    <t>All Payers|TRIATHLON TIBIAL BASEPLATE CEMENTED TOTAL KNEE UNIVERSAL 4(5521-B-400-STRYKER CORP)</t>
  </si>
  <si>
    <t>TR303|OTC0010</t>
  </si>
  <si>
    <t>All Payers|TRIM191|TRIATHLON TIBIAL BASEPLATE PRIMARY CEMENTED STERILE 5(5520-B-500-STRYKER CORP)</t>
  </si>
  <si>
    <t>All Payers|TRIATHLON TIBIAL BASEPLATE PRIMARY CEMENTED STERILE 5(5520-B-500-STRYKER CORP)</t>
  </si>
  <si>
    <t>TR303|OTC5005</t>
  </si>
  <si>
    <t>All Payers|TRIM196|TRIATHLON TS FEMORAL STEM CEMENTED KNEE TITANIUM 12X100MM(5560-S-212-STRYKER CORP)</t>
  </si>
  <si>
    <t>All Payers|TRIATHLON TS FEMORAL STEM CEMENTED KNEE TITANIUM 12X100MM(5560-S-212-STRYKER CORP)</t>
  </si>
  <si>
    <t>TR303|OTI0015</t>
  </si>
  <si>
    <t>All Payers|TRIM197|TRIATHLON TS FEMORAL STEM CEMENTED KNEE TITANIUM 12X50MM(5560-S-112-STRYKER CORP)</t>
  </si>
  <si>
    <t>All Payers|TRIATHLON TS FEMORAL STEM CEMENTED KNEE TITANIUM 12X50MM(5560-S-112-STRYKER CORP)</t>
  </si>
  <si>
    <t>TR303|OTI0018</t>
  </si>
  <si>
    <t>All Payers|TRIM355|TRIATHLON TIBIAL INSERT CRUCIATE STABILIZED BEARING KNEE X3 3 10MM(5531-G-310-E-STRYKER CORP)</t>
  </si>
  <si>
    <t>All Payers|TRIATHLON TIBIAL INSERT CRUCIATE STABILIZED BEARING KNEE X3 3 10MM(5531-G-310-E-STRYKER CORP)</t>
  </si>
  <si>
    <t>TR303|OTI0098</t>
  </si>
  <si>
    <t>All Payers|TRIM358|TRIATHLON TIBIAL INSERT CRUCIATE STABILIZED BEARING KNEE X3 5 10MM(5531-G-510-E-STRYKER CORP)</t>
  </si>
  <si>
    <t>All Payers|TRIATHLON TIBIAL INSERT CRUCIATE STABILIZED BEARING KNEE X3 5 10MM(5531-G-510-E-STRYKER CORP)</t>
  </si>
  <si>
    <t>TR303|PAT0042</t>
  </si>
  <si>
    <t>All Payers||BED BATH TOWEL 300MM*240MM 10S PACK(WIPEX-ROMSONS)</t>
  </si>
  <si>
    <t>TR303|PAT0045</t>
  </si>
  <si>
    <t>All Payers||DIAPER ADULT MEDIUM 75CMX110CM(MAGMACARE)</t>
  </si>
  <si>
    <t>All Payers|DIAPER ADULT MEDIUM 75CMX110CM(MAGMACARE)</t>
  </si>
  <si>
    <t>TR303|PHY5082</t>
  </si>
  <si>
    <t>All Payers||DIAPER ADULT XL 120CMX142.5CM(MAGMACARE)</t>
  </si>
  <si>
    <t>TR303|RNS0120</t>
  </si>
  <si>
    <t>All Payers||ECG ELECTRODES ADULT(SUCHIKA)</t>
  </si>
  <si>
    <t>TR303|RNS5005</t>
  </si>
  <si>
    <t>All Payers||MICRO POLYSITE PLUS (DUO) EXTENSION(POLYMED)</t>
  </si>
  <si>
    <t>TR303|ROM0001</t>
  </si>
  <si>
    <t>All Payers||POSIFLUSH SP 10ML(306575-BD)</t>
  </si>
  <si>
    <t>TR303|ROM0024</t>
  </si>
  <si>
    <t>All Payers||POSIFLUSH SP 5ML(306574-BD)</t>
  </si>
  <si>
    <t>TR303|ROM0036</t>
  </si>
  <si>
    <t>All Payers||STERIDRAPE ISOLATION BAG 50CM*50CM(1003-3M)</t>
  </si>
  <si>
    <t>All Payers|STERIDRAPE ISOLATION BAG 50CM*50CM(1003-3M)</t>
  </si>
  <si>
    <t>TR303|ROM0093</t>
  </si>
  <si>
    <t>All Payers||SURGICAL GLOVE 7.5(BLISTER PACK-SURGICARE-KANAM)</t>
  </si>
  <si>
    <t>TR303|ROM5009</t>
  </si>
  <si>
    <t>All Payers||SURGICAL GLOVE 7.5(SURGICARE-KANAM)</t>
  </si>
  <si>
    <t>TR303|ROM5189</t>
  </si>
  <si>
    <t>All Payers||SYRINGE 10ML LL(LIFE LONG)</t>
  </si>
  <si>
    <t>TR303|XRY5090</t>
  </si>
  <si>
    <t>All Payers|ADVR02|ADVACRYL 1 ADVA2347(AMS)</t>
  </si>
  <si>
    <t>All Payers|ADVACRYL 1 ADVA2347(AMS)</t>
  </si>
  <si>
    <t>TR303|CAR0080</t>
  </si>
  <si>
    <t>All Payers|ADVR10|ADVACRYL 2-0 ADVA2404(AMS)</t>
  </si>
  <si>
    <t>All Payers|ADVACRYL 2-0 ADVA2404(AMS)</t>
  </si>
  <si>
    <t>TR303|XRY044</t>
  </si>
  <si>
    <t>X-RAY BED SIDE AP VIEW</t>
  </si>
  <si>
    <t>All Payers|ADVR105|ADVAGRIP 180 1-0 ADVAGL0337(AMS)</t>
  </si>
  <si>
    <t>All Payers|ADVAGRIP 180 1-0 ADVAGL0337(AMS)</t>
  </si>
  <si>
    <t>TR303|XRY5133</t>
  </si>
  <si>
    <t>All Payers|ADVR21|ADVACRYL 1 ADVA2826E(AMS)</t>
  </si>
  <si>
    <t>All Payers|ADVACRYL 1 ADVA2826E(AMS)</t>
  </si>
  <si>
    <t>TR303|BIO0005</t>
  </si>
  <si>
    <t>All Payers|ADVR34|ADVALENE 0 ADVA830(AMS)</t>
  </si>
  <si>
    <t>All Payers|ADVALENE 0 ADVA830(AMS)</t>
  </si>
  <si>
    <t>TR303|BIO0064</t>
  </si>
  <si>
    <t>All Payers|ALCC05|ALCOHOL SWABS(NANZ)</t>
  </si>
  <si>
    <t>All Payers|ALCOHOL SWABS(NANZ)</t>
  </si>
  <si>
    <t>TR303|BIO0075</t>
  </si>
  <si>
    <t>All Payers|APRU13|APRON PLASTIC DISPOSABLE(MEDIBLUE)</t>
  </si>
  <si>
    <t>All Payers|APRON PLASTIC DISPOSABLE(MEDIBLUE)</t>
  </si>
  <si>
    <t>TR303|BIO0097</t>
  </si>
  <si>
    <t>All Payers|ARTU02|ARTIFLEX 15CM*3M(72966-01/72966-03-BSN)</t>
  </si>
  <si>
    <t>All Payers|ARTIFLEX 15CM*3M(72966-01/72966-03-BSN)</t>
  </si>
  <si>
    <t>TR303|BIO0098</t>
  </si>
  <si>
    <t>All Payers|BLOU54|BLOOD SET(BUYWEL)</t>
  </si>
  <si>
    <t>All Payers|BLOOD SET(BUYWEL)</t>
  </si>
  <si>
    <t>TR303|BIO0106</t>
  </si>
  <si>
    <t>All Payers|CARU47|C ARM COVER 2PIECE(D306-2-SURGIWEAR)</t>
  </si>
  <si>
    <t>All Payers|C ARM COVER 2PIECE(D306-2-SURGIWEAR)</t>
  </si>
  <si>
    <t>TR303|BIO0121</t>
  </si>
  <si>
    <t>All Payers|CAUU22|CAUTERY PENCIL LONG TIP(MEDTRONIC)</t>
  </si>
  <si>
    <t>All Payers|CAUTERY PENCIL LONG TIP(MEDTRONIC)</t>
  </si>
  <si>
    <t>TR303|BIO0181</t>
  </si>
  <si>
    <t>All Payers|CORM10400|CORK SCREW FT-2 5.5MM WITH NEEDLE 16.3MM(AR-1928SNF-2-ARTHREX)</t>
  </si>
  <si>
    <t>All Payers|CORK SCREW FT-2 5.5MM WITH NEEDLE 16.3MM(AR-1928SNF-2-ARTHREX)</t>
  </si>
  <si>
    <t>TR303|BLD0001</t>
  </si>
  <si>
    <t>All Payers|CREU27|CREPE BANDAGE 10CM(VELSOFT-10-DATT)</t>
  </si>
  <si>
    <t>All Payers|CREPE BANDAGE 10CM(VELSOFT-10-DATT)</t>
  </si>
  <si>
    <t>TR303|BLD0009</t>
  </si>
  <si>
    <t>All Payers|CURU01|CURAPORE STERILE 10CM X 30CM/9CM X 30CM(LOHMANN AND RAUSCHER)</t>
  </si>
  <si>
    <t>All Payers|CURAPORE STERILE 10CM X 30CM/9CM X 30CM(LOHMANN AND RAUSCHER)</t>
  </si>
  <si>
    <t>TR303|BLD0024</t>
  </si>
  <si>
    <t>All Payers|DERU28|DERMI SURGICAL MARKER(DERMARK-ROMSONS)</t>
  </si>
  <si>
    <t>All Payers|DERMI SURGICAL MARKER(DERMARK-ROMSONS)</t>
  </si>
  <si>
    <t>TR303|PAT0007</t>
  </si>
  <si>
    <t>All Payers|DIAU126|DIAPER ADULT MEDIUM 75CMX110CM(MAGMACARE)</t>
  </si>
  <si>
    <t>TR303|PAT0041</t>
  </si>
  <si>
    <t>All Payers|DREC02|DRESSING PAD STERILE(KIMS)</t>
  </si>
  <si>
    <t>All Payers|DRESSING PAD STERILE(KIMS)</t>
  </si>
  <si>
    <t>TR303|PAT0078</t>
  </si>
  <si>
    <t>All Payers|ENCU11|MICROOPTIC STERILE GLOVE 6.0(ENCORE-JK ANSELL)</t>
  </si>
  <si>
    <t>All Payers|MICROOPTIC STERILE GLOVE 6.0(ENCORE-JK ANSELL)</t>
  </si>
  <si>
    <t>TR303|ANS0003</t>
  </si>
  <si>
    <t>All Payers|ENCU25|ENCORE LATEX UNDERGLOVE 6.5 NO(ANSELL)</t>
  </si>
  <si>
    <t>All Payers|ENCORE LATEX UNDERGLOVE 6.5 NO(ANSELL)</t>
  </si>
  <si>
    <t>TR303|PHY5076</t>
  </si>
  <si>
    <t>All Payers|ENCU29|ENCORE LATEX UNDERGLOVE 8.0 NO(ANSELL)</t>
  </si>
  <si>
    <t>All Payers|ENCORE LATEX UNDERGLOVE 8.0 NO(ANSELL)</t>
  </si>
  <si>
    <t>TR303|EME0016</t>
  </si>
  <si>
    <t>All Payers|ENCU3|ENCORE ORTHOPEDIC GLOVES 6.5(JK ANSELL)</t>
  </si>
  <si>
    <t>All Payers|ENCORE ORTHOPEDIC GLOVES 6.5(JK ANSELL)</t>
  </si>
  <si>
    <t>TR303|EME0018</t>
  </si>
  <si>
    <t>All Payers|FEEU05|FEEDY NO-09(ROMSONS)</t>
  </si>
  <si>
    <t>All Payers|FEEDY NO-09(ROMSONS)</t>
  </si>
  <si>
    <t>TR303|EME0020</t>
  </si>
  <si>
    <t>All Payers|FOLU08|FOLEYS CATHETER 2WAY 12F(RUSCH)</t>
  </si>
  <si>
    <t>All Payers|FOLEYS CATHETER 2WAY 12F(RUSCH)</t>
  </si>
  <si>
    <t>TR303|EME0052</t>
  </si>
  <si>
    <t>All Payers|FOLU161|FOLEYS CATHETER TWO WAY 14F(UROCATH-ROMSONS)</t>
  </si>
  <si>
    <t>All Payers|FOLEYS CATHETER TWO WAY 14F(UROCATH-ROMSONS)</t>
  </si>
  <si>
    <t>TR303|EME0080</t>
  </si>
  <si>
    <t>FOLEY'S CATHERTERIZATION</t>
  </si>
  <si>
    <t>All Payers|GAUC20|GAUZE DRESSING MOP 12 PLY WITH X-RAY THREAD 10X10CM(VELSAWAB)</t>
  </si>
  <si>
    <t>All Payers|GAUZE DRESSING MOP 12 PLY WITH X-RAY THREAD 10X10CM(VELSAWAB)</t>
  </si>
  <si>
    <t>TR303|EME5045</t>
  </si>
  <si>
    <t>All Payers|GDRU07|G DRESS-10 8.5X6.5CM(GD10-SURGIWEAR)</t>
  </si>
  <si>
    <t>All Payers|G DRESS-10 8.5X6.5CM(GD10-SURGIWEAR)</t>
  </si>
  <si>
    <t>TR303|EME0088</t>
  </si>
  <si>
    <t>All Payers|GEEC02|GE ENTROPY SENSOR(M1038681-GE HEALTHCARE PVT LTD)</t>
  </si>
  <si>
    <t>All Payers|GE ENTROPY SENSOR(M1038681-GE HEALTHCARE PVT LTD)</t>
  </si>
  <si>
    <t>TR303|PSY0036</t>
  </si>
  <si>
    <t>All Payers|HANU01|HAND CARE GLOVES STERILE SMALL EVA(HI-CARE)</t>
  </si>
  <si>
    <t>All Payers|HAND CARE GLOVES STERILE SMALL EVA(HI-CARE)</t>
  </si>
  <si>
    <t>All Payers|HOTU11|HOT AND COLD PACK(DYNAMIC)</t>
  </si>
  <si>
    <t>All Payers|HOT AND COLD PACK(DYNAMIC)</t>
  </si>
  <si>
    <t>All Payers|KNEU03|KNEE IMMOBILIZER LARGE(DYNAMIC TECHNO MEDICALS)</t>
  </si>
  <si>
    <t>All Payers|KNEE IMMOBILIZER LARGE(DYNAMIC TECHNO MEDICALS)</t>
  </si>
  <si>
    <t>All Payers|KWIM232|KIRSCHNER SURGICAL WIRE DOUBLE ENDED TROCAR POINT 2.5X285MM(1450.2.5.285-OROMED)</t>
  </si>
  <si>
    <t>All Payers|KIRSCHNER SURGICAL WIRE DOUBLE ENDED TROCAR POINT 2.5X285MM(1450.2.5.285-OROMED)</t>
  </si>
  <si>
    <t>All Payers|MEAU26|MEASUREXE 250ML(UROMETER-ROMSONS)</t>
  </si>
  <si>
    <t>All Payers|MEASUREXE 250ML(UROMETER-ROMSONS)</t>
  </si>
  <si>
    <t>All Payers|MEPU46|MEPILEX BORDER POST-OP 10CM*20CM(496400-MOLNLYCKE)</t>
  </si>
  <si>
    <t>All Payers|MEPILEX BORDER POST-OP 10CM*20CM(496400-MOLNLYCKE)</t>
  </si>
  <si>
    <t>All Payers|MEPU62|MEPILEX BORDER POST OP 9CM*10CM(MOLNYCKE)</t>
  </si>
  <si>
    <t>All Payers|MEPILEX BORDER POST OP 9CM*10CM(MOLNYCKE)</t>
  </si>
  <si>
    <t>All Payers|MERR26|MERSILK 4-0 NW5050(ETHICON)</t>
  </si>
  <si>
    <t>All Payers|MERSILK 4-0 NW5050(ETHICON)</t>
  </si>
  <si>
    <t>All Payers|MICU115|MICRO POLY SYTE BI EXTENSION(POLYMED)</t>
  </si>
  <si>
    <t>All Payers|MICRO POLY SYTE BI EXTENSION(POLYMED)</t>
  </si>
  <si>
    <t>All Payers|MICU133|MICRO INFUSION SET(BUYMED-BUYWEL)</t>
  </si>
  <si>
    <t>All Payers|MICRO INFUSION SET(BUYMED-BUYWEL)</t>
  </si>
  <si>
    <t>All Payers|NASU122|NASAL CANNULA ADULT(LIFE-O-LINE)</t>
  </si>
  <si>
    <t>All Payers|NASAL CANNULA ADULT(LIFE-O-LINE)</t>
  </si>
  <si>
    <t>All Payers|NEEU69|NEEDLE DISPOSABLE 26G X 0.5IN(NIPRO)</t>
  </si>
  <si>
    <t>All Payers|NEEDLE DISPOSABLE 26G X 0.5IN(NIPRO)</t>
  </si>
  <si>
    <t>All Payers|NEEU85|NEEDLES 16G*1.5IN(ROMSONS)</t>
  </si>
  <si>
    <t>All Payers|NEEDLES 16G*1.5IN(ROMSONS)</t>
  </si>
  <si>
    <t>All Payers|NOVR06|NOVOSYN VIOLET 2(5)90CM HS40S(M) DDP(BBRAUN)</t>
  </si>
  <si>
    <t>All Payers|NOVOSYN VIOLET 2(5)90CM HS40S(M) DDP(BBRAUN)</t>
  </si>
  <si>
    <t>All Payers|OXYU86|OXYGEN MASK ADULT(LIFE-O-LINE)</t>
  </si>
  <si>
    <t>All Payers|OXYGEN MASK ADULT(LIFE-O-LINE)</t>
  </si>
  <si>
    <t>All Payers|PHYR01|PHYSIO BALLS(DYNAMIC)</t>
  </si>
  <si>
    <t>All Payers|PHYSIO BALLS(DYNAMIC)</t>
  </si>
  <si>
    <t>All Payers|PROR53|PROLENE 2-0 NW844(ETHICON)</t>
  </si>
  <si>
    <t>All Payers|PROLENE 2-0 NW844(ETHICON)</t>
  </si>
  <si>
    <t>All Payers|PULM04|PULSAVAC WOUND DEBRIDEMENT SYSTEM(BELL PHARMA)</t>
  </si>
  <si>
    <t>All Payers|PULSAVAC WOUND DEBRIDEMENT SYSTEM(BELL PHARMA)</t>
  </si>
  <si>
    <t>All Payers|ROMU04|ROMO VAC SET-12(ROMSONS)</t>
  </si>
  <si>
    <t>All Payers|ROMO VAC SET-12(ROMSONS)</t>
  </si>
  <si>
    <t>All Payers|SIGU09|SIGNATURE LATEX MICRO STERILE GLOVE 6.5(MEDLINE)</t>
  </si>
  <si>
    <t>All Payers|SIGNATURE LATEX MICRO STERILE GLOVE 6.5(MEDLINE)</t>
  </si>
  <si>
    <t>All Payers|STEU119|STERIDRAPE ISOLATION BAG 50CM*50CM(1003-3M)</t>
  </si>
  <si>
    <t>All Payers|STIU14|STIMUPLEX ULTRA NEEDLE 22G*50MM(B.BRAUN)</t>
  </si>
  <si>
    <t>All Payers|STIMUPLEX ULTRA NEEDLE 22G*50MM(B.BRAUN)</t>
  </si>
  <si>
    <t>All Payers|SURU325|SURGEON GOWN REINFORCED WRAPAROUND XXL(BIO5506-BIOANTHEM)</t>
  </si>
  <si>
    <t>All Payers|SURGEON GOWN REINFORCED WRAPAROUND XXL(BIO5506-BIOANTHEM)</t>
  </si>
  <si>
    <t>All Payers|THRU36|THREE WAY EXTENSION 100CM(POLYMED)</t>
  </si>
  <si>
    <t>All Payers|THREE WAY EXTENSION 100CM(POLYMED)</t>
  </si>
  <si>
    <t>All Payers|THRU61|THR/TKR KIT(MEDLINE INDUSTRIES)</t>
  </si>
  <si>
    <t>All Payers|THR/TKR KIT(MEDLINE INDUSTRIES)</t>
  </si>
  <si>
    <t>All Payers|TRUR116|TRUGLYDE 1 SN2421(HEALTHIUM)</t>
  </si>
  <si>
    <t>All Payers|TRUGLYDE 1 SN2421(HEALTHIUM)</t>
  </si>
  <si>
    <t>All Payers|TRUR17|TRUGLYDE 2-0 SN2345(HEALTHIUM)</t>
  </si>
  <si>
    <t>All Payers|TRUGLYDE 2-0 SN2345(HEALTHIUM)</t>
  </si>
  <si>
    <t>All Payers|TRUR54|TRUGLYDE 1 SN2347(HEALTHIUM)</t>
  </si>
  <si>
    <t>All Payers|TRUGLYDE 1 SN2347(HEALTHIUM)</t>
  </si>
  <si>
    <t>All Payers|VELU17|VELFIX-EASY WITH PAD 8CM*15CM(5507E-DMP)</t>
  </si>
  <si>
    <t>All Payers|VELFIX-EASY WITH PAD 8CM*15CM(5507E-DMP)</t>
  </si>
  <si>
    <t>All Payers|VENU8162|VENFLON-I 18G(BD)</t>
  </si>
  <si>
    <t>All Payers|VENFLON-I 18G(BD)</t>
  </si>
  <si>
    <t>All Payers|WALU01|WALKER FOLDING (DYNA REHAID)</t>
  </si>
  <si>
    <t>All Payers|WALKER FOLDING (DYNA REHAID)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</si>
</sst>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5" x14ac:knownFonts="1">
    <font>
      <color theme="1"/>
      <family val="2"/>
      <scheme val="minor"/>
      <sz val="11"/>
      <name val="Calibri"/>
    </font>
    <font>
      <b/>
      <color rgb="FFFFFFFF"/>
      <sz val="11"/>
      <name val="Cambria"/>
    </font>
    <font>
      <sz val="11"/>
      <name val="Cambria"/>
    </font>
    <font>
      <b/>
      <sz val="11"/>
      <name val="Cambria"/>
    </font>
    <font>
      <color theme="1"/>
      <sz val="11"/>
      <name val="Cambria"/>
    </font>
  </fonts>
  <fills count="10">
    <fill>
      <patternFill patternType="none"/>
    </fill>
    <fill>
      <patternFill patternType="gray125"/>
    </fill>
    <fill>
      <patternFill patternType="solid">
        <fgColor rgb="FF1F4E78"/>
      </patternFill>
    </fill>
    <fill>
      <patternFill patternType="solid">
        <fgColor rgb="FFF4F6F8"/>
      </patternFill>
    </fill>
    <fill>
      <patternFill patternType="solid">
        <fgColor rgb="FFFFF2CC"/>
      </patternFill>
    </fill>
    <fill>
      <patternFill patternType="solid">
        <fgColor rgb="FFEAF4EA"/>
      </patternFill>
    </fill>
    <fill>
      <patternFill patternType="solid">
        <fgColor rgb="FFD9EAF7"/>
      </patternFill>
    </fill>
    <fill>
      <patternFill patternType="solid">
        <fgColor rgb="FFEAF1FB"/>
      </patternFill>
    </fill>
    <fill>
      <patternFill patternType="solid">
        <fgColor rgb="FFFCE4D6"/>
      </patternFill>
    </fill>
    <fill>
      <patternFill patternType="solid">
        <fgColor rgb="FFE2F0D9"/>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medium">
        <color rgb="FF4F81BD"/>
      </left>
      <right style="medium">
        <color rgb="FF4F81BD"/>
      </right>
      <top style="medium">
        <color rgb="FF4F81BD"/>
      </top>
      <bottom style="medium">
        <color rgb="FF4F81BD"/>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left"/>
    </xf>
    <xf numFmtId="0" fontId="2" fillId="3" borderId="1" xfId="0" applyFont="1" applyFill="1" applyBorder="1" applyAlignment="1">
      <alignment horizontal="center"/>
    </xf>
    <xf numFmtId="0" fontId="2" fillId="4" borderId="2" xfId="0" applyFont="1" applyFill="1" applyBorder="1" applyAlignment="1">
      <alignment horizontal="center"/>
    </xf>
    <xf numFmtId="0" fontId="3" fillId="5" borderId="2" xfId="0" applyFont="1" applyFill="1" applyBorder="1" applyAlignment="1">
      <alignment horizontal="center"/>
    </xf>
    <xf numFmtId="0" fontId="3" fillId="6" borderId="1" xfId="0" applyFont="1" applyFill="1" applyBorder="1" applyAlignment="1">
      <alignment horizontal="left"/>
    </xf>
    <xf numFmtId="164" fontId="3" fillId="5" borderId="2" xfId="0" applyNumberFormat="1" applyFont="1" applyFill="1" applyBorder="1" applyAlignment="1">
      <alignment horizontal="center"/>
    </xf>
    <xf numFmtId="0" fontId="3" fillId="3" borderId="1" xfId="0" applyFont="1" applyFill="1" applyBorder="1" applyAlignment="1">
      <alignment horizontal="center" wrapText="1"/>
    </xf>
    <xf numFmtId="3" fontId="2" fillId="3" borderId="1" xfId="0" applyNumberFormat="1" applyFont="1" applyFill="1" applyBorder="1" applyAlignment="1">
      <alignment horizontal="center"/>
    </xf>
    <xf numFmtId="3" fontId="3" fillId="5" borderId="2" xfId="0" applyNumberFormat="1" applyFont="1" applyFill="1" applyBorder="1" applyAlignment="1">
      <alignment horizontal="center"/>
    </xf>
    <xf numFmtId="3" fontId="2" fillId="4" borderId="2" xfId="0" applyNumberFormat="1" applyFont="1" applyFill="1" applyBorder="1" applyAlignment="1">
      <alignment horizontal="center"/>
    </xf>
    <xf numFmtId="165" fontId="2" fillId="3" borderId="1" xfId="0" applyNumberFormat="1" applyFont="1" applyFill="1" applyBorder="1" applyAlignment="1">
      <alignment horizontal="center"/>
    </xf>
    <xf numFmtId="165" fontId="2" fillId="4" borderId="2" xfId="0" applyNumberFormat="1" applyFont="1" applyFill="1" applyBorder="1" applyAlignment="1">
      <alignment horizontal="center"/>
    </xf>
    <xf numFmtId="165" fontId="3" fillId="5" borderId="2" xfId="0" applyNumberFormat="1" applyFont="1" applyFill="1" applyBorder="1" applyAlignment="1">
      <alignment horizontal="center"/>
    </xf>
    <xf numFmtId="0" fontId="2" fillId="3" borderId="1" xfId="0" applyFont="1" applyFill="1" applyBorder="1" applyAlignment="1">
      <alignment horizontal="left" wrapText="1"/>
    </xf>
    <xf numFmtId="0" fontId="3" fillId="3" borderId="1" xfId="0" applyFont="1" applyFill="1" applyBorder="1" applyAlignment="1">
      <alignment horizontal="center"/>
    </xf>
    <xf numFmtId="0" fontId="3" fillId="4" borderId="1" xfId="0" applyFont="1" applyFill="1" applyBorder="1" applyAlignment="1">
      <alignment horizontal="center"/>
    </xf>
    <xf numFmtId="4" fontId="3" fillId="4" borderId="1" xfId="0" applyNumberFormat="1" applyFont="1" applyFill="1" applyBorder="1" applyAlignment="1">
      <alignment horizontal="center"/>
    </xf>
    <xf numFmtId="0" fontId="3" fillId="6" borderId="1" xfId="0" applyFont="1" applyFill="1" applyBorder="1" applyAlignment="1">
      <alignment horizontal="center"/>
    </xf>
    <xf numFmtId="4" fontId="3" fillId="3" borderId="1" xfId="0" applyNumberFormat="1" applyFont="1" applyFill="1" applyBorder="1" applyAlignment="1">
      <alignment horizontal="center"/>
    </xf>
    <xf numFmtId="4" fontId="2" fillId="3" borderId="1" xfId="0" applyNumberFormat="1" applyFont="1" applyFill="1" applyBorder="1" applyAlignment="1">
      <alignment horizontal="center"/>
    </xf>
    <xf numFmtId="4" fontId="3" fillId="6" borderId="1" xfId="0" applyNumberFormat="1" applyFont="1" applyFill="1" applyBorder="1" applyAlignment="1">
      <alignment horizontal="center"/>
    </xf>
    <xf numFmtId="0" fontId="2" fillId="5" borderId="1" xfId="0" applyFont="1" applyFill="1" applyBorder="1" applyAlignment="1">
      <alignment horizontal="center"/>
    </xf>
    <xf numFmtId="4" fontId="2" fillId="7" borderId="1" xfId="0" applyNumberFormat="1" applyFont="1" applyFill="1" applyBorder="1" applyAlignment="1">
      <alignment horizontal="center"/>
    </xf>
    <xf numFmtId="4" fontId="2" fillId="5" borderId="1" xfId="0" applyNumberFormat="1" applyFont="1" applyFill="1" applyBorder="1" applyAlignment="1">
      <alignment horizontal="center"/>
    </xf>
    <xf numFmtId="4" fontId="2" fillId="4" borderId="1" xfId="0" applyNumberFormat="1" applyFont="1" applyFill="1" applyBorder="1" applyAlignment="1">
      <alignment horizontal="center"/>
    </xf>
    <xf numFmtId="0" fontId="2" fillId="4" borderId="1" xfId="0" applyFont="1" applyFill="1" applyBorder="1" applyAlignment="1">
      <alignment horizontal="center"/>
    </xf>
    <xf numFmtId="3" fontId="2" fillId="3" borderId="1" xfId="0" applyNumberFormat="1" applyFont="1" applyFill="1" applyBorder="1" applyAlignment="1">
      <alignment horizontal="left" wrapText="1"/>
    </xf>
    <xf numFmtId="0" fontId="3" fillId="8" borderId="1" xfId="0" applyFont="1" applyFill="1" applyBorder="1" applyAlignment="1">
      <alignment horizontal="center"/>
    </xf>
    <xf numFmtId="4" fontId="3" fillId="8" borderId="1" xfId="0" applyNumberFormat="1" applyFont="1" applyFill="1" applyBorder="1" applyAlignment="1">
      <alignment horizontal="center"/>
    </xf>
    <xf numFmtId="4" fontId="3" fillId="5" borderId="1" xfId="0" applyNumberFormat="1" applyFont="1" applyFill="1" applyBorder="1" applyAlignment="1">
      <alignment horizontal="center"/>
    </xf>
    <xf numFmtId="0" fontId="3" fillId="8" borderId="1" xfId="0" applyFont="1" applyFill="1" applyBorder="1" applyAlignment="1">
      <alignment horizontal="center" wrapText="1"/>
    </xf>
    <xf numFmtId="4" fontId="2" fillId="3" borderId="1" xfId="0" applyNumberFormat="1" applyFont="1" applyFill="1" applyBorder="1" applyAlignment="1">
      <alignment horizontal="center" wrapText="1"/>
    </xf>
    <xf numFmtId="164" fontId="2" fillId="3" borderId="1" xfId="0" applyNumberFormat="1" applyFont="1" applyFill="1" applyBorder="1" applyAlignment="1">
      <alignment horizontal="center" wrapText="1"/>
    </xf>
    <xf numFmtId="0" fontId="2" fillId="4" borderId="1" xfId="0" applyFont="1" applyFill="1" applyBorder="1" applyAlignment="1">
      <alignment horizontal="center" wrapText="1"/>
    </xf>
    <xf numFmtId="0" fontId="3" fillId="3" borderId="1" xfId="0" applyFont="1" applyFill="1" applyBorder="1" applyAlignment="1">
      <alignment horizontal="left"/>
    </xf>
    <xf numFmtId="0" fontId="3" fillId="6" borderId="1" xfId="0" applyFont="1" applyFill="1" applyBorder="1" applyAlignment="1">
      <alignment horizontal="center" wrapText="1"/>
    </xf>
    <xf numFmtId="4" fontId="2" fillId="5" borderId="1" xfId="0" applyNumberFormat="1" applyFont="1" applyFill="1" applyBorder="1" applyAlignment="1">
      <alignment horizontal="center" wrapText="1"/>
    </xf>
    <xf numFmtId="4" fontId="2" fillId="4" borderId="1" xfId="0" applyNumberFormat="1" applyFont="1" applyFill="1" applyBorder="1" applyAlignment="1">
      <alignment horizontal="center" wrapText="1"/>
    </xf>
    <xf numFmtId="4" fontId="2" fillId="7" borderId="1" xfId="0" applyNumberFormat="1" applyFont="1" applyFill="1" applyBorder="1" applyAlignment="1">
      <alignment horizontal="center" wrapText="1"/>
    </xf>
    <xf numFmtId="0" fontId="2" fillId="3" borderId="1" xfId="0" applyFont="1" applyFill="1" applyBorder="1" applyAlignment="1">
      <alignment horizontal="center" wrapText="1"/>
    </xf>
    <xf numFmtId="0" fontId="4" fillId="0" borderId="0" xfId="0" applyFont="1" applyAlignment="1">
      <alignment vertical="bottom"/>
    </xf>
    <xf numFmtId="0" fontId="3" fillId="4" borderId="0" xfId="0" applyFont="1" applyFill="1" applyAlignment="1">
      <alignment vertical="bottom"/>
    </xf>
    <xf numFmtId="2" fontId="2" fillId="3" borderId="1" xfId="0" applyNumberFormat="1" applyFont="1" applyFill="1" applyBorder="1" applyAlignment="1">
      <alignment horizontal="center" wrapText="1"/>
    </xf>
    <xf numFmtId="0" fontId="3" fillId="4" borderId="2" xfId="0" applyFont="1" applyFill="1" applyBorder="1" applyAlignment="1">
      <alignment horizontal="center"/>
    </xf>
    <xf numFmtId="0" fontId="3" fillId="9" borderId="1" xfId="0" applyFont="1" applyFill="1" applyBorder="1" applyAlignment="1">
      <alignment horizontal="center"/>
    </xf>
    <xf numFmtId="4" fontId="3" fillId="6" borderId="1" xfId="0" applyNumberFormat="1" applyFont="1" applyFill="1" applyBorder="1" applyAlignment="1">
      <alignment horizontal="left"/>
    </xf>
    <xf numFmtId="0" fontId="1" fillId="2" borderId="1" xfId="0" applyFont="1" applyFill="1" applyBorder="1" applyAlignment="1">
      <alignment horizontal="center" wrapText="1"/>
    </xf>
    <xf numFmtId="0" fontId="2" fillId="5" borderId="1" xfId="0" applyFont="1" applyFill="1" applyBorder="1" applyAlignment="1">
      <alignment horizontal="left" wrapText="1"/>
    </xf>
    <xf numFmtId="0" fontId="2" fillId="4"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showGridLines="0" zoomScale="100"/>
  </sheetViews>
  <sheetFormatPr defaultRowHeight="15" outlineLevelRow="0" outlineLevelCol="0" x14ac:dyDescent="55"/>
  <cols>
    <col min="1" max="1" width="24" customWidth="1"/>
    <col min="2" max="2" width="18" customWidth="1"/>
    <col min="3" max="3" width="12" customWidth="1"/>
    <col min="4" max="4" width="18" customWidth="1"/>
    <col min="6" max="6" width="20" customWidth="1"/>
    <col min="7" max="7" width="24" customWidth="1"/>
  </cols>
  <sheetData>
    <row r="1" ht="15" customHeight="1" spans="1:7" x14ac:dyDescent="0.25">
      <c r="A1" s="1" t="s">
        <v>0</v>
      </c>
      <c r="B1" s="1"/>
      <c r="C1" s="1"/>
      <c r="D1" s="1"/>
      <c r="E1" s="1"/>
      <c r="F1" s="1"/>
      <c r="G1" s="1"/>
    </row>
    <row r="2" ht="15" customHeight="1" spans="1:7" x14ac:dyDescent="0.25">
      <c r="A2" s="2" t="s">
        <v>1</v>
      </c>
      <c r="B2" s="2" t="s">
        <v>2</v>
      </c>
      <c r="D2" s="2" t="s">
        <v>3</v>
      </c>
      <c r="E2" s="3" t="s">
        <v>4</v>
      </c>
      <c r="F2" s="2" t="s">
        <v>5</v>
      </c>
      <c r="G2" s="3"/>
    </row>
    <row r="3" ht="15" customHeight="1" spans="1:7" x14ac:dyDescent="0.25">
      <c r="A3" s="2" t="s">
        <v>6</v>
      </c>
      <c r="B3" s="4" t="str">
        <f>E2</f>
        <v>Cash / TR1</v>
      </c>
      <c r="D3" s="2" t="s">
        <v>7</v>
      </c>
      <c r="E3" s="3" t="s">
        <v>8</v>
      </c>
      <c r="F3" s="2" t="s">
        <v>9</v>
      </c>
      <c r="G3" s="4">
        <f>IFERROR(INDEX(Reference!$DV$2:$DV$1000, MATCH(G2, Reference!$DU$2:$DU$1000, 0)), "")</f>
      </c>
    </row>
    <row r="4" ht="15" customHeight="1" spans="1:7" x14ac:dyDescent="0.25">
      <c r="A4" s="2" t="s">
        <v>10</v>
      </c>
      <c r="B4" s="3" t="s">
        <v>11</v>
      </c>
      <c r="D4" s="2" t="s">
        <v>12</v>
      </c>
      <c r="E4" s="4" t="str">
        <f>IF(E2="Cash / TR1","Cash",IFERROR(INDEX(Reference!$DT$2:$DT$1000, MATCH(G2, Reference!$DU$2:$DU$1000, 0)), ""))</f>
        <v>Cash</v>
      </c>
      <c r="F4" s="2" t="s">
        <v>13</v>
      </c>
      <c r="G4" s="4" t="str">
        <f>IF(E2="Cash / TR1","KIMS",IFERROR(INDEX(Reference!$DY$2:$DY$1000, MATCH(G2, Reference!$DU$2:$DU$1000, 0)), ""))</f>
        <v>KIMS</v>
      </c>
    </row>
    <row r="5" ht="15" customHeight="1" spans="1:7" x14ac:dyDescent="0.25">
      <c r="A5" s="2" t="s">
        <v>14</v>
      </c>
      <c r="B5" s="3" t="s">
        <v>15</v>
      </c>
      <c r="D5" s="2" t="s">
        <v>16</v>
      </c>
      <c r="E5" s="4" t="str">
        <f>IF(E2="Cash / TR1","TR1",IFERROR(INDEX(Reference!$DX$2:$DX$1000, MATCH(G2, Reference!$DU$2:$DU$1000, 0)), ""))</f>
        <v>TR1</v>
      </c>
      <c r="F5" s="2" t="s">
        <v>17</v>
      </c>
      <c r="G5" s="4" t="str">
        <f>IF(E3&lt;&gt;"Auto (Recommended)",E3,IFERROR(INDEX(Reference!$GP$2:$GP$800, MATCH("pharmacy_basis"&amp;"|"&amp;E4, Reference!$GD$2:$GD$800, 0)), "Cash"))</f>
        <v>Cash</v>
      </c>
    </row>
    <row r="6" ht="15" customHeight="1" spans="1:7" x14ac:dyDescent="0.25">
      <c r="A6" s="2" t="s">
        <v>18</v>
      </c>
      <c r="B6" s="3" t="s">
        <v>19</v>
      </c>
      <c r="D6" s="2" t="s">
        <v>20</v>
      </c>
      <c r="E6" s="3" t="s">
        <v>19</v>
      </c>
      <c r="F6" s="2" t="s">
        <v>21</v>
      </c>
      <c r="G6" s="4" t="str">
        <f>IF(E3&lt;&gt;"Auto (Recommended)",E3,IFERROR(INDEX(Reference!$GP$2:$GP$800, MATCH("service_basis"&amp;"|"&amp;E4, Reference!$GD$2:$GD$800, 0)), "Cash"))</f>
        <v>Cash</v>
      </c>
    </row>
    <row r="7" ht="15" customHeight="1" spans="1:7" x14ac:dyDescent="0.25">
      <c r="A7" s="2" t="s">
        <v>22</v>
      </c>
      <c r="B7" s="2"/>
      <c r="C7" s="5"/>
      <c r="D7" s="2"/>
      <c r="E7" s="2"/>
      <c r="F7" s="2" t="s">
        <v>23</v>
      </c>
      <c r="G7" s="4" t="str">
        <f>IF(E3&lt;&gt;"Auto (Recommended)",E3,IFERROR(INDEX(Reference!$GP$2:$GP$800, MATCH("pf_basis"&amp;"|"&amp;E4, Reference!$GD$2:$GD$800, 0)), "Cash"))</f>
        <v>Cash</v>
      </c>
    </row>
    <row r="8" ht="15" customHeight="1" spans="1:7" x14ac:dyDescent="0.25">
      <c r="A8" s="2" t="s">
        <v>24</v>
      </c>
      <c r="B8" s="3" t="s">
        <v>25</v>
      </c>
      <c r="D8" s="2" t="s">
        <v>26</v>
      </c>
      <c r="E8" s="6">
        <v>1</v>
      </c>
      <c r="F8" s="2" t="s">
        <v>27</v>
      </c>
      <c r="G8" s="4" t="str">
        <f>IF(E3&lt;&gt;"Auto (Recommended)","Manual override applied",IFERROR(INDEX(Reference!$GS$2:$GS$800, MATCH("service_basis"&amp;"|"&amp;E4, Reference!$GD$2:$GD$800, 0)), ""))</f>
        <v>Cash selected for service_basis against Cash; recommended exact with 26 cases.</v>
      </c>
    </row>
    <row r="9" ht="39.55" customHeight="1" spans="1:7" x14ac:dyDescent="0.25">
      <c r="A9" s="7" t="s">
        <v>28</v>
      </c>
      <c r="B9" s="7" t="s">
        <v>29</v>
      </c>
      <c r="C9" s="7" t="s">
        <v>30</v>
      </c>
      <c r="D9" s="7" t="s">
        <v>31</v>
      </c>
      <c r="E9" s="7" t="s">
        <v>32</v>
      </c>
      <c r="F9" s="7" t="s">
        <v>33</v>
      </c>
      <c r="G9" s="7" t="s">
        <v>34</v>
      </c>
    </row>
    <row r="10" ht="15" customHeight="1" spans="1:7" x14ac:dyDescent="0.25">
      <c r="A10" s="2" t="s">
        <v>35</v>
      </c>
      <c r="B10" s="8">
        <f>B11+B12</f>
        <v>2</v>
      </c>
      <c r="C10" s="8">
        <f>C11+C12</f>
        <v>3</v>
      </c>
      <c r="D10" s="8">
        <f>D11+D12</f>
        <v>5</v>
      </c>
      <c r="E10" s="8" t="s">
        <v>36</v>
      </c>
      <c r="F10" s="8"/>
      <c r="G10" s="9">
        <f>G11+G12</f>
        <v>3</v>
      </c>
    </row>
    <row r="11" ht="15" customHeight="1" spans="1:7" x14ac:dyDescent="0.25">
      <c r="A11" s="2" t="s">
        <v>37</v>
      </c>
      <c r="B11" s="8">
        <f>INT((IFERROR(INDEX(Reference!$BI$2:$BI$500, MATCH(Builder!G6, Reference!$AZ$2:$AZ$500, 0)), 0)))+IF(MOD((IFERROR(INDEX(Reference!$BI$2:$BI$500, MATCH(Builder!G6, Reference!$AZ$2:$AZ$500, 0)), 0)),1)&gt;0.3,1,0)</f>
        <v>2</v>
      </c>
      <c r="C11" s="8">
        <f>INT((IFERROR(INDEX(Reference!$BJ$2:$BJ$500, MATCH(Builder!G6, Reference!$AZ$2:$AZ$500, 0)), 0)))+IF(MOD((IFERROR(INDEX(Reference!$BJ$2:$BJ$500, MATCH(Builder!G6, Reference!$AZ$2:$AZ$500, 0)), 0)),1)&gt;0.3,1,0)</f>
        <v>2</v>
      </c>
      <c r="D11" s="8">
        <f>INT((IFERROR(INDEX(Reference!$BK$2:$BK$500, MATCH(Builder!G6, Reference!$AZ$2:$AZ$500, 0)), 0)))+IF(MOD((IFERROR(INDEX(Reference!$BK$2:$BK$500, MATCH(Builder!G6, Reference!$AZ$2:$AZ$500, 0)), 0)),1)&gt;0.3,1,0)</f>
        <v>3</v>
      </c>
      <c r="E11" s="10" t="s">
        <v>30</v>
      </c>
      <c r="F11" s="10"/>
      <c r="G11" s="9">
        <f>INT((IF(E11="P25",B11,IF(E11="P50",C11,IF(E11="P75",D11,F11)))))+IF(MOD((IF(E11="P25",B11,IF(E11="P50",C11,IF(E11="P75",D11,F11)))),1)&gt;0.3,1,0)</f>
        <v>2</v>
      </c>
    </row>
    <row r="12" ht="15" customHeight="1" spans="1:7" x14ac:dyDescent="0.25">
      <c r="A12" s="2" t="s">
        <v>38</v>
      </c>
      <c r="B12" s="8">
        <f>INT((IFERROR(INDEX(Reference!$BL$2:$BL$500, MATCH(Builder!G6, Reference!$AZ$2:$AZ$500, 0)), 0)))+IF(MOD((IFERROR(INDEX(Reference!$BL$2:$BL$500, MATCH(Builder!G6, Reference!$AZ$2:$AZ$500, 0)), 0)),1)&gt;0.3,1,0)</f>
        <v>0</v>
      </c>
      <c r="C12" s="8">
        <f>INT((IFERROR(INDEX(Reference!$BM$2:$BM$500, MATCH(Builder!G6, Reference!$AZ$2:$AZ$500, 0)), 0)))+IF(MOD((IFERROR(INDEX(Reference!$BM$2:$BM$500, MATCH(Builder!G6, Reference!$AZ$2:$AZ$500, 0)), 0)),1)&gt;0.3,1,0)</f>
        <v>1</v>
      </c>
      <c r="D12" s="8">
        <f>INT((IFERROR(INDEX(Reference!$BN$2:$BN$500, MATCH(Builder!G6, Reference!$AZ$2:$AZ$500, 0)), 0)))+IF(MOD((IFERROR(INDEX(Reference!$BN$2:$BN$500, MATCH(Builder!G6, Reference!$AZ$2:$AZ$500, 0)), 0)),1)&gt;0.3,1,0)</f>
        <v>2</v>
      </c>
      <c r="E12" s="10" t="s">
        <v>30</v>
      </c>
      <c r="F12" s="10"/>
      <c r="G12" s="9">
        <f>INT((IF(E12="P25",B12,IF(E12="P50",C12,IF(E12="P75",D12,F12)))))+IF(MOD((IF(E12="P25",B12,IF(E12="P50",C12,IF(E12="P75",D12,F12)))),1)&gt;0.3,1,0)</f>
        <v>1</v>
      </c>
    </row>
    <row r="13" ht="15" customHeight="1" spans="1:7" x14ac:dyDescent="0.25">
      <c r="A13" s="2" t="s">
        <v>39</v>
      </c>
      <c r="B13" s="11">
        <f>IF((IFERROR(INDEX(Reference!$BO$2:$BO$500, MATCH(Builder!G6, Reference!$AZ$2:$AZ$500, 0)), 0))&lt;=0,0,IF((IFERROR(INDEX(Reference!$BO$2:$BO$500, MATCH(Builder!G6, Reference!$AZ$2:$AZ$500, 0)), 0))&lt;=MIN(Reference!$K$300:$K$331),MIN(Reference!$K$300:$K$331),IF((IFERROR(INDEX(Reference!$BO$2:$BO$500, MATCH(Builder!G6, Reference!$AZ$2:$AZ$500, 0)), 0))&gt;=MAX(Reference!$K$300:$K$331),MAX(Reference!$K$300:$K$331),IF(((IFERROR(INDEX(Reference!$BO$2:$BO$500, MATCH(Builder!G6, Reference!$AZ$2:$AZ$500, 0)), 0))-INDEX(Reference!$K$300:$K$331,MATCH((IFERROR(INDEX(Reference!$BO$2:$BO$500, MATCH(Builder!G6, Reference!$AZ$2:$AZ$500, 0)), 0)),Reference!$K$300:$K$331,1)))&lt;(INDEX(Reference!$K$300:$K$331,MATCH((IFERROR(INDEX(Reference!$BO$2:$BO$500, MATCH(Builder!G6, Reference!$AZ$2:$AZ$500, 0)), 0)),Reference!$K$300:$K$331,1)+1)-(IFERROR(INDEX(Reference!$BO$2:$BO$500, MATCH(Builder!G6, Reference!$AZ$2:$AZ$500, 0)), 0))),INDEX(Reference!$K$300:$K$331,MATCH((IFERROR(INDEX(Reference!$BO$2:$BO$500, MATCH(Builder!G6, Reference!$AZ$2:$AZ$500, 0)), 0)),Reference!$K$300:$K$331,1)),INDEX(Reference!$K$300:$K$331,MATCH((IFERROR(INDEX(Reference!$BO$2:$BO$500, MATCH(Builder!G6, Reference!$AZ$2:$AZ$500, 0)), 0)),Reference!$K$300:$K$331,1)+1)))))</f>
        <v>2.5</v>
      </c>
      <c r="C13" s="11">
        <f>IF((IFERROR(INDEX(Reference!$BP$2:$BP$500, MATCH(Builder!G6, Reference!$AZ$2:$AZ$500, 0)), 0))&lt;=0,0,IF((IFERROR(INDEX(Reference!$BP$2:$BP$500, MATCH(Builder!G6, Reference!$AZ$2:$AZ$500, 0)), 0))&lt;=MIN(Reference!$K$300:$K$331),MIN(Reference!$K$300:$K$331),IF((IFERROR(INDEX(Reference!$BP$2:$BP$500, MATCH(Builder!G6, Reference!$AZ$2:$AZ$500, 0)), 0))&gt;=MAX(Reference!$K$300:$K$331),MAX(Reference!$K$300:$K$331),IF(((IFERROR(INDEX(Reference!$BP$2:$BP$500, MATCH(Builder!G6, Reference!$AZ$2:$AZ$500, 0)), 0))-INDEX(Reference!$K$300:$K$331,MATCH((IFERROR(INDEX(Reference!$BP$2:$BP$500, MATCH(Builder!G6, Reference!$AZ$2:$AZ$500, 0)), 0)),Reference!$K$300:$K$331,1)))&lt;(INDEX(Reference!$K$300:$K$331,MATCH((IFERROR(INDEX(Reference!$BP$2:$BP$500, MATCH(Builder!G6, Reference!$AZ$2:$AZ$500, 0)), 0)),Reference!$K$300:$K$331,1)+1)-(IFERROR(INDEX(Reference!$BP$2:$BP$500, MATCH(Builder!G6, Reference!$AZ$2:$AZ$500, 0)), 0))),INDEX(Reference!$K$300:$K$331,MATCH((IFERROR(INDEX(Reference!$BP$2:$BP$500, MATCH(Builder!G6, Reference!$AZ$2:$AZ$500, 0)), 0)),Reference!$K$300:$K$331,1)),INDEX(Reference!$K$300:$K$331,MATCH((IFERROR(INDEX(Reference!$BP$2:$BP$500, MATCH(Builder!G6, Reference!$AZ$2:$AZ$500, 0)), 0)),Reference!$K$300:$K$331,1)+1)))))</f>
        <v>3</v>
      </c>
      <c r="D13" s="11">
        <f>IF((IFERROR(INDEX(Reference!$BQ$2:$BQ$500, MATCH(Builder!G6, Reference!$AZ$2:$AZ$500, 0)), 0))&lt;=0,0,IF((IFERROR(INDEX(Reference!$BQ$2:$BQ$500, MATCH(Builder!G6, Reference!$AZ$2:$AZ$500, 0)), 0))&lt;=MIN(Reference!$K$300:$K$331),MIN(Reference!$K$300:$K$331),IF((IFERROR(INDEX(Reference!$BQ$2:$BQ$500, MATCH(Builder!G6, Reference!$AZ$2:$AZ$500, 0)), 0))&gt;=MAX(Reference!$K$300:$K$331),MAX(Reference!$K$300:$K$331),IF(((IFERROR(INDEX(Reference!$BQ$2:$BQ$500, MATCH(Builder!G6, Reference!$AZ$2:$AZ$500, 0)), 0))-INDEX(Reference!$K$300:$K$331,MATCH((IFERROR(INDEX(Reference!$BQ$2:$BQ$500, MATCH(Builder!G6, Reference!$AZ$2:$AZ$500, 0)), 0)),Reference!$K$300:$K$331,1)))&lt;(INDEX(Reference!$K$300:$K$331,MATCH((IFERROR(INDEX(Reference!$BQ$2:$BQ$500, MATCH(Builder!G6, Reference!$AZ$2:$AZ$500, 0)), 0)),Reference!$K$300:$K$331,1)+1)-(IFERROR(INDEX(Reference!$BQ$2:$BQ$500, MATCH(Builder!G6, Reference!$AZ$2:$AZ$500, 0)), 0))),INDEX(Reference!$K$300:$K$331,MATCH((IFERROR(INDEX(Reference!$BQ$2:$BQ$500, MATCH(Builder!G6, Reference!$AZ$2:$AZ$500, 0)), 0)),Reference!$K$300:$K$331,1)),INDEX(Reference!$K$300:$K$331,MATCH((IFERROR(INDEX(Reference!$BQ$2:$BQ$500, MATCH(Builder!G6, Reference!$AZ$2:$AZ$500, 0)), 0)),Reference!$K$300:$K$331,1)+1)))))</f>
        <v>3</v>
      </c>
      <c r="E13" s="12" t="s">
        <v>30</v>
      </c>
      <c r="F13" s="12"/>
      <c r="G13" s="13">
        <f>IF((IF(E13="P25",B13,IF(E13="P50",C13,IF(E13="P75",D13,F13))))&lt;=0,0,IF((IF(E13="P25",B13,IF(E13="P50",C13,IF(E13="P75",D13,F13))))&lt;=MIN(Reference!$K$300:$K$331),MIN(Reference!$K$300:$K$331),IF((IF(E13="P25",B13,IF(E13="P50",C13,IF(E13="P75",D13,F13))))&gt;=MAX(Reference!$K$300:$K$331),MAX(Reference!$K$300:$K$331),IF(((IF(E13="P25",B13,IF(E13="P50",C13,IF(E13="P75",D13,F13))))-INDEX(Reference!$K$300:$K$331,MATCH((IF(E13="P25",B13,IF(E13="P50",C13,IF(E13="P75",D13,F13)))),Reference!$K$300:$K$331,1)))&lt;(INDEX(Reference!$K$300:$K$331,MATCH((IF(E13="P25",B13,IF(E13="P50",C13,IF(E13="P75",D13,F13)))),Reference!$K$300:$K$331,1)+1)-(IF(E13="P25",B13,IF(E13="P50",C13,IF(E13="P75",D13,F13))))),INDEX(Reference!$K$300:$K$331,MATCH((IF(E13="P25",B13,IF(E13="P50",C13,IF(E13="P75",D13,F13)))),Reference!$K$300:$K$331,1)),INDEX(Reference!$K$300:$K$331,MATCH((IF(E13="P25",B13,IF(E13="P50",C13,IF(E13="P75",D13,F13)))),Reference!$K$300:$K$331,1)+1)))))</f>
        <v>3</v>
      </c>
    </row>
    <row r="14" ht="15" customHeight="1" spans="1:2" x14ac:dyDescent="0.25">
      <c r="A14" s="2" t="s">
        <v>40</v>
      </c>
      <c r="B14" s="13">
        <f>IF((G13)&lt;=0,"",IF((G13)&lt;=0,0,IF((G13)&lt;=MIN(Reference!$K$300:$K$331),MIN(Reference!$K$300:$K$331),IF((G13)&gt;=MAX(Reference!$K$300:$K$331),MAX(Reference!$K$300:$K$331),IF(((G13)-INDEX(Reference!$K$300:$K$331,MATCH((G13),Reference!$K$300:$K$331,1)))&lt;(INDEX(Reference!$K$300:$K$331,MATCH((G13),Reference!$K$300:$K$331,1)+1)-(G13)),INDEX(Reference!$K$300:$K$331,MATCH((G13),Reference!$K$300:$K$331,1)),INDEX(Reference!$K$300:$K$331,MATCH((G13),Reference!$K$300:$K$331,1)+1))))))</f>
        <v>3</v>
      </c>
    </row>
    <row r="15" ht="15" customHeight="1" spans="1:2" x14ac:dyDescent="0.25">
      <c r="A15" s="2" t="s">
        <v>41</v>
      </c>
      <c r="B15" s="4" t="str">
        <f>IF(B14="","",IFERROR(INDEX(Reference!$EQ$2:$EQ$1000,MATCH(Builder!E5&amp;"|"&amp;IF(B6="Yes","emergency","normal")&amp;"|"&amp;(B14),Reference!$EL$2:$EL$1000,0)),""))</f>
        <v>OTC0010</v>
      </c>
    </row>
    <row r="16" ht="15" customHeight="1" spans="1:2" x14ac:dyDescent="0.25">
      <c r="A16" s="2" t="s">
        <v>42</v>
      </c>
      <c r="B16" s="4" t="str">
        <f>IF(B14="","",IFERROR(INDEX(Reference!$ER$2:$ER$1000,MATCH(Builder!E5&amp;"|"&amp;IF(B6="Yes","emergency","normal")&amp;"|"&amp;(B14),Reference!$EL$2:$EL$1000,0)),""))</f>
        <v>OT - 3 HOURS</v>
      </c>
    </row>
    <row r="17" ht="15" customHeight="1" spans="1:2" x14ac:dyDescent="0.25">
      <c r="A17" s="2" t="s">
        <v>43</v>
      </c>
      <c r="B17" s="4" t="str">
        <f>IF(B6="Yes","Emergency","Normal")</f>
        <v>Normal</v>
      </c>
    </row>
    <row r="19" ht="15" customHeight="1" spans="1:7" x14ac:dyDescent="0.25">
      <c r="A19" s="5" t="s">
        <v>44</v>
      </c>
      <c r="B19" s="5"/>
      <c r="C19" s="5"/>
      <c r="D19" s="5"/>
      <c r="E19" s="5"/>
      <c r="F19" s="5"/>
      <c r="G19" s="5"/>
    </row>
    <row r="20" ht="77.6" customHeight="1" spans="1:7" x14ac:dyDescent="0.25">
      <c r="A20" s="14" t="s">
        <v>45</v>
      </c>
      <c r="B20" s="14"/>
      <c r="C20" s="14"/>
      <c r="D20" s="14"/>
      <c r="E20" s="14"/>
      <c r="F20" s="14"/>
      <c r="G20" s="14"/>
    </row>
    <row r="21" ht="102.95" customHeight="1" spans="1:7" x14ac:dyDescent="0.25">
      <c r="A21" s="14" t="s">
        <v>46</v>
      </c>
      <c r="B21" s="14"/>
      <c r="C21" s="14"/>
      <c r="D21" s="14"/>
      <c r="E21" s="14"/>
      <c r="F21" s="14"/>
      <c r="G21" s="14"/>
    </row>
    <row r="22" ht="90.25" customHeight="1" spans="1:7" x14ac:dyDescent="0.25">
      <c r="A22" s="14" t="s">
        <v>47</v>
      </c>
      <c r="B22" s="14"/>
      <c r="C22" s="14"/>
      <c r="D22" s="14"/>
      <c r="E22" s="14"/>
      <c r="F22" s="14"/>
      <c r="G22" s="14"/>
    </row>
    <row r="23" ht="64.9" customHeight="1" spans="1:7" x14ac:dyDescent="0.25">
      <c r="A23" s="14" t="s">
        <v>48</v>
      </c>
      <c r="B23" s="14"/>
      <c r="C23" s="14"/>
      <c r="D23" s="14"/>
      <c r="E23" s="14"/>
      <c r="F23" s="14"/>
      <c r="G23" s="14"/>
    </row>
    <row r="24" ht="64.9" customHeight="1" spans="1:7" x14ac:dyDescent="0.25">
      <c r="A24" s="14" t="s">
        <v>49</v>
      </c>
      <c r="B24" s="14"/>
      <c r="C24" s="14"/>
      <c r="D24" s="14"/>
      <c r="E24" s="14"/>
      <c r="F24" s="14"/>
      <c r="G24" s="14"/>
    </row>
    <row r="25" ht="115.65" customHeight="1" spans="1:7" x14ac:dyDescent="0.25">
      <c r="A25" s="14" t="s">
        <v>50</v>
      </c>
      <c r="B25" s="14"/>
      <c r="C25" s="14"/>
      <c r="D25" s="14"/>
      <c r="E25" s="14"/>
      <c r="F25" s="14"/>
      <c r="G25" s="14"/>
    </row>
    <row r="26" ht="90.25" customHeight="1" spans="1:7" x14ac:dyDescent="0.25">
      <c r="A26" s="14" t="s">
        <v>51</v>
      </c>
      <c r="B26" s="14"/>
      <c r="C26" s="14"/>
      <c r="D26" s="14"/>
      <c r="E26" s="14"/>
      <c r="F26" s="14"/>
      <c r="G26" s="14"/>
    </row>
    <row r="27" ht="128.35" customHeight="1" spans="1:7" x14ac:dyDescent="0.25">
      <c r="A27" s="14" t="s">
        <v>52</v>
      </c>
      <c r="B27" s="14"/>
      <c r="C27" s="14"/>
      <c r="D27" s="14"/>
      <c r="E27" s="14"/>
      <c r="F27" s="14"/>
      <c r="G27" s="14"/>
    </row>
    <row r="28" ht="39.55" customHeight="1" spans="1:7" x14ac:dyDescent="0.25">
      <c r="A28" s="14" t="s">
        <v>53</v>
      </c>
      <c r="B28" s="14"/>
      <c r="C28" s="14"/>
      <c r="D28" s="14"/>
      <c r="E28" s="14"/>
      <c r="F28" s="14"/>
      <c r="G28" s="14"/>
    </row>
  </sheetData>
  <dataValidations count="9">
    <dataValidation type="list" sqref="B4">
      <formula1>"General,Twin,Single"</formula1>
    </dataValidation>
    <dataValidation type="list" sqref="B5">
      <formula1>"Low,Typical,High"</formula1>
    </dataValidation>
    <dataValidation type="list" sqref="B6">
      <formula1>"No,Yes"</formula1>
    </dataValidation>
    <dataValidation type="list" allowBlank="1" sqref="B8">
      <formula1>"Yes,No"</formula1>
    </dataValidation>
    <dataValidation type="list" sqref="E11:E13">
      <formula1>"P25,P50,P75,Manual"</formula1>
    </dataValidation>
    <dataValidation type="list" sqref="E2">
      <formula1>"Cash / TR1,Insurance / Org Tariff"</formula1>
    </dataValidation>
    <dataValidation type="list" sqref="E3">
      <formula1>"Auto (Recommended),Cash,GIPSA Insurance,Non-GIPSA Insurance,Corporate,Insurance All,All Payers"</formula1>
    </dataValidation>
    <dataValidation type="list" sqref="E6">
      <formula1>"No,Yes"</formula1>
    </dataValidation>
    <dataValidation type="list" allowBlank="1" sqref="G2">
      <formula1>Reference!$DU$2:$DU$1000</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9"/>
  <sheetViews>
    <sheetView workbookViewId="0" showGridLines="0" zoomScale="100"/>
  </sheetViews>
  <sheetFormatPr defaultRowHeight="15" outlineLevelRow="0" outlineLevelCol="0" x14ac:dyDescent="55"/>
  <cols>
    <col min="1" max="1" width="24" customWidth="1"/>
    <col min="2" max="2" width="18" customWidth="1"/>
    <col min="5" max="5" width="20" customWidth="1"/>
    <col min="6" max="6" width="12" customWidth="1"/>
    <col min="7" max="7" width="18" customWidth="1"/>
    <col min="8" max="8" width="14" customWidth="1"/>
    <col min="12" max="12" width="24" customWidth="1"/>
    <col min="13" max="13" width="14" customWidth="1"/>
    <col min="16" max="16" width="24" customWidth="1"/>
    <col min="17" max="17" width="16" customWidth="1"/>
    <col min="18" max="18" width="14" customWidth="1"/>
  </cols>
  <sheetData>
    <row r="1" ht="15" customHeight="1" spans="1:8" x14ac:dyDescent="0.25">
      <c r="A1" s="1" t="s">
        <v>54</v>
      </c>
      <c r="B1" s="1"/>
      <c r="C1" s="1"/>
      <c r="D1" s="1"/>
      <c r="E1" s="1"/>
      <c r="F1" s="1"/>
      <c r="G1" s="1"/>
      <c r="H1" s="1"/>
    </row>
    <row r="2" ht="15" customHeight="1" spans="1:5" x14ac:dyDescent="0.25">
      <c r="A2" s="15" t="s">
        <v>55</v>
      </c>
      <c r="B2" s="15" t="str">
        <f>Builder!B4</f>
        <v>Single</v>
      </c>
      <c r="D2" s="16" t="s">
        <v>56</v>
      </c>
      <c r="E2" s="17">
        <f>IF(B2="General",'Line Item Detail'!W75,IF(B2="Twin",'Line Item Detail'!X75,'Line Item Detail'!Y75))</f>
        <v>597612.0654575195</v>
      </c>
    </row>
    <row r="3" ht="229.85" customHeight="1" spans="1:8" x14ac:dyDescent="0.25">
      <c r="A3" s="15" t="s">
        <v>14</v>
      </c>
      <c r="B3" s="15" t="str">
        <f>Builder!B5</f>
        <v>Typical</v>
      </c>
      <c r="D3" s="14" t="s">
        <v>57</v>
      </c>
      <c r="E3" s="14" t="s">
        <v>58</v>
      </c>
      <c r="F3" s="14"/>
      <c r="G3" s="14"/>
      <c r="H3" s="14"/>
    </row>
    <row r="4" ht="15" customHeight="1" spans="1:2" x14ac:dyDescent="0.25">
      <c r="A4" s="15" t="s">
        <v>7</v>
      </c>
      <c r="B4" s="15" t="str">
        <f>Builder!E3</f>
        <v>Auto (Recommended)</v>
      </c>
    </row>
    <row r="5" ht="15" customHeight="1" spans="1:2" x14ac:dyDescent="0.25">
      <c r="A5" s="15" t="s">
        <v>3</v>
      </c>
      <c r="B5" s="15" t="str">
        <f>Builder!E2</f>
        <v>Cash / TR1</v>
      </c>
    </row>
    <row r="6" ht="15" customHeight="1" spans="1:13" x14ac:dyDescent="0.25">
      <c r="A6" s="15" t="s">
        <v>5</v>
      </c>
      <c r="B6" s="15">
        <f>Builder!G2</f>
        <v>0</v>
      </c>
      <c r="D6" s="18" t="s">
        <v>59</v>
      </c>
      <c r="E6" s="18" t="s">
        <v>60</v>
      </c>
      <c r="F6" s="18" t="s">
        <v>15</v>
      </c>
      <c r="G6" s="18" t="s">
        <v>61</v>
      </c>
      <c r="I6" s="5" t="s">
        <v>62</v>
      </c>
      <c r="J6" s="5"/>
      <c r="K6" s="5"/>
      <c r="L6" s="18" t="s">
        <v>63</v>
      </c>
      <c r="M6" s="18"/>
    </row>
    <row r="7" ht="15" customHeight="1" spans="1:13" x14ac:dyDescent="0.25">
      <c r="A7" s="15" t="s">
        <v>12</v>
      </c>
      <c r="B7" s="19" t="str">
        <f>Builder!E4</f>
        <v>Cash</v>
      </c>
      <c r="D7" s="20" t="s">
        <v>64</v>
      </c>
      <c r="E7" s="20">
        <f>'Line Item Detail'!N75</f>
        <v>555166.7299055175</v>
      </c>
      <c r="F7" s="20">
        <f>'Line Item Detail'!O75</f>
        <v>579449.2529575195</v>
      </c>
      <c r="G7" s="20">
        <f>'Line Item Detail'!P75</f>
        <v>685465.1507703124</v>
      </c>
      <c r="I7" s="20" t="s">
        <v>65</v>
      </c>
      <c r="J7" s="20">
        <f>Builder!G10</f>
        <v>3</v>
      </c>
      <c r="L7" s="20" t="s">
        <v>66</v>
      </c>
      <c r="M7" s="20">
        <f>IFERROR(INDEX(Reference!$BA$2:$BA$500, MATCH(Builder!G6, Reference!$AZ$2:$AZ$500, 0)), 0)</f>
        <v>26</v>
      </c>
    </row>
    <row r="8" ht="15" customHeight="1" spans="1:13" x14ac:dyDescent="0.25">
      <c r="A8" s="15" t="s">
        <v>16</v>
      </c>
      <c r="B8" s="19" t="str">
        <f>Builder!E5</f>
        <v>TR1</v>
      </c>
      <c r="D8" s="20" t="s">
        <v>67</v>
      </c>
      <c r="E8" s="20">
        <f>'Line Item Detail'!Q75</f>
        <v>561243.7611555175</v>
      </c>
      <c r="F8" s="20">
        <f>'Line Item Detail'!R75</f>
        <v>587765.9092075195</v>
      </c>
      <c r="G8" s="20">
        <f>'Line Item Detail'!S75</f>
        <v>696021.4320203124</v>
      </c>
      <c r="I8" s="20" t="s">
        <v>68</v>
      </c>
      <c r="J8" s="20">
        <f>Builder!G11</f>
        <v>2</v>
      </c>
      <c r="L8" s="20" t="s">
        <v>69</v>
      </c>
      <c r="M8" s="20">
        <f>IFERROR(INDEX(Reference!$BB$2:$BB$500, MATCH(Builder!G6, Reference!$AZ$2:$AZ$500, 0)), 0)</f>
        <v>26</v>
      </c>
    </row>
    <row r="9" ht="15" customHeight="1" spans="1:13" x14ac:dyDescent="0.25">
      <c r="A9" s="15" t="s">
        <v>70</v>
      </c>
      <c r="B9" s="19" t="str">
        <f>Builder!G5</f>
        <v>Cash</v>
      </c>
      <c r="D9" s="20" t="s">
        <v>11</v>
      </c>
      <c r="E9" s="20">
        <f>'Line Item Detail'!T75</f>
        <v>566487.7611555175</v>
      </c>
      <c r="F9" s="20">
        <f>'Line Item Detail'!U75</f>
        <v>597612.0654575195</v>
      </c>
      <c r="G9" s="20">
        <f>'Line Item Detail'!V75</f>
        <v>710469.7445203124</v>
      </c>
      <c r="I9" s="20" t="s">
        <v>71</v>
      </c>
      <c r="J9" s="20">
        <f>Builder!G12</f>
        <v>1</v>
      </c>
      <c r="L9" s="20" t="s">
        <v>72</v>
      </c>
      <c r="M9" s="20">
        <f>IFERROR(INDEX(Reference!$BC$2:$BC$500, MATCH(Builder!G6, Reference!$AZ$2:$AZ$500, 0)), 0)</f>
        <v>0</v>
      </c>
    </row>
    <row r="10" ht="15" customHeight="1" spans="1:13" x14ac:dyDescent="0.25">
      <c r="A10" s="15" t="s">
        <v>21</v>
      </c>
      <c r="B10" s="19" t="str">
        <f>Builder!G6</f>
        <v>Cash</v>
      </c>
      <c r="I10" s="20" t="s">
        <v>73</v>
      </c>
      <c r="J10" s="20">
        <f>Builder!G13</f>
        <v>3</v>
      </c>
      <c r="L10" s="20" t="s">
        <v>74</v>
      </c>
      <c r="M10" s="20">
        <f>IFERROR(INDEX(Reference!$BD$2:$BD$500, MATCH(Builder!G6, Reference!$AZ$2:$AZ$500, 0)), 0)</f>
        <v>0</v>
      </c>
    </row>
    <row r="11" ht="15" customHeight="1" spans="1:13" x14ac:dyDescent="0.25">
      <c r="A11" s="15" t="s">
        <v>23</v>
      </c>
      <c r="B11" s="19" t="str">
        <f>Builder!G7</f>
        <v>Cash</v>
      </c>
      <c r="I11" s="20" t="s">
        <v>18</v>
      </c>
      <c r="J11" s="20" t="str">
        <f>Builder!B6</f>
        <v>No</v>
      </c>
      <c r="L11" s="20" t="s">
        <v>75</v>
      </c>
      <c r="M11" s="20">
        <f>IFERROR(INDEX(Reference!$BE$2:$BE$500, MATCH(Builder!G6, Reference!$AZ$2:$AZ$500, 0)), 0)</f>
        <v>0</v>
      </c>
    </row>
    <row r="12" ht="15" customHeight="1" spans="1:10" x14ac:dyDescent="0.25">
      <c r="A12" s="18" t="s">
        <v>76</v>
      </c>
      <c r="B12" s="21" t="s">
        <v>77</v>
      </c>
      <c r="I12" s="20" t="s">
        <v>78</v>
      </c>
      <c r="J12" s="20">
        <f>Builder!B14</f>
        <v>3</v>
      </c>
    </row>
    <row r="13" ht="15" customHeight="1" spans="1:18" x14ac:dyDescent="0.25">
      <c r="A13" s="2" t="s">
        <v>79</v>
      </c>
      <c r="B13" s="20">
        <f>IF(B2="General",SUMIF('Line Item Detail'!$B$2:$B$73,A13,'Line Item Detail'!$W$2:$W$73),IF(B2="Twin",SUMIF('Line Item Detail'!$B$2:$B$73,A13,'Line Item Detail'!$X$2:$X$73),SUMIF('Line Item Detail'!$B$2:$B$73,A13,'Line Item Detail'!$Y$2:$Y$73)))</f>
        <v>45280</v>
      </c>
      <c r="I13" s="20" t="s">
        <v>41</v>
      </c>
      <c r="J13" s="20" t="str">
        <f>Builder!B15</f>
        <v>OTC0010</v>
      </c>
      <c r="L13" s="21" t="s">
        <v>80</v>
      </c>
      <c r="M13" s="21"/>
      <c r="N13" s="21"/>
      <c r="O13" s="18"/>
      <c r="P13" s="18"/>
      <c r="Q13" s="18"/>
      <c r="R13" s="18"/>
    </row>
    <row r="14" ht="15" customHeight="1" spans="1:18" x14ac:dyDescent="0.25">
      <c r="A14" s="2" t="s">
        <v>81</v>
      </c>
      <c r="B14" s="20">
        <f>IF(B2="General",SUMIF('Line Item Detail'!$B$2:$B$73,A14,'Line Item Detail'!$W$2:$W$73),IF(B2="Twin",SUMIF('Line Item Detail'!$B$2:$B$73,A14,'Line Item Detail'!$X$2:$X$73),SUMIF('Line Item Detail'!$B$2:$B$73,A14,'Line Item Detail'!$Y$2:$Y$73)))</f>
        <v>14940</v>
      </c>
      <c r="I14" s="20" t="s">
        <v>43</v>
      </c>
      <c r="J14" s="20" t="str">
        <f>Builder!B17</f>
        <v>Normal</v>
      </c>
      <c r="L14" s="19" t="s">
        <v>76</v>
      </c>
      <c r="M14" s="19" t="s">
        <v>82</v>
      </c>
      <c r="N14" s="19" t="s">
        <v>83</v>
      </c>
      <c r="O14" s="15" t="s">
        <v>84</v>
      </c>
      <c r="P14" s="15" t="s">
        <v>85</v>
      </c>
      <c r="Q14" s="15" t="s">
        <v>86</v>
      </c>
      <c r="R14" s="15" t="s">
        <v>87</v>
      </c>
    </row>
    <row r="15" ht="15" customHeight="1" spans="1:18" x14ac:dyDescent="0.25">
      <c r="A15" s="2" t="s">
        <v>88</v>
      </c>
      <c r="B15" s="20">
        <f>IF(B2="General",SUMIF('Line Item Detail'!$B$2:$B$73,A15,'Line Item Detail'!$W$2:$W$73),IF(B2="Twin",SUMIF('Line Item Detail'!$B$2:$B$73,A15,'Line Item Detail'!$X$2:$X$73),SUMIF('Line Item Detail'!$B$2:$B$73,A15,'Line Item Detail'!$Y$2:$Y$73)))</f>
        <v>158660</v>
      </c>
      <c r="I15" s="20" t="s">
        <v>20</v>
      </c>
      <c r="J15" s="20" t="str">
        <f>Builder!E6</f>
        <v>No</v>
      </c>
      <c r="L15" s="20" t="s">
        <v>89</v>
      </c>
      <c r="M15" s="20">
        <f>IFERROR(INDEX(Reference!$CK$2:$CK$500, MATCH("Cash", Reference!$AZ$2:$AZ$500, 0)), 0)</f>
        <v>2855.31875</v>
      </c>
      <c r="N15" s="20">
        <f>IFERROR(INDEX(Reference!$CK$2:$CK$500, MATCH("GIPSA Insurance", Reference!$AZ$2:$AZ$500, 0)), 0)</f>
        <v>0</v>
      </c>
      <c r="O15" s="2">
        <f>IFERROR(INDEX(Reference!$CK$2:$CK$500, MATCH("Non-GIPSA Insurance", Reference!$AZ$2:$AZ$500, 0)), 0)</f>
        <v>0</v>
      </c>
      <c r="P15" s="2">
        <f>IFERROR(INDEX(Reference!$CK$2:$CK$500, MATCH("Corporate", Reference!$AZ$2:$AZ$500, 0)), 0)</f>
        <v>0</v>
      </c>
      <c r="Q15" s="2">
        <f>IFERROR(INDEX(Reference!$CK$2:$CK$500, MATCH("Insurance All", Reference!$AZ$2:$AZ$500, 0)), 0)</f>
        <v>0</v>
      </c>
      <c r="R15" s="2">
        <f>IFERROR(INDEX(Reference!$CK$2:$CK$500, MATCH("All Payers", Reference!$AZ$2:$AZ$500, 0)), 0)</f>
        <v>2855.31875</v>
      </c>
    </row>
    <row r="16" ht="15" customHeight="1" spans="1:18" x14ac:dyDescent="0.25">
      <c r="A16" s="2" t="s">
        <v>90</v>
      </c>
      <c r="B16" s="20">
        <f>IF(B2="General",SUMIF('Line Item Detail'!$B$2:$B$73,A16,'Line Item Detail'!$W$2:$W$73),IF(B2="Twin",SUMIF('Line Item Detail'!$B$2:$B$73,A16,'Line Item Detail'!$X$2:$X$73),SUMIF('Line Item Detail'!$B$2:$B$73,A16,'Line Item Detail'!$Y$2:$Y$73)))</f>
        <v>5200</v>
      </c>
      <c r="I16" s="20" t="s">
        <v>91</v>
      </c>
      <c r="J16" s="20">
        <f>'Advanced Controls'!C6</f>
        <v>72382.9</v>
      </c>
      <c r="L16" s="20" t="s">
        <v>92</v>
      </c>
      <c r="M16" s="20">
        <f>IFERROR(INDEX(Reference!$CN$2:$CN$500, MATCH("Cash", Reference!$AZ$2:$AZ$500, 0)), 0)</f>
        <v>3428.82833333333</v>
      </c>
      <c r="N16" s="20">
        <f>IFERROR(INDEX(Reference!$CN$2:$CN$500, MATCH("GIPSA Insurance", Reference!$AZ$2:$AZ$500, 0)), 0)</f>
        <v>0</v>
      </c>
      <c r="O16" s="2">
        <f>IFERROR(INDEX(Reference!$CN$2:$CN$500, MATCH("Non-GIPSA Insurance", Reference!$AZ$2:$AZ$500, 0)), 0)</f>
        <v>0</v>
      </c>
      <c r="P16" s="2">
        <f>IFERROR(INDEX(Reference!$CN$2:$CN$500, MATCH("Corporate", Reference!$AZ$2:$AZ$500, 0)), 0)</f>
        <v>0</v>
      </c>
      <c r="Q16" s="2">
        <f>IFERROR(INDEX(Reference!$CN$2:$CN$500, MATCH("Insurance All", Reference!$AZ$2:$AZ$500, 0)), 0)</f>
        <v>0</v>
      </c>
      <c r="R16" s="2">
        <f>IFERROR(INDEX(Reference!$CN$2:$CN$500, MATCH("All Payers", Reference!$AZ$2:$AZ$500, 0)), 0)</f>
        <v>3428.82833333333</v>
      </c>
    </row>
    <row r="17" ht="15" customHeight="1" spans="1:18" x14ac:dyDescent="0.25">
      <c r="A17" s="2" t="s">
        <v>93</v>
      </c>
      <c r="B17" s="20">
        <f>IF(B2="General",SUMIF('Line Item Detail'!$B$2:$B$73,A17,'Line Item Detail'!$W$2:$W$73),IF(B2="Twin",SUMIF('Line Item Detail'!$B$2:$B$73,A17,'Line Item Detail'!$X$2:$X$73),SUMIF('Line Item Detail'!$B$2:$B$73,A17,'Line Item Detail'!$Y$2:$Y$73)))</f>
        <v>189805.03625</v>
      </c>
      <c r="I17" s="20" t="s">
        <v>94</v>
      </c>
      <c r="J17" s="20">
        <f>'Implant Selection'!F6</f>
        <v>89130.16</v>
      </c>
      <c r="L17" s="20" t="s">
        <v>95</v>
      </c>
      <c r="M17" s="20">
        <f>IFERROR(INDEX(Reference!$CB$2:$CB$500, MATCH("Cash", Reference!$AZ$2:$AZ$500, 0)), 0)</f>
        <v>9439.535</v>
      </c>
      <c r="N17" s="20">
        <f>IFERROR(INDEX(Reference!$CB$2:$CB$500, MATCH("GIPSA Insurance", Reference!$AZ$2:$AZ$500, 0)), 0)</f>
        <v>0</v>
      </c>
      <c r="O17" s="2">
        <f>IFERROR(INDEX(Reference!$CB$2:$CB$500, MATCH("Non-GIPSA Insurance", Reference!$AZ$2:$AZ$500, 0)), 0)</f>
        <v>0</v>
      </c>
      <c r="P17" s="2">
        <f>IFERROR(INDEX(Reference!$CB$2:$CB$500, MATCH("Corporate", Reference!$AZ$2:$AZ$500, 0)), 0)</f>
        <v>0</v>
      </c>
      <c r="Q17" s="2">
        <f>IFERROR(INDEX(Reference!$CB$2:$CB$500, MATCH("Insurance All", Reference!$AZ$2:$AZ$500, 0)), 0)</f>
        <v>0</v>
      </c>
      <c r="R17" s="2">
        <f>IFERROR(INDEX(Reference!$CB$2:$CB$500, MATCH("All Payers", Reference!$AZ$2:$AZ$500, 0)), 0)</f>
        <v>9439.535</v>
      </c>
    </row>
    <row r="18" ht="15" customHeight="1" spans="1:18" x14ac:dyDescent="0.25">
      <c r="A18" s="2" t="s">
        <v>96</v>
      </c>
      <c r="B18" s="20">
        <f>IF(B2="General",SUMIF('Line Item Detail'!$B$2:$B$73,A18,'Line Item Detail'!$W$2:$W$73),IF(B2="Twin",SUMIF('Line Item Detail'!$B$2:$B$73,A18,'Line Item Detail'!$X$2:$X$73),SUMIF('Line Item Detail'!$B$2:$B$73,A18,'Line Item Detail'!$Y$2:$Y$73)))</f>
        <v>23725.62953125</v>
      </c>
      <c r="I18" s="20" t="s">
        <v>97</v>
      </c>
      <c r="J18" s="20">
        <f>'Service Add-Ons'!C5</f>
        <v>0</v>
      </c>
      <c r="L18" s="20" t="s">
        <v>98</v>
      </c>
      <c r="M18" s="20">
        <f>IFERROR(INDEX(Reference!$CE$2:$CE$500, MATCH("Cash", Reference!$AZ$2:$AZ$500, 0)), 0)</f>
        <v>72382.9</v>
      </c>
      <c r="N18" s="20">
        <f>IFERROR(INDEX(Reference!$CE$2:$CE$500, MATCH("GIPSA Insurance", Reference!$AZ$2:$AZ$500, 0)), 0)</f>
        <v>0</v>
      </c>
      <c r="O18" s="2">
        <f>IFERROR(INDEX(Reference!$CE$2:$CE$500, MATCH("Non-GIPSA Insurance", Reference!$AZ$2:$AZ$500, 0)), 0)</f>
        <v>0</v>
      </c>
      <c r="P18" s="2">
        <f>IFERROR(INDEX(Reference!$CE$2:$CE$500, MATCH("Corporate", Reference!$AZ$2:$AZ$500, 0)), 0)</f>
        <v>0</v>
      </c>
      <c r="Q18" s="2">
        <f>IFERROR(INDEX(Reference!$CE$2:$CE$500, MATCH("Insurance All", Reference!$AZ$2:$AZ$500, 0)), 0)</f>
        <v>0</v>
      </c>
      <c r="R18" s="2">
        <f>IFERROR(INDEX(Reference!$CE$2:$CE$500, MATCH("All Payers", Reference!$AZ$2:$AZ$500, 0)), 0)</f>
        <v>72382.9</v>
      </c>
    </row>
    <row r="19" ht="15" customHeight="1" spans="1:18" x14ac:dyDescent="0.25">
      <c r="A19" s="2" t="s">
        <v>99</v>
      </c>
      <c r="B19" s="20">
        <f>IF(B2="General",SUMIF('Line Item Detail'!$B$2:$B$73,A19,'Line Item Detail'!$W$2:$W$73),IF(B2="Twin",SUMIF('Line Item Detail'!$B$2:$B$73,A19,'Line Item Detail'!$X$2:$X$73),SUMIF('Line Item Detail'!$B$2:$B$73,A19,'Line Item Detail'!$Y$2:$Y$73)))</f>
        <v>160001.39967626953</v>
      </c>
      <c r="I19" s="20" t="s">
        <v>100</v>
      </c>
      <c r="J19" s="20">
        <f>'Grouped Adjustments'!C5</f>
        <v>7280</v>
      </c>
      <c r="L19" s="20" t="s">
        <v>101</v>
      </c>
      <c r="M19" s="20">
        <f>IFERROR(INDEX(Reference!$CH$2:$CH$500, MATCH("Cash", Reference!$AZ$2:$AZ$500, 0)), 0)</f>
        <v>89130.16</v>
      </c>
      <c r="N19" s="20">
        <f>IFERROR(INDEX(Reference!$CH$2:$CH$500, MATCH("GIPSA Insurance", Reference!$AZ$2:$AZ$500, 0)), 0)</f>
        <v>0</v>
      </c>
      <c r="O19" s="2">
        <f>IFERROR(INDEX(Reference!$CH$2:$CH$500, MATCH("Non-GIPSA Insurance", Reference!$AZ$2:$AZ$500, 0)), 0)</f>
        <v>0</v>
      </c>
      <c r="P19" s="2">
        <f>IFERROR(INDEX(Reference!$CH$2:$CH$500, MATCH("Corporate", Reference!$AZ$2:$AZ$500, 0)), 0)</f>
        <v>0</v>
      </c>
      <c r="Q19" s="2">
        <f>IFERROR(INDEX(Reference!$CH$2:$CH$500, MATCH("Insurance All", Reference!$AZ$2:$AZ$500, 0)), 0)</f>
        <v>0</v>
      </c>
      <c r="R19" s="2">
        <f>IFERROR(INDEX(Reference!$CH$2:$CH$500, MATCH("All Payers", Reference!$AZ$2:$AZ$500, 0)), 0)</f>
        <v>89130.16</v>
      </c>
    </row>
    <row r="20" ht="15" customHeight="1" spans="1:10" x14ac:dyDescent="0.25">
      <c r="A20" s="2" t="s">
        <v>102</v>
      </c>
      <c r="B20" s="20">
        <f>IF(B2="General",SUMIF('Line Item Detail'!$B$2:$B$73,A20,'Line Item Detail'!$W$2:$W$73),IF(B2="Twin",SUMIF('Line Item Detail'!$B$2:$B$73,A20,'Line Item Detail'!$X$2:$X$73),SUMIF('Line Item Detail'!$B$2:$B$73,A20,'Line Item Detail'!$Y$2:$Y$73)))</f>
        <v>0</v>
      </c>
      <c r="I20" s="2" t="s">
        <v>103</v>
      </c>
      <c r="J20" s="2">
        <f>'Grouped Adjustments'!E5</f>
        <v>3</v>
      </c>
    </row>
    <row r="21" ht="15" customHeight="1" spans="1:2" x14ac:dyDescent="0.25">
      <c r="A21" s="2" t="s">
        <v>104</v>
      </c>
      <c r="B21" s="20">
        <f>E2</f>
        <v>597612.0654575195</v>
      </c>
    </row>
    <row r="22" ht="15" customHeight="1" spans="1:2" x14ac:dyDescent="0.25">
      <c r="A22" s="2" t="s">
        <v>105</v>
      </c>
      <c r="B22" s="20">
        <f>IFERROR(INDEX(Reference!$FF$2:$FF$500, MATCH(Builder!G7, Reference!$FC$2:$FC$500, 0)), 0)</f>
        <v>98192</v>
      </c>
    </row>
    <row r="23" ht="15" customHeight="1" spans="1:2" x14ac:dyDescent="0.25">
      <c r="A23" s="2" t="s">
        <v>106</v>
      </c>
      <c r="B23" s="20">
        <f>B21-B19+B22</f>
        <v>535802.66578125</v>
      </c>
    </row>
    <row r="24" ht="15" customHeight="1" spans="9:16" x14ac:dyDescent="0.25">
      <c r="I24" s="2" t="s">
        <v>107</v>
      </c>
      <c r="J24" s="2"/>
      <c r="L24" s="18" t="s">
        <v>108</v>
      </c>
      <c r="M24" s="18"/>
      <c r="N24" s="18"/>
      <c r="O24" s="18"/>
      <c r="P24" s="18"/>
    </row>
    <row r="25" ht="15" customHeight="1" spans="1:16" x14ac:dyDescent="0.25">
      <c r="A25" s="18" t="s">
        <v>109</v>
      </c>
      <c r="B25" s="18"/>
      <c r="C25" s="18"/>
      <c r="D25" s="18"/>
      <c r="E25" s="18"/>
      <c r="I25" s="2" t="s">
        <v>110</v>
      </c>
      <c r="J25" s="2">
        <f>'Service Add-Ons'!P10</f>
        <v>37</v>
      </c>
      <c r="L25" s="15" t="s">
        <v>111</v>
      </c>
      <c r="M25" s="15" t="s">
        <v>29</v>
      </c>
      <c r="N25" s="15" t="s">
        <v>30</v>
      </c>
      <c r="O25" s="15" t="s">
        <v>31</v>
      </c>
      <c r="P25" s="15" t="s">
        <v>112</v>
      </c>
    </row>
    <row r="26" ht="15" customHeight="1" spans="1:16" x14ac:dyDescent="0.25">
      <c r="A26" s="15" t="s">
        <v>113</v>
      </c>
      <c r="B26" s="15" t="s">
        <v>114</v>
      </c>
      <c r="C26" s="15" t="s">
        <v>29</v>
      </c>
      <c r="D26" s="15" t="s">
        <v>30</v>
      </c>
      <c r="E26" s="15" t="s">
        <v>31</v>
      </c>
      <c r="I26" s="2" t="s">
        <v>115</v>
      </c>
      <c r="J26" s="2">
        <f>'Service Add-Ons'!P5</f>
        <v>36.25</v>
      </c>
      <c r="L26" s="2" t="s">
        <v>116</v>
      </c>
      <c r="M26" s="20">
        <f>IFERROR(INDEX(Reference!$FE$2:$FE$500, MATCH(Builder!G7, Reference!$FC$2:$FC$500, 0)), 0)</f>
        <v>96442</v>
      </c>
      <c r="N26" s="20">
        <f>IFERROR(INDEX(Reference!$FF$2:$FF$500, MATCH(Builder!G7, Reference!$FC$2:$FC$500, 0)), 0)</f>
        <v>98192</v>
      </c>
      <c r="O26" s="20">
        <f>IFERROR(INDEX(Reference!$FG$2:$FG$500, MATCH(Builder!G7, Reference!$FC$2:$FC$500, 0)), 0)</f>
        <v>99817</v>
      </c>
      <c r="P26" s="2" t="s">
        <v>117</v>
      </c>
    </row>
    <row r="27" ht="15" customHeight="1" spans="1:16" x14ac:dyDescent="0.25">
      <c r="A27" s="2" t="s">
        <v>82</v>
      </c>
      <c r="B27" s="20">
        <f>IFERROR(INDEX(Reference!$FD$2:$FD$500, MATCH("Cash", Reference!$FC$2:$FC$500, 0)), 0)</f>
        <v>26</v>
      </c>
      <c r="C27" s="20">
        <f>IFERROR(INDEX(Reference!$FE$2:$FE$500, MATCH("Cash", Reference!$FC$2:$FC$500, 0)), 0)</f>
        <v>96442</v>
      </c>
      <c r="D27" s="20">
        <f>IFERROR(INDEX(Reference!$FF$2:$FF$500, MATCH("Cash", Reference!$FC$2:$FC$500, 0)), 0)</f>
        <v>98192</v>
      </c>
      <c r="E27" s="20">
        <f>IFERROR(INDEX(Reference!$FG$2:$FG$500, MATCH("Cash", Reference!$FC$2:$FC$500, 0)), 0)</f>
        <v>99817</v>
      </c>
      <c r="I27" s="2" t="s">
        <v>118</v>
      </c>
      <c r="J27" s="2">
        <f>'Service Add-Ons'!P6</f>
        <v>39</v>
      </c>
      <c r="L27" s="2" t="s">
        <v>119</v>
      </c>
      <c r="M27" s="20">
        <f>IFERROR(INDEX(Reference!$FH$2:$FH$500, MATCH(Builder!G7, Reference!$FC$2:$FC$500, 0)), 0)</f>
        <v>95562</v>
      </c>
      <c r="N27" s="20">
        <f>IFERROR(INDEX(Reference!$FI$2:$FI$500, MATCH(Builder!G7, Reference!$FC$2:$FC$500, 0)), 0)</f>
        <v>97062</v>
      </c>
      <c r="O27" s="20">
        <f>IFERROR(INDEX(Reference!$FJ$2:$FJ$500, MATCH(Builder!G7, Reference!$FC$2:$FC$500, 0)), 0)</f>
        <v>98562</v>
      </c>
      <c r="P27" s="2" t="s">
        <v>120</v>
      </c>
    </row>
    <row r="28" ht="15" customHeight="1" spans="1:16" x14ac:dyDescent="0.25">
      <c r="A28" s="2" t="s">
        <v>121</v>
      </c>
      <c r="B28" s="20">
        <f>IFERROR(INDEX(Reference!$FD$2:$FD$500, MATCH("GIPSA Insurance", Reference!$FC$2:$FC$500, 0)), 0)</f>
        <v>0</v>
      </c>
      <c r="C28" s="20">
        <f>IFERROR(INDEX(Reference!$FE$2:$FE$500, MATCH("GIPSA Insurance", Reference!$FC$2:$FC$500, 0)), 0)</f>
        <v>0</v>
      </c>
      <c r="D28" s="20">
        <f>IFERROR(INDEX(Reference!$FF$2:$FF$500, MATCH("GIPSA Insurance", Reference!$FC$2:$FC$500, 0)), 0)</f>
        <v>0</v>
      </c>
      <c r="E28" s="20">
        <f>IFERROR(INDEX(Reference!$FG$2:$FG$500, MATCH("GIPSA Insurance", Reference!$FC$2:$FC$500, 0)), 0)</f>
        <v>0</v>
      </c>
      <c r="I28" s="2" t="s">
        <v>122</v>
      </c>
      <c r="J28" s="2">
        <f>'Service Add-Ons'!P7</f>
        <v>41</v>
      </c>
      <c r="L28" s="2" t="s">
        <v>123</v>
      </c>
      <c r="M28" s="20">
        <f>IFERROR(INDEX(Reference!$FK$2:$FK$500, MATCH(Builder!G7, Reference!$FC$2:$FC$500, 0)), 0)</f>
        <v>880</v>
      </c>
      <c r="N28" s="20">
        <f>IFERROR(INDEX(Reference!$FL$2:$FL$500, MATCH(Builder!G7, Reference!$FC$2:$FC$500, 0)), 0)</f>
        <v>880</v>
      </c>
      <c r="O28" s="20">
        <f>IFERROR(INDEX(Reference!$FM$2:$FM$500, MATCH(Builder!G7, Reference!$FC$2:$FC$500, 0)), 0)</f>
        <v>880</v>
      </c>
      <c r="P28" s="2" t="s">
        <v>124</v>
      </c>
    </row>
    <row r="29" ht="15" customHeight="1" spans="1:16" x14ac:dyDescent="0.25">
      <c r="A29" s="2" t="s">
        <v>125</v>
      </c>
      <c r="B29" s="20">
        <f>IFERROR(INDEX(Reference!$FD$2:$FD$500, MATCH("Non-GIPSA Insurance", Reference!$FC$2:$FC$500, 0)), 0)</f>
        <v>0</v>
      </c>
      <c r="C29" s="20">
        <f>IFERROR(INDEX(Reference!$FE$2:$FE$500, MATCH("Non-GIPSA Insurance", Reference!$FC$2:$FC$500, 0)), 0)</f>
        <v>0</v>
      </c>
      <c r="D29" s="20">
        <f>IFERROR(INDEX(Reference!$FF$2:$FF$500, MATCH("Non-GIPSA Insurance", Reference!$FC$2:$FC$500, 0)), 0)</f>
        <v>0</v>
      </c>
      <c r="E29" s="20">
        <f>IFERROR(INDEX(Reference!$FG$2:$FG$500, MATCH("Non-GIPSA Insurance", Reference!$FC$2:$FC$500, 0)), 0)</f>
        <v>0</v>
      </c>
      <c r="I29" s="2" t="s">
        <v>126</v>
      </c>
      <c r="J29" s="2" t="str">
        <f>'Service Add-Ons'!P11</f>
        <v>Within historical range</v>
      </c>
      <c r="L29" s="2" t="s">
        <v>127</v>
      </c>
      <c r="M29" s="20">
        <f>IFERROR(INDEX(Reference!$FN$2:$FN$500, MATCH(Builder!G7, Reference!$FC$2:$FC$500, 0)), 0)</f>
        <v>65000</v>
      </c>
      <c r="N29" s="20">
        <f>IFERROR(INDEX(Reference!$FO$2:$FO$500, MATCH(Builder!G7, Reference!$FC$2:$FC$500, 0)), 0)</f>
        <v>65000</v>
      </c>
      <c r="O29" s="20">
        <f>IFERROR(INDEX(Reference!$FP$2:$FP$500, MATCH(Builder!G7, Reference!$FC$2:$FC$500, 0)), 0)</f>
        <v>65000</v>
      </c>
      <c r="P29" s="2" t="s">
        <v>128</v>
      </c>
    </row>
    <row r="30" ht="15" customHeight="1" spans="1:16" x14ac:dyDescent="0.25">
      <c r="A30" s="2" t="s">
        <v>85</v>
      </c>
      <c r="B30" s="20">
        <f>IFERROR(INDEX(Reference!$FD$2:$FD$500, MATCH("Corporate", Reference!$FC$2:$FC$500, 0)), 0)</f>
        <v>0</v>
      </c>
      <c r="C30" s="20">
        <f>IFERROR(INDEX(Reference!$FE$2:$FE$500, MATCH("Corporate", Reference!$FC$2:$FC$500, 0)), 0)</f>
        <v>0</v>
      </c>
      <c r="D30" s="20">
        <f>IFERROR(INDEX(Reference!$FF$2:$FF$500, MATCH("Corporate", Reference!$FC$2:$FC$500, 0)), 0)</f>
        <v>0</v>
      </c>
      <c r="E30" s="20">
        <f>IFERROR(INDEX(Reference!$FG$2:$FG$500, MATCH("Corporate", Reference!$FC$2:$FC$500, 0)), 0)</f>
        <v>0</v>
      </c>
      <c r="L30" s="2" t="s">
        <v>129</v>
      </c>
      <c r="M30" s="20">
        <f>IFERROR(INDEX(Reference!$FQ$2:$FQ$500, MATCH(Builder!G7, Reference!$FC$2:$FC$500, 0)), 0)</f>
        <v>9750</v>
      </c>
      <c r="N30" s="20">
        <f>IFERROR(INDEX(Reference!$FR$2:$FR$500, MATCH(Builder!G7, Reference!$FC$2:$FC$500, 0)), 0)</f>
        <v>9750</v>
      </c>
      <c r="O30" s="20">
        <f>IFERROR(INDEX(Reference!$FS$2:$FS$500, MATCH(Builder!G7, Reference!$FC$2:$FC$500, 0)), 0)</f>
        <v>9750</v>
      </c>
      <c r="P30" s="2" t="s">
        <v>130</v>
      </c>
    </row>
    <row r="31" ht="15" customHeight="1" spans="1:16" x14ac:dyDescent="0.25">
      <c r="A31" s="2" t="s">
        <v>86</v>
      </c>
      <c r="B31" s="20">
        <f>IFERROR(INDEX(Reference!$FD$2:$FD$500, MATCH("Insurance All", Reference!$FC$2:$FC$500, 0)), 0)</f>
        <v>0</v>
      </c>
      <c r="C31" s="20">
        <f>IFERROR(INDEX(Reference!$FE$2:$FE$500, MATCH("Insurance All", Reference!$FC$2:$FC$500, 0)), 0)</f>
        <v>0</v>
      </c>
      <c r="D31" s="20">
        <f>IFERROR(INDEX(Reference!$FF$2:$FF$500, MATCH("Insurance All", Reference!$FC$2:$FC$500, 0)), 0)</f>
        <v>0</v>
      </c>
      <c r="E31" s="20">
        <f>IFERROR(INDEX(Reference!$FG$2:$FG$500, MATCH("Insurance All", Reference!$FC$2:$FC$500, 0)), 0)</f>
        <v>0</v>
      </c>
      <c r="L31" s="2" t="s">
        <v>131</v>
      </c>
      <c r="M31" s="20">
        <f>IFERROR(INDEX(Reference!$FT$2:$FT$500, MATCH(Builder!G7, Reference!$FC$2:$FC$500, 0)), 0)</f>
        <v>16750</v>
      </c>
      <c r="N31" s="20">
        <f>IFERROR(INDEX(Reference!$FU$2:$FU$500, MATCH(Builder!G7, Reference!$FC$2:$FC$500, 0)), 0)</f>
        <v>16750</v>
      </c>
      <c r="O31" s="20">
        <f>IFERROR(INDEX(Reference!$FV$2:$FV$500, MATCH(Builder!G7, Reference!$FC$2:$FC$500, 0)), 0)</f>
        <v>16750</v>
      </c>
      <c r="P31" s="2" t="s">
        <v>132</v>
      </c>
    </row>
    <row r="32" ht="15" customHeight="1" spans="1:16" x14ac:dyDescent="0.25">
      <c r="A32" s="2" t="s">
        <v>87</v>
      </c>
      <c r="B32" s="20">
        <f>IFERROR(INDEX(Reference!$FD$2:$FD$500, MATCH("All Payers", Reference!$FC$2:$FC$500, 0)), 0)</f>
        <v>26</v>
      </c>
      <c r="C32" s="20">
        <f>IFERROR(INDEX(Reference!$FE$2:$FE$500, MATCH("All Payers", Reference!$FC$2:$FC$500, 0)), 0)</f>
        <v>96442</v>
      </c>
      <c r="D32" s="20">
        <f>IFERROR(INDEX(Reference!$FF$2:$FF$500, MATCH("All Payers", Reference!$FC$2:$FC$500, 0)), 0)</f>
        <v>98192</v>
      </c>
      <c r="E32" s="20">
        <f>IFERROR(INDEX(Reference!$FG$2:$FG$500, MATCH("All Payers", Reference!$FC$2:$FC$500, 0)), 0)</f>
        <v>99817</v>
      </c>
      <c r="L32" s="2" t="s">
        <v>133</v>
      </c>
      <c r="M32" s="20">
        <f>IFERROR(INDEX(Reference!$FW$2:$FW$500, MATCH(Builder!G7, Reference!$FC$2:$FC$500, 0)), 0)</f>
        <v>4062</v>
      </c>
      <c r="N32" s="20">
        <f>IFERROR(INDEX(Reference!$FX$2:$FX$500, MATCH(Builder!G7, Reference!$FC$2:$FC$500, 0)), 0)</f>
        <v>4062</v>
      </c>
      <c r="O32" s="20">
        <f>IFERROR(INDEX(Reference!$FY$2:$FY$500, MATCH(Builder!G7, Reference!$FC$2:$FC$500, 0)), 0)</f>
        <v>4062</v>
      </c>
      <c r="P32" s="2" t="s">
        <v>134</v>
      </c>
    </row>
    <row r="33" ht="15" customHeight="1" spans="12:16" x14ac:dyDescent="0.25">
      <c r="L33" s="2" t="s">
        <v>135</v>
      </c>
      <c r="M33" s="20">
        <f>IFERROR(INDEX(Reference!$FZ$2:$FZ$500, MATCH(Builder!G7, Reference!$FC$2:$FC$500, 0)), 0)</f>
        <v>0</v>
      </c>
      <c r="N33" s="20">
        <f>IFERROR(INDEX(Reference!$GA$2:$GA$500, MATCH(Builder!G7, Reference!$FC$2:$FC$500, 0)), 0)</f>
        <v>1500</v>
      </c>
      <c r="O33" s="20">
        <f>IFERROR(INDEX(Reference!$GB$2:$GB$500, MATCH(Builder!G7, Reference!$FC$2:$FC$500, 0)), 0)</f>
        <v>3000</v>
      </c>
      <c r="P33" s="2" t="s">
        <v>136</v>
      </c>
    </row>
    <row r="34" ht="15" customHeight="1" spans="12:13" x14ac:dyDescent="0.25">
      <c r="L34" s="15" t="s">
        <v>137</v>
      </c>
      <c r="M34" s="15" t="str">
        <f>IFERROR(INDEX(Reference!$GC$2:$GC$500, MATCH(Builder!G7, Reference!$FC$2:$FC$500, 0)), "")</f>
        <v>cash_formula_like</v>
      </c>
    </row>
    <row r="36" ht="15" customHeight="1" spans="1:6" x14ac:dyDescent="0.25">
      <c r="A36" s="5" t="s">
        <v>138</v>
      </c>
      <c r="B36" s="5"/>
      <c r="C36" s="5"/>
      <c r="D36" s="5"/>
      <c r="E36" s="5"/>
      <c r="F36" s="5"/>
    </row>
    <row r="37" ht="15" customHeight="1" spans="1:6" x14ac:dyDescent="0.25">
      <c r="A37" s="15" t="s">
        <v>139</v>
      </c>
      <c r="B37" s="15" t="s">
        <v>140</v>
      </c>
      <c r="C37" s="15" t="s">
        <v>29</v>
      </c>
      <c r="D37" s="15" t="s">
        <v>30</v>
      </c>
      <c r="E37" s="15" t="s">
        <v>31</v>
      </c>
      <c r="F37" s="15" t="s">
        <v>141</v>
      </c>
    </row>
    <row r="38" ht="15" customHeight="1" spans="1:6" x14ac:dyDescent="0.25">
      <c r="A38" s="14" t="s">
        <v>142</v>
      </c>
      <c r="B38" s="22" t="str">
        <f>Builder!G6</f>
        <v>Cash</v>
      </c>
      <c r="C38" s="23">
        <f>IFERROR(INDEX(Reference!$HH$2:$HH$1000, MATCH(Builder!G6&amp;"|"&amp;"los_days", Reference!$HA$2:$HA$1000, 0)), 0)</f>
        <v>3</v>
      </c>
      <c r="D38" s="24">
        <f>IFERROR(INDEX(Reference!$HI$2:$HI$1000, MATCH(Builder!G6&amp;"|"&amp;"los_days", Reference!$HA$2:$HA$1000, 0)), 0)</f>
        <v>3</v>
      </c>
      <c r="E38" s="23">
        <f>IFERROR(INDEX(Reference!$HJ$2:$HJ$1000, MATCH(Builder!G6&amp;"|"&amp;"los_days", Reference!$HA$2:$HA$1000, 0)), 0)</f>
        <v>3.75</v>
      </c>
      <c r="F38" s="14"/>
    </row>
    <row r="39" ht="15" customHeight="1" spans="1:6" x14ac:dyDescent="0.25">
      <c r="A39" s="14" t="s">
        <v>37</v>
      </c>
      <c r="B39" s="22" t="str">
        <f>Builder!G6</f>
        <v>Cash</v>
      </c>
      <c r="C39" s="23">
        <f>IFERROR(INDEX(Reference!$HH$2:$HH$1000, MATCH(Builder!G6&amp;"|"&amp;"icu_days", Reference!$HA$2:$HA$1000, 0)), 0)</f>
        <v>2</v>
      </c>
      <c r="D39" s="24">
        <f>IFERROR(INDEX(Reference!$HI$2:$HI$1000, MATCH(Builder!G6&amp;"|"&amp;"icu_days", Reference!$HA$2:$HA$1000, 0)), 0)</f>
        <v>2</v>
      </c>
      <c r="E39" s="23">
        <f>IFERROR(INDEX(Reference!$HJ$2:$HJ$1000, MATCH(Builder!G6&amp;"|"&amp;"icu_days", Reference!$HA$2:$HA$1000, 0)), 0)</f>
        <v>3</v>
      </c>
      <c r="F39" s="14"/>
    </row>
    <row r="40" ht="15" customHeight="1" spans="1:6" x14ac:dyDescent="0.25">
      <c r="A40" s="14" t="s">
        <v>38</v>
      </c>
      <c r="B40" s="22" t="str">
        <f>Builder!G6</f>
        <v>Cash</v>
      </c>
      <c r="C40" s="23">
        <f>IFERROR(INDEX(Reference!$HH$2:$HH$1000, MATCH(Builder!G6&amp;"|"&amp;"ward_days", Reference!$HA$2:$HA$1000, 0)), 0)</f>
        <v>0.25</v>
      </c>
      <c r="D40" s="24">
        <f>IFERROR(INDEX(Reference!$HI$2:$HI$1000, MATCH(Builder!G6&amp;"|"&amp;"ward_days", Reference!$HA$2:$HA$1000, 0)), 0)</f>
        <v>1</v>
      </c>
      <c r="E40" s="23">
        <f>IFERROR(INDEX(Reference!$HJ$2:$HJ$1000, MATCH(Builder!G6&amp;"|"&amp;"ward_days", Reference!$HA$2:$HA$1000, 0)), 0)</f>
        <v>1.75</v>
      </c>
      <c r="F40" s="14"/>
    </row>
    <row r="41" ht="15" customHeight="1" spans="1:6" x14ac:dyDescent="0.25">
      <c r="A41" s="14" t="s">
        <v>39</v>
      </c>
      <c r="B41" s="22" t="str">
        <f>Builder!G6</f>
        <v>Cash</v>
      </c>
      <c r="C41" s="23">
        <f>IFERROR(INDEX(Reference!$HH$2:$HH$1000, MATCH(Builder!G6&amp;"|"&amp;"ot_hours", Reference!$HA$2:$HA$1000, 0)), 0)</f>
        <v>2.5</v>
      </c>
      <c r="D41" s="24">
        <f>IFERROR(INDEX(Reference!$HI$2:$HI$1000, MATCH(Builder!G6&amp;"|"&amp;"ot_hours", Reference!$HA$2:$HA$1000, 0)), 0)</f>
        <v>3</v>
      </c>
      <c r="E41" s="23">
        <f>IFERROR(INDEX(Reference!$HJ$2:$HJ$1000, MATCH(Builder!G6&amp;"|"&amp;"ot_hours", Reference!$HA$2:$HA$1000, 0)), 0)</f>
        <v>3</v>
      </c>
      <c r="F41" s="14"/>
    </row>
    <row r="42" ht="15" customHeight="1" spans="1:6" x14ac:dyDescent="0.25">
      <c r="A42" s="14" t="s">
        <v>143</v>
      </c>
      <c r="B42" s="22" t="str">
        <f>Builder!G6</f>
        <v>Cash</v>
      </c>
      <c r="C42" s="23">
        <f>IFERROR(INDEX(Reference!$HH$2:$HH$1000, MATCH(Builder!G6&amp;"|"&amp;"service_line_count", Reference!$HA$2:$HA$1000, 0)), 0)</f>
        <v>36.25</v>
      </c>
      <c r="D42" s="24">
        <f>IFERROR(INDEX(Reference!$HI$2:$HI$1000, MATCH(Builder!G6&amp;"|"&amp;"service_line_count", Reference!$HA$2:$HA$1000, 0)), 0)</f>
        <v>39</v>
      </c>
      <c r="E42" s="23">
        <f>IFERROR(INDEX(Reference!$HJ$2:$HJ$1000, MATCH(Builder!G6&amp;"|"&amp;"service_line_count", Reference!$HA$2:$HA$1000, 0)), 0)</f>
        <v>41</v>
      </c>
      <c r="F42" s="14"/>
    </row>
    <row r="43" ht="15" customHeight="1" spans="1:6" x14ac:dyDescent="0.25">
      <c r="A43" s="14" t="s">
        <v>79</v>
      </c>
      <c r="B43" s="22" t="str">
        <f>Builder!G6</f>
        <v>Cash</v>
      </c>
      <c r="C43" s="23">
        <f>IFERROR(INDEX(Reference!$HH$2:$HH$1000, MATCH(Builder!G6&amp;"|"&amp;"room_charges", Reference!$HA$2:$HA$1000, 0)), 0)</f>
        <v>41910</v>
      </c>
      <c r="D43" s="24">
        <f>IFERROR(INDEX(Reference!$HI$2:$HI$1000, MATCH(Builder!G6&amp;"|"&amp;"room_charges", Reference!$HA$2:$HA$1000, 0)), 0)</f>
        <v>45064</v>
      </c>
      <c r="E43" s="23">
        <f>IFERROR(INDEX(Reference!$HJ$2:$HJ$1000, MATCH(Builder!G6&amp;"|"&amp;"room_charges", Reference!$HA$2:$HA$1000, 0)), 0)</f>
        <v>54051</v>
      </c>
      <c r="F43" s="14"/>
    </row>
    <row r="44" ht="15" customHeight="1" spans="1:6" x14ac:dyDescent="0.25">
      <c r="A44" s="14" t="s">
        <v>144</v>
      </c>
      <c r="B44" s="22" t="str">
        <f>Builder!G6</f>
        <v>Cash</v>
      </c>
      <c r="C44" s="23">
        <f>IFERROR(INDEX(Reference!$HH$2:$HH$1000, MATCH(Builder!G6&amp;"|"&amp;"room_charges_per_day", Reference!$HA$2:$HA$1000, 0)), 0)</f>
        <v>13042.67</v>
      </c>
      <c r="D44" s="24">
        <f>IFERROR(INDEX(Reference!$HI$2:$HI$1000, MATCH(Builder!G6&amp;"|"&amp;"room_charges_per_day", Reference!$HA$2:$HA$1000, 0)), 0)</f>
        <v>13970</v>
      </c>
      <c r="E44" s="23">
        <f>IFERROR(INDEX(Reference!$HJ$2:$HJ$1000, MATCH(Builder!G6&amp;"|"&amp;"room_charges_per_day", Reference!$HA$2:$HA$1000, 0)), 0)</f>
        <v>15021.33</v>
      </c>
      <c r="F44" s="14"/>
    </row>
    <row r="45" ht="15" customHeight="1" spans="1:6" x14ac:dyDescent="0.25">
      <c r="A45" s="14" t="s">
        <v>81</v>
      </c>
      <c r="B45" s="22" t="str">
        <f>Builder!G6</f>
        <v>Cash</v>
      </c>
      <c r="C45" s="23">
        <f>IFERROR(INDEX(Reference!$HH$2:$HH$1000, MATCH(Builder!G6&amp;"|"&amp;"investigations", Reference!$HA$2:$HA$1000, 0)), 0)</f>
        <v>9027.5</v>
      </c>
      <c r="D45" s="24">
        <f>IFERROR(INDEX(Reference!$HI$2:$HI$1000, MATCH(Builder!G6&amp;"|"&amp;"investigations", Reference!$HA$2:$HA$1000, 0)), 0)</f>
        <v>15370</v>
      </c>
      <c r="E45" s="23">
        <f>IFERROR(INDEX(Reference!$HJ$2:$HJ$1000, MATCH(Builder!G6&amp;"|"&amp;"investigations", Reference!$HA$2:$HA$1000, 0)), 0)</f>
        <v>18402.5</v>
      </c>
      <c r="F45" s="14"/>
    </row>
    <row r="46" ht="15" customHeight="1" spans="1:6" x14ac:dyDescent="0.25">
      <c r="A46" s="14" t="s">
        <v>88</v>
      </c>
      <c r="B46" s="22" t="str">
        <f>Builder!G6</f>
        <v>Cash</v>
      </c>
      <c r="C46" s="23">
        <f>IFERROR(INDEX(Reference!$HH$2:$HH$1000, MATCH(Builder!G6&amp;"|"&amp;"procedure_ot_charges", Reference!$HA$2:$HA$1000, 0)), 0)</f>
        <v>154880</v>
      </c>
      <c r="D46" s="24">
        <f>IFERROR(INDEX(Reference!$HI$2:$HI$1000, MATCH(Builder!G6&amp;"|"&amp;"procedure_ot_charges", Reference!$HA$2:$HA$1000, 0)), 0)</f>
        <v>159090</v>
      </c>
      <c r="E46" s="23">
        <f>IFERROR(INDEX(Reference!$HJ$2:$HJ$1000, MATCH(Builder!G6&amp;"|"&amp;"procedure_ot_charges", Reference!$HA$2:$HA$1000, 0)), 0)</f>
        <v>160140</v>
      </c>
      <c r="F46" s="14"/>
    </row>
    <row r="47" ht="15" customHeight="1" spans="1:6" x14ac:dyDescent="0.25">
      <c r="A47" s="14" t="s">
        <v>90</v>
      </c>
      <c r="B47" s="22" t="str">
        <f>Builder!G6</f>
        <v>Cash</v>
      </c>
      <c r="C47" s="23">
        <f>IFERROR(INDEX(Reference!$HH$2:$HH$1000, MATCH(Builder!G6&amp;"|"&amp;"bedside_services", Reference!$HA$2:$HA$1000, 0)), 0)</f>
        <v>4050</v>
      </c>
      <c r="D47" s="24">
        <f>IFERROR(INDEX(Reference!$HI$2:$HI$1000, MATCH(Builder!G6&amp;"|"&amp;"bedside_services", Reference!$HA$2:$HA$1000, 0)), 0)</f>
        <v>5090</v>
      </c>
      <c r="E47" s="23">
        <f>IFERROR(INDEX(Reference!$HJ$2:$HJ$1000, MATCH(Builder!G6&amp;"|"&amp;"bedside_services", Reference!$HA$2:$HA$1000, 0)), 0)</f>
        <v>6150</v>
      </c>
      <c r="F47" s="14"/>
    </row>
    <row r="48" ht="15" customHeight="1" spans="1:6" x14ac:dyDescent="0.25">
      <c r="A48" s="14" t="s">
        <v>145</v>
      </c>
      <c r="B48" s="22" t="str">
        <f>Builder!G5</f>
        <v>Cash</v>
      </c>
      <c r="C48" s="23">
        <f>IFERROR(INDEX(Reference!$HH$2:$HH$1000, MATCH(Builder!G5&amp;"|"&amp;"ip_drugs", Reference!$HA$2:$HA$1000, 0)), 0)</f>
        <v>7802.505</v>
      </c>
      <c r="D48" s="24">
        <f>IFERROR(INDEX(Reference!$HI$2:$HI$1000, MATCH(Builder!G5&amp;"|"&amp;"ip_drugs", Reference!$HA$2:$HA$1000, 0)), 0)</f>
        <v>9060.435</v>
      </c>
      <c r="E48" s="23">
        <f>IFERROR(INDEX(Reference!$HJ$2:$HJ$1000, MATCH(Builder!G5&amp;"|"&amp;"ip_drugs", Reference!$HA$2:$HA$1000, 0)), 0)</f>
        <v>10629.0975</v>
      </c>
      <c r="F48" s="14"/>
    </row>
    <row r="49" ht="15" customHeight="1" spans="1:6" x14ac:dyDescent="0.25">
      <c r="A49" s="14" t="s">
        <v>89</v>
      </c>
      <c r="B49" s="22" t="str">
        <f>Builder!G5</f>
        <v>Cash</v>
      </c>
      <c r="C49" s="23">
        <f>IFERROR(INDEX(Reference!$HH$2:$HH$1000, MATCH(Builder!G5&amp;"|"&amp;"ip_drugs_per_day", Reference!$HA$2:$HA$1000, 0)), 0)</f>
        <v>2380.9425</v>
      </c>
      <c r="D49" s="24">
        <f>IFERROR(INDEX(Reference!$HI$2:$HI$1000, MATCH(Builder!G5&amp;"|"&amp;"ip_drugs_per_day", Reference!$HA$2:$HA$1000, 0)), 0)</f>
        <v>2855.32</v>
      </c>
      <c r="E49" s="23">
        <f>IFERROR(INDEX(Reference!$HJ$2:$HJ$1000, MATCH(Builder!G5&amp;"|"&amp;"ip_drugs_per_day", Reference!$HA$2:$HA$1000, 0)), 0)</f>
        <v>3198.2575</v>
      </c>
      <c r="F49" s="14"/>
    </row>
    <row r="50" ht="15" customHeight="1" spans="1:6" x14ac:dyDescent="0.25">
      <c r="A50" s="14" t="s">
        <v>146</v>
      </c>
      <c r="B50" s="22" t="str">
        <f>Builder!G5</f>
        <v>Cash</v>
      </c>
      <c r="C50" s="23">
        <f>IFERROR(INDEX(Reference!$HH$2:$HH$1000, MATCH(Builder!G5&amp;"|"&amp;"ip_consumables", Reference!$HA$2:$HA$1000, 0)), 0)</f>
        <v>9677.2125</v>
      </c>
      <c r="D50" s="24">
        <f>IFERROR(INDEX(Reference!$HI$2:$HI$1000, MATCH(Builder!G5&amp;"|"&amp;"ip_consumables", Reference!$HA$2:$HA$1000, 0)), 0)</f>
        <v>10711.305</v>
      </c>
      <c r="E50" s="23">
        <f>IFERROR(INDEX(Reference!$HJ$2:$HJ$1000, MATCH(Builder!G5&amp;"|"&amp;"ip_consumables", Reference!$HA$2:$HA$1000, 0)), 0)</f>
        <v>11936.6175</v>
      </c>
      <c r="F50" s="14"/>
    </row>
    <row r="51" ht="15" customHeight="1" spans="1:6" x14ac:dyDescent="0.25">
      <c r="A51" s="14" t="s">
        <v>92</v>
      </c>
      <c r="B51" s="22" t="str">
        <f>Builder!G5</f>
        <v>Cash</v>
      </c>
      <c r="C51" s="23">
        <f>IFERROR(INDEX(Reference!$HH$2:$HH$1000, MATCH(Builder!G5&amp;"|"&amp;"ip_consumables_per_day", Reference!$HA$2:$HA$1000, 0)), 0)</f>
        <v>3059.7975</v>
      </c>
      <c r="D51" s="24">
        <f>IFERROR(INDEX(Reference!$HI$2:$HI$1000, MATCH(Builder!G5&amp;"|"&amp;"ip_consumables_per_day", Reference!$HA$2:$HA$1000, 0)), 0)</f>
        <v>3428.83</v>
      </c>
      <c r="E51" s="23">
        <f>IFERROR(INDEX(Reference!$HJ$2:$HJ$1000, MATCH(Builder!G5&amp;"|"&amp;"ip_consumables_per_day", Reference!$HA$2:$HA$1000, 0)), 0)</f>
        <v>3617.7125</v>
      </c>
      <c r="F51" s="14"/>
    </row>
    <row r="52" ht="15" customHeight="1" spans="1:6" x14ac:dyDescent="0.25">
      <c r="A52" s="14" t="s">
        <v>95</v>
      </c>
      <c r="B52" s="22" t="str">
        <f>Builder!G5</f>
        <v>Cash</v>
      </c>
      <c r="C52" s="23">
        <f>IFERROR(INDEX(Reference!$HH$2:$HH$1000, MATCH(Builder!G5&amp;"|"&amp;"ot_drugs", Reference!$HA$2:$HA$1000, 0)), 0)</f>
        <v>8468.8525</v>
      </c>
      <c r="D52" s="24">
        <f>IFERROR(INDEX(Reference!$HI$2:$HI$1000, MATCH(Builder!G5&amp;"|"&amp;"ot_drugs", Reference!$HA$2:$HA$1000, 0)), 0)</f>
        <v>9439.535</v>
      </c>
      <c r="E52" s="23">
        <f>IFERROR(INDEX(Reference!$HJ$2:$HJ$1000, MATCH(Builder!G5&amp;"|"&amp;"ot_drugs", Reference!$HA$2:$HA$1000, 0)), 0)</f>
        <v>11143.7</v>
      </c>
      <c r="F52" s="14"/>
    </row>
    <row r="53" ht="15" customHeight="1" spans="1:6" x14ac:dyDescent="0.25">
      <c r="A53" s="14" t="s">
        <v>98</v>
      </c>
      <c r="B53" s="22" t="str">
        <f>Builder!G5</f>
        <v>Cash</v>
      </c>
      <c r="C53" s="23">
        <f>IFERROR(INDEX(Reference!$HH$2:$HH$1000, MATCH(Builder!G5&amp;"|"&amp;"ot_consumables", Reference!$HA$2:$HA$1000, 0)), 0)</f>
        <v>66040.54</v>
      </c>
      <c r="D53" s="24">
        <f>IFERROR(INDEX(Reference!$HI$2:$HI$1000, MATCH(Builder!G5&amp;"|"&amp;"ot_consumables", Reference!$HA$2:$HA$1000, 0)), 0)</f>
        <v>72382.9</v>
      </c>
      <c r="E53" s="23">
        <f>IFERROR(INDEX(Reference!$HJ$2:$HJ$1000, MATCH(Builder!G5&amp;"|"&amp;"ot_consumables", Reference!$HA$2:$HA$1000, 0)), 0)</f>
        <v>107563.63</v>
      </c>
      <c r="F53" s="14"/>
    </row>
    <row r="54" ht="15" customHeight="1" spans="1:6" x14ac:dyDescent="0.25">
      <c r="A54" s="14" t="s">
        <v>101</v>
      </c>
      <c r="B54" s="22" t="str">
        <f>Builder!G5</f>
        <v>Cash</v>
      </c>
      <c r="C54" s="23">
        <f>IFERROR(INDEX(Reference!$HH$2:$HH$1000, MATCH(Builder!G5&amp;"|"&amp;"implants", Reference!$HA$2:$HA$1000, 0)), 0)</f>
        <v>89130.0775</v>
      </c>
      <c r="D54" s="24">
        <f>IFERROR(INDEX(Reference!$HI$2:$HI$1000, MATCH(Builder!G5&amp;"|"&amp;"implants", Reference!$HA$2:$HA$1000, 0)), 0)</f>
        <v>89130.16</v>
      </c>
      <c r="E54" s="23">
        <f>IFERROR(INDEX(Reference!$HJ$2:$HJ$1000, MATCH(Builder!G5&amp;"|"&amp;"implants", Reference!$HA$2:$HA$1000, 0)), 0)</f>
        <v>98838.05</v>
      </c>
      <c r="F54" s="14"/>
    </row>
    <row r="55" ht="15" customHeight="1" spans="1:6" x14ac:dyDescent="0.25">
      <c r="A55" s="14" t="s">
        <v>147</v>
      </c>
      <c r="B55" s="22" t="str">
        <f>Builder!G5</f>
        <v>Cash</v>
      </c>
      <c r="C55" s="23">
        <f>IFERROR(INDEX(Reference!$HH$2:$HH$1000, MATCH(Builder!G5&amp;"|"&amp;"pharmacy_total", Reference!$HA$2:$HA$1000, 0)), 0)</f>
        <v>182949.105</v>
      </c>
      <c r="D55" s="24">
        <f>IFERROR(INDEX(Reference!$HI$2:$HI$1000, MATCH(Builder!G5&amp;"|"&amp;"pharmacy_total", Reference!$HA$2:$HA$1000, 0)), 0)</f>
        <v>189217.605</v>
      </c>
      <c r="E55" s="23">
        <f>IFERROR(INDEX(Reference!$HJ$2:$HJ$1000, MATCH(Builder!G5&amp;"|"&amp;"pharmacy_total", Reference!$HA$2:$HA$1000, 0)), 0)</f>
        <v>231144.7325</v>
      </c>
      <c r="F55" s="14"/>
    </row>
    <row r="56" ht="26.85" customHeight="1" spans="1:6" x14ac:dyDescent="0.25">
      <c r="A56" s="14" t="s">
        <v>96</v>
      </c>
      <c r="B56" s="22" t="str">
        <f>Builder!G5</f>
        <v>Cash</v>
      </c>
      <c r="C56" s="23">
        <f>IFERROR(INDEX(Reference!$HH$2:$HH$1000, MATCH(Builder!G5&amp;"|"&amp;"drug_administration_charges", Reference!$HA$2:$HA$1000, 0)), 0)</f>
        <v>22868.6375</v>
      </c>
      <c r="D56" s="24">
        <f>IFERROR(INDEX(Reference!$HI$2:$HI$1000, MATCH(Builder!G5&amp;"|"&amp;"drug_administration_charges", Reference!$HA$2:$HA$1000, 0)), 0)</f>
        <v>23652.2</v>
      </c>
      <c r="E56" s="23">
        <f>IFERROR(INDEX(Reference!$HJ$2:$HJ$1000, MATCH(Builder!G5&amp;"|"&amp;"drug_administration_charges", Reference!$HA$2:$HA$1000, 0)), 0)</f>
        <v>28893.0925</v>
      </c>
      <c r="F56" s="14"/>
    </row>
    <row r="57" ht="15" customHeight="1" spans="1:6" x14ac:dyDescent="0.25">
      <c r="A57" s="14" t="s">
        <v>99</v>
      </c>
      <c r="B57" s="22" t="str">
        <f>Builder!G7</f>
        <v>Cash</v>
      </c>
      <c r="C57" s="23">
        <f>IFERROR(INDEX(Reference!$HH$2:$HH$1000, MATCH(Builder!G7&amp;"|"&amp;"professional_fees", Reference!$HA$2:$HA$1000, 0)), 0)</f>
        <v>96442</v>
      </c>
      <c r="D57" s="24">
        <f>IFERROR(INDEX(Reference!$HI$2:$HI$1000, MATCH(Builder!G7&amp;"|"&amp;"professional_fees", Reference!$HA$2:$HA$1000, 0)), 0)</f>
        <v>98192</v>
      </c>
      <c r="E57" s="23">
        <f>IFERROR(INDEX(Reference!$HJ$2:$HJ$1000, MATCH(Builder!G7&amp;"|"&amp;"professional_fees", Reference!$HA$2:$HA$1000, 0)), 0)</f>
        <v>99817</v>
      </c>
      <c r="F57" s="14"/>
    </row>
    <row r="58" ht="77.6" customHeight="1" spans="1:6" x14ac:dyDescent="0.25">
      <c r="A58" s="14" t="s">
        <v>148</v>
      </c>
      <c r="B58" s="22" t="str">
        <f>Builder!G7</f>
        <v>Cash</v>
      </c>
      <c r="C58" s="23">
        <f>IFERROR(INDEX(Reference!$FE$2:$FE$500, MATCH(Builder!G7, Reference!$FC$2:$FC$500, 0)), 0)</f>
        <v>96442</v>
      </c>
      <c r="D58" s="24">
        <f>IFERROR(INDEX(Reference!$FF$2:$FF$500, MATCH(Builder!G7, Reference!$FC$2:$FC$500, 0)), 0)</f>
        <v>98192</v>
      </c>
      <c r="E58" s="23">
        <f>IFERROR(INDEX(Reference!$FG$2:$FG$500, MATCH(Builder!G7, Reference!$FC$2:$FC$500, 0)), 0)</f>
        <v>99817</v>
      </c>
      <c r="F58" s="14" t="s">
        <v>149</v>
      </c>
    </row>
    <row r="59" ht="115.65" customHeight="1" spans="1:6" x14ac:dyDescent="0.25">
      <c r="A59" s="14" t="s">
        <v>150</v>
      </c>
      <c r="B59" s="22" t="str">
        <f>IF(AND(Builder!G5=Builder!G6,Builder!G6=Builder!G7),Builder!G6,"Component Mix")</f>
        <v>Cash</v>
      </c>
      <c r="C59" s="23">
        <f>IF(AND(Builder!G5=Builder!G6,Builder!G6=Builder!G7),IFERROR(INDEX(Reference!$HH$2:$HH$1000, MATCH(Builder!G6&amp;"|"&amp;"total_amount_excluding_food_and_beverage_and_returns_plus_drug_admin", Reference!$HA$2:$HA$1000, 0)), 0),(IFERROR(INDEX(Reference!$HH$2:$HH$1000, MATCH(Builder!G6&amp;"|"&amp;"room_charges", Reference!$HA$2:$HA$1000, 0)), 0) + IFERROR(INDEX(Reference!$HH$2:$HH$1000, MATCH(Builder!G6&amp;"|"&amp;"investigations", Reference!$HA$2:$HA$1000, 0)), 0) + IFERROR(INDEX(Reference!$HH$2:$HH$1000, MATCH(Builder!G6&amp;"|"&amp;"procedure_ot_charges", Reference!$HA$2:$HA$1000, 0)), 0) + IFERROR(INDEX(Reference!$HH$2:$HH$1000, MATCH(Builder!G6&amp;"|"&amp;"bedside_services", Reference!$HA$2:$HA$1000, 0)), 0) + IFERROR(INDEX(Reference!$HH$2:$HH$1000, MATCH(Builder!G5&amp;"|"&amp;"pharmacy_total", Reference!$HA$2:$HA$1000, 0)), 0) + IFERROR(INDEX(Reference!$HH$2:$HH$1000, MATCH(Builder!G5&amp;"|"&amp;"drug_administration_charges", Reference!$HA$2:$HA$1000, 0)), 0) + IFERROR(INDEX(Reference!$HH$2:$HH$1000, MATCH(Builder!G7&amp;"|"&amp;"professional_fees", Reference!$HA$2:$HA$1000, 0)), 0)))</f>
        <v>520489.6525</v>
      </c>
      <c r="D59" s="24">
        <f>IF(AND(Builder!G5=Builder!G6,Builder!G6=Builder!G7),IFERROR(INDEX(Reference!$HI$2:$HI$1000, MATCH(Builder!G6&amp;"|"&amp;"total_amount_excluding_food_and_beverage_and_returns_plus_drug_admin", Reference!$HA$2:$HA$1000, 0)), 0),(IFERROR(INDEX(Reference!$HI$2:$HI$1000, MATCH(Builder!G6&amp;"|"&amp;"room_charges", Reference!$HA$2:$HA$1000, 0)), 0) + IFERROR(INDEX(Reference!$HI$2:$HI$1000, MATCH(Builder!G6&amp;"|"&amp;"investigations", Reference!$HA$2:$HA$1000, 0)), 0) + IFERROR(INDEX(Reference!$HI$2:$HI$1000, MATCH(Builder!G6&amp;"|"&amp;"procedure_ot_charges", Reference!$HA$2:$HA$1000, 0)), 0) + IFERROR(INDEX(Reference!$HI$2:$HI$1000, MATCH(Builder!G6&amp;"|"&amp;"bedside_services", Reference!$HA$2:$HA$1000, 0)), 0) + IFERROR(INDEX(Reference!$HI$2:$HI$1000, MATCH(Builder!G5&amp;"|"&amp;"pharmacy_total", Reference!$HA$2:$HA$1000, 0)), 0) + IFERROR(INDEX(Reference!$HI$2:$HI$1000, MATCH(Builder!G5&amp;"|"&amp;"drug_administration_charges", Reference!$HA$2:$HA$1000, 0)), 0) + IFERROR(INDEX(Reference!$HI$2:$HI$1000, MATCH(Builder!G7&amp;"|"&amp;"professional_fees", Reference!$HA$2:$HA$1000, 0)), 0)))</f>
        <v>539491.34</v>
      </c>
      <c r="E59" s="23">
        <f>IF(AND(Builder!G5=Builder!G6,Builder!G6=Builder!G7),IFERROR(INDEX(Reference!$HJ$2:$HJ$1000, MATCH(Builder!G6&amp;"|"&amp;"total_amount_excluding_food_and_beverage_and_returns_plus_drug_admin", Reference!$HA$2:$HA$1000, 0)), 0),(IFERROR(INDEX(Reference!$HJ$2:$HJ$1000, MATCH(Builder!G6&amp;"|"&amp;"room_charges", Reference!$HA$2:$HA$1000, 0)), 0) + IFERROR(INDEX(Reference!$HJ$2:$HJ$1000, MATCH(Builder!G6&amp;"|"&amp;"investigations", Reference!$HA$2:$HA$1000, 0)), 0) + IFERROR(INDEX(Reference!$HJ$2:$HJ$1000, MATCH(Builder!G6&amp;"|"&amp;"procedure_ot_charges", Reference!$HA$2:$HA$1000, 0)), 0) + IFERROR(INDEX(Reference!$HJ$2:$HJ$1000, MATCH(Builder!G6&amp;"|"&amp;"bedside_services", Reference!$HA$2:$HA$1000, 0)), 0) + IFERROR(INDEX(Reference!$HJ$2:$HJ$1000, MATCH(Builder!G5&amp;"|"&amp;"pharmacy_total", Reference!$HA$2:$HA$1000, 0)), 0) + IFERROR(INDEX(Reference!$HJ$2:$HJ$1000, MATCH(Builder!G5&amp;"|"&amp;"drug_administration_charges", Reference!$HA$2:$HA$1000, 0)), 0) + IFERROR(INDEX(Reference!$HJ$2:$HJ$1000, MATCH(Builder!G7&amp;"|"&amp;"professional_fees", Reference!$HA$2:$HA$1000, 0)), 0)))</f>
        <v>596680.1275</v>
      </c>
      <c r="F59" s="14" t="s">
        <v>151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showGridLines="0" zoomScale="100"/>
  </sheetViews>
  <sheetFormatPr defaultRowHeight="15" outlineLevelRow="0" outlineLevelCol="0" x14ac:dyDescent="55"/>
  <cols>
    <col min="1" max="1" width="28" customWidth="1"/>
    <col min="2" max="2" width="22" customWidth="1"/>
    <col min="3" max="3" width="16" customWidth="1"/>
    <col min="10" max="10" width="18" customWidth="1"/>
  </cols>
  <sheetData>
    <row r="1" ht="15" customHeight="1" spans="1:10" x14ac:dyDescent="0.25">
      <c r="A1" s="1" t="s">
        <v>152</v>
      </c>
      <c r="B1" s="1"/>
      <c r="C1" s="1"/>
      <c r="D1" s="1"/>
      <c r="E1" s="1"/>
      <c r="F1" s="1"/>
      <c r="G1" s="1"/>
      <c r="H1" s="1"/>
      <c r="I1" s="1"/>
      <c r="J1" s="1"/>
    </row>
    <row r="2" ht="115.65" customHeight="1" spans="1:10" x14ac:dyDescent="0.25">
      <c r="A2" s="14" t="s">
        <v>153</v>
      </c>
      <c r="B2" s="14"/>
      <c r="C2" s="14"/>
      <c r="D2" s="14"/>
      <c r="E2" s="14"/>
      <c r="F2" s="14"/>
      <c r="G2" s="14"/>
      <c r="H2" s="14"/>
      <c r="I2" s="14"/>
      <c r="J2" s="14"/>
    </row>
    <row r="4" ht="15" customHeight="1" spans="1:10" x14ac:dyDescent="0.25">
      <c r="A4" s="18" t="s">
        <v>154</v>
      </c>
      <c r="B4" s="18" t="s">
        <v>155</v>
      </c>
      <c r="C4" s="18" t="s">
        <v>77</v>
      </c>
      <c r="D4" s="18" t="s">
        <v>156</v>
      </c>
      <c r="E4" s="18" t="s">
        <v>157</v>
      </c>
      <c r="F4" s="18" t="s">
        <v>158</v>
      </c>
      <c r="G4" s="18" t="s">
        <v>159</v>
      </c>
      <c r="H4" s="18" t="s">
        <v>160</v>
      </c>
      <c r="I4" s="18" t="s">
        <v>161</v>
      </c>
      <c r="J4" s="18" t="s">
        <v>162</v>
      </c>
    </row>
    <row r="5" ht="15" customHeight="1" spans="1:10" x14ac:dyDescent="0.25">
      <c r="A5" s="14" t="s">
        <v>79</v>
      </c>
      <c r="B5" s="22" t="str">
        <f>Builder!G6</f>
        <v>Cash</v>
      </c>
      <c r="C5" s="25">
        <f>'Estimate Summary'!B13</f>
        <v>45280</v>
      </c>
      <c r="D5" s="23">
        <f>IFERROR(INDEX(Reference!$HH$2:$HH$1000, MATCH(Builder!G6&amp;"|"&amp;"room_charges", Reference!$HA$2:$HA$1000, 0)), 0)</f>
        <v>41910</v>
      </c>
      <c r="E5" s="24">
        <f>IFERROR(INDEX(Reference!$HI$2:$HI$1000, MATCH(Builder!G6&amp;"|"&amp;"room_charges", Reference!$HA$2:$HA$1000, 0)), 0)</f>
        <v>45064</v>
      </c>
      <c r="F5" s="23">
        <f>IFERROR(INDEX(Reference!$HJ$2:$HJ$1000, MATCH(Builder!G6&amp;"|"&amp;"room_charges", Reference!$HA$2:$HA$1000, 0)), 0)</f>
        <v>54051</v>
      </c>
      <c r="G5" s="25">
        <f>C5-D5</f>
        <v>3370</v>
      </c>
      <c r="H5" s="25">
        <f>C5-E5</f>
        <v>216</v>
      </c>
      <c r="I5" s="25">
        <f>C5-F5</f>
        <v>-8771</v>
      </c>
      <c r="J5" s="26" t="str">
        <f>IF(AND(OR(C5&lt;D5,C5&gt;F5),ABS(H5)&gt;MAX(5000,0.2*MAX(E5,1))),"Material Gap",IF(C5&lt;D5,"Below Range",IF(C5&gt;F5,"Above Range","Within Range")))</f>
        <v>Within Range</v>
      </c>
    </row>
    <row r="6" ht="15" customHeight="1" spans="1:10" x14ac:dyDescent="0.25">
      <c r="A6" s="14" t="s">
        <v>81</v>
      </c>
      <c r="B6" s="22" t="str">
        <f>Builder!G6</f>
        <v>Cash</v>
      </c>
      <c r="C6" s="25">
        <f>'Estimate Summary'!B14</f>
        <v>14940</v>
      </c>
      <c r="D6" s="23">
        <f>IFERROR(INDEX(Reference!$HH$2:$HH$1000, MATCH(Builder!G6&amp;"|"&amp;"investigations", Reference!$HA$2:$HA$1000, 0)), 0)</f>
        <v>9027.5</v>
      </c>
      <c r="E6" s="24">
        <f>IFERROR(INDEX(Reference!$HI$2:$HI$1000, MATCH(Builder!G6&amp;"|"&amp;"investigations", Reference!$HA$2:$HA$1000, 0)), 0)</f>
        <v>15370</v>
      </c>
      <c r="F6" s="23">
        <f>IFERROR(INDEX(Reference!$HJ$2:$HJ$1000, MATCH(Builder!G6&amp;"|"&amp;"investigations", Reference!$HA$2:$HA$1000, 0)), 0)</f>
        <v>18402.5</v>
      </c>
      <c r="G6" s="25">
        <f>C6-D6</f>
        <v>5912.5</v>
      </c>
      <c r="H6" s="25">
        <f>C6-E6</f>
        <v>-430</v>
      </c>
      <c r="I6" s="25">
        <f>C6-F6</f>
        <v>-3462.5</v>
      </c>
      <c r="J6" s="26" t="str">
        <f>IF(AND(OR(C6&lt;D6,C6&gt;F6),ABS(H6)&gt;MAX(5000,0.2*MAX(E6,1))),"Material Gap",IF(C6&lt;D6,"Below Range",IF(C6&gt;F6,"Above Range","Within Range")))</f>
        <v>Within Range</v>
      </c>
    </row>
    <row r="7" ht="15" customHeight="1" spans="1:10" x14ac:dyDescent="0.25">
      <c r="A7" s="14" t="s">
        <v>88</v>
      </c>
      <c r="B7" s="22" t="str">
        <f>Builder!G6</f>
        <v>Cash</v>
      </c>
      <c r="C7" s="25">
        <f>'Estimate Summary'!B15</f>
        <v>158660</v>
      </c>
      <c r="D7" s="23">
        <f>IFERROR(INDEX(Reference!$HH$2:$HH$1000, MATCH(Builder!G6&amp;"|"&amp;"procedure_ot_charges", Reference!$HA$2:$HA$1000, 0)), 0)</f>
        <v>154880</v>
      </c>
      <c r="E7" s="24">
        <f>IFERROR(INDEX(Reference!$HI$2:$HI$1000, MATCH(Builder!G6&amp;"|"&amp;"procedure_ot_charges", Reference!$HA$2:$HA$1000, 0)), 0)</f>
        <v>159090</v>
      </c>
      <c r="F7" s="23">
        <f>IFERROR(INDEX(Reference!$HJ$2:$HJ$1000, MATCH(Builder!G6&amp;"|"&amp;"procedure_ot_charges", Reference!$HA$2:$HA$1000, 0)), 0)</f>
        <v>160140</v>
      </c>
      <c r="G7" s="25">
        <f>C7-D7</f>
        <v>3780</v>
      </c>
      <c r="H7" s="25">
        <f>C7-E7</f>
        <v>-430</v>
      </c>
      <c r="I7" s="25">
        <f>C7-F7</f>
        <v>-1480</v>
      </c>
      <c r="J7" s="26" t="str">
        <f>IF(AND(OR(C7&lt;D7,C7&gt;F7),ABS(H7)&gt;MAX(5000,0.2*MAX(E7,1))),"Material Gap",IF(C7&lt;D7,"Below Range",IF(C7&gt;F7,"Above Range","Within Range")))</f>
        <v>Within Range</v>
      </c>
    </row>
    <row r="8" ht="15" customHeight="1" spans="1:10" x14ac:dyDescent="0.25">
      <c r="A8" s="14" t="s">
        <v>90</v>
      </c>
      <c r="B8" s="22" t="str">
        <f>Builder!G6</f>
        <v>Cash</v>
      </c>
      <c r="C8" s="25">
        <f>'Estimate Summary'!B16</f>
        <v>5200</v>
      </c>
      <c r="D8" s="23">
        <f>IFERROR(INDEX(Reference!$HH$2:$HH$1000, MATCH(Builder!G6&amp;"|"&amp;"bedside_services", Reference!$HA$2:$HA$1000, 0)), 0)</f>
        <v>4050</v>
      </c>
      <c r="E8" s="24">
        <f>IFERROR(INDEX(Reference!$HI$2:$HI$1000, MATCH(Builder!G6&amp;"|"&amp;"bedside_services", Reference!$HA$2:$HA$1000, 0)), 0)</f>
        <v>5090</v>
      </c>
      <c r="F8" s="23">
        <f>IFERROR(INDEX(Reference!$HJ$2:$HJ$1000, MATCH(Builder!G6&amp;"|"&amp;"bedside_services", Reference!$HA$2:$HA$1000, 0)), 0)</f>
        <v>6150</v>
      </c>
      <c r="G8" s="25">
        <f>C8-D8</f>
        <v>1150</v>
      </c>
      <c r="H8" s="25">
        <f>C8-E8</f>
        <v>110</v>
      </c>
      <c r="I8" s="25">
        <f>C8-F8</f>
        <v>-950</v>
      </c>
      <c r="J8" s="26" t="str">
        <f>IF(AND(OR(C8&lt;D8,C8&gt;F8),ABS(H8)&gt;MAX(5000,0.2*MAX(E8,1))),"Material Gap",IF(C8&lt;D8,"Below Range",IF(C8&gt;F8,"Above Range","Within Range")))</f>
        <v>Within Range</v>
      </c>
    </row>
    <row r="9" ht="15" customHeight="1" spans="1:10" x14ac:dyDescent="0.25">
      <c r="A9" s="14" t="s">
        <v>147</v>
      </c>
      <c r="B9" s="22" t="str">
        <f>Builder!G5</f>
        <v>Cash</v>
      </c>
      <c r="C9" s="25">
        <f>'Estimate Summary'!B17</f>
        <v>189805.03625</v>
      </c>
      <c r="D9" s="23">
        <f>IFERROR(INDEX(Reference!$HH$2:$HH$1000, MATCH(Builder!G5&amp;"|"&amp;"pharmacy_total", Reference!$HA$2:$HA$1000, 0)), 0)</f>
        <v>182949.105</v>
      </c>
      <c r="E9" s="24">
        <f>IFERROR(INDEX(Reference!$HI$2:$HI$1000, MATCH(Builder!G5&amp;"|"&amp;"pharmacy_total", Reference!$HA$2:$HA$1000, 0)), 0)</f>
        <v>189217.605</v>
      </c>
      <c r="F9" s="23">
        <f>IFERROR(INDEX(Reference!$HJ$2:$HJ$1000, MATCH(Builder!G5&amp;"|"&amp;"pharmacy_total", Reference!$HA$2:$HA$1000, 0)), 0)</f>
        <v>231144.7325</v>
      </c>
      <c r="G9" s="25">
        <f>C9-D9</f>
        <v>6855.93124999999</v>
      </c>
      <c r="H9" s="25">
        <f>C9-E9</f>
        <v>587.431249999994</v>
      </c>
      <c r="I9" s="25">
        <f>C9-F9</f>
        <v>-41339.69625</v>
      </c>
      <c r="J9" s="26" t="str">
        <f>IF(AND(OR(C9&lt;D9,C9&gt;F9),ABS(H9)&gt;MAX(5000,0.2*MAX(E9,1))),"Material Gap",IF(C9&lt;D9,"Below Range",IF(C9&gt;F9,"Above Range","Within Range")))</f>
        <v>Within Range</v>
      </c>
    </row>
    <row r="10" ht="15" customHeight="1" spans="1:10" x14ac:dyDescent="0.25">
      <c r="A10" s="14" t="s">
        <v>145</v>
      </c>
      <c r="B10" s="22" t="str">
        <f>Builder!G5</f>
        <v>Cash</v>
      </c>
      <c r="C10" s="25">
        <f>IF(Builder!B4="General",SUMIF('Line Item Detail'!$A$2:$A$73,"IP Drugs &amp; Medications",'Line Item Detail'!$W$2:$W$73),IF(Builder!B4="Twin",SUMIF('Line Item Detail'!$A$2:$A$73,"IP Drugs &amp; Medications",'Line Item Detail'!$X$2:$X$73),SUMIF('Line Item Detail'!$A$2:$A$73,"IP Drugs &amp; Medications",'Line Item Detail'!$Y$2:$Y$73)))</f>
        <v>8565.95625</v>
      </c>
      <c r="D10" s="23">
        <f>IFERROR(INDEX(Reference!$HH$2:$HH$1000, MATCH(Builder!G5&amp;"|"&amp;"ip_drugs", Reference!$HA$2:$HA$1000, 0)), 0)</f>
        <v>7802.505</v>
      </c>
      <c r="E10" s="24">
        <f>IFERROR(INDEX(Reference!$HI$2:$HI$1000, MATCH(Builder!G5&amp;"|"&amp;"ip_drugs", Reference!$HA$2:$HA$1000, 0)), 0)</f>
        <v>9060.435</v>
      </c>
      <c r="F10" s="23">
        <f>IFERROR(INDEX(Reference!$HJ$2:$HJ$1000, MATCH(Builder!G5&amp;"|"&amp;"ip_drugs", Reference!$HA$2:$HA$1000, 0)), 0)</f>
        <v>10629.0975</v>
      </c>
      <c r="G10" s="25">
        <f>C10-D10</f>
        <v>763.45125</v>
      </c>
      <c r="H10" s="25">
        <f>C10-E10</f>
        <v>-494.47875</v>
      </c>
      <c r="I10" s="25">
        <f>C10-F10</f>
        <v>-2063.14125</v>
      </c>
      <c r="J10" s="26" t="str">
        <f>IF(AND(OR(C10&lt;D10,C10&gt;F10),ABS(H10)&gt;MAX(5000,0.2*MAX(E10,1))),"Material Gap",IF(C10&lt;D10,"Below Range",IF(C10&gt;F10,"Above Range","Within Range")))</f>
        <v>Within Range</v>
      </c>
    </row>
    <row r="11" ht="15" customHeight="1" spans="1:10" x14ac:dyDescent="0.25">
      <c r="A11" s="14" t="s">
        <v>89</v>
      </c>
      <c r="B11" s="22" t="str">
        <f>Builder!G5</f>
        <v>Cash</v>
      </c>
      <c r="C11" s="25">
        <f>IF(Builder!G10&lt;=0,0,(IF(Builder!B4="General",SUMIF('Line Item Detail'!$A$2:$A$73,"IP Drugs &amp; Medications",'Line Item Detail'!$W$2:$W$73),IF(Builder!B4="Twin",SUMIF('Line Item Detail'!$A$2:$A$73,"IP Drugs &amp; Medications",'Line Item Detail'!$X$2:$X$73),SUMIF('Line Item Detail'!$A$2:$A$73,"IP Drugs &amp; Medications",'Line Item Detail'!$Y$2:$Y$73))))/Builder!G10)</f>
        <v>2855.31875</v>
      </c>
      <c r="D11" s="23">
        <f>IFERROR(INDEX(Reference!$HH$2:$HH$1000, MATCH(Builder!G5&amp;"|"&amp;"ip_drugs_per_day", Reference!$HA$2:$HA$1000, 0)), 0)</f>
        <v>2380.9425</v>
      </c>
      <c r="E11" s="24">
        <f>IFERROR(INDEX(Reference!$HI$2:$HI$1000, MATCH(Builder!G5&amp;"|"&amp;"ip_drugs_per_day", Reference!$HA$2:$HA$1000, 0)), 0)</f>
        <v>2855.32</v>
      </c>
      <c r="F11" s="23">
        <f>IFERROR(INDEX(Reference!$HJ$2:$HJ$1000, MATCH(Builder!G5&amp;"|"&amp;"ip_drugs_per_day", Reference!$HA$2:$HA$1000, 0)), 0)</f>
        <v>3198.2575</v>
      </c>
      <c r="G11" s="25">
        <f>C11-D11</f>
        <v>474.37625</v>
      </c>
      <c r="H11" s="25">
        <f>C11-E11</f>
        <v>-0.00125000000025466</v>
      </c>
      <c r="I11" s="25">
        <f>C11-F11</f>
        <v>-342.93875</v>
      </c>
      <c r="J11" s="26" t="str">
        <f>IF(AND(OR(C11&lt;D11,C11&gt;F11),ABS(H11)&gt;MAX(5000,0.2*MAX(E11,1))),"Material Gap",IF(C11&lt;D11,"Below Range",IF(C11&gt;F11,"Above Range","Within Range")))</f>
        <v>Within Range</v>
      </c>
    </row>
    <row r="12" ht="15" customHeight="1" spans="1:10" x14ac:dyDescent="0.25">
      <c r="A12" s="14" t="s">
        <v>146</v>
      </c>
      <c r="B12" s="22" t="str">
        <f>Builder!G5</f>
        <v>Cash</v>
      </c>
      <c r="C12" s="25">
        <f>IF(Builder!B4="General",SUMIF('Line Item Detail'!$A$2:$A$73,"IP Consumables",'Line Item Detail'!$W$2:$W$73),IF(Builder!B4="Twin",SUMIF('Line Item Detail'!$A$2:$A$73,"IP Consumables",'Line Item Detail'!$X$2:$X$73),SUMIF('Line Item Detail'!$A$2:$A$73,"IP Consumables",'Line Item Detail'!$Y$2:$Y$73)))</f>
        <v>10286.485</v>
      </c>
      <c r="D12" s="23">
        <f>IFERROR(INDEX(Reference!$HH$2:$HH$1000, MATCH(Builder!G5&amp;"|"&amp;"ip_consumables", Reference!$HA$2:$HA$1000, 0)), 0)</f>
        <v>9677.2125</v>
      </c>
      <c r="E12" s="24">
        <f>IFERROR(INDEX(Reference!$HI$2:$HI$1000, MATCH(Builder!G5&amp;"|"&amp;"ip_consumables", Reference!$HA$2:$HA$1000, 0)), 0)</f>
        <v>10711.305</v>
      </c>
      <c r="F12" s="23">
        <f>IFERROR(INDEX(Reference!$HJ$2:$HJ$1000, MATCH(Builder!G5&amp;"|"&amp;"ip_consumables", Reference!$HA$2:$HA$1000, 0)), 0)</f>
        <v>11936.6175</v>
      </c>
      <c r="G12" s="25">
        <f>C12-D12</f>
        <v>609.272499999997</v>
      </c>
      <c r="H12" s="25">
        <f>C12-E12</f>
        <v>-424.820000000002</v>
      </c>
      <c r="I12" s="25">
        <f>C12-F12</f>
        <v>-1650.1325</v>
      </c>
      <c r="J12" s="26" t="str">
        <f>IF(AND(OR(C12&lt;D12,C12&gt;F12),ABS(H12)&gt;MAX(5000,0.2*MAX(E12,1))),"Material Gap",IF(C12&lt;D12,"Below Range",IF(C12&gt;F12,"Above Range","Within Range")))</f>
        <v>Within Range</v>
      </c>
    </row>
    <row r="13" ht="15" customHeight="1" spans="1:10" x14ac:dyDescent="0.25">
      <c r="A13" s="14" t="s">
        <v>92</v>
      </c>
      <c r="B13" s="22" t="str">
        <f>Builder!G5</f>
        <v>Cash</v>
      </c>
      <c r="C13" s="25">
        <f>IF(Builder!G10&lt;=0,0,(IF(Builder!B4="General",SUMIF('Line Item Detail'!$A$2:$A$73,"IP Consumables",'Line Item Detail'!$W$2:$W$73),IF(Builder!B4="Twin",SUMIF('Line Item Detail'!$A$2:$A$73,"IP Consumables",'Line Item Detail'!$X$2:$X$73),SUMIF('Line Item Detail'!$A$2:$A$73,"IP Consumables",'Line Item Detail'!$Y$2:$Y$73))))/Builder!G10)</f>
        <v>3428.82833333333</v>
      </c>
      <c r="D13" s="23">
        <f>IFERROR(INDEX(Reference!$HH$2:$HH$1000, MATCH(Builder!G5&amp;"|"&amp;"ip_consumables_per_day", Reference!$HA$2:$HA$1000, 0)), 0)</f>
        <v>3059.7975</v>
      </c>
      <c r="E13" s="24">
        <f>IFERROR(INDEX(Reference!$HI$2:$HI$1000, MATCH(Builder!G5&amp;"|"&amp;"ip_consumables_per_day", Reference!$HA$2:$HA$1000, 0)), 0)</f>
        <v>3428.83</v>
      </c>
      <c r="F13" s="23">
        <f>IFERROR(INDEX(Reference!$HJ$2:$HJ$1000, MATCH(Builder!G5&amp;"|"&amp;"ip_consumables_per_day", Reference!$HA$2:$HA$1000, 0)), 0)</f>
        <v>3617.7125</v>
      </c>
      <c r="G13" s="25">
        <f>C13-D13</f>
        <v>369.030833333333</v>
      </c>
      <c r="H13" s="25">
        <f>C13-E13</f>
        <v>-0.00166666666700621</v>
      </c>
      <c r="I13" s="25">
        <f>C13-F13</f>
        <v>-188.884166666667</v>
      </c>
      <c r="J13" s="26" t="str">
        <f>IF(AND(OR(C13&lt;D13,C13&gt;F13),ABS(H13)&gt;MAX(5000,0.2*MAX(E13,1))),"Material Gap",IF(C13&lt;D13,"Below Range",IF(C13&gt;F13,"Above Range","Within Range")))</f>
        <v>Within Range</v>
      </c>
    </row>
    <row r="14" ht="15" customHeight="1" spans="1:10" x14ac:dyDescent="0.25">
      <c r="A14" s="14" t="s">
        <v>95</v>
      </c>
      <c r="B14" s="22" t="str">
        <f>Builder!G5</f>
        <v>Cash</v>
      </c>
      <c r="C14" s="25">
        <f>IF(Builder!B4="General",SUMIF('Line Item Detail'!$A$2:$A$73,"OT Drugs &amp; Medications",'Line Item Detail'!$W$2:$W$73),IF(Builder!B4="Twin",SUMIF('Line Item Detail'!$A$2:$A$73,"OT Drugs &amp; Medications",'Line Item Detail'!$X$2:$X$73),SUMIF('Line Item Detail'!$A$2:$A$73,"OT Drugs &amp; Medications",'Line Item Detail'!$Y$2:$Y$73)))</f>
        <v>9439.535</v>
      </c>
      <c r="D14" s="23">
        <f>IFERROR(INDEX(Reference!$HH$2:$HH$1000, MATCH(Builder!G5&amp;"|"&amp;"ot_drugs", Reference!$HA$2:$HA$1000, 0)), 0)</f>
        <v>8468.8525</v>
      </c>
      <c r="E14" s="24">
        <f>IFERROR(INDEX(Reference!$HI$2:$HI$1000, MATCH(Builder!G5&amp;"|"&amp;"ot_drugs", Reference!$HA$2:$HA$1000, 0)), 0)</f>
        <v>9439.535</v>
      </c>
      <c r="F14" s="23">
        <f>IFERROR(INDEX(Reference!$HJ$2:$HJ$1000, MATCH(Builder!G5&amp;"|"&amp;"ot_drugs", Reference!$HA$2:$HA$1000, 0)), 0)</f>
        <v>11143.7</v>
      </c>
      <c r="G14" s="25">
        <f>C14-D14</f>
        <v>970.682500000001</v>
      </c>
      <c r="H14" s="25">
        <f>C14-E14</f>
        <v>0</v>
      </c>
      <c r="I14" s="25">
        <f>C14-F14</f>
        <v>-1704.165</v>
      </c>
      <c r="J14" s="26" t="str">
        <f>IF(AND(OR(C14&lt;D14,C14&gt;F14),ABS(H14)&gt;MAX(5000,0.2*MAX(E14,1))),"Material Gap",IF(C14&lt;D14,"Below Range",IF(C14&gt;F14,"Above Range","Within Range")))</f>
        <v>Within Range</v>
      </c>
    </row>
    <row r="15" ht="15" customHeight="1" spans="1:10" x14ac:dyDescent="0.25">
      <c r="A15" s="14" t="s">
        <v>98</v>
      </c>
      <c r="B15" s="22" t="str">
        <f>Builder!G5</f>
        <v>Cash</v>
      </c>
      <c r="C15" s="25">
        <f>IF(Builder!B4="General",SUMIF('Line Item Detail'!$A$2:$A$73,"OT Consumables",'Line Item Detail'!$W$2:$W$73),IF(Builder!B4="Twin",SUMIF('Line Item Detail'!$A$2:$A$73,"OT Consumables",'Line Item Detail'!$X$2:$X$73),SUMIF('Line Item Detail'!$A$2:$A$73,"OT Consumables",'Line Item Detail'!$Y$2:$Y$73)))</f>
        <v>72382.9</v>
      </c>
      <c r="D15" s="23">
        <f>IFERROR(INDEX(Reference!$HH$2:$HH$1000, MATCH(Builder!G5&amp;"|"&amp;"ot_consumables", Reference!$HA$2:$HA$1000, 0)), 0)</f>
        <v>66040.54</v>
      </c>
      <c r="E15" s="24">
        <f>IFERROR(INDEX(Reference!$HI$2:$HI$1000, MATCH(Builder!G5&amp;"|"&amp;"ot_consumables", Reference!$HA$2:$HA$1000, 0)), 0)</f>
        <v>72382.9</v>
      </c>
      <c r="F15" s="23">
        <f>IFERROR(INDEX(Reference!$HJ$2:$HJ$1000, MATCH(Builder!G5&amp;"|"&amp;"ot_consumables", Reference!$HA$2:$HA$1000, 0)), 0)</f>
        <v>107563.63</v>
      </c>
      <c r="G15" s="25">
        <f>C15-D15</f>
        <v>6342.36</v>
      </c>
      <c r="H15" s="25">
        <f>C15-E15</f>
        <v>0</v>
      </c>
      <c r="I15" s="25">
        <f>C15-F15</f>
        <v>-35180.73</v>
      </c>
      <c r="J15" s="26" t="str">
        <f>IF(AND(OR(C15&lt;D15,C15&gt;F15),ABS(H15)&gt;MAX(5000,0.2*MAX(E15,1))),"Material Gap",IF(C15&lt;D15,"Below Range",IF(C15&gt;F15,"Above Range","Within Range")))</f>
        <v>Within Range</v>
      </c>
    </row>
    <row r="16" ht="15" customHeight="1" spans="1:10" x14ac:dyDescent="0.25">
      <c r="A16" s="14" t="s">
        <v>101</v>
      </c>
      <c r="B16" s="22" t="str">
        <f>Builder!G5</f>
        <v>Cash</v>
      </c>
      <c r="C16" s="25">
        <f>IF(Builder!B4="General",SUMIF('Line Item Detail'!$A$2:$A$73,"Implants",'Line Item Detail'!$W$2:$W$73),IF(Builder!B4="Twin",SUMIF('Line Item Detail'!$A$2:$A$73,"Implants",'Line Item Detail'!$X$2:$X$73),SUMIF('Line Item Detail'!$A$2:$A$73,"Implants",'Line Item Detail'!$Y$2:$Y$73)))</f>
        <v>89130.16</v>
      </c>
      <c r="D16" s="23">
        <f>IFERROR(INDEX(Reference!$HH$2:$HH$1000, MATCH(Builder!G5&amp;"|"&amp;"implants", Reference!$HA$2:$HA$1000, 0)), 0)</f>
        <v>89130.0775</v>
      </c>
      <c r="E16" s="24">
        <f>IFERROR(INDEX(Reference!$HI$2:$HI$1000, MATCH(Builder!G5&amp;"|"&amp;"implants", Reference!$HA$2:$HA$1000, 0)), 0)</f>
        <v>89130.16</v>
      </c>
      <c r="F16" s="23">
        <f>IFERROR(INDEX(Reference!$HJ$2:$HJ$1000, MATCH(Builder!G5&amp;"|"&amp;"implants", Reference!$HA$2:$HA$1000, 0)), 0)</f>
        <v>98838.05</v>
      </c>
      <c r="G16" s="25">
        <f>C16-D16</f>
        <v>0.0824999999895226</v>
      </c>
      <c r="H16" s="25">
        <f>C16-E16</f>
        <v>0</v>
      </c>
      <c r="I16" s="25">
        <f>C16-F16</f>
        <v>-9707.89</v>
      </c>
      <c r="J16" s="26" t="str">
        <f>IF(AND(OR(C16&lt;D16,C16&gt;F16),ABS(H16)&gt;MAX(5000,0.2*MAX(E16,1))),"Material Gap",IF(C16&lt;D16,"Below Range",IF(C16&gt;F16,"Above Range","Within Range")))</f>
        <v>Within Range</v>
      </c>
    </row>
    <row r="17" ht="15" customHeight="1" spans="1:10" x14ac:dyDescent="0.25">
      <c r="A17" s="14" t="s">
        <v>96</v>
      </c>
      <c r="B17" s="22" t="str">
        <f>Builder!G5</f>
        <v>Cash</v>
      </c>
      <c r="C17" s="25">
        <f>'Estimate Summary'!B18</f>
        <v>23725.62953125</v>
      </c>
      <c r="D17" s="23">
        <f>IFERROR(INDEX(Reference!$HH$2:$HH$1000, MATCH(Builder!G5&amp;"|"&amp;"drug_administration_charges", Reference!$HA$2:$HA$1000, 0)), 0)</f>
        <v>22868.6375</v>
      </c>
      <c r="E17" s="24">
        <f>IFERROR(INDEX(Reference!$HI$2:$HI$1000, MATCH(Builder!G5&amp;"|"&amp;"drug_administration_charges", Reference!$HA$2:$HA$1000, 0)), 0)</f>
        <v>23652.2</v>
      </c>
      <c r="F17" s="23">
        <f>IFERROR(INDEX(Reference!$HJ$2:$HJ$1000, MATCH(Builder!G5&amp;"|"&amp;"drug_administration_charges", Reference!$HA$2:$HA$1000, 0)), 0)</f>
        <v>28893.0925</v>
      </c>
      <c r="G17" s="25">
        <f>C17-D17</f>
        <v>856.99203125</v>
      </c>
      <c r="H17" s="25">
        <f>C17-E17</f>
        <v>73.4295312499999</v>
      </c>
      <c r="I17" s="25">
        <f>C17-F17</f>
        <v>-5167.46296875</v>
      </c>
      <c r="J17" s="26" t="str">
        <f>IF(AND(OR(C17&lt;D17,C17&gt;F17),ABS(H17)&gt;MAX(5000,0.2*MAX(E17,1))),"Material Gap",IF(C17&lt;D17,"Below Range",IF(C17&gt;F17,"Above Range","Within Range")))</f>
        <v>Within Range</v>
      </c>
    </row>
    <row r="18" ht="15" customHeight="1" spans="1:10" x14ac:dyDescent="0.25">
      <c r="A18" s="14" t="s">
        <v>163</v>
      </c>
      <c r="B18" s="22" t="str">
        <f>Builder!G7</f>
        <v>Cash</v>
      </c>
      <c r="C18" s="25">
        <f>'Estimate Summary'!B19</f>
        <v>160001.39967626953</v>
      </c>
      <c r="D18" s="23">
        <f>IFERROR(INDEX(Reference!$HH$2:$HH$1000, MATCH(Builder!G7&amp;"|"&amp;"professional_fees", Reference!$HA$2:$HA$1000, 0)), 0)</f>
        <v>96442</v>
      </c>
      <c r="E18" s="24">
        <f>IFERROR(INDEX(Reference!$HI$2:$HI$1000, MATCH(Builder!G7&amp;"|"&amp;"professional_fees", Reference!$HA$2:$HA$1000, 0)), 0)</f>
        <v>98192</v>
      </c>
      <c r="F18" s="23">
        <f>IFERROR(INDEX(Reference!$HJ$2:$HJ$1000, MATCH(Builder!G7&amp;"|"&amp;"professional_fees", Reference!$HA$2:$HA$1000, 0)), 0)</f>
        <v>99817</v>
      </c>
      <c r="G18" s="25">
        <f>C18-D18</f>
        <v>63559.3996762695</v>
      </c>
      <c r="H18" s="25">
        <f>C18-E18</f>
        <v>61809.3996762695</v>
      </c>
      <c r="I18" s="25">
        <f>C18-F18</f>
        <v>60184.3996762695</v>
      </c>
      <c r="J18" s="26" t="str">
        <f>IF(AND(OR(C18&lt;D18,C18&gt;F18),ABS(H18)&gt;MAX(5000,0.2*MAX(E18,1))),"Material Gap",IF(C18&lt;D18,"Below Range",IF(C18&gt;F18,"Above Range","Within Range")))</f>
        <v>Material Gap</v>
      </c>
    </row>
    <row r="19" ht="26.85" customHeight="1" spans="1:10" x14ac:dyDescent="0.25">
      <c r="A19" s="14" t="s">
        <v>105</v>
      </c>
      <c r="B19" s="22" t="str">
        <f>Builder!G7</f>
        <v>Cash</v>
      </c>
      <c r="C19" s="25">
        <f>'Estimate Summary'!B22</f>
        <v>98192</v>
      </c>
      <c r="D19" s="23">
        <f>IFERROR(INDEX(Reference!$FE$2:$FE$500, MATCH(Builder!G7, Reference!$FC$2:$FC$500, 0)), 0)</f>
        <v>96442</v>
      </c>
      <c r="E19" s="24">
        <f>IFERROR(INDEX(Reference!$FF$2:$FF$500, MATCH(Builder!G7, Reference!$FC$2:$FC$500, 0)), 0)</f>
        <v>98192</v>
      </c>
      <c r="F19" s="23">
        <f>IFERROR(INDEX(Reference!$FG$2:$FG$500, MATCH(Builder!G7, Reference!$FC$2:$FC$500, 0)), 0)</f>
        <v>99817</v>
      </c>
      <c r="G19" s="25">
        <f>C19-D19</f>
        <v>1750</v>
      </c>
      <c r="H19" s="25">
        <f>C19-E19</f>
        <v>0</v>
      </c>
      <c r="I19" s="25">
        <f>C19-F19</f>
        <v>-1625</v>
      </c>
      <c r="J19" s="26" t="str">
        <f>IF(AND(OR(C19&lt;D19,C19&gt;F19),ABS(H19)&gt;MAX(5000,0.2*MAX(E19,1))),"Material Gap",IF(C19&lt;D19,"Below Range",IF(C19&gt;F19,"Above Range","Within Range")))</f>
        <v>Within Range</v>
      </c>
    </row>
    <row r="20" ht="15" customHeight="1" spans="1:10" x14ac:dyDescent="0.25">
      <c r="A20" s="14" t="s">
        <v>164</v>
      </c>
      <c r="B20" s="22" t="str">
        <f>IF(AND(Builder!G5=Builder!G6,Builder!G6=Builder!G7),Builder!G6,"Component Mix")</f>
        <v>Cash</v>
      </c>
      <c r="C20" s="25">
        <f>'Estimate Summary'!B21</f>
        <v>597612.0654575195</v>
      </c>
      <c r="D20" s="23">
        <f>IF(AND(Builder!G5=Builder!G6,Builder!G6=Builder!G7),IFERROR(INDEX(Reference!$HH$2:$HH$1000, MATCH(Builder!G6&amp;"|"&amp;"total_amount_excluding_food_and_beverage_and_returns_plus_drug_admin", Reference!$HA$2:$HA$1000, 0)), 0),(IFERROR(INDEX(Reference!$HH$2:$HH$1000, MATCH(Builder!G6&amp;"|"&amp;"room_charges", Reference!$HA$2:$HA$1000, 0)), 0) + IFERROR(INDEX(Reference!$HH$2:$HH$1000, MATCH(Builder!G6&amp;"|"&amp;"investigations", Reference!$HA$2:$HA$1000, 0)), 0) + IFERROR(INDEX(Reference!$HH$2:$HH$1000, MATCH(Builder!G6&amp;"|"&amp;"procedure_ot_charges", Reference!$HA$2:$HA$1000, 0)), 0) + IFERROR(INDEX(Reference!$HH$2:$HH$1000, MATCH(Builder!G6&amp;"|"&amp;"bedside_services", Reference!$HA$2:$HA$1000, 0)), 0) + IFERROR(INDEX(Reference!$HH$2:$HH$1000, MATCH(Builder!G5&amp;"|"&amp;"pharmacy_total", Reference!$HA$2:$HA$1000, 0)), 0) + IFERROR(INDEX(Reference!$HH$2:$HH$1000, MATCH(Builder!G5&amp;"|"&amp;"drug_administration_charges", Reference!$HA$2:$HA$1000, 0)), 0) + IFERROR(INDEX(Reference!$HH$2:$HH$1000, MATCH(Builder!G7&amp;"|"&amp;"professional_fees", Reference!$HA$2:$HA$1000, 0)), 0)))</f>
        <v>520489.6525</v>
      </c>
      <c r="E20" s="24">
        <f>IF(AND(Builder!G5=Builder!G6,Builder!G6=Builder!G7),IFERROR(INDEX(Reference!$HI$2:$HI$1000, MATCH(Builder!G6&amp;"|"&amp;"total_amount_excluding_food_and_beverage_and_returns_plus_drug_admin", Reference!$HA$2:$HA$1000, 0)), 0),(IFERROR(INDEX(Reference!$HI$2:$HI$1000, MATCH(Builder!G6&amp;"|"&amp;"room_charges", Reference!$HA$2:$HA$1000, 0)), 0) + IFERROR(INDEX(Reference!$HI$2:$HI$1000, MATCH(Builder!G6&amp;"|"&amp;"investigations", Reference!$HA$2:$HA$1000, 0)), 0) + IFERROR(INDEX(Reference!$HI$2:$HI$1000, MATCH(Builder!G6&amp;"|"&amp;"procedure_ot_charges", Reference!$HA$2:$HA$1000, 0)), 0) + IFERROR(INDEX(Reference!$HI$2:$HI$1000, MATCH(Builder!G6&amp;"|"&amp;"bedside_services", Reference!$HA$2:$HA$1000, 0)), 0) + IFERROR(INDEX(Reference!$HI$2:$HI$1000, MATCH(Builder!G5&amp;"|"&amp;"pharmacy_total", Reference!$HA$2:$HA$1000, 0)), 0) + IFERROR(INDEX(Reference!$HI$2:$HI$1000, MATCH(Builder!G5&amp;"|"&amp;"drug_administration_charges", Reference!$HA$2:$HA$1000, 0)), 0) + IFERROR(INDEX(Reference!$HI$2:$HI$1000, MATCH(Builder!G7&amp;"|"&amp;"professional_fees", Reference!$HA$2:$HA$1000, 0)), 0)))</f>
        <v>539491.34</v>
      </c>
      <c r="F20" s="23">
        <f>IF(AND(Builder!G5=Builder!G6,Builder!G6=Builder!G7),IFERROR(INDEX(Reference!$HJ$2:$HJ$1000, MATCH(Builder!G6&amp;"|"&amp;"total_amount_excluding_food_and_beverage_and_returns_plus_drug_admin", Reference!$HA$2:$HA$1000, 0)), 0),(IFERROR(INDEX(Reference!$HJ$2:$HJ$1000, MATCH(Builder!G6&amp;"|"&amp;"room_charges", Reference!$HA$2:$HA$1000, 0)), 0) + IFERROR(INDEX(Reference!$HJ$2:$HJ$1000, MATCH(Builder!G6&amp;"|"&amp;"investigations", Reference!$HA$2:$HA$1000, 0)), 0) + IFERROR(INDEX(Reference!$HJ$2:$HJ$1000, MATCH(Builder!G6&amp;"|"&amp;"procedure_ot_charges", Reference!$HA$2:$HA$1000, 0)), 0) + IFERROR(INDEX(Reference!$HJ$2:$HJ$1000, MATCH(Builder!G6&amp;"|"&amp;"bedside_services", Reference!$HA$2:$HA$1000, 0)), 0) + IFERROR(INDEX(Reference!$HJ$2:$HJ$1000, MATCH(Builder!G5&amp;"|"&amp;"pharmacy_total", Reference!$HA$2:$HA$1000, 0)), 0) + IFERROR(INDEX(Reference!$HJ$2:$HJ$1000, MATCH(Builder!G5&amp;"|"&amp;"drug_administration_charges", Reference!$HA$2:$HA$1000, 0)), 0) + IFERROR(INDEX(Reference!$HJ$2:$HJ$1000, MATCH(Builder!G7&amp;"|"&amp;"professional_fees", Reference!$HA$2:$HA$1000, 0)), 0)))</f>
        <v>596680.1275</v>
      </c>
      <c r="G20" s="25">
        <f>C20-D20</f>
        <v>77122.4129575195</v>
      </c>
      <c r="H20" s="25">
        <f>C20-E20</f>
        <v>58120.7254575194</v>
      </c>
      <c r="I20" s="25">
        <f>C20-F20</f>
        <v>931.937957519549</v>
      </c>
      <c r="J20" s="26" t="str">
        <f>IF(AND(OR(C20&lt;D20,C20&gt;F20),ABS(H20)&gt;MAX(5000,0.2*MAX(E20,1))),"Material Gap",IF(C20&lt;D20,"Below Range",IF(C20&gt;F20,"Above Range","Within Range")))</f>
        <v>Above Range</v>
      </c>
    </row>
    <row r="21" ht="15" customHeight="1" spans="1:10" x14ac:dyDescent="0.25">
      <c r="A21" s="14" t="s">
        <v>106</v>
      </c>
      <c r="B21" s="22" t="str">
        <f>IF(AND(Builder!G5=Builder!G6,Builder!G6=Builder!G7),Builder!G6,"Component Mix + Historic PF")</f>
        <v>Cash</v>
      </c>
      <c r="C21" s="25">
        <f>'Estimate Summary'!B23</f>
        <v>535802.66578125</v>
      </c>
      <c r="D21" s="23">
        <f>(IFERROR(INDEX(Reference!$HH$2:$HH$1000, MATCH(Builder!G6&amp;"|"&amp;"room_charges", Reference!$HA$2:$HA$1000, 0)), 0) + IFERROR(INDEX(Reference!$HH$2:$HH$1000, MATCH(Builder!G6&amp;"|"&amp;"investigations", Reference!$HA$2:$HA$1000, 0)), 0) + IFERROR(INDEX(Reference!$HH$2:$HH$1000, MATCH(Builder!G6&amp;"|"&amp;"procedure_ot_charges", Reference!$HA$2:$HA$1000, 0)), 0) + IFERROR(INDEX(Reference!$HH$2:$HH$1000, MATCH(Builder!G6&amp;"|"&amp;"bedside_services", Reference!$HA$2:$HA$1000, 0)), 0) + IFERROR(INDEX(Reference!$HH$2:$HH$1000, MATCH(Builder!G5&amp;"|"&amp;"pharmacy_total", Reference!$HA$2:$HA$1000, 0)), 0) + IFERROR(INDEX(Reference!$HH$2:$HH$1000, MATCH(Builder!G5&amp;"|"&amp;"drug_administration_charges", Reference!$HA$2:$HA$1000, 0)), 0) + IFERROR(INDEX(Reference!$FE$2:$FE$500, MATCH(Builder!G7, Reference!$FC$2:$FC$500, 0)), 0))</f>
        <v>512127.2425</v>
      </c>
      <c r="E21" s="24">
        <f>(IFERROR(INDEX(Reference!$HI$2:$HI$1000, MATCH(Builder!G6&amp;"|"&amp;"room_charges", Reference!$HA$2:$HA$1000, 0)), 0) + IFERROR(INDEX(Reference!$HI$2:$HI$1000, MATCH(Builder!G6&amp;"|"&amp;"investigations", Reference!$HA$2:$HA$1000, 0)), 0) + IFERROR(INDEX(Reference!$HI$2:$HI$1000, MATCH(Builder!G6&amp;"|"&amp;"procedure_ot_charges", Reference!$HA$2:$HA$1000, 0)), 0) + IFERROR(INDEX(Reference!$HI$2:$HI$1000, MATCH(Builder!G6&amp;"|"&amp;"bedside_services", Reference!$HA$2:$HA$1000, 0)), 0) + IFERROR(INDEX(Reference!$HI$2:$HI$1000, MATCH(Builder!G5&amp;"|"&amp;"pharmacy_total", Reference!$HA$2:$HA$1000, 0)), 0) + IFERROR(INDEX(Reference!$HI$2:$HI$1000, MATCH(Builder!G5&amp;"|"&amp;"drug_administration_charges", Reference!$HA$2:$HA$1000, 0)), 0) + IFERROR(INDEX(Reference!$FF$2:$FF$500, MATCH(Builder!G7, Reference!$FC$2:$FC$500, 0)), 0))</f>
        <v>535675.805</v>
      </c>
      <c r="F21" s="23">
        <f>(IFERROR(INDEX(Reference!$HJ$2:$HJ$1000, MATCH(Builder!G6&amp;"|"&amp;"room_charges", Reference!$HA$2:$HA$1000, 0)), 0) + IFERROR(INDEX(Reference!$HJ$2:$HJ$1000, MATCH(Builder!G6&amp;"|"&amp;"investigations", Reference!$HA$2:$HA$1000, 0)), 0) + IFERROR(INDEX(Reference!$HJ$2:$HJ$1000, MATCH(Builder!G6&amp;"|"&amp;"procedure_ot_charges", Reference!$HA$2:$HA$1000, 0)), 0) + IFERROR(INDEX(Reference!$HJ$2:$HJ$1000, MATCH(Builder!G6&amp;"|"&amp;"bedside_services", Reference!$HA$2:$HA$1000, 0)), 0) + IFERROR(INDEX(Reference!$HJ$2:$HJ$1000, MATCH(Builder!G5&amp;"|"&amp;"pharmacy_total", Reference!$HA$2:$HA$1000, 0)), 0) + IFERROR(INDEX(Reference!$HJ$2:$HJ$1000, MATCH(Builder!G5&amp;"|"&amp;"drug_administration_charges", Reference!$HA$2:$HA$1000, 0)), 0) + IFERROR(INDEX(Reference!$FG$2:$FG$500, MATCH(Builder!G7, Reference!$FC$2:$FC$500, 0)), 0))</f>
        <v>598598.325</v>
      </c>
      <c r="G21" s="25">
        <f>C21-D21</f>
        <v>23675.42328125</v>
      </c>
      <c r="H21" s="25">
        <f>C21-E21</f>
        <v>126.860781250056</v>
      </c>
      <c r="I21" s="25">
        <f>C21-F21</f>
        <v>-62795.6592187501</v>
      </c>
      <c r="J21" s="26" t="str">
        <f>IF(AND(OR(C21&lt;D21,C21&gt;F21),ABS(H21)&gt;MAX(5000,0.2*MAX(E21,1))),"Material Gap",IF(C21&lt;D21,"Below Range",IF(C21&gt;F21,"Above Range","Within Range")))</f>
        <v>Within Range</v>
      </c>
    </row>
    <row r="24" ht="15" customHeight="1" spans="1:7" x14ac:dyDescent="0.25">
      <c r="A24" s="18" t="s">
        <v>28</v>
      </c>
      <c r="B24" s="18" t="s">
        <v>140</v>
      </c>
      <c r="C24" s="18" t="s">
        <v>165</v>
      </c>
      <c r="D24" s="18" t="s">
        <v>156</v>
      </c>
      <c r="E24" s="18" t="s">
        <v>157</v>
      </c>
      <c r="F24" s="18" t="s">
        <v>158</v>
      </c>
      <c r="G24" s="18" t="s">
        <v>162</v>
      </c>
    </row>
    <row r="25" ht="15" customHeight="1" spans="1:7" x14ac:dyDescent="0.25">
      <c r="A25" s="2" t="s">
        <v>35</v>
      </c>
      <c r="B25" s="2" t="str">
        <f>Builder!G6</f>
        <v>Cash</v>
      </c>
      <c r="C25" s="20">
        <f>Builder!G10</f>
        <v>3</v>
      </c>
      <c r="D25" s="20">
        <f>IFERROR(INDEX(Reference!$HH$2:$HH$1000, MATCH(Builder!G6&amp;"|"&amp;"los_days", Reference!$HA$2:$HA$1000, 0)), 0)</f>
        <v>3</v>
      </c>
      <c r="E25" s="20">
        <f>IFERROR(INDEX(Reference!$HI$2:$HI$1000, MATCH(Builder!G6&amp;"|"&amp;"los_days", Reference!$HA$2:$HA$1000, 0)), 0)</f>
        <v>3</v>
      </c>
      <c r="F25" s="20">
        <f>IFERROR(INDEX(Reference!$HJ$2:$HJ$1000, MATCH(Builder!G6&amp;"|"&amp;"los_days", Reference!$HA$2:$HA$1000, 0)), 0)</f>
        <v>3.75</v>
      </c>
      <c r="G25" s="2" t="str">
        <f>IF(C25&lt;D25,"Below Range",IF(C25&gt;F25,"Above Range","Within Range"))</f>
        <v>Within Range</v>
      </c>
    </row>
    <row r="26" ht="15" customHeight="1" spans="1:7" x14ac:dyDescent="0.25">
      <c r="A26" s="2" t="s">
        <v>37</v>
      </c>
      <c r="B26" s="2" t="str">
        <f>Builder!G6</f>
        <v>Cash</v>
      </c>
      <c r="C26" s="20">
        <f>Builder!G11</f>
        <v>2</v>
      </c>
      <c r="D26" s="20">
        <f>IFERROR(INDEX(Reference!$HH$2:$HH$1000, MATCH(Builder!G6&amp;"|"&amp;"icu_days", Reference!$HA$2:$HA$1000, 0)), 0)</f>
        <v>2</v>
      </c>
      <c r="E26" s="20">
        <f>IFERROR(INDEX(Reference!$HI$2:$HI$1000, MATCH(Builder!G6&amp;"|"&amp;"icu_days", Reference!$HA$2:$HA$1000, 0)), 0)</f>
        <v>2</v>
      </c>
      <c r="F26" s="20">
        <f>IFERROR(INDEX(Reference!$HJ$2:$HJ$1000, MATCH(Builder!G6&amp;"|"&amp;"icu_days", Reference!$HA$2:$HA$1000, 0)), 0)</f>
        <v>3</v>
      </c>
      <c r="G26" s="2" t="str">
        <f>IF(C26&lt;D26,"Below Range",IF(C26&gt;F26,"Above Range","Within Range"))</f>
        <v>Within Range</v>
      </c>
    </row>
    <row r="27" ht="15" customHeight="1" spans="1:7" x14ac:dyDescent="0.25">
      <c r="A27" s="2" t="s">
        <v>38</v>
      </c>
      <c r="B27" s="2" t="str">
        <f>Builder!G6</f>
        <v>Cash</v>
      </c>
      <c r="C27" s="20">
        <f>Builder!G12</f>
        <v>1</v>
      </c>
      <c r="D27" s="20">
        <f>IFERROR(INDEX(Reference!$HH$2:$HH$1000, MATCH(Builder!G6&amp;"|"&amp;"ward_days", Reference!$HA$2:$HA$1000, 0)), 0)</f>
        <v>0.25</v>
      </c>
      <c r="E27" s="20">
        <f>IFERROR(INDEX(Reference!$HI$2:$HI$1000, MATCH(Builder!G6&amp;"|"&amp;"ward_days", Reference!$HA$2:$HA$1000, 0)), 0)</f>
        <v>1</v>
      </c>
      <c r="F27" s="20">
        <f>IFERROR(INDEX(Reference!$HJ$2:$HJ$1000, MATCH(Builder!G6&amp;"|"&amp;"ward_days", Reference!$HA$2:$HA$1000, 0)), 0)</f>
        <v>1.75</v>
      </c>
      <c r="G27" s="2" t="str">
        <f>IF(C27&lt;D27,"Below Range",IF(C27&gt;F27,"Above Range","Within Range"))</f>
        <v>Within Range</v>
      </c>
    </row>
    <row r="28" ht="15" customHeight="1" spans="1:7" x14ac:dyDescent="0.25">
      <c r="A28" s="2" t="s">
        <v>39</v>
      </c>
      <c r="B28" s="2" t="str">
        <f>Builder!G6</f>
        <v>Cash</v>
      </c>
      <c r="C28" s="20">
        <f>Builder!G13</f>
        <v>3</v>
      </c>
      <c r="D28" s="20">
        <f>IFERROR(INDEX(Reference!$HH$2:$HH$1000, MATCH(Builder!G6&amp;"|"&amp;"ot_hours", Reference!$HA$2:$HA$1000, 0)), 0)</f>
        <v>2.5</v>
      </c>
      <c r="E28" s="20">
        <f>IFERROR(INDEX(Reference!$HI$2:$HI$1000, MATCH(Builder!G6&amp;"|"&amp;"ot_hours", Reference!$HA$2:$HA$1000, 0)), 0)</f>
        <v>3</v>
      </c>
      <c r="F28" s="20">
        <f>IFERROR(INDEX(Reference!$HJ$2:$HJ$1000, MATCH(Builder!G6&amp;"|"&amp;"ot_hours", Reference!$HA$2:$HA$1000, 0)), 0)</f>
        <v>3</v>
      </c>
      <c r="G28" s="2" t="str">
        <f>IF(C28&lt;D28,"Below Range",IF(C28&gt;F28,"Above Range","Within Range"))</f>
        <v>Within Range</v>
      </c>
    </row>
    <row r="31" ht="15" customHeight="1" spans="1:8" x14ac:dyDescent="0.25">
      <c r="A31" s="18" t="s">
        <v>166</v>
      </c>
      <c r="B31" s="18" t="s">
        <v>167</v>
      </c>
      <c r="C31" s="18" t="s">
        <v>168</v>
      </c>
      <c r="D31" s="18" t="s">
        <v>82</v>
      </c>
      <c r="E31" s="18" t="s">
        <v>83</v>
      </c>
      <c r="F31" s="18" t="s">
        <v>84</v>
      </c>
      <c r="G31" s="18" t="s">
        <v>85</v>
      </c>
      <c r="H31" s="18" t="s">
        <v>169</v>
      </c>
    </row>
    <row r="32" ht="64.9" customHeight="1" spans="1:8" x14ac:dyDescent="0.25">
      <c r="A32" s="14" t="s">
        <v>170</v>
      </c>
      <c r="B32" s="22" t="str">
        <f>Builder!G6</f>
        <v>Cash</v>
      </c>
      <c r="C32" s="8">
        <f>IFERROR(INDEX(Reference!$BA$2:$BA$500, MATCH(Builder!G6, Reference!$AZ$2:$AZ$500, 0)), 0)</f>
        <v>26</v>
      </c>
      <c r="D32" s="8">
        <f>IFERROR(INDEX(Reference!$BB$2:$BB$500, MATCH(Builder!G6, Reference!$AZ$2:$AZ$500, 0)), 0)</f>
        <v>26</v>
      </c>
      <c r="E32" s="8">
        <f>IFERROR(INDEX(Reference!$BC$2:$BC$500, MATCH(Builder!G6, Reference!$AZ$2:$AZ$500, 0)), 0)</f>
        <v>0</v>
      </c>
      <c r="F32" s="8">
        <f>IFERROR(INDEX(Reference!$BD$2:$BD$500, MATCH(Builder!G6, Reference!$AZ$2:$AZ$500, 0)), 0)</f>
        <v>0</v>
      </c>
      <c r="G32" s="8">
        <f>IFERROR(INDEX(Reference!$BE$2:$BE$500, MATCH(Builder!G6, Reference!$AZ$2:$AZ$500, 0)), 0)</f>
        <v>0</v>
      </c>
      <c r="H32" s="14" t="s">
        <v>171</v>
      </c>
    </row>
    <row r="33" ht="77.6" customHeight="1" spans="1:8" x14ac:dyDescent="0.25">
      <c r="A33" s="14" t="s">
        <v>172</v>
      </c>
      <c r="B33" s="22" t="str">
        <f>Builder!G5</f>
        <v>Cash</v>
      </c>
      <c r="C33" s="8">
        <f>IFERROR(INDEX(Reference!$BA$2:$BA$500, MATCH(Builder!G5, Reference!$AZ$2:$AZ$500, 0)), 0)</f>
        <v>26</v>
      </c>
      <c r="D33" s="8">
        <f>IFERROR(INDEX(Reference!$BB$2:$BB$500, MATCH(Builder!G5, Reference!$AZ$2:$AZ$500, 0)), 0)</f>
        <v>26</v>
      </c>
      <c r="E33" s="8">
        <f>IFERROR(INDEX(Reference!$BC$2:$BC$500, MATCH(Builder!G5, Reference!$AZ$2:$AZ$500, 0)), 0)</f>
        <v>0</v>
      </c>
      <c r="F33" s="8">
        <f>IFERROR(INDEX(Reference!$BD$2:$BD$500, MATCH(Builder!G5, Reference!$AZ$2:$AZ$500, 0)), 0)</f>
        <v>0</v>
      </c>
      <c r="G33" s="8">
        <f>IFERROR(INDEX(Reference!$BE$2:$BE$500, MATCH(Builder!G5, Reference!$AZ$2:$AZ$500, 0)), 0)</f>
        <v>0</v>
      </c>
      <c r="H33" s="14" t="s">
        <v>173</v>
      </c>
    </row>
    <row r="34" ht="64.9" customHeight="1" spans="1:8" x14ac:dyDescent="0.25">
      <c r="A34" s="14" t="s">
        <v>174</v>
      </c>
      <c r="B34" s="22" t="str">
        <f>Builder!G7</f>
        <v>Cash</v>
      </c>
      <c r="C34" s="27">
        <f>IFERROR(INDEX(Reference!$BA$2:$BA$500, MATCH(Builder!G7, Reference!$AZ$2:$AZ$500, 0)), 0)</f>
        <v>26</v>
      </c>
      <c r="D34" s="27">
        <f>IFERROR(INDEX(Reference!$BB$2:$BB$500, MATCH(Builder!G7, Reference!$AZ$2:$AZ$500, 0)), 0)</f>
        <v>26</v>
      </c>
      <c r="E34" s="27">
        <f>IFERROR(INDEX(Reference!$BC$2:$BC$500, MATCH(Builder!G7, Reference!$AZ$2:$AZ$500, 0)), 0)</f>
        <v>0</v>
      </c>
      <c r="F34" s="27">
        <f>IFERROR(INDEX(Reference!$BD$2:$BD$500, MATCH(Builder!G7, Reference!$AZ$2:$AZ$500, 0)), 0)</f>
        <v>0</v>
      </c>
      <c r="G34" s="8">
        <f>IFERROR(INDEX(Reference!$BE$2:$BE$500, MATCH(Builder!G7, Reference!$AZ$2:$AZ$500, 0)), 0)</f>
        <v>0</v>
      </c>
      <c r="H34" s="14" t="s">
        <v>175</v>
      </c>
    </row>
    <row r="37" ht="15" customHeight="1" spans="1:10" x14ac:dyDescent="0.25">
      <c r="A37" s="5" t="s">
        <v>141</v>
      </c>
      <c r="B37" s="5"/>
      <c r="C37" s="5"/>
      <c r="D37" s="5"/>
      <c r="E37" s="5"/>
      <c r="F37" s="5"/>
      <c r="G37" s="5"/>
      <c r="H37" s="5"/>
      <c r="I37" s="5"/>
      <c r="J37" s="5"/>
    </row>
    <row r="38" ht="90.25" customHeight="1" spans="1:10" x14ac:dyDescent="0.25">
      <c r="A38" s="14" t="s">
        <v>176</v>
      </c>
      <c r="B38" s="14"/>
      <c r="C38" s="14"/>
      <c r="D38" s="14"/>
      <c r="E38" s="14"/>
      <c r="F38" s="14"/>
      <c r="G38" s="14"/>
      <c r="H38" s="14"/>
      <c r="I38" s="14"/>
      <c r="J38" s="14"/>
    </row>
    <row r="39" ht="102.95" customHeight="1" spans="1:10" x14ac:dyDescent="0.25">
      <c r="A39" s="14" t="s">
        <v>177</v>
      </c>
      <c r="B39" s="14"/>
      <c r="C39" s="14"/>
      <c r="D39" s="14"/>
      <c r="E39" s="14"/>
      <c r="F39" s="14"/>
      <c r="G39" s="14"/>
      <c r="H39" s="14"/>
      <c r="I39" s="14"/>
      <c r="J39" s="14"/>
    </row>
    <row r="40" ht="102.95" customHeight="1" spans="1:10" x14ac:dyDescent="0.25">
      <c r="A40" s="14" t="s">
        <v>178</v>
      </c>
      <c r="B40" s="14"/>
      <c r="C40" s="14"/>
      <c r="D40" s="14"/>
      <c r="E40" s="14"/>
      <c r="F40" s="14"/>
      <c r="G40" s="14"/>
      <c r="H40" s="14"/>
      <c r="I40" s="14"/>
      <c r="J40" s="14"/>
    </row>
    <row r="41" ht="64.9" customHeight="1" spans="1:10" x14ac:dyDescent="0.25">
      <c r="A41" s="14" t="s">
        <v>179</v>
      </c>
      <c r="B41" s="14"/>
      <c r="C41" s="14"/>
      <c r="D41" s="14"/>
      <c r="E41" s="14"/>
      <c r="F41" s="14"/>
      <c r="G41" s="14"/>
      <c r="H41" s="14"/>
      <c r="I41" s="14"/>
      <c r="J41" s="14"/>
    </row>
    <row r="42" ht="64.9" customHeight="1" spans="1:10" x14ac:dyDescent="0.25">
      <c r="A42" s="14" t="s">
        <v>180</v>
      </c>
      <c r="B42" s="14"/>
      <c r="C42" s="14"/>
      <c r="D42" s="14"/>
      <c r="E42" s="14"/>
      <c r="F42" s="14"/>
      <c r="G42" s="14"/>
      <c r="H42" s="14"/>
      <c r="I42" s="14"/>
      <c r="J42" s="14"/>
    </row>
    <row r="43" ht="77.6" customHeight="1" spans="1:10" x14ac:dyDescent="0.25">
      <c r="A43" s="14" t="s">
        <v>181</v>
      </c>
      <c r="B43" s="14"/>
      <c r="C43" s="14"/>
      <c r="D43" s="14"/>
      <c r="E43" s="14"/>
      <c r="F43" s="14"/>
      <c r="G43" s="14"/>
      <c r="H43" s="14"/>
      <c r="I43" s="14"/>
      <c r="J43" s="14"/>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showGridLines="0" zoomScale="100"/>
  </sheetViews>
  <sheetFormatPr defaultRowHeight="15" outlineLevelRow="0" outlineLevelCol="0" x14ac:dyDescent="55"/>
  <cols>
    <col min="1" max="1" width="40" customWidth="1"/>
    <col min="2" max="2" width="12" customWidth="1"/>
    <col min="4" max="4" width="14" customWidth="1"/>
    <col min="6" max="6" width="18" customWidth="1"/>
    <col min="7" max="7" width="14" customWidth="1"/>
  </cols>
  <sheetData>
    <row r="1" ht="15" customHeight="1" spans="1:8" x14ac:dyDescent="0.25">
      <c r="A1" s="1" t="s">
        <v>182</v>
      </c>
      <c r="B1" s="1"/>
      <c r="C1" s="1"/>
      <c r="D1" s="1"/>
      <c r="E1" s="1"/>
      <c r="F1" s="1"/>
      <c r="G1" s="1"/>
      <c r="H1" s="1"/>
    </row>
    <row r="2" ht="52.2" customHeight="1" spans="1:8" x14ac:dyDescent="0.25">
      <c r="A2" s="14" t="s">
        <v>183</v>
      </c>
      <c r="B2" s="14"/>
      <c r="C2" s="14"/>
      <c r="D2" s="14"/>
      <c r="E2" s="14"/>
      <c r="F2" s="14"/>
      <c r="G2" s="14"/>
      <c r="H2" s="14"/>
    </row>
    <row r="3" ht="102.95" customHeight="1" spans="1:8" x14ac:dyDescent="0.25">
      <c r="A3" s="14" t="s">
        <v>184</v>
      </c>
      <c r="B3" s="14"/>
      <c r="C3" s="14"/>
      <c r="D3" s="14"/>
      <c r="E3" s="14"/>
      <c r="F3" s="14"/>
      <c r="G3" s="14"/>
      <c r="H3" s="14"/>
    </row>
    <row r="4" ht="15" customHeight="1" spans="1:4" x14ac:dyDescent="0.25">
      <c r="A4" s="28" t="s">
        <v>185</v>
      </c>
      <c r="B4" s="28" t="s">
        <v>29</v>
      </c>
      <c r="C4" s="28" t="s">
        <v>30</v>
      </c>
      <c r="D4" s="28" t="s">
        <v>31</v>
      </c>
    </row>
    <row r="5" ht="15" customHeight="1" spans="1:4" x14ac:dyDescent="0.25">
      <c r="A5" s="16"/>
      <c r="B5" s="17">
        <f>IFERROR(INDEX(Reference!$CD$2:$CD$500, MATCH(Builder!G5, Reference!$AZ$2:$AZ$500, 0)), 0)</f>
        <v>66040.54</v>
      </c>
      <c r="C5" s="17">
        <f>IFERROR(INDEX(Reference!$CE$2:$CE$500, MATCH(Builder!G5, Reference!$AZ$2:$AZ$500, 0)), 0)</f>
        <v>72382.9</v>
      </c>
      <c r="D5" s="17">
        <f>IFERROR(INDEX(Reference!$CF$2:$CF$500, MATCH(Builder!G5, Reference!$AZ$2:$AZ$500, 0)), 0)</f>
        <v>107563.63</v>
      </c>
    </row>
    <row r="6" ht="15" customHeight="1" spans="1:4" x14ac:dyDescent="0.25">
      <c r="A6" s="28" t="s">
        <v>186</v>
      </c>
      <c r="B6" s="29" t="s">
        <v>187</v>
      </c>
      <c r="C6" s="30">
        <f>IF(COUNTIF(H8:H17,"Include")=0,C5,IF(IFERROR(SUMIF(H8:H17,"Include",F8:F17)/SUM(F8:F17),0)&lt;=0.3,B5,IF(IFERROR(SUMIF(H8:H17,"Include",F8:F17)/SUM(F8:F17),0)&lt;=0.5,C5,D5)))</f>
        <v>72382.9</v>
      </c>
      <c r="D6" s="30"/>
    </row>
    <row r="7" ht="26.85" customHeight="1" spans="1:8" x14ac:dyDescent="0.25">
      <c r="A7" s="31" t="s">
        <v>188</v>
      </c>
      <c r="B7" s="31" t="s">
        <v>189</v>
      </c>
      <c r="C7" s="31" t="s">
        <v>190</v>
      </c>
      <c r="D7" s="31" t="s">
        <v>191</v>
      </c>
      <c r="E7" s="31" t="s">
        <v>192</v>
      </c>
      <c r="F7" s="31" t="s">
        <v>193</v>
      </c>
      <c r="G7" s="31" t="s">
        <v>194</v>
      </c>
      <c r="H7" s="31" t="s">
        <v>165</v>
      </c>
    </row>
    <row r="8" ht="26.85" customHeight="1" spans="1:8" x14ac:dyDescent="0.25">
      <c r="A8" s="14" t="s">
        <v>195</v>
      </c>
      <c r="B8" s="32">
        <f>IFERROR(INDEX(Reference!$DO$2:$DO$6000, MATCH(Builder!G5&amp;"|"&amp;A8, Reference!$DR$2:$DR$6000, 0)), 2)</f>
        <v>2</v>
      </c>
      <c r="C8" s="32">
        <f>IF(B8&gt;0,D8/B8,0)</f>
        <v>26625</v>
      </c>
      <c r="D8" s="32">
        <f>IFERROR(INDEX(Reference!$DP$2:$DP$6000, MATCH(Builder!G5&amp;"|"&amp;A8, Reference!$DR$2:$DR$6000, 0)), 53250)</f>
        <v>53250</v>
      </c>
      <c r="E8" s="32">
        <f>IFERROR(INDEX(Reference!$DL$2:$DL$6000, MATCH(Builder!G5&amp;"|"&amp;A8, Reference!$DR$2:$DR$6000, 0)), 38.46)</f>
        <v>38.46153846153847</v>
      </c>
      <c r="F8" s="32">
        <f>E8*B8*C8/100</f>
        <v>20479.95</v>
      </c>
      <c r="G8" s="33">
        <f>F8/SUM($F$8:$F$17)</f>
        <v>0.285957341668451</v>
      </c>
      <c r="H8" s="34" t="s">
        <v>196</v>
      </c>
    </row>
    <row r="9" ht="15" customHeight="1" spans="1:8" x14ac:dyDescent="0.25">
      <c r="A9" s="14" t="s">
        <v>197</v>
      </c>
      <c r="B9" s="32">
        <f>IFERROR(INDEX(Reference!$DO$2:$DO$6000, MATCH(Builder!G5&amp;"|"&amp;A9, Reference!$DR$2:$DR$6000, 0)), 1)</f>
        <v>1</v>
      </c>
      <c r="C9" s="32">
        <f>IF(B9&gt;0,D9/B9,0)</f>
        <v>21618.59</v>
      </c>
      <c r="D9" s="32">
        <f>IFERROR(INDEX(Reference!$DP$2:$DP$6000, MATCH(Builder!G5&amp;"|"&amp;A9, Reference!$DR$2:$DR$6000, 0)), 21618.59)</f>
        <v>21618.59</v>
      </c>
      <c r="E9" s="32">
        <f>IFERROR(INDEX(Reference!$DL$2:$DL$6000, MATCH(Builder!G5&amp;"|"&amp;A9, Reference!$DR$2:$DR$6000, 0)), 61.54)</f>
        <v>61.53846153846154</v>
      </c>
      <c r="F9" s="32">
        <f>E9*B9*C9/100</f>
        <v>13304.080286</v>
      </c>
      <c r="G9" s="33">
        <f>G8+F9/SUM($F$8:$F$17)</f>
        <v>0.47171948620143106</v>
      </c>
      <c r="H9" s="34" t="s">
        <v>196</v>
      </c>
    </row>
    <row r="10" ht="15" customHeight="1" spans="1:8" x14ac:dyDescent="0.25">
      <c r="A10" s="14" t="s">
        <v>198</v>
      </c>
      <c r="B10" s="32">
        <f>IFERROR(INDEX(Reference!$DO$2:$DO$6000, MATCH(Builder!G5&amp;"|"&amp;A10, Reference!$DR$2:$DR$6000, 0)), 1)</f>
        <v>1</v>
      </c>
      <c r="C10" s="32">
        <f>IF(B10&gt;0,D10/B10,0)</f>
        <v>28040</v>
      </c>
      <c r="D10" s="32">
        <f>IFERROR(INDEX(Reference!$DP$2:$DP$6000, MATCH(Builder!G5&amp;"|"&amp;A10, Reference!$DR$2:$DR$6000, 0)), 28040)</f>
        <v>28040</v>
      </c>
      <c r="E10" s="32">
        <f>IFERROR(INDEX(Reference!$DL$2:$DL$6000, MATCH(Builder!G5&amp;"|"&amp;A10, Reference!$DR$2:$DR$6000, 0)), 23.08)</f>
        <v>23.076923076923077</v>
      </c>
      <c r="F10" s="32">
        <f>E10*B10*C10/100</f>
        <v>6471.632</v>
      </c>
      <c r="G10" s="33">
        <f>G9+F10/SUM($F$8:$F$17)</f>
        <v>0.5620815565666654</v>
      </c>
      <c r="H10" s="34" t="s">
        <v>196</v>
      </c>
    </row>
    <row r="11" ht="15" customHeight="1" spans="1:8" x14ac:dyDescent="0.25">
      <c r="A11" s="14" t="s">
        <v>199</v>
      </c>
      <c r="B11" s="32">
        <f>IFERROR(INDEX(Reference!$DO$2:$DO$6000, MATCH(Builder!G5&amp;"|"&amp;A11, Reference!$DR$2:$DR$6000, 0)), 1)</f>
        <v>1</v>
      </c>
      <c r="C11" s="32">
        <f>IF(B11&gt;0,D11/B11,0)</f>
        <v>28040</v>
      </c>
      <c r="D11" s="32">
        <f>IFERROR(INDEX(Reference!$DP$2:$DP$6000, MATCH(Builder!G5&amp;"|"&amp;A11, Reference!$DR$2:$DR$6000, 0)), 28040)</f>
        <v>28040</v>
      </c>
      <c r="E11" s="32">
        <f>IFERROR(INDEX(Reference!$DL$2:$DL$6000, MATCH(Builder!G5&amp;"|"&amp;A11, Reference!$DR$2:$DR$6000, 0)), 15.38)</f>
        <v>15.384615384615385</v>
      </c>
      <c r="F11" s="32">
        <f>E11*B11*C11/100</f>
        <v>4312.552</v>
      </c>
      <c r="G11" s="33">
        <f>G10+F11/SUM($F$8:$F$17)</f>
        <v>0.6222968356921985</v>
      </c>
      <c r="H11" s="34" t="s">
        <v>196</v>
      </c>
    </row>
    <row r="12" ht="26.85" customHeight="1" spans="1:8" x14ac:dyDescent="0.25">
      <c r="A12" s="14" t="s">
        <v>200</v>
      </c>
      <c r="B12" s="32">
        <f>IFERROR(INDEX(Reference!$DO$2:$DO$6000, MATCH(Builder!G5&amp;"|"&amp;A12, Reference!$DR$2:$DR$6000, 0)), 1)</f>
        <v>1</v>
      </c>
      <c r="C12" s="32">
        <f>IF(B12&gt;0,D12/B12,0)</f>
        <v>30093</v>
      </c>
      <c r="D12" s="32">
        <f>IFERROR(INDEX(Reference!$DP$2:$DP$6000, MATCH(Builder!G5&amp;"|"&amp;A12, Reference!$DR$2:$DR$6000, 0)), 30093)</f>
        <v>30093</v>
      </c>
      <c r="E12" s="32">
        <f>IFERROR(INDEX(Reference!$DL$2:$DL$6000, MATCH(Builder!G5&amp;"|"&amp;A12, Reference!$DR$2:$DR$6000, 0)), 11.54)</f>
        <v>11.538461538461538</v>
      </c>
      <c r="F12" s="32">
        <f>E12*B12*C12/100</f>
        <v>3472.7322</v>
      </c>
      <c r="G12" s="33">
        <f>G11+F12/SUM($F$8:$F$17)</f>
        <v>0.6707858831868668</v>
      </c>
      <c r="H12" s="34" t="s">
        <v>196</v>
      </c>
    </row>
    <row r="13" ht="26.85" customHeight="1" spans="1:8" x14ac:dyDescent="0.25">
      <c r="A13" s="14" t="s">
        <v>201</v>
      </c>
      <c r="B13" s="32">
        <f>IFERROR(INDEX(Reference!$DO$2:$DO$6000, MATCH(Builder!G5&amp;"|"&amp;A13, Reference!$DR$2:$DR$6000, 0)), 3)</f>
        <v>3</v>
      </c>
      <c r="C13" s="32">
        <f>IF(B13&gt;0,D13/B13,0)</f>
        <v>3526</v>
      </c>
      <c r="D13" s="32">
        <f>IFERROR(INDEX(Reference!$DP$2:$DP$6000, MATCH(Builder!G5&amp;"|"&amp;A13, Reference!$DR$2:$DR$6000, 0)), 10578)</f>
        <v>10578</v>
      </c>
      <c r="E13" s="32">
        <f>IFERROR(INDEX(Reference!$DL$2:$DL$6000, MATCH(Builder!G5&amp;"|"&amp;A13, Reference!$DR$2:$DR$6000, 0)), 26.92)</f>
        <v>26.923076923076923</v>
      </c>
      <c r="F13" s="32">
        <f>E13*B13*C13/100</f>
        <v>2847.5976</v>
      </c>
      <c r="G13" s="33">
        <f>G12+F13/SUM($F$8:$F$17)</f>
        <v>0.7105463044690213</v>
      </c>
      <c r="H13" s="34" t="s">
        <v>196</v>
      </c>
    </row>
    <row r="14" ht="15" customHeight="1" spans="1:8" x14ac:dyDescent="0.25">
      <c r="A14" s="14" t="s">
        <v>202</v>
      </c>
      <c r="B14" s="32">
        <f>IFERROR(INDEX(Reference!$DO$2:$DO$6000, MATCH(Builder!G5&amp;"|"&amp;A14, Reference!$DR$2:$DR$6000, 0)), 1)</f>
        <v>1</v>
      </c>
      <c r="C14" s="32">
        <f>IF(B14&gt;0,D14/B14,0)</f>
        <v>3760</v>
      </c>
      <c r="D14" s="32">
        <f>IFERROR(INDEX(Reference!$DP$2:$DP$6000, MATCH(Builder!G5&amp;"|"&amp;A14, Reference!$DR$2:$DR$6000, 0)), 3760)</f>
        <v>3760</v>
      </c>
      <c r="E14" s="32">
        <f>IFERROR(INDEX(Reference!$DL$2:$DL$6000, MATCH(Builder!G5&amp;"|"&amp;A14, Reference!$DR$2:$DR$6000, 0)), 61.54)</f>
        <v>61.53846153846154</v>
      </c>
      <c r="F14" s="32">
        <f>E14*B14*C14/100</f>
        <v>2313.904</v>
      </c>
      <c r="G14" s="33">
        <f>G13+F14/SUM($F$8:$F$17)</f>
        <v>0.742854871468257</v>
      </c>
      <c r="H14" s="34" t="s">
        <v>196</v>
      </c>
    </row>
    <row r="15" ht="15" customHeight="1" spans="1:8" x14ac:dyDescent="0.25">
      <c r="A15" s="14" t="s">
        <v>203</v>
      </c>
      <c r="B15" s="32">
        <f>IFERROR(INDEX(Reference!$DO$2:$DO$6000, MATCH(Builder!G5&amp;"|"&amp;A15, Reference!$DR$2:$DR$6000, 0)), 3)</f>
        <v>3</v>
      </c>
      <c r="C15" s="32">
        <f>IF(B15&gt;0,D15/B15,0)</f>
        <v>3333.3333333333335</v>
      </c>
      <c r="D15" s="32">
        <f>IFERROR(INDEX(Reference!$DP$2:$DP$6000, MATCH(Builder!G5&amp;"|"&amp;A15, Reference!$DR$2:$DR$6000, 0)), 9999.99)</f>
        <v>10000</v>
      </c>
      <c r="E15" s="32">
        <f>IFERROR(INDEX(Reference!$DL$2:$DL$6000, MATCH(Builder!G5&amp;"|"&amp;A15, Reference!$DR$2:$DR$6000, 0)), 15.38)</f>
        <v>15.384615384615385</v>
      </c>
      <c r="F15" s="32">
        <f>E15*B15*C15/100</f>
        <v>1538</v>
      </c>
      <c r="G15" s="33">
        <f>G14+F15/SUM($F$8:$F$17)</f>
        <v>0.7643296500436968</v>
      </c>
      <c r="H15" s="34" t="s">
        <v>196</v>
      </c>
    </row>
    <row r="16" ht="15" customHeight="1" spans="1:8" x14ac:dyDescent="0.25">
      <c r="A16" s="14" t="s">
        <v>204</v>
      </c>
      <c r="B16" s="32">
        <f>IFERROR(INDEX(Reference!$DO$2:$DO$6000, MATCH(Builder!G5&amp;"|"&amp;A16, Reference!$DR$2:$DR$6000, 0)), 1)</f>
        <v>1</v>
      </c>
      <c r="C16" s="32">
        <f>IF(B16&gt;0,D16/B16,0)</f>
        <v>4218.6</v>
      </c>
      <c r="D16" s="32">
        <f>IFERROR(INDEX(Reference!$DP$2:$DP$6000, MATCH(Builder!G5&amp;"|"&amp;A16, Reference!$DR$2:$DR$6000, 0)), 4218.6)</f>
        <v>4218.6</v>
      </c>
      <c r="E16" s="32">
        <f>IFERROR(INDEX(Reference!$DL$2:$DL$6000, MATCH(Builder!G5&amp;"|"&amp;A16, Reference!$DR$2:$DR$6000, 0)), 26.92)</f>
        <v>26.923076923076923</v>
      </c>
      <c r="F16" s="32">
        <f>E16*B16*C16/100</f>
        <v>1135.64712</v>
      </c>
      <c r="G16" s="33">
        <f>G15+F16/SUM($F$8:$F$17)</f>
        <v>0.7801864578732389</v>
      </c>
      <c r="H16" s="34" t="s">
        <v>196</v>
      </c>
    </row>
    <row r="17" ht="26.85" customHeight="1" spans="1:8" x14ac:dyDescent="0.25">
      <c r="A17" s="14" t="s">
        <v>205</v>
      </c>
      <c r="B17" s="32">
        <f>IFERROR(INDEX(Reference!$DO$2:$DO$6000, MATCH(Builder!G5&amp;"|"&amp;A17, Reference!$DR$2:$DR$6000, 0)), 1)</f>
        <v>1</v>
      </c>
      <c r="C17" s="32">
        <f>IF(B17&gt;0,D17/B17,0)</f>
        <v>27280</v>
      </c>
      <c r="D17" s="32">
        <f>IFERROR(INDEX(Reference!$DP$2:$DP$6000, MATCH(Builder!G5&amp;"|"&amp;A17, Reference!$DR$2:$DR$6000, 0)), 27280)</f>
        <v>27280</v>
      </c>
      <c r="E17" s="32">
        <f>IFERROR(INDEX(Reference!$DL$2:$DL$6000, MATCH(Builder!G5&amp;"|"&amp;A17, Reference!$DR$2:$DR$6000, 0)), 3.85)</f>
        <v>3.8461538461538463</v>
      </c>
      <c r="F17" s="32">
        <f>E17*B17*C17/100</f>
        <v>1050.28</v>
      </c>
      <c r="G17" s="33">
        <f>G16+F17/SUM($F$8:$F$17)</f>
        <v>0.7948513021139495</v>
      </c>
      <c r="H17" s="34" t="s">
        <v>196</v>
      </c>
    </row>
  </sheetData>
  <dataValidations count="2">
    <dataValidation type="list" sqref="H10:H17">
      <formula1>"Include,Exclude"</formula1>
    </dataValidation>
    <dataValidation type="list" sqref="H8:H17">
      <formula1>"Include,Exclude"</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3"/>
  <sheetViews>
    <sheetView workbookViewId="0" showGridLines="0" zoomScale="100"/>
  </sheetViews>
  <sheetFormatPr defaultRowHeight="15" outlineLevelRow="0" outlineLevelCol="0" x14ac:dyDescent="55"/>
  <cols>
    <col min="1" max="1" width="40" customWidth="1"/>
    <col min="2" max="2" width="18" customWidth="1"/>
    <col min="3" max="3" width="12" customWidth="1"/>
    <col min="7" max="7" width="14" customWidth="1"/>
    <col min="9" max="9" width="12" customWidth="1"/>
    <col min="10" max="10" width="14" customWidth="1"/>
    <col min="13" max="13" width="14" hidden="1" customWidth="1"/>
    <col min="15" max="15" width="28" customWidth="1"/>
    <col min="16" max="16" width="16" customWidth="1"/>
  </cols>
  <sheetData>
    <row r="1" ht="15" customHeight="1" spans="1:13" x14ac:dyDescent="0.25">
      <c r="A1" s="1" t="s">
        <v>206</v>
      </c>
      <c r="B1" s="1"/>
      <c r="C1" s="1"/>
      <c r="D1" s="1"/>
      <c r="E1" s="1"/>
      <c r="F1" s="1"/>
      <c r="G1" s="1"/>
      <c r="H1" s="1"/>
      <c r="I1" s="1"/>
      <c r="J1" s="1"/>
      <c r="K1" s="1"/>
      <c r="L1" s="1"/>
      <c r="M1" s="1"/>
    </row>
    <row r="2" ht="77.6" customHeight="1" spans="1:13" x14ac:dyDescent="0.25">
      <c r="A2" s="14" t="s">
        <v>207</v>
      </c>
      <c r="B2" s="14"/>
      <c r="C2" s="14"/>
      <c r="D2" s="14"/>
      <c r="E2" s="14"/>
      <c r="F2" s="14"/>
      <c r="G2" s="14"/>
      <c r="H2" s="14"/>
      <c r="I2" s="14"/>
      <c r="J2" s="14"/>
      <c r="K2" s="14"/>
      <c r="L2" s="14"/>
      <c r="M2" s="14"/>
    </row>
    <row r="4" ht="15" customHeight="1" spans="1:16" x14ac:dyDescent="0.25">
      <c r="A4" s="18" t="s">
        <v>102</v>
      </c>
      <c r="B4" s="18" t="s">
        <v>60</v>
      </c>
      <c r="C4" s="18" t="s">
        <v>15</v>
      </c>
      <c r="D4" s="18" t="s">
        <v>61</v>
      </c>
      <c r="O4" s="5" t="s">
        <v>208</v>
      </c>
      <c r="P4" s="5"/>
    </row>
    <row r="5" ht="15" customHeight="1" spans="1:16" x14ac:dyDescent="0.25">
      <c r="A5" s="16"/>
      <c r="B5" s="16">
        <f>SUMIF(I7:I33,"Include",J7:J33)</f>
        <v>0</v>
      </c>
      <c r="C5" s="16">
        <f>SUMIF(I7:I33,"Include",K7:K33)</f>
        <v>0</v>
      </c>
      <c r="D5" s="16">
        <f>SUMIF(I7:I33,"Include",L7:L33)</f>
        <v>0</v>
      </c>
      <c r="O5" s="35" t="s">
        <v>115</v>
      </c>
      <c r="P5" s="2">
        <f>IFERROR(INDEX(Reference!$BR$2:$BR$500, MATCH(Builder!G6, Reference!$AZ$2:$AZ$500, 0)), 0)</f>
        <v>36.25</v>
      </c>
    </row>
    <row r="6" ht="26.85" customHeight="1" spans="1:16" x14ac:dyDescent="0.25">
      <c r="A6" s="36" t="s">
        <v>209</v>
      </c>
      <c r="B6" s="36" t="s">
        <v>210</v>
      </c>
      <c r="C6" s="36" t="s">
        <v>192</v>
      </c>
      <c r="D6" s="36" t="s">
        <v>211</v>
      </c>
      <c r="E6" s="36" t="s">
        <v>212</v>
      </c>
      <c r="F6" s="36" t="s">
        <v>213</v>
      </c>
      <c r="G6" s="36" t="s">
        <v>214</v>
      </c>
      <c r="H6" s="36" t="s">
        <v>215</v>
      </c>
      <c r="I6" s="36" t="s">
        <v>165</v>
      </c>
      <c r="J6" s="36" t="s">
        <v>216</v>
      </c>
      <c r="K6" s="36" t="s">
        <v>217</v>
      </c>
      <c r="L6" s="36" t="s">
        <v>218</v>
      </c>
      <c r="M6" s="36" t="s">
        <v>219</v>
      </c>
      <c r="O6" s="35" t="s">
        <v>118</v>
      </c>
      <c r="P6" s="2">
        <f>IFERROR(INDEX(Reference!$BS$2:$BS$500, MATCH(Builder!G6, Reference!$AZ$2:$AZ$500, 0)), 0)</f>
        <v>39</v>
      </c>
    </row>
    <row r="7" ht="15" customHeight="1" spans="1:16" x14ac:dyDescent="0.25">
      <c r="A7" s="14" t="s">
        <v>220</v>
      </c>
      <c r="B7" s="14" t="s">
        <v>221</v>
      </c>
      <c r="C7" s="32">
        <f>IFERROR(INDEX(Reference!$CW$2:$CW$4000, MATCH(Builder!G6&amp;"|"&amp;M7, Reference!$CQ$2:$CQ$4000, 0)), 61.54)</f>
        <v>61.53846153846154</v>
      </c>
      <c r="D7" s="32">
        <f>IFERROR(INDEX(Reference!$CX$2:$CX$4000, MATCH(Builder!G6&amp;"|"&amp;M7, Reference!$CQ$2:$CQ$4000, 0)), 1.75)</f>
        <v>1.75</v>
      </c>
      <c r="E7" s="32">
        <f>IFERROR(INDEX(Reference!$CY$2:$CY$4000, MATCH(Builder!G6&amp;"|"&amp;M7, Reference!$CQ$2:$CQ$4000, 0)), 2)</f>
        <v>2</v>
      </c>
      <c r="F7" s="32">
        <f>IFERROR(INDEX(Reference!$CZ$2:$CZ$4000, MATCH(Builder!G6&amp;"|"&amp;M7, Reference!$CQ$2:$CQ$4000, 0)), 2)</f>
        <v>2</v>
      </c>
      <c r="G7" s="32">
        <f>IF(Builder!B4="General",0+IFERROR(INDEX(Reference!$EG$2:$EG$8000, MATCH(Builder!E5&amp;"|"&amp;M7, Reference!$EB$2:$EB$8000, 0)), 0),IF(Builder!B4="Twin",0+IFERROR(INDEX(Reference!$EH$2:$EH$8000, MATCH(Builder!E5&amp;"|"&amp;M7, Reference!$EB$2:$EB$8000, 0)), 0),0+IFERROR(INDEX(Reference!$EI$2:$EI$8000, MATCH(Builder!E5&amp;"|"&amp;M7, Reference!$EB$2:$EB$8000, 0)), 0)))</f>
        <v>2900</v>
      </c>
      <c r="H7" s="37">
        <f>IF(AND(Builder!E2="Insurance / Org Tariff",IFERROR(INDEX(Reference!$EZ$2:$EZ$1000, MATCH(M7, Reference!$EX$2:$EX$1000, 0)), "No")="Yes"),0,E7*G7)</f>
        <v>5800</v>
      </c>
      <c r="I7" s="38" t="s">
        <v>196</v>
      </c>
      <c r="J7" s="39">
        <f>IF(AND(Builder!E2="Insurance / Org Tariff",IFERROR(INDEX(Reference!$EZ$2:$EZ$1000, MATCH(M7, Reference!$EX$2:$EX$1000, 0)), "No")="Yes"),0,D7*G7)</f>
        <v>5075</v>
      </c>
      <c r="K7" s="37">
        <f>IF(AND(Builder!E2="Insurance / Org Tariff",IFERROR(INDEX(Reference!$EZ$2:$EZ$1000, MATCH(M7, Reference!$EX$2:$EX$1000, 0)), "No")="Yes"),0,E7*G7)</f>
        <v>5800</v>
      </c>
      <c r="L7" s="39">
        <f>IF(AND(Builder!E2="Insurance / Org Tariff",IFERROR(INDEX(Reference!$EZ$2:$EZ$1000, MATCH(M7, Reference!$EX$2:$EX$1000, 0)), "No")="Yes"),0,F7*G7)</f>
        <v>5800</v>
      </c>
      <c r="M7" s="40" t="s">
        <v>222</v>
      </c>
      <c r="O7" s="35" t="s">
        <v>122</v>
      </c>
      <c r="P7" s="2">
        <f>IFERROR(INDEX(Reference!$BT$2:$BT$500, MATCH(Builder!G6, Reference!$AZ$2:$AZ$500, 0)), 0)</f>
        <v>41</v>
      </c>
    </row>
    <row r="8" ht="15" customHeight="1" spans="1:16" x14ac:dyDescent="0.25">
      <c r="A8" s="14" t="s">
        <v>223</v>
      </c>
      <c r="B8" s="14" t="s">
        <v>224</v>
      </c>
      <c r="C8" s="32">
        <f>IFERROR(INDEX(Reference!$CW$2:$CW$4000, MATCH(Builder!G6&amp;"|"&amp;M8, Reference!$CQ$2:$CQ$4000, 0)), 38.46)</f>
        <v>38.46153846153847</v>
      </c>
      <c r="D8" s="32">
        <f>IFERROR(INDEX(Reference!$CX$2:$CX$4000, MATCH(Builder!G6&amp;"|"&amp;M8, Reference!$CQ$2:$CQ$4000, 0)), 1)</f>
        <v>1</v>
      </c>
      <c r="E8" s="32">
        <f>IFERROR(INDEX(Reference!$CY$2:$CY$4000, MATCH(Builder!G6&amp;"|"&amp;M8, Reference!$CQ$2:$CQ$4000, 0)), 1)</f>
        <v>1</v>
      </c>
      <c r="F8" s="32">
        <f>IFERROR(INDEX(Reference!$CZ$2:$CZ$4000, MATCH(Builder!G6&amp;"|"&amp;M8, Reference!$CQ$2:$CQ$4000, 0)), 2.75)</f>
        <v>2.75</v>
      </c>
      <c r="G8" s="32">
        <f>IF(Builder!B4="General",0+IFERROR(INDEX(Reference!$EG$2:$EG$8000, MATCH(Builder!E5&amp;"|"&amp;M8, Reference!$EB$2:$EB$8000, 0)), 0),IF(Builder!B4="Twin",0+IFERROR(INDEX(Reference!$EH$2:$EH$8000, MATCH(Builder!E5&amp;"|"&amp;M8, Reference!$EB$2:$EB$8000, 0)), 0),0+IFERROR(INDEX(Reference!$EI$2:$EI$8000, MATCH(Builder!E5&amp;"|"&amp;M8, Reference!$EB$2:$EB$8000, 0)), 0)))</f>
        <v>3260</v>
      </c>
      <c r="H8" s="37">
        <f>IF(AND(Builder!E2="Insurance / Org Tariff",IFERROR(INDEX(Reference!$EZ$2:$EZ$1000, MATCH(M8, Reference!$EX$2:$EX$1000, 0)), "No")="Yes"),0,E8*G8)</f>
        <v>3260</v>
      </c>
      <c r="I8" s="38" t="s">
        <v>196</v>
      </c>
      <c r="J8" s="39">
        <f>IF(AND(Builder!E2="Insurance / Org Tariff",IFERROR(INDEX(Reference!$EZ$2:$EZ$1000, MATCH(M8, Reference!$EX$2:$EX$1000, 0)), "No")="Yes"),0,D8*G8)</f>
        <v>3260</v>
      </c>
      <c r="K8" s="37">
        <f>IF(AND(Builder!E2="Insurance / Org Tariff",IFERROR(INDEX(Reference!$EZ$2:$EZ$1000, MATCH(M8, Reference!$EX$2:$EX$1000, 0)), "No")="Yes"),0,E8*G8)</f>
        <v>3260</v>
      </c>
      <c r="L8" s="39">
        <f>IF(AND(Builder!E2="Insurance / Org Tariff",IFERROR(INDEX(Reference!$EZ$2:$EZ$1000, MATCH(M8, Reference!$EX$2:$EX$1000, 0)), "No")="Yes"),0,F8*G8)</f>
        <v>8965</v>
      </c>
      <c r="M8" s="40" t="s">
        <v>225</v>
      </c>
      <c r="O8" s="35" t="s">
        <v>226</v>
      </c>
      <c r="P8" s="2">
        <f>36 + IF(Builder!B8="Yes",1,0)</f>
        <v>37</v>
      </c>
    </row>
    <row r="9" ht="15" customHeight="1" spans="1:16" x14ac:dyDescent="0.25">
      <c r="A9" s="14" t="s">
        <v>227</v>
      </c>
      <c r="B9" s="14" t="s">
        <v>228</v>
      </c>
      <c r="C9" s="32">
        <f>IFERROR(INDEX(Reference!$CW$2:$CW$4000, MATCH(Builder!G6&amp;"|"&amp;M9, Reference!$CQ$2:$CQ$4000, 0)), 57.69)</f>
        <v>57.692307692307686</v>
      </c>
      <c r="D9" s="32">
        <f>IFERROR(INDEX(Reference!$CX$2:$CX$4000, MATCH(Builder!G6&amp;"|"&amp;M9, Reference!$CQ$2:$CQ$4000, 0)), 5)</f>
        <v>5</v>
      </c>
      <c r="E9" s="32">
        <f>IFERROR(INDEX(Reference!$CY$2:$CY$4000, MATCH(Builder!G6&amp;"|"&amp;M9, Reference!$CQ$2:$CQ$4000, 0)), 5)</f>
        <v>5</v>
      </c>
      <c r="F9" s="32">
        <f>IFERROR(INDEX(Reference!$CZ$2:$CZ$4000, MATCH(Builder!G6&amp;"|"&amp;M9, Reference!$CQ$2:$CQ$4000, 0)), 7)</f>
        <v>7</v>
      </c>
      <c r="G9" s="32">
        <f>IF(Builder!B4="General",0+IFERROR(INDEX(Reference!$EG$2:$EG$8000, MATCH(Builder!E5&amp;"|"&amp;M9, Reference!$EB$2:$EB$8000, 0)), 0),IF(Builder!B4="Twin",0+IFERROR(INDEX(Reference!$EH$2:$EH$8000, MATCH(Builder!E5&amp;"|"&amp;M9, Reference!$EB$2:$EB$8000, 0)), 0),0+IFERROR(INDEX(Reference!$EI$2:$EI$8000, MATCH(Builder!E5&amp;"|"&amp;M9, Reference!$EB$2:$EB$8000, 0)), 0)))</f>
        <v>330</v>
      </c>
      <c r="H9" s="37">
        <f>IF(AND(Builder!E2="Insurance / Org Tariff",IFERROR(INDEX(Reference!$EZ$2:$EZ$1000, MATCH(M9, Reference!$EX$2:$EX$1000, 0)), "No")="Yes"),0,E9*G9)</f>
        <v>1650</v>
      </c>
      <c r="I9" s="38" t="s">
        <v>196</v>
      </c>
      <c r="J9" s="39">
        <f>IF(AND(Builder!E2="Insurance / Org Tariff",IFERROR(INDEX(Reference!$EZ$2:$EZ$1000, MATCH(M9, Reference!$EX$2:$EX$1000, 0)), "No")="Yes"),0,D9*G9)</f>
        <v>1650</v>
      </c>
      <c r="K9" s="37">
        <f>IF(AND(Builder!E2="Insurance / Org Tariff",IFERROR(INDEX(Reference!$EZ$2:$EZ$1000, MATCH(M9, Reference!$EX$2:$EX$1000, 0)), "No")="Yes"),0,E9*G9)</f>
        <v>1650</v>
      </c>
      <c r="L9" s="39">
        <f>IF(AND(Builder!E2="Insurance / Org Tariff",IFERROR(INDEX(Reference!$EZ$2:$EZ$1000, MATCH(M9, Reference!$EX$2:$EX$1000, 0)), "No")="Yes"),0,F9*G9)</f>
        <v>2310</v>
      </c>
      <c r="M9" s="40" t="s">
        <v>229</v>
      </c>
      <c r="O9" s="35" t="s">
        <v>230</v>
      </c>
      <c r="P9" s="2">
        <f>COUNTIF(I7:I33,"Include")</f>
        <v>0</v>
      </c>
    </row>
    <row r="10" ht="26.85" customHeight="1" spans="1:16" x14ac:dyDescent="0.25">
      <c r="A10" s="14" t="s">
        <v>231</v>
      </c>
      <c r="B10" s="14" t="s">
        <v>232</v>
      </c>
      <c r="C10" s="32">
        <f>IFERROR(INDEX(Reference!$CW$2:$CW$4000, MATCH(Builder!G6&amp;"|"&amp;M10, Reference!$CQ$2:$CQ$4000, 0)), 53.85)</f>
        <v>53.84615384615385</v>
      </c>
      <c r="D10" s="32">
        <f>IFERROR(INDEX(Reference!$CX$2:$CX$4000, MATCH(Builder!G6&amp;"|"&amp;M10, Reference!$CQ$2:$CQ$4000, 0)), 1)</f>
        <v>1</v>
      </c>
      <c r="E10" s="32">
        <f>IFERROR(INDEX(Reference!$CY$2:$CY$4000, MATCH(Builder!G6&amp;"|"&amp;M10, Reference!$CQ$2:$CQ$4000, 0)), 1)</f>
        <v>1</v>
      </c>
      <c r="F10" s="32">
        <f>IFERROR(INDEX(Reference!$CZ$2:$CZ$4000, MATCH(Builder!G6&amp;"|"&amp;M10, Reference!$CQ$2:$CQ$4000, 0)), 1)</f>
        <v>1</v>
      </c>
      <c r="G10" s="32">
        <f>IF(Builder!B4="General",0+IFERROR(INDEX(Reference!$EG$2:$EG$8000, MATCH(Builder!E5&amp;"|"&amp;M10, Reference!$EB$2:$EB$8000, 0)), 0),IF(Builder!B4="Twin",0+IFERROR(INDEX(Reference!$EH$2:$EH$8000, MATCH(Builder!E5&amp;"|"&amp;M10, Reference!$EB$2:$EB$8000, 0)), 0),0+IFERROR(INDEX(Reference!$EI$2:$EI$8000, MATCH(Builder!E5&amp;"|"&amp;M10, Reference!$EB$2:$EB$8000, 0)), 0)))</f>
        <v>1320</v>
      </c>
      <c r="H10" s="37">
        <f>IF(AND(Builder!E2="Insurance / Org Tariff",IFERROR(INDEX(Reference!$EZ$2:$EZ$1000, MATCH(M10, Reference!$EX$2:$EX$1000, 0)), "No")="Yes"),0,E10*G10)</f>
        <v>1320</v>
      </c>
      <c r="I10" s="38" t="s">
        <v>196</v>
      </c>
      <c r="J10" s="39">
        <f>IF(AND(Builder!E2="Insurance / Org Tariff",IFERROR(INDEX(Reference!$EZ$2:$EZ$1000, MATCH(M10, Reference!$EX$2:$EX$1000, 0)), "No")="Yes"),0,D10*G10)</f>
        <v>1320</v>
      </c>
      <c r="K10" s="37">
        <f>IF(AND(Builder!E2="Insurance / Org Tariff",IFERROR(INDEX(Reference!$EZ$2:$EZ$1000, MATCH(M10, Reference!$EX$2:$EX$1000, 0)), "No")="Yes"),0,E10*G10)</f>
        <v>1320</v>
      </c>
      <c r="L10" s="39">
        <f>IF(AND(Builder!E2="Insurance / Org Tariff",IFERROR(INDEX(Reference!$EZ$2:$EZ$1000, MATCH(M10, Reference!$EX$2:$EX$1000, 0)), "No")="Yes"),0,F10*G10)</f>
        <v>1320</v>
      </c>
      <c r="M10" s="40" t="s">
        <v>233</v>
      </c>
      <c r="O10" s="35" t="s">
        <v>234</v>
      </c>
      <c r="P10" s="22">
        <f>P8+P9</f>
        <v>37</v>
      </c>
    </row>
    <row r="11" ht="26.85" customHeight="1" spans="1:16" x14ac:dyDescent="0.25">
      <c r="A11" s="14" t="s">
        <v>235</v>
      </c>
      <c r="B11" s="14" t="s">
        <v>236</v>
      </c>
      <c r="C11" s="32">
        <f>IFERROR(INDEX(Reference!$CW$2:$CW$4000, MATCH(Builder!G6&amp;"|"&amp;M11, Reference!$CQ$2:$CQ$4000, 0)), 19.23)</f>
        <v>19.230769230769234</v>
      </c>
      <c r="D11" s="32">
        <f>IFERROR(INDEX(Reference!$CX$2:$CX$4000, MATCH(Builder!G6&amp;"|"&amp;M11, Reference!$CQ$2:$CQ$4000, 0)), 1)</f>
        <v>1</v>
      </c>
      <c r="E11" s="32">
        <f>IFERROR(INDEX(Reference!$CY$2:$CY$4000, MATCH(Builder!G6&amp;"|"&amp;M11, Reference!$CQ$2:$CQ$4000, 0)), 1)</f>
        <v>1</v>
      </c>
      <c r="F11" s="32">
        <f>IFERROR(INDEX(Reference!$CZ$2:$CZ$4000, MATCH(Builder!G6&amp;"|"&amp;M11, Reference!$CQ$2:$CQ$4000, 0)), 1)</f>
        <v>1</v>
      </c>
      <c r="G11" s="32">
        <f>IF(Builder!B4="General",0+IFERROR(INDEX(Reference!$EG$2:$EG$8000, MATCH(Builder!E5&amp;"|"&amp;M11, Reference!$EB$2:$EB$8000, 0)), 0),IF(Builder!B4="Twin",0+IFERROR(INDEX(Reference!$EH$2:$EH$8000, MATCH(Builder!E5&amp;"|"&amp;M11, Reference!$EB$2:$EB$8000, 0)), 0),0+IFERROR(INDEX(Reference!$EI$2:$EI$8000, MATCH(Builder!E5&amp;"|"&amp;M11, Reference!$EB$2:$EB$8000, 0)), 0)))</f>
        <v>2650</v>
      </c>
      <c r="H11" s="37">
        <f>IF(AND(Builder!E2="Insurance / Org Tariff",IFERROR(INDEX(Reference!$EZ$2:$EZ$1000, MATCH(M11, Reference!$EX$2:$EX$1000, 0)), "No")="Yes"),0,E11*G11)</f>
        <v>2650</v>
      </c>
      <c r="I11" s="38" t="s">
        <v>196</v>
      </c>
      <c r="J11" s="39">
        <f>IF(AND(Builder!E2="Insurance / Org Tariff",IFERROR(INDEX(Reference!$EZ$2:$EZ$1000, MATCH(M11, Reference!$EX$2:$EX$1000, 0)), "No")="Yes"),0,D11*G11)</f>
        <v>2650</v>
      </c>
      <c r="K11" s="37">
        <f>IF(AND(Builder!E2="Insurance / Org Tariff",IFERROR(INDEX(Reference!$EZ$2:$EZ$1000, MATCH(M11, Reference!$EX$2:$EX$1000, 0)), "No")="Yes"),0,E11*G11)</f>
        <v>2650</v>
      </c>
      <c r="L11" s="39">
        <f>IF(AND(Builder!E2="Insurance / Org Tariff",IFERROR(INDEX(Reference!$EZ$2:$EZ$1000, MATCH(M11, Reference!$EX$2:$EX$1000, 0)), "No")="Yes"),0,F11*G11)</f>
        <v>2650</v>
      </c>
      <c r="M11" s="40" t="s">
        <v>237</v>
      </c>
      <c r="O11" s="35" t="s">
        <v>126</v>
      </c>
      <c r="P11" s="26" t="str">
        <f>IF(P10&lt;P5,"Below historical P25",IF(P10&gt;P7,"Above historical P75","Within historical range"))</f>
        <v>Within historical range</v>
      </c>
    </row>
    <row r="12" ht="26.85" customHeight="1" spans="1:13" x14ac:dyDescent="0.25">
      <c r="A12" s="14" t="s">
        <v>238</v>
      </c>
      <c r="B12" s="14" t="s">
        <v>239</v>
      </c>
      <c r="C12" s="32">
        <f>IFERROR(INDEX(Reference!$CW$2:$CW$4000, MATCH(Builder!G6&amp;"|"&amp;M12, Reference!$CQ$2:$CQ$4000, 0)), 3.85)</f>
        <v>3.8461538461538463</v>
      </c>
      <c r="D12" s="32">
        <f>IFERROR(INDEX(Reference!$CX$2:$CX$4000, MATCH(Builder!G6&amp;"|"&amp;M12, Reference!$CQ$2:$CQ$4000, 0)), 2)</f>
        <v>2</v>
      </c>
      <c r="E12" s="32">
        <f>IFERROR(INDEX(Reference!$CY$2:$CY$4000, MATCH(Builder!G6&amp;"|"&amp;M12, Reference!$CQ$2:$CQ$4000, 0)), 2)</f>
        <v>2</v>
      </c>
      <c r="F12" s="32">
        <f>IFERROR(INDEX(Reference!$CZ$2:$CZ$4000, MATCH(Builder!G6&amp;"|"&amp;M12, Reference!$CQ$2:$CQ$4000, 0)), 2)</f>
        <v>2</v>
      </c>
      <c r="G12" s="32">
        <f>IF(Builder!B4="General",0+IFERROR(INDEX(Reference!$EG$2:$EG$8000, MATCH(Builder!E5&amp;"|"&amp;M12, Reference!$EB$2:$EB$8000, 0)), 0),IF(Builder!B4="Twin",0+IFERROR(INDEX(Reference!$EH$2:$EH$8000, MATCH(Builder!E5&amp;"|"&amp;M12, Reference!$EB$2:$EB$8000, 0)), 0),0+IFERROR(INDEX(Reference!$EI$2:$EI$8000, MATCH(Builder!E5&amp;"|"&amp;M12, Reference!$EB$2:$EB$8000, 0)), 0)))</f>
        <v>3620</v>
      </c>
      <c r="H12" s="37">
        <f>IF(AND(Builder!E2="Insurance / Org Tariff",IFERROR(INDEX(Reference!$EZ$2:$EZ$1000, MATCH(M12, Reference!$EX$2:$EX$1000, 0)), "No")="Yes"),0,E12*G12)</f>
        <v>7240</v>
      </c>
      <c r="I12" s="38" t="s">
        <v>196</v>
      </c>
      <c r="J12" s="39">
        <f>IF(AND(Builder!E2="Insurance / Org Tariff",IFERROR(INDEX(Reference!$EZ$2:$EZ$1000, MATCH(M12, Reference!$EX$2:$EX$1000, 0)), "No")="Yes"),0,D12*G12)</f>
        <v>7240</v>
      </c>
      <c r="K12" s="37">
        <f>IF(AND(Builder!E2="Insurance / Org Tariff",IFERROR(INDEX(Reference!$EZ$2:$EZ$1000, MATCH(M12, Reference!$EX$2:$EX$1000, 0)), "No")="Yes"),0,E12*G12)</f>
        <v>7240</v>
      </c>
      <c r="L12" s="39">
        <f>IF(AND(Builder!E2="Insurance / Org Tariff",IFERROR(INDEX(Reference!$EZ$2:$EZ$1000, MATCH(M12, Reference!$EX$2:$EX$1000, 0)), "No")="Yes"),0,F12*G12)</f>
        <v>7240</v>
      </c>
      <c r="M12" s="40" t="s">
        <v>240</v>
      </c>
    </row>
    <row r="13" ht="26.85" customHeight="1" spans="1:13" x14ac:dyDescent="0.25">
      <c r="A13" s="14" t="s">
        <v>241</v>
      </c>
      <c r="B13" s="14" t="s">
        <v>242</v>
      </c>
      <c r="C13" s="32">
        <f>IFERROR(INDEX(Reference!$CW$2:$CW$4000, MATCH(Builder!G6&amp;"|"&amp;M13, Reference!$CQ$2:$CQ$4000, 0)), 19.23)</f>
        <v>19.230769230769234</v>
      </c>
      <c r="D13" s="32">
        <f>IFERROR(INDEX(Reference!$CX$2:$CX$4000, MATCH(Builder!G6&amp;"|"&amp;M13, Reference!$CQ$2:$CQ$4000, 0)), 1)</f>
        <v>1</v>
      </c>
      <c r="E13" s="32">
        <f>IFERROR(INDEX(Reference!$CY$2:$CY$4000, MATCH(Builder!G6&amp;"|"&amp;M13, Reference!$CQ$2:$CQ$4000, 0)), 1)</f>
        <v>1</v>
      </c>
      <c r="F13" s="32">
        <f>IFERROR(INDEX(Reference!$CZ$2:$CZ$4000, MATCH(Builder!G6&amp;"|"&amp;M13, Reference!$CQ$2:$CQ$4000, 0)), 1)</f>
        <v>1</v>
      </c>
      <c r="G13" s="32">
        <f>IF(Builder!B4="General",0+IFERROR(INDEX(Reference!$EG$2:$EG$8000, MATCH(Builder!E5&amp;"|"&amp;M13, Reference!$EB$2:$EB$8000, 0)), 0),IF(Builder!B4="Twin",0+IFERROR(INDEX(Reference!$EH$2:$EH$8000, MATCH(Builder!E5&amp;"|"&amp;M13, Reference!$EB$2:$EB$8000, 0)), 0),0+IFERROR(INDEX(Reference!$EI$2:$EI$8000, MATCH(Builder!E5&amp;"|"&amp;M13, Reference!$EB$2:$EB$8000, 0)), 0)))</f>
        <v>1250</v>
      </c>
      <c r="H13" s="37">
        <f>IF(AND(Builder!E2="Insurance / Org Tariff",IFERROR(INDEX(Reference!$EZ$2:$EZ$1000, MATCH(M13, Reference!$EX$2:$EX$1000, 0)), "No")="Yes"),0,E13*G13)</f>
        <v>1250</v>
      </c>
      <c r="I13" s="38" t="s">
        <v>196</v>
      </c>
      <c r="J13" s="39">
        <f>IF(AND(Builder!E2="Insurance / Org Tariff",IFERROR(INDEX(Reference!$EZ$2:$EZ$1000, MATCH(M13, Reference!$EX$2:$EX$1000, 0)), "No")="Yes"),0,D13*G13)</f>
        <v>1250</v>
      </c>
      <c r="K13" s="37">
        <f>IF(AND(Builder!E2="Insurance / Org Tariff",IFERROR(INDEX(Reference!$EZ$2:$EZ$1000, MATCH(M13, Reference!$EX$2:$EX$1000, 0)), "No")="Yes"),0,E13*G13)</f>
        <v>1250</v>
      </c>
      <c r="L13" s="39">
        <f>IF(AND(Builder!E2="Insurance / Org Tariff",IFERROR(INDEX(Reference!$EZ$2:$EZ$1000, MATCH(M13, Reference!$EX$2:$EX$1000, 0)), "No")="Yes"),0,F13*G13)</f>
        <v>1250</v>
      </c>
      <c r="M13" s="40" t="s">
        <v>243</v>
      </c>
    </row>
    <row r="14" ht="26.85" customHeight="1" spans="1:13" x14ac:dyDescent="0.25">
      <c r="A14" s="14" t="s">
        <v>244</v>
      </c>
      <c r="B14" s="14" t="s">
        <v>245</v>
      </c>
      <c r="C14" s="32">
        <f>IFERROR(INDEX(Reference!$CW$2:$CW$4000, MATCH(Builder!G6&amp;"|"&amp;M14, Reference!$CQ$2:$CQ$4000, 0)), 15.38)</f>
        <v>15.384615384615385</v>
      </c>
      <c r="D14" s="32">
        <f>IFERROR(INDEX(Reference!$CX$2:$CX$4000, MATCH(Builder!G6&amp;"|"&amp;M14, Reference!$CQ$2:$CQ$4000, 0)), 1)</f>
        <v>1</v>
      </c>
      <c r="E14" s="32">
        <f>IFERROR(INDEX(Reference!$CY$2:$CY$4000, MATCH(Builder!G6&amp;"|"&amp;M14, Reference!$CQ$2:$CQ$4000, 0)), 1.5)</f>
        <v>1.5</v>
      </c>
      <c r="F14" s="32">
        <f>IFERROR(INDEX(Reference!$CZ$2:$CZ$4000, MATCH(Builder!G6&amp;"|"&amp;M14, Reference!$CQ$2:$CQ$4000, 0)), 2.25)</f>
        <v>2.25</v>
      </c>
      <c r="G14" s="32">
        <f>IF(Builder!B4="General",0+IFERROR(INDEX(Reference!$EG$2:$EG$8000, MATCH(Builder!E5&amp;"|"&amp;M14, Reference!$EB$2:$EB$8000, 0)), 0),IF(Builder!B4="Twin",0+IFERROR(INDEX(Reference!$EH$2:$EH$8000, MATCH(Builder!E5&amp;"|"&amp;M14, Reference!$EB$2:$EB$8000, 0)), 0),0+IFERROR(INDEX(Reference!$EI$2:$EI$8000, MATCH(Builder!E5&amp;"|"&amp;M14, Reference!$EB$2:$EB$8000, 0)), 0)))</f>
        <v>870</v>
      </c>
      <c r="H14" s="37">
        <f>IF(AND(Builder!E2="Insurance / Org Tariff",IFERROR(INDEX(Reference!$EZ$2:$EZ$1000, MATCH(M14, Reference!$EX$2:$EX$1000, 0)), "No")="Yes"),0,E14*G14)</f>
        <v>1305</v>
      </c>
      <c r="I14" s="38" t="s">
        <v>196</v>
      </c>
      <c r="J14" s="39">
        <f>IF(AND(Builder!E2="Insurance / Org Tariff",IFERROR(INDEX(Reference!$EZ$2:$EZ$1000, MATCH(M14, Reference!$EX$2:$EX$1000, 0)), "No")="Yes"),0,D14*G14)</f>
        <v>870</v>
      </c>
      <c r="K14" s="37">
        <f>IF(AND(Builder!E2="Insurance / Org Tariff",IFERROR(INDEX(Reference!$EZ$2:$EZ$1000, MATCH(M14, Reference!$EX$2:$EX$1000, 0)), "No")="Yes"),0,E14*G14)</f>
        <v>1305</v>
      </c>
      <c r="L14" s="39">
        <f>IF(AND(Builder!E2="Insurance / Org Tariff",IFERROR(INDEX(Reference!$EZ$2:$EZ$1000, MATCH(M14, Reference!$EX$2:$EX$1000, 0)), "No")="Yes"),0,F14*G14)</f>
        <v>1957.5</v>
      </c>
      <c r="M14" s="40" t="s">
        <v>246</v>
      </c>
    </row>
    <row r="15" ht="26.85" customHeight="1" spans="1:13" x14ac:dyDescent="0.25">
      <c r="A15" s="14" t="s">
        <v>247</v>
      </c>
      <c r="B15" s="14" t="s">
        <v>248</v>
      </c>
      <c r="C15" s="32">
        <f>IFERROR(INDEX(Reference!$CW$2:$CW$4000, MATCH(Builder!G6&amp;"|"&amp;M15, Reference!$CQ$2:$CQ$4000, 0)), 53.85)</f>
        <v>53.84615384615385</v>
      </c>
      <c r="D15" s="32">
        <f>IFERROR(INDEX(Reference!$CX$2:$CX$4000, MATCH(Builder!G6&amp;"|"&amp;M15, Reference!$CQ$2:$CQ$4000, 0)), 1)</f>
        <v>1</v>
      </c>
      <c r="E15" s="32">
        <f>IFERROR(INDEX(Reference!$CY$2:$CY$4000, MATCH(Builder!G6&amp;"|"&amp;M15, Reference!$CQ$2:$CQ$4000, 0)), 1)</f>
        <v>1</v>
      </c>
      <c r="F15" s="32">
        <f>IFERROR(INDEX(Reference!$CZ$2:$CZ$4000, MATCH(Builder!G6&amp;"|"&amp;M15, Reference!$CQ$2:$CQ$4000, 0)), 1)</f>
        <v>1</v>
      </c>
      <c r="G15" s="32">
        <f>IF(Builder!B4="General",0+IFERROR(INDEX(Reference!$EG$2:$EG$8000, MATCH(Builder!E5&amp;"|"&amp;M15, Reference!$EB$2:$EB$8000, 0)), 0),IF(Builder!B4="Twin",0+IFERROR(INDEX(Reference!$EH$2:$EH$8000, MATCH(Builder!E5&amp;"|"&amp;M15, Reference!$EB$2:$EB$8000, 0)), 0),0+IFERROR(INDEX(Reference!$EI$2:$EI$8000, MATCH(Builder!E5&amp;"|"&amp;M15, Reference!$EB$2:$EB$8000, 0)), 0)))</f>
        <v>370</v>
      </c>
      <c r="H15" s="37">
        <f>IF(AND(Builder!E2="Insurance / Org Tariff",IFERROR(INDEX(Reference!$EZ$2:$EZ$1000, MATCH(M15, Reference!$EX$2:$EX$1000, 0)), "No")="Yes"),0,E15*G15)</f>
        <v>370</v>
      </c>
      <c r="I15" s="38" t="s">
        <v>196</v>
      </c>
      <c r="J15" s="39">
        <f>IF(AND(Builder!E2="Insurance / Org Tariff",IFERROR(INDEX(Reference!$EZ$2:$EZ$1000, MATCH(M15, Reference!$EX$2:$EX$1000, 0)), "No")="Yes"),0,D15*G15)</f>
        <v>370</v>
      </c>
      <c r="K15" s="37">
        <f>IF(AND(Builder!E2="Insurance / Org Tariff",IFERROR(INDEX(Reference!$EZ$2:$EZ$1000, MATCH(M15, Reference!$EX$2:$EX$1000, 0)), "No")="Yes"),0,E15*G15)</f>
        <v>370</v>
      </c>
      <c r="L15" s="39">
        <f>IF(AND(Builder!E2="Insurance / Org Tariff",IFERROR(INDEX(Reference!$EZ$2:$EZ$1000, MATCH(M15, Reference!$EX$2:$EX$1000, 0)), "No")="Yes"),0,F15*G15)</f>
        <v>370</v>
      </c>
      <c r="M15" s="40" t="s">
        <v>249</v>
      </c>
    </row>
    <row r="16" ht="26.85" customHeight="1" spans="1:13" x14ac:dyDescent="0.25">
      <c r="A16" s="14" t="s">
        <v>250</v>
      </c>
      <c r="B16" s="14" t="s">
        <v>251</v>
      </c>
      <c r="C16" s="32">
        <f>IFERROR(INDEX(Reference!$CW$2:$CW$4000, MATCH(Builder!G6&amp;"|"&amp;M16, Reference!$CQ$2:$CQ$4000, 0)), 15.38)</f>
        <v>15.384615384615385</v>
      </c>
      <c r="D16" s="32">
        <f>IFERROR(INDEX(Reference!$CX$2:$CX$4000, MATCH(Builder!G6&amp;"|"&amp;M16, Reference!$CQ$2:$CQ$4000, 0)), 1)</f>
        <v>1</v>
      </c>
      <c r="E16" s="32">
        <f>IFERROR(INDEX(Reference!$CY$2:$CY$4000, MATCH(Builder!G6&amp;"|"&amp;M16, Reference!$CQ$2:$CQ$4000, 0)), 1)</f>
        <v>1</v>
      </c>
      <c r="F16" s="32">
        <f>IFERROR(INDEX(Reference!$CZ$2:$CZ$4000, MATCH(Builder!G6&amp;"|"&amp;M16, Reference!$CQ$2:$CQ$4000, 0)), 1)</f>
        <v>1</v>
      </c>
      <c r="G16" s="32">
        <f>IF(Builder!B4="General",0+IFERROR(INDEX(Reference!$EG$2:$EG$8000, MATCH(Builder!E5&amp;"|"&amp;M16, Reference!$EB$2:$EB$8000, 0)), 0),IF(Builder!B4="Twin",0+IFERROR(INDEX(Reference!$EH$2:$EH$8000, MATCH(Builder!E5&amp;"|"&amp;M16, Reference!$EB$2:$EB$8000, 0)), 0),0+IFERROR(INDEX(Reference!$EI$2:$EI$8000, MATCH(Builder!E5&amp;"|"&amp;M16, Reference!$EB$2:$EB$8000, 0)), 0)))</f>
        <v>890</v>
      </c>
      <c r="H16" s="37">
        <f>IF(AND(Builder!E2="Insurance / Org Tariff",IFERROR(INDEX(Reference!$EZ$2:$EZ$1000, MATCH(M16, Reference!$EX$2:$EX$1000, 0)), "No")="Yes"),0,E16*G16)</f>
        <v>890</v>
      </c>
      <c r="I16" s="38" t="s">
        <v>196</v>
      </c>
      <c r="J16" s="39">
        <f>IF(AND(Builder!E2="Insurance / Org Tariff",IFERROR(INDEX(Reference!$EZ$2:$EZ$1000, MATCH(M16, Reference!$EX$2:$EX$1000, 0)), "No")="Yes"),0,D16*G16)</f>
        <v>890</v>
      </c>
      <c r="K16" s="37">
        <f>IF(AND(Builder!E2="Insurance / Org Tariff",IFERROR(INDEX(Reference!$EZ$2:$EZ$1000, MATCH(M16, Reference!$EX$2:$EX$1000, 0)), "No")="Yes"),0,E16*G16)</f>
        <v>890</v>
      </c>
      <c r="L16" s="39">
        <f>IF(AND(Builder!E2="Insurance / Org Tariff",IFERROR(INDEX(Reference!$EZ$2:$EZ$1000, MATCH(M16, Reference!$EX$2:$EX$1000, 0)), "No")="Yes"),0,F16*G16)</f>
        <v>890</v>
      </c>
      <c r="M16" s="40" t="s">
        <v>252</v>
      </c>
    </row>
    <row r="17" ht="26.85" customHeight="1" spans="1:13" x14ac:dyDescent="0.25">
      <c r="A17" s="14" t="s">
        <v>253</v>
      </c>
      <c r="B17" s="14" t="s">
        <v>254</v>
      </c>
      <c r="C17" s="32">
        <f>IFERROR(INDEX(Reference!$CW$2:$CW$4000, MATCH(Builder!G6&amp;"|"&amp;M17, Reference!$CQ$2:$CQ$4000, 0)), 11.54)</f>
        <v>11.538461538461538</v>
      </c>
      <c r="D17" s="32">
        <f>IFERROR(INDEX(Reference!$CX$2:$CX$4000, MATCH(Builder!G6&amp;"|"&amp;M17, Reference!$CQ$2:$CQ$4000, 0)), 1)</f>
        <v>1</v>
      </c>
      <c r="E17" s="32">
        <f>IFERROR(INDEX(Reference!$CY$2:$CY$4000, MATCH(Builder!G6&amp;"|"&amp;M17, Reference!$CQ$2:$CQ$4000, 0)), 1)</f>
        <v>1</v>
      </c>
      <c r="F17" s="32">
        <f>IFERROR(INDEX(Reference!$CZ$2:$CZ$4000, MATCH(Builder!G6&amp;"|"&amp;M17, Reference!$CQ$2:$CQ$4000, 0)), 1)</f>
        <v>1</v>
      </c>
      <c r="G17" s="32">
        <f>IF(Builder!B4="General",0+IFERROR(INDEX(Reference!$EG$2:$EG$8000, MATCH(Builder!E5&amp;"|"&amp;M17, Reference!$EB$2:$EB$8000, 0)), 0),IF(Builder!B4="Twin",0+IFERROR(INDEX(Reference!$EH$2:$EH$8000, MATCH(Builder!E5&amp;"|"&amp;M17, Reference!$EB$2:$EB$8000, 0)), 0),0+IFERROR(INDEX(Reference!$EI$2:$EI$8000, MATCH(Builder!E5&amp;"|"&amp;M17, Reference!$EB$2:$EB$8000, 0)), 0)))</f>
        <v>1170</v>
      </c>
      <c r="H17" s="37">
        <f>IF(AND(Builder!E2="Insurance / Org Tariff",IFERROR(INDEX(Reference!$EZ$2:$EZ$1000, MATCH(M17, Reference!$EX$2:$EX$1000, 0)), "No")="Yes"),0,E17*G17)</f>
        <v>1170</v>
      </c>
      <c r="I17" s="38" t="s">
        <v>196</v>
      </c>
      <c r="J17" s="39">
        <f>IF(AND(Builder!E2="Insurance / Org Tariff",IFERROR(INDEX(Reference!$EZ$2:$EZ$1000, MATCH(M17, Reference!$EX$2:$EX$1000, 0)), "No")="Yes"),0,D17*G17)</f>
        <v>1170</v>
      </c>
      <c r="K17" s="37">
        <f>IF(AND(Builder!E2="Insurance / Org Tariff",IFERROR(INDEX(Reference!$EZ$2:$EZ$1000, MATCH(M17, Reference!$EX$2:$EX$1000, 0)), "No")="Yes"),0,E17*G17)</f>
        <v>1170</v>
      </c>
      <c r="L17" s="39">
        <f>IF(AND(Builder!E2="Insurance / Org Tariff",IFERROR(INDEX(Reference!$EZ$2:$EZ$1000, MATCH(M17, Reference!$EX$2:$EX$1000, 0)), "No")="Yes"),0,F17*G17)</f>
        <v>1170</v>
      </c>
      <c r="M17" s="40" t="s">
        <v>255</v>
      </c>
    </row>
    <row r="18" ht="26.85" customHeight="1" spans="1:13" x14ac:dyDescent="0.25">
      <c r="A18" s="14" t="s">
        <v>256</v>
      </c>
      <c r="B18" s="14" t="s">
        <v>257</v>
      </c>
      <c r="C18" s="32">
        <f>IFERROR(INDEX(Reference!$CW$2:$CW$4000, MATCH(Builder!G6&amp;"|"&amp;M18, Reference!$CQ$2:$CQ$4000, 0)), 3.85)</f>
        <v>3.8461538461538463</v>
      </c>
      <c r="D18" s="32">
        <f>IFERROR(INDEX(Reference!$CX$2:$CX$4000, MATCH(Builder!G6&amp;"|"&amp;M18, Reference!$CQ$2:$CQ$4000, 0)), 1)</f>
        <v>1</v>
      </c>
      <c r="E18" s="32">
        <f>IFERROR(INDEX(Reference!$CY$2:$CY$4000, MATCH(Builder!G6&amp;"|"&amp;M18, Reference!$CQ$2:$CQ$4000, 0)), 1)</f>
        <v>1</v>
      </c>
      <c r="F18" s="32">
        <f>IFERROR(INDEX(Reference!$CZ$2:$CZ$4000, MATCH(Builder!G6&amp;"|"&amp;M18, Reference!$CQ$2:$CQ$4000, 0)), 1)</f>
        <v>1</v>
      </c>
      <c r="G18" s="32">
        <f>IF(Builder!B4="General",0+IFERROR(INDEX(Reference!$EG$2:$EG$8000, MATCH(Builder!E5&amp;"|"&amp;M18, Reference!$EB$2:$EB$8000, 0)), 0),IF(Builder!B4="Twin",0+IFERROR(INDEX(Reference!$EH$2:$EH$8000, MATCH(Builder!E5&amp;"|"&amp;M18, Reference!$EB$2:$EB$8000, 0)), 0),0+IFERROR(INDEX(Reference!$EI$2:$EI$8000, MATCH(Builder!E5&amp;"|"&amp;M18, Reference!$EB$2:$EB$8000, 0)), 0)))</f>
        <v>3470</v>
      </c>
      <c r="H18" s="37">
        <f>IF(AND(Builder!E2="Insurance / Org Tariff",IFERROR(INDEX(Reference!$EZ$2:$EZ$1000, MATCH(M18, Reference!$EX$2:$EX$1000, 0)), "No")="Yes"),0,E18*G18)</f>
        <v>3470</v>
      </c>
      <c r="I18" s="38" t="s">
        <v>196</v>
      </c>
      <c r="J18" s="39">
        <f>IF(AND(Builder!E2="Insurance / Org Tariff",IFERROR(INDEX(Reference!$EZ$2:$EZ$1000, MATCH(M18, Reference!$EX$2:$EX$1000, 0)), "No")="Yes"),0,D18*G18)</f>
        <v>3470</v>
      </c>
      <c r="K18" s="37">
        <f>IF(AND(Builder!E2="Insurance / Org Tariff",IFERROR(INDEX(Reference!$EZ$2:$EZ$1000, MATCH(M18, Reference!$EX$2:$EX$1000, 0)), "No")="Yes"),0,E18*G18)</f>
        <v>3470</v>
      </c>
      <c r="L18" s="39">
        <f>IF(AND(Builder!E2="Insurance / Org Tariff",IFERROR(INDEX(Reference!$EZ$2:$EZ$1000, MATCH(M18, Reference!$EX$2:$EX$1000, 0)), "No")="Yes"),0,F18*G18)</f>
        <v>3470</v>
      </c>
      <c r="M18" s="40" t="s">
        <v>258</v>
      </c>
    </row>
    <row r="19" ht="15" customHeight="1" spans="1:13" x14ac:dyDescent="0.25">
      <c r="A19" s="14" t="s">
        <v>259</v>
      </c>
      <c r="B19" s="14" t="s">
        <v>260</v>
      </c>
      <c r="C19" s="32">
        <f>IFERROR(INDEX(Reference!$CW$2:$CW$4000, MATCH(Builder!G6&amp;"|"&amp;M19, Reference!$CQ$2:$CQ$4000, 0)), 11.54)</f>
        <v>11.538461538461538</v>
      </c>
      <c r="D19" s="32">
        <f>IFERROR(INDEX(Reference!$CX$2:$CX$4000, MATCH(Builder!G6&amp;"|"&amp;M19, Reference!$CQ$2:$CQ$4000, 0)), 1)</f>
        <v>1</v>
      </c>
      <c r="E19" s="32">
        <f>IFERROR(INDEX(Reference!$CY$2:$CY$4000, MATCH(Builder!G6&amp;"|"&amp;M19, Reference!$CQ$2:$CQ$4000, 0)), 1)</f>
        <v>1</v>
      </c>
      <c r="F19" s="32">
        <f>IFERROR(INDEX(Reference!$CZ$2:$CZ$4000, MATCH(Builder!G6&amp;"|"&amp;M19, Reference!$CQ$2:$CQ$4000, 0)), 1)</f>
        <v>1</v>
      </c>
      <c r="G19" s="32">
        <f>IF(Builder!B4="General",0+IFERROR(INDEX(Reference!$EG$2:$EG$8000, MATCH(Builder!E5&amp;"|"&amp;M19, Reference!$EB$2:$EB$8000, 0)), 0),IF(Builder!B4="Twin",0+IFERROR(INDEX(Reference!$EH$2:$EH$8000, MATCH(Builder!E5&amp;"|"&amp;M19, Reference!$EB$2:$EB$8000, 0)), 0),0+IFERROR(INDEX(Reference!$EI$2:$EI$8000, MATCH(Builder!E5&amp;"|"&amp;M19, Reference!$EB$2:$EB$8000, 0)), 0)))</f>
        <v>1020</v>
      </c>
      <c r="H19" s="37">
        <f>IF(AND(Builder!E2="Insurance / Org Tariff",IFERROR(INDEX(Reference!$EZ$2:$EZ$1000, MATCH(M19, Reference!$EX$2:$EX$1000, 0)), "No")="Yes"),0,E19*G19)</f>
        <v>1020</v>
      </c>
      <c r="I19" s="38" t="s">
        <v>196</v>
      </c>
      <c r="J19" s="39">
        <f>IF(AND(Builder!E2="Insurance / Org Tariff",IFERROR(INDEX(Reference!$EZ$2:$EZ$1000, MATCH(M19, Reference!$EX$2:$EX$1000, 0)), "No")="Yes"),0,D19*G19)</f>
        <v>1020</v>
      </c>
      <c r="K19" s="37">
        <f>IF(AND(Builder!E2="Insurance / Org Tariff",IFERROR(INDEX(Reference!$EZ$2:$EZ$1000, MATCH(M19, Reference!$EX$2:$EX$1000, 0)), "No")="Yes"),0,E19*G19)</f>
        <v>1020</v>
      </c>
      <c r="L19" s="39">
        <f>IF(AND(Builder!E2="Insurance / Org Tariff",IFERROR(INDEX(Reference!$EZ$2:$EZ$1000, MATCH(M19, Reference!$EX$2:$EX$1000, 0)), "No")="Yes"),0,F19*G19)</f>
        <v>1020</v>
      </c>
      <c r="M19" s="40" t="s">
        <v>261</v>
      </c>
    </row>
    <row r="20" ht="26.85" customHeight="1" spans="1:13" x14ac:dyDescent="0.25">
      <c r="A20" s="14" t="s">
        <v>262</v>
      </c>
      <c r="B20" s="14" t="s">
        <v>263</v>
      </c>
      <c r="C20" s="32">
        <f>IFERROR(INDEX(Reference!$CW$2:$CW$4000, MATCH(Builder!G6&amp;"|"&amp;M20, Reference!$CQ$2:$CQ$4000, 0)), 11.54)</f>
        <v>11.538461538461538</v>
      </c>
      <c r="D20" s="32">
        <f>IFERROR(INDEX(Reference!$CX$2:$CX$4000, MATCH(Builder!G6&amp;"|"&amp;M20, Reference!$CQ$2:$CQ$4000, 0)), 1)</f>
        <v>1</v>
      </c>
      <c r="E20" s="32">
        <f>IFERROR(INDEX(Reference!$CY$2:$CY$4000, MATCH(Builder!G6&amp;"|"&amp;M20, Reference!$CQ$2:$CQ$4000, 0)), 1)</f>
        <v>1</v>
      </c>
      <c r="F20" s="32">
        <f>IFERROR(INDEX(Reference!$CZ$2:$CZ$4000, MATCH(Builder!G6&amp;"|"&amp;M20, Reference!$CQ$2:$CQ$4000, 0)), 1)</f>
        <v>1</v>
      </c>
      <c r="G20" s="32">
        <f>IF(Builder!B4="General",0+IFERROR(INDEX(Reference!$EG$2:$EG$8000, MATCH(Builder!E5&amp;"|"&amp;M20, Reference!$EB$2:$EB$8000, 0)), 0),IF(Builder!B4="Twin",0+IFERROR(INDEX(Reference!$EH$2:$EH$8000, MATCH(Builder!E5&amp;"|"&amp;M20, Reference!$EB$2:$EB$8000, 0)), 0),0+IFERROR(INDEX(Reference!$EI$2:$EI$8000, MATCH(Builder!E5&amp;"|"&amp;M20, Reference!$EB$2:$EB$8000, 0)), 0)))</f>
        <v>810</v>
      </c>
      <c r="H20" s="37">
        <f>IF(AND(Builder!E2="Insurance / Org Tariff",IFERROR(INDEX(Reference!$EZ$2:$EZ$1000, MATCH(M20, Reference!$EX$2:$EX$1000, 0)), "No")="Yes"),0,E20*G20)</f>
        <v>810</v>
      </c>
      <c r="I20" s="38" t="s">
        <v>196</v>
      </c>
      <c r="J20" s="39">
        <f>IF(AND(Builder!E2="Insurance / Org Tariff",IFERROR(INDEX(Reference!$EZ$2:$EZ$1000, MATCH(M20, Reference!$EX$2:$EX$1000, 0)), "No")="Yes"),0,D20*G20)</f>
        <v>810</v>
      </c>
      <c r="K20" s="37">
        <f>IF(AND(Builder!E2="Insurance / Org Tariff",IFERROR(INDEX(Reference!$EZ$2:$EZ$1000, MATCH(M20, Reference!$EX$2:$EX$1000, 0)), "No")="Yes"),0,E20*G20)</f>
        <v>810</v>
      </c>
      <c r="L20" s="39">
        <f>IF(AND(Builder!E2="Insurance / Org Tariff",IFERROR(INDEX(Reference!$EZ$2:$EZ$1000, MATCH(M20, Reference!$EX$2:$EX$1000, 0)), "No")="Yes"),0,F20*G20)</f>
        <v>810</v>
      </c>
      <c r="M20" s="40" t="s">
        <v>264</v>
      </c>
    </row>
    <row r="21" ht="15" customHeight="1" spans="1:13" x14ac:dyDescent="0.25">
      <c r="A21" s="14" t="s">
        <v>265</v>
      </c>
      <c r="B21" s="14" t="s">
        <v>266</v>
      </c>
      <c r="C21" s="32">
        <f>IFERROR(INDEX(Reference!$CW$2:$CW$4000, MATCH(Builder!G6&amp;"|"&amp;M21, Reference!$CQ$2:$CQ$4000, 0)), 3.85)</f>
        <v>3.8461538461538463</v>
      </c>
      <c r="D21" s="32">
        <f>IFERROR(INDEX(Reference!$CX$2:$CX$4000, MATCH(Builder!G6&amp;"|"&amp;M21, Reference!$CQ$2:$CQ$4000, 0)), 1)</f>
        <v>1</v>
      </c>
      <c r="E21" s="32">
        <f>IFERROR(INDEX(Reference!$CY$2:$CY$4000, MATCH(Builder!G6&amp;"|"&amp;M21, Reference!$CQ$2:$CQ$4000, 0)), 1)</f>
        <v>1</v>
      </c>
      <c r="F21" s="32">
        <f>IFERROR(INDEX(Reference!$CZ$2:$CZ$4000, MATCH(Builder!G6&amp;"|"&amp;M21, Reference!$CQ$2:$CQ$4000, 0)), 1)</f>
        <v>1</v>
      </c>
      <c r="G21" s="32">
        <f>IF(Builder!B4="General",0+IFERROR(INDEX(Reference!$EG$2:$EG$8000, MATCH(Builder!E5&amp;"|"&amp;M21, Reference!$EB$2:$EB$8000, 0)), 0),IF(Builder!B4="Twin",0+IFERROR(INDEX(Reference!$EH$2:$EH$8000, MATCH(Builder!E5&amp;"|"&amp;M21, Reference!$EB$2:$EB$8000, 0)), 0),0+IFERROR(INDEX(Reference!$EI$2:$EI$8000, MATCH(Builder!E5&amp;"|"&amp;M21, Reference!$EB$2:$EB$8000, 0)), 0)))</f>
        <v>2290</v>
      </c>
      <c r="H21" s="37">
        <f>IF(AND(Builder!E2="Insurance / Org Tariff",IFERROR(INDEX(Reference!$EZ$2:$EZ$1000, MATCH(M21, Reference!$EX$2:$EX$1000, 0)), "No")="Yes"),0,E21*G21)</f>
        <v>2290</v>
      </c>
      <c r="I21" s="38" t="s">
        <v>196</v>
      </c>
      <c r="J21" s="39">
        <f>IF(AND(Builder!E2="Insurance / Org Tariff",IFERROR(INDEX(Reference!$EZ$2:$EZ$1000, MATCH(M21, Reference!$EX$2:$EX$1000, 0)), "No")="Yes"),0,D21*G21)</f>
        <v>2290</v>
      </c>
      <c r="K21" s="37">
        <f>IF(AND(Builder!E2="Insurance / Org Tariff",IFERROR(INDEX(Reference!$EZ$2:$EZ$1000, MATCH(M21, Reference!$EX$2:$EX$1000, 0)), "No")="Yes"),0,E21*G21)</f>
        <v>2290</v>
      </c>
      <c r="L21" s="39">
        <f>IF(AND(Builder!E2="Insurance / Org Tariff",IFERROR(INDEX(Reference!$EZ$2:$EZ$1000, MATCH(M21, Reference!$EX$2:$EX$1000, 0)), "No")="Yes"),0,F21*G21)</f>
        <v>2290</v>
      </c>
      <c r="M21" s="40" t="s">
        <v>267</v>
      </c>
    </row>
    <row r="22" ht="26.85" customHeight="1" spans="1:13" x14ac:dyDescent="0.25">
      <c r="A22" s="14" t="s">
        <v>268</v>
      </c>
      <c r="B22" s="14" t="s">
        <v>236</v>
      </c>
      <c r="C22" s="32">
        <f>IFERROR(INDEX(Reference!$CW$2:$CW$4000, MATCH(Builder!G6&amp;"|"&amp;M22, Reference!$CQ$2:$CQ$4000, 0)), 26.92)</f>
        <v>26.923076923076923</v>
      </c>
      <c r="D22" s="32">
        <f>IFERROR(INDEX(Reference!$CX$2:$CX$4000, MATCH(Builder!G6&amp;"|"&amp;M22, Reference!$CQ$2:$CQ$4000, 0)), 1)</f>
        <v>1</v>
      </c>
      <c r="E22" s="32">
        <f>IFERROR(INDEX(Reference!$CY$2:$CY$4000, MATCH(Builder!G6&amp;"|"&amp;M22, Reference!$CQ$2:$CQ$4000, 0)), 1)</f>
        <v>1</v>
      </c>
      <c r="F22" s="32">
        <f>IFERROR(INDEX(Reference!$CZ$2:$CZ$4000, MATCH(Builder!G6&amp;"|"&amp;M22, Reference!$CQ$2:$CQ$4000, 0)), 1)</f>
        <v>1</v>
      </c>
      <c r="G22" s="32">
        <f>IF(Builder!B4="General",0+IFERROR(INDEX(Reference!$EG$2:$EG$8000, MATCH(Builder!E5&amp;"|"&amp;M22, Reference!$EB$2:$EB$8000, 0)), 0),IF(Builder!B4="Twin",0+IFERROR(INDEX(Reference!$EH$2:$EH$8000, MATCH(Builder!E5&amp;"|"&amp;M22, Reference!$EB$2:$EB$8000, 0)), 0),0+IFERROR(INDEX(Reference!$EI$2:$EI$8000, MATCH(Builder!E5&amp;"|"&amp;M22, Reference!$EB$2:$EB$8000, 0)), 0)))</f>
        <v>280</v>
      </c>
      <c r="H22" s="37">
        <f>IF(AND(Builder!E2="Insurance / Org Tariff",IFERROR(INDEX(Reference!$EZ$2:$EZ$1000, MATCH(M22, Reference!$EX$2:$EX$1000, 0)), "No")="Yes"),0,E22*G22)</f>
        <v>280</v>
      </c>
      <c r="I22" s="38" t="s">
        <v>196</v>
      </c>
      <c r="J22" s="39">
        <f>IF(AND(Builder!E2="Insurance / Org Tariff",IFERROR(INDEX(Reference!$EZ$2:$EZ$1000, MATCH(M22, Reference!$EX$2:$EX$1000, 0)), "No")="Yes"),0,D22*G22)</f>
        <v>280</v>
      </c>
      <c r="K22" s="37">
        <f>IF(AND(Builder!E2="Insurance / Org Tariff",IFERROR(INDEX(Reference!$EZ$2:$EZ$1000, MATCH(M22, Reference!$EX$2:$EX$1000, 0)), "No")="Yes"),0,E22*G22)</f>
        <v>280</v>
      </c>
      <c r="L22" s="39">
        <f>IF(AND(Builder!E2="Insurance / Org Tariff",IFERROR(INDEX(Reference!$EZ$2:$EZ$1000, MATCH(M22, Reference!$EX$2:$EX$1000, 0)), "No")="Yes"),0,F22*G22)</f>
        <v>280</v>
      </c>
      <c r="M22" s="40" t="s">
        <v>269</v>
      </c>
    </row>
    <row r="23" ht="15" customHeight="1" spans="1:13" x14ac:dyDescent="0.25">
      <c r="A23" s="14" t="s">
        <v>270</v>
      </c>
      <c r="B23" s="14" t="s">
        <v>271</v>
      </c>
      <c r="C23" s="32">
        <f>IFERROR(INDEX(Reference!$CW$2:$CW$4000, MATCH(Builder!G6&amp;"|"&amp;M23, Reference!$CQ$2:$CQ$4000, 0)), 3.85)</f>
        <v>3.8461538461538463</v>
      </c>
      <c r="D23" s="32">
        <f>IFERROR(INDEX(Reference!$CX$2:$CX$4000, MATCH(Builder!G6&amp;"|"&amp;M23, Reference!$CQ$2:$CQ$4000, 0)), 1)</f>
        <v>1</v>
      </c>
      <c r="E23" s="32">
        <f>IFERROR(INDEX(Reference!$CY$2:$CY$4000, MATCH(Builder!G6&amp;"|"&amp;M23, Reference!$CQ$2:$CQ$4000, 0)), 1)</f>
        <v>1</v>
      </c>
      <c r="F23" s="32">
        <f>IFERROR(INDEX(Reference!$CZ$2:$CZ$4000, MATCH(Builder!G6&amp;"|"&amp;M23, Reference!$CQ$2:$CQ$4000, 0)), 1)</f>
        <v>1</v>
      </c>
      <c r="G23" s="32">
        <f>IF(Builder!B4="General",0+IFERROR(INDEX(Reference!$EG$2:$EG$8000, MATCH(Builder!E5&amp;"|"&amp;M23, Reference!$EB$2:$EB$8000, 0)), 0),IF(Builder!B4="Twin",0+IFERROR(INDEX(Reference!$EH$2:$EH$8000, MATCH(Builder!E5&amp;"|"&amp;M23, Reference!$EB$2:$EB$8000, 0)), 0),0+IFERROR(INDEX(Reference!$EI$2:$EI$8000, MATCH(Builder!E5&amp;"|"&amp;M23, Reference!$EB$2:$EB$8000, 0)), 0)))</f>
        <v>1710</v>
      </c>
      <c r="H23" s="37">
        <f>IF(AND(Builder!E2="Insurance / Org Tariff",IFERROR(INDEX(Reference!$EZ$2:$EZ$1000, MATCH(M23, Reference!$EX$2:$EX$1000, 0)), "No")="Yes"),0,E23*G23)</f>
        <v>1710</v>
      </c>
      <c r="I23" s="38" t="s">
        <v>196</v>
      </c>
      <c r="J23" s="39">
        <f>IF(AND(Builder!E2="Insurance / Org Tariff",IFERROR(INDEX(Reference!$EZ$2:$EZ$1000, MATCH(M23, Reference!$EX$2:$EX$1000, 0)), "No")="Yes"),0,D23*G23)</f>
        <v>1710</v>
      </c>
      <c r="K23" s="37">
        <f>IF(AND(Builder!E2="Insurance / Org Tariff",IFERROR(INDEX(Reference!$EZ$2:$EZ$1000, MATCH(M23, Reference!$EX$2:$EX$1000, 0)), "No")="Yes"),0,E23*G23)</f>
        <v>1710</v>
      </c>
      <c r="L23" s="39">
        <f>IF(AND(Builder!E2="Insurance / Org Tariff",IFERROR(INDEX(Reference!$EZ$2:$EZ$1000, MATCH(M23, Reference!$EX$2:$EX$1000, 0)), "No")="Yes"),0,F23*G23)</f>
        <v>1710</v>
      </c>
      <c r="M23" s="40" t="s">
        <v>272</v>
      </c>
    </row>
    <row r="24" ht="26.85" customHeight="1" spans="1:13" x14ac:dyDescent="0.25">
      <c r="A24" s="14" t="s">
        <v>273</v>
      </c>
      <c r="B24" s="14" t="s">
        <v>274</v>
      </c>
      <c r="C24" s="32">
        <f>IFERROR(INDEX(Reference!$CW$2:$CW$4000, MATCH(Builder!G6&amp;"|"&amp;M24, Reference!$CQ$2:$CQ$4000, 0)), 3.85)</f>
        <v>3.8461538461538463</v>
      </c>
      <c r="D24" s="32">
        <f>IFERROR(INDEX(Reference!$CX$2:$CX$4000, MATCH(Builder!G6&amp;"|"&amp;M24, Reference!$CQ$2:$CQ$4000, 0)), 1)</f>
        <v>1</v>
      </c>
      <c r="E24" s="32">
        <f>IFERROR(INDEX(Reference!$CY$2:$CY$4000, MATCH(Builder!G6&amp;"|"&amp;M24, Reference!$CQ$2:$CQ$4000, 0)), 1)</f>
        <v>1</v>
      </c>
      <c r="F24" s="32">
        <f>IFERROR(INDEX(Reference!$CZ$2:$CZ$4000, MATCH(Builder!G6&amp;"|"&amp;M24, Reference!$CQ$2:$CQ$4000, 0)), 1)</f>
        <v>1</v>
      </c>
      <c r="G24" s="32">
        <f>IF(Builder!B4="General",0+IFERROR(INDEX(Reference!$EG$2:$EG$8000, MATCH(Builder!E5&amp;"|"&amp;M24, Reference!$EB$2:$EB$8000, 0)), 0),IF(Builder!B4="Twin",0+IFERROR(INDEX(Reference!$EH$2:$EH$8000, MATCH(Builder!E5&amp;"|"&amp;M24, Reference!$EB$2:$EB$8000, 0)), 0),0+IFERROR(INDEX(Reference!$EI$2:$EI$8000, MATCH(Builder!E5&amp;"|"&amp;M24, Reference!$EB$2:$EB$8000, 0)), 0)))</f>
        <v>1200</v>
      </c>
      <c r="H24" s="37">
        <f>IF(AND(Builder!E2="Insurance / Org Tariff",IFERROR(INDEX(Reference!$EZ$2:$EZ$1000, MATCH(M24, Reference!$EX$2:$EX$1000, 0)), "No")="Yes"),0,E24*G24)</f>
        <v>1200</v>
      </c>
      <c r="I24" s="38" t="s">
        <v>196</v>
      </c>
      <c r="J24" s="39">
        <f>IF(AND(Builder!E2="Insurance / Org Tariff",IFERROR(INDEX(Reference!$EZ$2:$EZ$1000, MATCH(M24, Reference!$EX$2:$EX$1000, 0)), "No")="Yes"),0,D24*G24)</f>
        <v>1200</v>
      </c>
      <c r="K24" s="37">
        <f>IF(AND(Builder!E2="Insurance / Org Tariff",IFERROR(INDEX(Reference!$EZ$2:$EZ$1000, MATCH(M24, Reference!$EX$2:$EX$1000, 0)), "No")="Yes"),0,E24*G24)</f>
        <v>1200</v>
      </c>
      <c r="L24" s="39">
        <f>IF(AND(Builder!E2="Insurance / Org Tariff",IFERROR(INDEX(Reference!$EZ$2:$EZ$1000, MATCH(M24, Reference!$EX$2:$EX$1000, 0)), "No")="Yes"),0,F24*G24)</f>
        <v>1200</v>
      </c>
      <c r="M24" s="40" t="s">
        <v>275</v>
      </c>
    </row>
    <row r="25" ht="26.85" customHeight="1" spans="1:13" x14ac:dyDescent="0.25">
      <c r="A25" s="14" t="s">
        <v>276</v>
      </c>
      <c r="B25" s="14" t="s">
        <v>277</v>
      </c>
      <c r="C25" s="32">
        <f>IFERROR(INDEX(Reference!$CW$2:$CW$4000, MATCH(Builder!G6&amp;"|"&amp;M25, Reference!$CQ$2:$CQ$4000, 0)), 3.85)</f>
        <v>3.8461538461538463</v>
      </c>
      <c r="D25" s="32">
        <f>IFERROR(INDEX(Reference!$CX$2:$CX$4000, MATCH(Builder!G6&amp;"|"&amp;M25, Reference!$CQ$2:$CQ$4000, 0)), 1)</f>
        <v>1</v>
      </c>
      <c r="E25" s="32">
        <f>IFERROR(INDEX(Reference!$CY$2:$CY$4000, MATCH(Builder!G6&amp;"|"&amp;M25, Reference!$CQ$2:$CQ$4000, 0)), 1)</f>
        <v>1</v>
      </c>
      <c r="F25" s="32">
        <f>IFERROR(INDEX(Reference!$CZ$2:$CZ$4000, MATCH(Builder!G6&amp;"|"&amp;M25, Reference!$CQ$2:$CQ$4000, 0)), 1)</f>
        <v>1</v>
      </c>
      <c r="G25" s="32">
        <f>IF(Builder!B4="General",0+IFERROR(INDEX(Reference!$EG$2:$EG$8000, MATCH(Builder!E5&amp;"|"&amp;M25, Reference!$EB$2:$EB$8000, 0)), 0),IF(Builder!B4="Twin",0+IFERROR(INDEX(Reference!$EH$2:$EH$8000, MATCH(Builder!E5&amp;"|"&amp;M25, Reference!$EB$2:$EB$8000, 0)), 0),0+IFERROR(INDEX(Reference!$EI$2:$EI$8000, MATCH(Builder!E5&amp;"|"&amp;M25, Reference!$EB$2:$EB$8000, 0)), 0)))</f>
        <v>1110</v>
      </c>
      <c r="H25" s="37">
        <f>IF(AND(Builder!E2="Insurance / Org Tariff",IFERROR(INDEX(Reference!$EZ$2:$EZ$1000, MATCH(M25, Reference!$EX$2:$EX$1000, 0)), "No")="Yes"),0,E25*G25)</f>
        <v>1110</v>
      </c>
      <c r="I25" s="38" t="s">
        <v>196</v>
      </c>
      <c r="J25" s="39">
        <f>IF(AND(Builder!E2="Insurance / Org Tariff",IFERROR(INDEX(Reference!$EZ$2:$EZ$1000, MATCH(M25, Reference!$EX$2:$EX$1000, 0)), "No")="Yes"),0,D25*G25)</f>
        <v>1110</v>
      </c>
      <c r="K25" s="37">
        <f>IF(AND(Builder!E2="Insurance / Org Tariff",IFERROR(INDEX(Reference!$EZ$2:$EZ$1000, MATCH(M25, Reference!$EX$2:$EX$1000, 0)), "No")="Yes"),0,E25*G25)</f>
        <v>1110</v>
      </c>
      <c r="L25" s="39">
        <f>IF(AND(Builder!E2="Insurance / Org Tariff",IFERROR(INDEX(Reference!$EZ$2:$EZ$1000, MATCH(M25, Reference!$EX$2:$EX$1000, 0)), "No")="Yes"),0,F25*G25)</f>
        <v>1110</v>
      </c>
      <c r="M25" s="40" t="s">
        <v>278</v>
      </c>
    </row>
    <row r="26" ht="26.85" customHeight="1" spans="1:13" x14ac:dyDescent="0.25">
      <c r="A26" s="14" t="s">
        <v>279</v>
      </c>
      <c r="B26" s="14" t="s">
        <v>248</v>
      </c>
      <c r="C26" s="32">
        <f>IFERROR(INDEX(Reference!$CW$2:$CW$4000, MATCH(Builder!G6&amp;"|"&amp;M26, Reference!$CQ$2:$CQ$4000, 0)), 3.85)</f>
        <v>3.8461538461538463</v>
      </c>
      <c r="D26" s="32">
        <f>IFERROR(INDEX(Reference!$CX$2:$CX$4000, MATCH(Builder!G6&amp;"|"&amp;M26, Reference!$CQ$2:$CQ$4000, 0)), 1)</f>
        <v>1</v>
      </c>
      <c r="E26" s="32">
        <f>IFERROR(INDEX(Reference!$CY$2:$CY$4000, MATCH(Builder!G6&amp;"|"&amp;M26, Reference!$CQ$2:$CQ$4000, 0)), 1)</f>
        <v>1</v>
      </c>
      <c r="F26" s="32">
        <f>IFERROR(INDEX(Reference!$CZ$2:$CZ$4000, MATCH(Builder!G6&amp;"|"&amp;M26, Reference!$CQ$2:$CQ$4000, 0)), 1)</f>
        <v>1</v>
      </c>
      <c r="G26" s="32">
        <f>IF(Builder!B4="General",0+IFERROR(INDEX(Reference!$EG$2:$EG$8000, MATCH(Builder!E5&amp;"|"&amp;M26, Reference!$EB$2:$EB$8000, 0)), 0),IF(Builder!B4="Twin",0+IFERROR(INDEX(Reference!$EH$2:$EH$8000, MATCH(Builder!E5&amp;"|"&amp;M26, Reference!$EB$2:$EB$8000, 0)), 0),0+IFERROR(INDEX(Reference!$EI$2:$EI$8000, MATCH(Builder!E5&amp;"|"&amp;M26, Reference!$EB$2:$EB$8000, 0)), 0)))</f>
        <v>1020</v>
      </c>
      <c r="H26" s="37">
        <f>IF(AND(Builder!E2="Insurance / Org Tariff",IFERROR(INDEX(Reference!$EZ$2:$EZ$1000, MATCH(M26, Reference!$EX$2:$EX$1000, 0)), "No")="Yes"),0,E26*G26)</f>
        <v>1020</v>
      </c>
      <c r="I26" s="38" t="s">
        <v>196</v>
      </c>
      <c r="J26" s="39">
        <f>IF(AND(Builder!E2="Insurance / Org Tariff",IFERROR(INDEX(Reference!$EZ$2:$EZ$1000, MATCH(M26, Reference!$EX$2:$EX$1000, 0)), "No")="Yes"),0,D26*G26)</f>
        <v>1020</v>
      </c>
      <c r="K26" s="37">
        <f>IF(AND(Builder!E2="Insurance / Org Tariff",IFERROR(INDEX(Reference!$EZ$2:$EZ$1000, MATCH(M26, Reference!$EX$2:$EX$1000, 0)), "No")="Yes"),0,E26*G26)</f>
        <v>1020</v>
      </c>
      <c r="L26" s="39">
        <f>IF(AND(Builder!E2="Insurance / Org Tariff",IFERROR(INDEX(Reference!$EZ$2:$EZ$1000, MATCH(M26, Reference!$EX$2:$EX$1000, 0)), "No")="Yes"),0,F26*G26)</f>
        <v>1020</v>
      </c>
      <c r="M26" s="40" t="s">
        <v>280</v>
      </c>
    </row>
    <row r="27" ht="26.85" customHeight="1" spans="1:13" x14ac:dyDescent="0.25">
      <c r="A27" s="14" t="s">
        <v>281</v>
      </c>
      <c r="B27" s="14" t="s">
        <v>282</v>
      </c>
      <c r="C27" s="32">
        <f>IFERROR(INDEX(Reference!$CW$2:$CW$4000, MATCH(Builder!G6&amp;"|"&amp;M27, Reference!$CQ$2:$CQ$4000, 0)), 7.69)</f>
        <v>7.6923076923076925</v>
      </c>
      <c r="D27" s="32">
        <f>IFERROR(INDEX(Reference!$CX$2:$CX$4000, MATCH(Builder!G6&amp;"|"&amp;M27, Reference!$CQ$2:$CQ$4000, 0)), 1)</f>
        <v>1</v>
      </c>
      <c r="E27" s="32">
        <f>IFERROR(INDEX(Reference!$CY$2:$CY$4000, MATCH(Builder!G6&amp;"|"&amp;M27, Reference!$CQ$2:$CQ$4000, 0)), 1)</f>
        <v>1</v>
      </c>
      <c r="F27" s="32">
        <f>IFERROR(INDEX(Reference!$CZ$2:$CZ$4000, MATCH(Builder!G6&amp;"|"&amp;M27, Reference!$CQ$2:$CQ$4000, 0)), 1)</f>
        <v>1</v>
      </c>
      <c r="G27" s="32">
        <f>IF(Builder!B4="General",0+IFERROR(INDEX(Reference!$EG$2:$EG$8000, MATCH(Builder!E5&amp;"|"&amp;M27, Reference!$EB$2:$EB$8000, 0)), 0),IF(Builder!B4="Twin",0+IFERROR(INDEX(Reference!$EH$2:$EH$8000, MATCH(Builder!E5&amp;"|"&amp;M27, Reference!$EB$2:$EB$8000, 0)), 0),0+IFERROR(INDEX(Reference!$EI$2:$EI$8000, MATCH(Builder!E5&amp;"|"&amp;M27, Reference!$EB$2:$EB$8000, 0)), 0)))</f>
        <v>430</v>
      </c>
      <c r="H27" s="37">
        <f>IF(AND(Builder!E2="Insurance / Org Tariff",IFERROR(INDEX(Reference!$EZ$2:$EZ$1000, MATCH(M27, Reference!$EX$2:$EX$1000, 0)), "No")="Yes"),0,E27*G27)</f>
        <v>430</v>
      </c>
      <c r="I27" s="38" t="s">
        <v>196</v>
      </c>
      <c r="J27" s="39">
        <f>IF(AND(Builder!E2="Insurance / Org Tariff",IFERROR(INDEX(Reference!$EZ$2:$EZ$1000, MATCH(M27, Reference!$EX$2:$EX$1000, 0)), "No")="Yes"),0,D27*G27)</f>
        <v>430</v>
      </c>
      <c r="K27" s="37">
        <f>IF(AND(Builder!E2="Insurance / Org Tariff",IFERROR(INDEX(Reference!$EZ$2:$EZ$1000, MATCH(M27, Reference!$EX$2:$EX$1000, 0)), "No")="Yes"),0,E27*G27)</f>
        <v>430</v>
      </c>
      <c r="L27" s="39">
        <f>IF(AND(Builder!E2="Insurance / Org Tariff",IFERROR(INDEX(Reference!$EZ$2:$EZ$1000, MATCH(M27, Reference!$EX$2:$EX$1000, 0)), "No")="Yes"),0,F27*G27)</f>
        <v>430</v>
      </c>
      <c r="M27" s="40" t="s">
        <v>283</v>
      </c>
    </row>
    <row r="28" ht="26.85" customHeight="1" spans="1:13" x14ac:dyDescent="0.25">
      <c r="A28" s="14" t="s">
        <v>284</v>
      </c>
      <c r="B28" s="14" t="s">
        <v>285</v>
      </c>
      <c r="C28" s="32">
        <f>IFERROR(INDEX(Reference!$CW$2:$CW$4000, MATCH(Builder!G6&amp;"|"&amp;M28, Reference!$CQ$2:$CQ$4000, 0)), 3.85)</f>
        <v>3.8461538461538463</v>
      </c>
      <c r="D28" s="32">
        <f>IFERROR(INDEX(Reference!$CX$2:$CX$4000, MATCH(Builder!G6&amp;"|"&amp;M28, Reference!$CQ$2:$CQ$4000, 0)), 1)</f>
        <v>1</v>
      </c>
      <c r="E28" s="32">
        <f>IFERROR(INDEX(Reference!$CY$2:$CY$4000, MATCH(Builder!G6&amp;"|"&amp;M28, Reference!$CQ$2:$CQ$4000, 0)), 1)</f>
        <v>1</v>
      </c>
      <c r="F28" s="32">
        <f>IFERROR(INDEX(Reference!$CZ$2:$CZ$4000, MATCH(Builder!G6&amp;"|"&amp;M28, Reference!$CQ$2:$CQ$4000, 0)), 1)</f>
        <v>1</v>
      </c>
      <c r="G28" s="32">
        <f>IF(Builder!B4="General",0+IFERROR(INDEX(Reference!$EG$2:$EG$8000, MATCH(Builder!E5&amp;"|"&amp;M28, Reference!$EB$2:$EB$8000, 0)), 0),IF(Builder!B4="Twin",0+IFERROR(INDEX(Reference!$EH$2:$EH$8000, MATCH(Builder!E5&amp;"|"&amp;M28, Reference!$EB$2:$EB$8000, 0)), 0),0+IFERROR(INDEX(Reference!$EI$2:$EI$8000, MATCH(Builder!E5&amp;"|"&amp;M28, Reference!$EB$2:$EB$8000, 0)), 0)))</f>
        <v>810</v>
      </c>
      <c r="H28" s="37">
        <f>IF(AND(Builder!E2="Insurance / Org Tariff",IFERROR(INDEX(Reference!$EZ$2:$EZ$1000, MATCH(M28, Reference!$EX$2:$EX$1000, 0)), "No")="Yes"),0,E28*G28)</f>
        <v>810</v>
      </c>
      <c r="I28" s="38" t="s">
        <v>196</v>
      </c>
      <c r="J28" s="39">
        <f>IF(AND(Builder!E2="Insurance / Org Tariff",IFERROR(INDEX(Reference!$EZ$2:$EZ$1000, MATCH(M28, Reference!$EX$2:$EX$1000, 0)), "No")="Yes"),0,D28*G28)</f>
        <v>810</v>
      </c>
      <c r="K28" s="37">
        <f>IF(AND(Builder!E2="Insurance / Org Tariff",IFERROR(INDEX(Reference!$EZ$2:$EZ$1000, MATCH(M28, Reference!$EX$2:$EX$1000, 0)), "No")="Yes"),0,E28*G28)</f>
        <v>810</v>
      </c>
      <c r="L28" s="39">
        <f>IF(AND(Builder!E2="Insurance / Org Tariff",IFERROR(INDEX(Reference!$EZ$2:$EZ$1000, MATCH(M28, Reference!$EX$2:$EX$1000, 0)), "No")="Yes"),0,F28*G28)</f>
        <v>810</v>
      </c>
      <c r="M28" s="40" t="s">
        <v>286</v>
      </c>
    </row>
    <row r="29" ht="26.85" customHeight="1" spans="1:13" x14ac:dyDescent="0.25">
      <c r="A29" s="14" t="s">
        <v>287</v>
      </c>
      <c r="B29" s="14" t="s">
        <v>236</v>
      </c>
      <c r="C29" s="32">
        <f>IFERROR(INDEX(Reference!$CW$2:$CW$4000, MATCH(Builder!G6&amp;"|"&amp;M29, Reference!$CQ$2:$CQ$4000, 0)), 3.85)</f>
        <v>3.8461538461538463</v>
      </c>
      <c r="D29" s="32">
        <f>IFERROR(INDEX(Reference!$CX$2:$CX$4000, MATCH(Builder!G6&amp;"|"&amp;M29, Reference!$CQ$2:$CQ$4000, 0)), 1)</f>
        <v>1</v>
      </c>
      <c r="E29" s="32">
        <f>IFERROR(INDEX(Reference!$CY$2:$CY$4000, MATCH(Builder!G6&amp;"|"&amp;M29, Reference!$CQ$2:$CQ$4000, 0)), 1)</f>
        <v>1</v>
      </c>
      <c r="F29" s="32">
        <f>IFERROR(INDEX(Reference!$CZ$2:$CZ$4000, MATCH(Builder!G6&amp;"|"&amp;M29, Reference!$CQ$2:$CQ$4000, 0)), 1)</f>
        <v>1</v>
      </c>
      <c r="G29" s="32">
        <f>IF(Builder!B4="General",0+IFERROR(INDEX(Reference!$EG$2:$EG$8000, MATCH(Builder!E5&amp;"|"&amp;M29, Reference!$EB$2:$EB$8000, 0)), 0),IF(Builder!B4="Twin",0+IFERROR(INDEX(Reference!$EH$2:$EH$8000, MATCH(Builder!E5&amp;"|"&amp;M29, Reference!$EB$2:$EB$8000, 0)), 0),0+IFERROR(INDEX(Reference!$EI$2:$EI$8000, MATCH(Builder!E5&amp;"|"&amp;M29, Reference!$EB$2:$EB$8000, 0)), 0)))</f>
        <v>580</v>
      </c>
      <c r="H29" s="37">
        <f>IF(AND(Builder!E2="Insurance / Org Tariff",IFERROR(INDEX(Reference!$EZ$2:$EZ$1000, MATCH(M29, Reference!$EX$2:$EX$1000, 0)), "No")="Yes"),0,E29*G29)</f>
        <v>580</v>
      </c>
      <c r="I29" s="38" t="s">
        <v>196</v>
      </c>
      <c r="J29" s="39">
        <f>IF(AND(Builder!E2="Insurance / Org Tariff",IFERROR(INDEX(Reference!$EZ$2:$EZ$1000, MATCH(M29, Reference!$EX$2:$EX$1000, 0)), "No")="Yes"),0,D29*G29)</f>
        <v>580</v>
      </c>
      <c r="K29" s="37">
        <f>IF(AND(Builder!E2="Insurance / Org Tariff",IFERROR(INDEX(Reference!$EZ$2:$EZ$1000, MATCH(M29, Reference!$EX$2:$EX$1000, 0)), "No")="Yes"),0,E29*G29)</f>
        <v>580</v>
      </c>
      <c r="L29" s="39">
        <f>IF(AND(Builder!E2="Insurance / Org Tariff",IFERROR(INDEX(Reference!$EZ$2:$EZ$1000, MATCH(M29, Reference!$EX$2:$EX$1000, 0)), "No")="Yes"),0,F29*G29)</f>
        <v>580</v>
      </c>
      <c r="M29" s="40" t="s">
        <v>288</v>
      </c>
    </row>
    <row r="30" ht="15" customHeight="1" spans="1:13" x14ac:dyDescent="0.25">
      <c r="A30" s="14" t="s">
        <v>289</v>
      </c>
      <c r="B30" s="14" t="s">
        <v>289</v>
      </c>
      <c r="C30" s="32">
        <f>IFERROR(INDEX(Reference!$CW$2:$CW$4000, MATCH(Builder!G6&amp;"|"&amp;M30, Reference!$CQ$2:$CQ$4000, 0)), 3.85)</f>
        <v>3.8461538461538463</v>
      </c>
      <c r="D30" s="32">
        <f>IFERROR(INDEX(Reference!$CX$2:$CX$4000, MATCH(Builder!G6&amp;"|"&amp;M30, Reference!$CQ$2:$CQ$4000, 0)), 1)</f>
        <v>1</v>
      </c>
      <c r="E30" s="32">
        <f>IFERROR(INDEX(Reference!$CY$2:$CY$4000, MATCH(Builder!G6&amp;"|"&amp;M30, Reference!$CQ$2:$CQ$4000, 0)), 1)</f>
        <v>1</v>
      </c>
      <c r="F30" s="32">
        <f>IFERROR(INDEX(Reference!$CZ$2:$CZ$4000, MATCH(Builder!G6&amp;"|"&amp;M30, Reference!$CQ$2:$CQ$4000, 0)), 1)</f>
        <v>1</v>
      </c>
      <c r="G30" s="32">
        <f>IF(Builder!B4="General",0+IFERROR(INDEX(Reference!$EG$2:$EG$8000, MATCH(Builder!E5&amp;"|"&amp;M30, Reference!$EB$2:$EB$8000, 0)), 0),IF(Builder!B4="Twin",0+IFERROR(INDEX(Reference!$EH$2:$EH$8000, MATCH(Builder!E5&amp;"|"&amp;M30, Reference!$EB$2:$EB$8000, 0)), 0),0+IFERROR(INDEX(Reference!$EI$2:$EI$8000, MATCH(Builder!E5&amp;"|"&amp;M30, Reference!$EB$2:$EB$8000, 0)), 0)))</f>
        <v>500</v>
      </c>
      <c r="H30" s="37">
        <f>IF(AND(Builder!E2="Insurance / Org Tariff",IFERROR(INDEX(Reference!$EZ$2:$EZ$1000, MATCH(M30, Reference!$EX$2:$EX$1000, 0)), "No")="Yes"),0,E30*G30)</f>
        <v>500</v>
      </c>
      <c r="I30" s="38" t="s">
        <v>196</v>
      </c>
      <c r="J30" s="39">
        <f>IF(AND(Builder!E2="Insurance / Org Tariff",IFERROR(INDEX(Reference!$EZ$2:$EZ$1000, MATCH(M30, Reference!$EX$2:$EX$1000, 0)), "No")="Yes"),0,D30*G30)</f>
        <v>500</v>
      </c>
      <c r="K30" s="37">
        <f>IF(AND(Builder!E2="Insurance / Org Tariff",IFERROR(INDEX(Reference!$EZ$2:$EZ$1000, MATCH(M30, Reference!$EX$2:$EX$1000, 0)), "No")="Yes"),0,E30*G30)</f>
        <v>500</v>
      </c>
      <c r="L30" s="39">
        <f>IF(AND(Builder!E2="Insurance / Org Tariff",IFERROR(INDEX(Reference!$EZ$2:$EZ$1000, MATCH(M30, Reference!$EX$2:$EX$1000, 0)), "No")="Yes"),0,F30*G30)</f>
        <v>500</v>
      </c>
      <c r="M30" s="40" t="s">
        <v>290</v>
      </c>
    </row>
    <row r="31" ht="15" customHeight="1" spans="1:13" x14ac:dyDescent="0.25">
      <c r="A31" s="14" t="s">
        <v>291</v>
      </c>
      <c r="B31" s="14" t="s">
        <v>292</v>
      </c>
      <c r="C31" s="32">
        <f>IFERROR(INDEX(Reference!$CW$2:$CW$4000, MATCH(Builder!G6&amp;"|"&amp;M31, Reference!$CQ$2:$CQ$4000, 0)), 3.85)</f>
        <v>3.8461538461538463</v>
      </c>
      <c r="D31" s="32">
        <f>IFERROR(INDEX(Reference!$CX$2:$CX$4000, MATCH(Builder!G6&amp;"|"&amp;M31, Reference!$CQ$2:$CQ$4000, 0)), 1)</f>
        <v>1</v>
      </c>
      <c r="E31" s="32">
        <f>IFERROR(INDEX(Reference!$CY$2:$CY$4000, MATCH(Builder!G6&amp;"|"&amp;M31, Reference!$CQ$2:$CQ$4000, 0)), 1)</f>
        <v>1</v>
      </c>
      <c r="F31" s="32">
        <f>IFERROR(INDEX(Reference!$CZ$2:$CZ$4000, MATCH(Builder!G6&amp;"|"&amp;M31, Reference!$CQ$2:$CQ$4000, 0)), 1)</f>
        <v>1</v>
      </c>
      <c r="G31" s="32">
        <f>IF(Builder!B4="General",0+IFERROR(INDEX(Reference!$EG$2:$EG$8000, MATCH(Builder!E5&amp;"|"&amp;M31, Reference!$EB$2:$EB$8000, 0)), 0),IF(Builder!B4="Twin",0+IFERROR(INDEX(Reference!$EH$2:$EH$8000, MATCH(Builder!E5&amp;"|"&amp;M31, Reference!$EB$2:$EB$8000, 0)), 0),0+IFERROR(INDEX(Reference!$EI$2:$EI$8000, MATCH(Builder!E5&amp;"|"&amp;M31, Reference!$EB$2:$EB$8000, 0)), 0)))</f>
        <v>400</v>
      </c>
      <c r="H31" s="37">
        <f>IF(AND(Builder!E2="Insurance / Org Tariff",IFERROR(INDEX(Reference!$EZ$2:$EZ$1000, MATCH(M31, Reference!$EX$2:$EX$1000, 0)), "No")="Yes"),0,E31*G31)</f>
        <v>400</v>
      </c>
      <c r="I31" s="38" t="s">
        <v>196</v>
      </c>
      <c r="J31" s="39">
        <f>IF(AND(Builder!E2="Insurance / Org Tariff",IFERROR(INDEX(Reference!$EZ$2:$EZ$1000, MATCH(M31, Reference!$EX$2:$EX$1000, 0)), "No")="Yes"),0,D31*G31)</f>
        <v>400</v>
      </c>
      <c r="K31" s="37">
        <f>IF(AND(Builder!E2="Insurance / Org Tariff",IFERROR(INDEX(Reference!$EZ$2:$EZ$1000, MATCH(M31, Reference!$EX$2:$EX$1000, 0)), "No")="Yes"),0,E31*G31)</f>
        <v>400</v>
      </c>
      <c r="L31" s="39">
        <f>IF(AND(Builder!E2="Insurance / Org Tariff",IFERROR(INDEX(Reference!$EZ$2:$EZ$1000, MATCH(M31, Reference!$EX$2:$EX$1000, 0)), "No")="Yes"),0,F31*G31)</f>
        <v>400</v>
      </c>
      <c r="M31" s="40" t="s">
        <v>293</v>
      </c>
    </row>
    <row r="32" ht="26.85" customHeight="1" spans="1:13" x14ac:dyDescent="0.25">
      <c r="A32" s="14" t="s">
        <v>294</v>
      </c>
      <c r="B32" s="14" t="s">
        <v>295</v>
      </c>
      <c r="C32" s="32">
        <f>IFERROR(INDEX(Reference!$CW$2:$CW$4000, MATCH(Builder!G6&amp;"|"&amp;M32, Reference!$CQ$2:$CQ$4000, 0)), 7.69)</f>
        <v>7.6923076923076925</v>
      </c>
      <c r="D32" s="32">
        <f>IFERROR(INDEX(Reference!$CX$2:$CX$4000, MATCH(Builder!G6&amp;"|"&amp;M32, Reference!$CQ$2:$CQ$4000, 0)), 1)</f>
        <v>1</v>
      </c>
      <c r="E32" s="32">
        <f>IFERROR(INDEX(Reference!$CY$2:$CY$4000, MATCH(Builder!G6&amp;"|"&amp;M32, Reference!$CQ$2:$CQ$4000, 0)), 1)</f>
        <v>1</v>
      </c>
      <c r="F32" s="32">
        <f>IFERROR(INDEX(Reference!$CZ$2:$CZ$4000, MATCH(Builder!G6&amp;"|"&amp;M32, Reference!$CQ$2:$CQ$4000, 0)), 1)</f>
        <v>1</v>
      </c>
      <c r="G32" s="32">
        <f>IF(Builder!B4="General",0+IFERROR(INDEX(Reference!$EG$2:$EG$8000, MATCH(Builder!E5&amp;"|"&amp;M32, Reference!$EB$2:$EB$8000, 0)), 0),IF(Builder!B4="Twin",0+IFERROR(INDEX(Reference!$EH$2:$EH$8000, MATCH(Builder!E5&amp;"|"&amp;M32, Reference!$EB$2:$EB$8000, 0)), 0),0+IFERROR(INDEX(Reference!$EI$2:$EI$8000, MATCH(Builder!E5&amp;"|"&amp;M32, Reference!$EB$2:$EB$8000, 0)), 0)))</f>
        <v>150</v>
      </c>
      <c r="H32" s="37">
        <f>IF(AND(Builder!E2="Insurance / Org Tariff",IFERROR(INDEX(Reference!$EZ$2:$EZ$1000, MATCH(M32, Reference!$EX$2:$EX$1000, 0)), "No")="Yes"),0,E32*G32)</f>
        <v>150</v>
      </c>
      <c r="I32" s="38" t="s">
        <v>196</v>
      </c>
      <c r="J32" s="39">
        <f>IF(AND(Builder!E2="Insurance / Org Tariff",IFERROR(INDEX(Reference!$EZ$2:$EZ$1000, MATCH(M32, Reference!$EX$2:$EX$1000, 0)), "No")="Yes"),0,D32*G32)</f>
        <v>150</v>
      </c>
      <c r="K32" s="37">
        <f>IF(AND(Builder!E2="Insurance / Org Tariff",IFERROR(INDEX(Reference!$EZ$2:$EZ$1000, MATCH(M32, Reference!$EX$2:$EX$1000, 0)), "No")="Yes"),0,E32*G32)</f>
        <v>150</v>
      </c>
      <c r="L32" s="39">
        <f>IF(AND(Builder!E2="Insurance / Org Tariff",IFERROR(INDEX(Reference!$EZ$2:$EZ$1000, MATCH(M32, Reference!$EX$2:$EX$1000, 0)), "No")="Yes"),0,F32*G32)</f>
        <v>150</v>
      </c>
      <c r="M32" s="40" t="s">
        <v>296</v>
      </c>
    </row>
    <row r="33" ht="26.85" customHeight="1" spans="1:13" x14ac:dyDescent="0.25">
      <c r="A33" s="14" t="s">
        <v>297</v>
      </c>
      <c r="B33" s="14" t="s">
        <v>274</v>
      </c>
      <c r="C33" s="32">
        <f>IFERROR(INDEX(Reference!$CW$2:$CW$4000, MATCH(Builder!G6&amp;"|"&amp;M33, Reference!$CQ$2:$CQ$4000, 0)), 7.69)</f>
        <v>7.6923076923076925</v>
      </c>
      <c r="D33" s="32">
        <f>IFERROR(INDEX(Reference!$CX$2:$CX$4000, MATCH(Builder!G6&amp;"|"&amp;M33, Reference!$CQ$2:$CQ$4000, 0)), 1)</f>
        <v>1</v>
      </c>
      <c r="E33" s="32">
        <f>IFERROR(INDEX(Reference!$CY$2:$CY$4000, MATCH(Builder!G6&amp;"|"&amp;M33, Reference!$CQ$2:$CQ$4000, 0)), 1)</f>
        <v>1</v>
      </c>
      <c r="F33" s="32">
        <f>IFERROR(INDEX(Reference!$CZ$2:$CZ$4000, MATCH(Builder!G6&amp;"|"&amp;M33, Reference!$CQ$2:$CQ$4000, 0)), 1)</f>
        <v>1</v>
      </c>
      <c r="G33" s="32">
        <f>IF(Builder!B4="General",0+IFERROR(INDEX(Reference!$EG$2:$EG$8000, MATCH(Builder!E5&amp;"|"&amp;M33, Reference!$EB$2:$EB$8000, 0)), 0),IF(Builder!B4="Twin",0+IFERROR(INDEX(Reference!$EH$2:$EH$8000, MATCH(Builder!E5&amp;"|"&amp;M33, Reference!$EB$2:$EB$8000, 0)), 0),0+IFERROR(INDEX(Reference!$EI$2:$EI$8000, MATCH(Builder!E5&amp;"|"&amp;M33, Reference!$EB$2:$EB$8000, 0)), 0)))</f>
        <v>1</v>
      </c>
      <c r="H33" s="37">
        <f>IF(AND(Builder!E2="Insurance / Org Tariff",IFERROR(INDEX(Reference!$EZ$2:$EZ$1000, MATCH(M33, Reference!$EX$2:$EX$1000, 0)), "No")="Yes"),0,E33*G33)</f>
        <v>1</v>
      </c>
      <c r="I33" s="38" t="s">
        <v>196</v>
      </c>
      <c r="J33" s="39">
        <f>IF(AND(Builder!E2="Insurance / Org Tariff",IFERROR(INDEX(Reference!$EZ$2:$EZ$1000, MATCH(M33, Reference!$EX$2:$EX$1000, 0)), "No")="Yes"),0,D33*G33)</f>
        <v>1</v>
      </c>
      <c r="K33" s="37">
        <f>IF(AND(Builder!E2="Insurance / Org Tariff",IFERROR(INDEX(Reference!$EZ$2:$EZ$1000, MATCH(M33, Reference!$EX$2:$EX$1000, 0)), "No")="Yes"),0,E33*G33)</f>
        <v>1</v>
      </c>
      <c r="L33" s="39">
        <f>IF(AND(Builder!E2="Insurance / Org Tariff",IFERROR(INDEX(Reference!$EZ$2:$EZ$1000, MATCH(M33, Reference!$EX$2:$EX$1000, 0)), "No")="Yes"),0,F33*G33)</f>
        <v>1</v>
      </c>
      <c r="M33" s="40" t="s">
        <v>298</v>
      </c>
    </row>
  </sheetData>
  <dataValidations count="2">
    <dataValidation type="list" sqref="I10:I33">
      <formula1>"Include,Exclude"</formula1>
    </dataValidation>
    <dataValidation type="list" sqref="I7:I33">
      <formula1>"Include,Exclude"</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howGridLines="0" zoomScale="100"/>
  </sheetViews>
  <sheetFormatPr defaultRowHeight="15" outlineLevelRow="0" outlineLevelCol="0" x14ac:dyDescent="55"/>
  <cols>
    <col min="1" max="1" width="30" customWidth="1"/>
    <col min="2" max="2" width="22" customWidth="1"/>
    <col min="3" max="3" width="14" customWidth="1"/>
    <col min="4" max="4" width="16" customWidth="1"/>
    <col min="12" max="12" width="12" customWidth="1"/>
    <col min="13" max="13" width="16" customWidth="1"/>
    <col min="14" max="14" width="34" customWidth="1"/>
    <col min="15" max="15" width="13" hidden="1" customWidth="1"/>
  </cols>
  <sheetData>
    <row r="1" ht="15" customHeight="1" spans="1:14" x14ac:dyDescent="0.25">
      <c r="A1" s="1" t="s">
        <v>299</v>
      </c>
      <c r="B1" s="1"/>
      <c r="C1" s="1"/>
      <c r="D1" s="1"/>
      <c r="E1" s="1"/>
      <c r="F1" s="1"/>
      <c r="G1" s="1"/>
      <c r="H1" s="1"/>
      <c r="I1" s="1"/>
      <c r="J1" s="1"/>
      <c r="K1" s="1"/>
      <c r="L1" s="1"/>
      <c r="M1" s="1"/>
      <c r="N1" s="1"/>
    </row>
    <row r="2" ht="115.65" customHeight="1" spans="1:14" x14ac:dyDescent="0.25">
      <c r="A2" s="14" t="s">
        <v>300</v>
      </c>
      <c r="B2" s="14"/>
      <c r="C2" s="14"/>
      <c r="D2" s="14"/>
      <c r="E2" s="14"/>
      <c r="F2" s="14"/>
      <c r="G2" s="14"/>
      <c r="H2" s="14"/>
      <c r="I2" s="14"/>
      <c r="J2" s="14"/>
      <c r="K2" s="14"/>
      <c r="L2" s="14"/>
      <c r="M2" s="14"/>
      <c r="N2" s="14"/>
    </row>
    <row r="4" ht="15" customHeight="1" spans="1:5" x14ac:dyDescent="0.25">
      <c r="A4" s="18" t="s">
        <v>299</v>
      </c>
      <c r="B4" s="18" t="s">
        <v>60</v>
      </c>
      <c r="C4" s="18" t="s">
        <v>15</v>
      </c>
      <c r="D4" s="18" t="s">
        <v>61</v>
      </c>
      <c r="E4" s="41" t="s">
        <v>301</v>
      </c>
    </row>
    <row r="5" ht="15" customHeight="1" spans="1:5" x14ac:dyDescent="0.25">
      <c r="A5" s="16"/>
      <c r="B5" s="16">
        <f>SUMIF(L7:L9,"Include",I7:I9)</f>
        <v>6042.5</v>
      </c>
      <c r="C5" s="16">
        <f>SUMIF(L7:L9,"Include",J7:J9)</f>
        <v>7280</v>
      </c>
      <c r="D5" s="16">
        <f>SUMIF(L7:L9,"Include",K7:K9)</f>
        <v>7830</v>
      </c>
      <c r="E5" s="42">
        <f>COUNTIF(L7:L9,"Include")</f>
        <v>3</v>
      </c>
    </row>
    <row r="6" ht="39.55" customHeight="1" spans="1:14" x14ac:dyDescent="0.25">
      <c r="A6" s="36" t="s">
        <v>210</v>
      </c>
      <c r="B6" s="36" t="s">
        <v>302</v>
      </c>
      <c r="C6" s="36" t="s">
        <v>303</v>
      </c>
      <c r="D6" s="36" t="s">
        <v>304</v>
      </c>
      <c r="E6" s="36" t="s">
        <v>305</v>
      </c>
      <c r="F6" s="36" t="s">
        <v>306</v>
      </c>
      <c r="G6" s="36" t="s">
        <v>307</v>
      </c>
      <c r="H6" s="36" t="s">
        <v>308</v>
      </c>
      <c r="I6" s="36" t="s">
        <v>309</v>
      </c>
      <c r="J6" s="36" t="s">
        <v>310</v>
      </c>
      <c r="K6" s="36" t="s">
        <v>311</v>
      </c>
      <c r="L6" s="36" t="s">
        <v>165</v>
      </c>
      <c r="M6" s="36" t="s">
        <v>312</v>
      </c>
      <c r="N6" s="36" t="s">
        <v>313</v>
      </c>
    </row>
    <row r="7" ht="15" customHeight="1" spans="1:17" x14ac:dyDescent="0.25">
      <c r="A7" s="14" t="s">
        <v>221</v>
      </c>
      <c r="B7" s="14" t="s">
        <v>81</v>
      </c>
      <c r="C7" s="33">
        <v>0.6154</v>
      </c>
      <c r="D7" s="32">
        <v>4722.5</v>
      </c>
      <c r="E7" s="32">
        <v>5590</v>
      </c>
      <c r="F7" s="32">
        <v>5800</v>
      </c>
      <c r="G7" s="32">
        <v>0</v>
      </c>
      <c r="H7" s="39">
        <f>IF(Builder!B5="Low",O7,IF(Builder!B5="Typical",P7,Q7))</f>
        <v>0</v>
      </c>
      <c r="I7" s="39">
        <f>MAX(0,D7-G7-O7)</f>
        <v>4722.5</v>
      </c>
      <c r="J7" s="37">
        <f>MAX(0,E7-G7-P7)</f>
        <v>5590</v>
      </c>
      <c r="K7" s="39">
        <f>MAX(0,F7-G7-Q7)</f>
        <v>5800</v>
      </c>
      <c r="L7" s="38" t="s">
        <v>314</v>
      </c>
      <c r="M7" s="37">
        <f>IF(L7="Include",IF(Builder!B5="Low",I7,IF(Builder!B5="Typical",J7,K7)),0)</f>
        <v>5590</v>
      </c>
      <c r="N7" s="14" t="s">
        <v>315</v>
      </c>
      <c r="O7" s="41">
        <f>SUMIFS('Service Add-Ons'!$J:$J,'Service Add-Ons'!$B:$B,$A7,'Service Add-Ons'!$I:$I,"Include")</f>
        <v>0</v>
      </c>
      <c r="P7" s="41">
        <f>SUMIFS('Service Add-Ons'!$K:$K,'Service Add-Ons'!$B:$B,$A7,'Service Add-Ons'!$I:$I,"Include")</f>
        <v>0</v>
      </c>
      <c r="Q7" s="41">
        <f>SUMIFS('Service Add-Ons'!$L:$L,'Service Add-Ons'!$B:$B,$A7,'Service Add-Ons'!$I:$I,"Include")</f>
        <v>0</v>
      </c>
    </row>
    <row r="8" ht="15" customHeight="1" spans="1:17" x14ac:dyDescent="0.25">
      <c r="A8" s="14" t="s">
        <v>232</v>
      </c>
      <c r="B8" s="14" t="s">
        <v>81</v>
      </c>
      <c r="C8" s="33">
        <v>0.5385</v>
      </c>
      <c r="D8" s="32">
        <v>1320</v>
      </c>
      <c r="E8" s="32">
        <v>1320</v>
      </c>
      <c r="F8" s="32">
        <v>1540</v>
      </c>
      <c r="G8" s="32">
        <v>0</v>
      </c>
      <c r="H8" s="39">
        <f>IF(Builder!B5="Low",O8,IF(Builder!B5="Typical",P8,Q8))</f>
        <v>0</v>
      </c>
      <c r="I8" s="39">
        <f>MAX(0,D8-G8-O8)</f>
        <v>1320</v>
      </c>
      <c r="J8" s="37">
        <f>MAX(0,E8-G8-P8)</f>
        <v>1320</v>
      </c>
      <c r="K8" s="39">
        <f>MAX(0,F8-G8-Q8)</f>
        <v>1540</v>
      </c>
      <c r="L8" s="38" t="s">
        <v>314</v>
      </c>
      <c r="M8" s="37">
        <f>IF(L8="Include",IF(Builder!B5="Low",I8,IF(Builder!B5="Typical",J8,K8)),0)</f>
        <v>1320</v>
      </c>
      <c r="N8" s="14" t="s">
        <v>315</v>
      </c>
      <c r="O8" s="41">
        <f>SUMIFS('Service Add-Ons'!$J:$J,'Service Add-Ons'!$B:$B,$A8,'Service Add-Ons'!$I:$I,"Include")</f>
        <v>0</v>
      </c>
      <c r="P8" s="41">
        <f>SUMIFS('Service Add-Ons'!$K:$K,'Service Add-Ons'!$B:$B,$A8,'Service Add-Ons'!$I:$I,"Include")</f>
        <v>0</v>
      </c>
      <c r="Q8" s="41">
        <f>SUMIFS('Service Add-Ons'!$L:$L,'Service Add-Ons'!$B:$B,$A8,'Service Add-Ons'!$I:$I,"Include")</f>
        <v>0</v>
      </c>
    </row>
    <row r="9" ht="15" customHeight="1" spans="1:17" x14ac:dyDescent="0.25">
      <c r="A9" s="14" t="s">
        <v>248</v>
      </c>
      <c r="B9" s="14" t="s">
        <v>81</v>
      </c>
      <c r="C9" s="33">
        <v>1</v>
      </c>
      <c r="D9" s="32">
        <v>1710</v>
      </c>
      <c r="E9" s="32">
        <v>2080</v>
      </c>
      <c r="F9" s="32">
        <v>2200</v>
      </c>
      <c r="G9" s="32">
        <v>1710</v>
      </c>
      <c r="H9" s="39">
        <f>IF(Builder!B5="Low",O9,IF(Builder!B5="Typical",P9,Q9))</f>
        <v>0</v>
      </c>
      <c r="I9" s="39">
        <f>MAX(0,D9-G9-O9)</f>
        <v>0</v>
      </c>
      <c r="J9" s="37">
        <f>MAX(0,E9-G9-P9)</f>
        <v>370</v>
      </c>
      <c r="K9" s="39">
        <f>MAX(0,F9-G9-Q9)</f>
        <v>490</v>
      </c>
      <c r="L9" s="38" t="s">
        <v>314</v>
      </c>
      <c r="M9" s="37">
        <f>IF(L9="Include",IF(Builder!B5="Low",I9,IF(Builder!B5="Typical",J9,K9)),0)</f>
        <v>370</v>
      </c>
      <c r="N9" s="14" t="s">
        <v>315</v>
      </c>
      <c r="O9" s="41">
        <f>SUMIFS('Service Add-Ons'!$J:$J,'Service Add-Ons'!$B:$B,$A9,'Service Add-Ons'!$I:$I,"Include")</f>
        <v>0</v>
      </c>
      <c r="P9" s="41">
        <f>SUMIFS('Service Add-Ons'!$K:$K,'Service Add-Ons'!$B:$B,$A9,'Service Add-Ons'!$I:$I,"Include")</f>
        <v>0</v>
      </c>
      <c r="Q9" s="41">
        <f>SUMIFS('Service Add-Ons'!$L:$L,'Service Add-Ons'!$B:$B,$A9,'Service Add-Ons'!$I:$I,"Include")</f>
        <v>0</v>
      </c>
    </row>
  </sheetData>
  <dataValidations count="1">
    <dataValidation type="list" sqref="L7:L9">
      <formula1>"Include,Exclude"</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showGridLines="0" zoomScale="100"/>
  </sheetViews>
  <sheetFormatPr defaultRowHeight="15" outlineLevelRow="0" outlineLevelCol="0" x14ac:dyDescent="55"/>
  <cols>
    <col min="1" max="1" width="32" customWidth="1"/>
    <col min="2" max="2" width="14" customWidth="1"/>
    <col min="3" max="3" width="44" customWidth="1"/>
    <col min="4" max="4" width="14" customWidth="1"/>
    <col min="5" max="5" width="16" customWidth="1"/>
    <col min="7" max="7" width="36" customWidth="1"/>
  </cols>
  <sheetData>
    <row r="1" ht="15" customHeight="1" spans="1:16" x14ac:dyDescent="0.25">
      <c r="A1" s="1" t="s">
        <v>316</v>
      </c>
      <c r="B1" s="1"/>
      <c r="C1" s="1"/>
      <c r="D1" s="1"/>
      <c r="E1" s="1"/>
      <c r="F1" s="1"/>
      <c r="G1" s="1"/>
      <c r="H1" s="1"/>
      <c r="I1" s="1"/>
      <c r="J1" s="1"/>
      <c r="K1" s="1"/>
      <c r="L1" s="1"/>
      <c r="M1" s="1"/>
      <c r="N1" s="1"/>
      <c r="O1" s="1"/>
      <c r="P1" s="1"/>
    </row>
    <row r="2" ht="90.25" customHeight="1" spans="1:16" x14ac:dyDescent="0.25">
      <c r="A2" s="14" t="s">
        <v>317</v>
      </c>
      <c r="B2" s="14"/>
      <c r="C2" s="14"/>
      <c r="D2" s="14"/>
      <c r="E2" s="14"/>
      <c r="F2" s="14"/>
      <c r="G2" s="14"/>
      <c r="H2" s="14"/>
      <c r="I2" s="14"/>
      <c r="J2" s="14"/>
      <c r="K2" s="14"/>
      <c r="L2" s="14"/>
      <c r="M2" s="14"/>
      <c r="N2" s="14"/>
      <c r="O2" s="14"/>
      <c r="P2" s="14"/>
    </row>
    <row r="4" ht="39.55" customHeight="1" spans="1:7" x14ac:dyDescent="0.25">
      <c r="A4" s="36" t="s">
        <v>210</v>
      </c>
      <c r="B4" s="36" t="s">
        <v>302</v>
      </c>
      <c r="C4" s="36" t="s">
        <v>303</v>
      </c>
      <c r="D4" s="36" t="s">
        <v>305</v>
      </c>
      <c r="E4" s="36" t="s">
        <v>318</v>
      </c>
      <c r="F4" s="36" t="s">
        <v>319</v>
      </c>
      <c r="G4" s="36" t="s">
        <v>162</v>
      </c>
    </row>
    <row r="5" ht="15" customHeight="1" spans="1:7" x14ac:dyDescent="0.25">
      <c r="A5" s="14" t="s">
        <v>248</v>
      </c>
      <c r="B5" s="14" t="s">
        <v>81</v>
      </c>
      <c r="C5" s="43">
        <v>1</v>
      </c>
      <c r="D5" s="32">
        <v>2080</v>
      </c>
      <c r="E5" s="32">
        <v>1710</v>
      </c>
      <c r="F5" s="32">
        <v>370</v>
      </c>
      <c r="G5" s="14" t="s">
        <v>320</v>
      </c>
    </row>
    <row r="10" ht="15" customHeight="1" spans="1:16" x14ac:dyDescent="0.25">
      <c r="A10" s="5" t="s">
        <v>321</v>
      </c>
      <c r="B10" s="5"/>
      <c r="C10" s="5"/>
      <c r="D10" s="5"/>
      <c r="E10" s="5"/>
      <c r="F10" s="5"/>
      <c r="G10" s="5"/>
      <c r="H10" s="5"/>
      <c r="I10" s="5"/>
      <c r="J10" s="5"/>
      <c r="K10" s="5"/>
      <c r="L10" s="5"/>
      <c r="M10" s="5"/>
      <c r="N10" s="5"/>
      <c r="O10" s="5"/>
      <c r="P10" s="5"/>
    </row>
    <row r="11" ht="52.2" customHeight="1" spans="1:16" x14ac:dyDescent="0.25">
      <c r="A11" s="14" t="s">
        <v>322</v>
      </c>
      <c r="B11" s="14"/>
      <c r="C11" s="14"/>
      <c r="D11" s="14"/>
      <c r="E11" s="14"/>
      <c r="F11" s="14"/>
      <c r="G11" s="14"/>
      <c r="H11" s="14"/>
      <c r="I11" s="14"/>
      <c r="J11" s="14"/>
      <c r="K11" s="14"/>
      <c r="L11" s="14"/>
      <c r="M11" s="14"/>
      <c r="N11" s="14"/>
      <c r="O11" s="14"/>
      <c r="P11" s="14"/>
    </row>
    <row r="12" ht="26.85" customHeight="1" spans="1:7" x14ac:dyDescent="0.25">
      <c r="A12" s="36" t="s">
        <v>210</v>
      </c>
      <c r="B12" s="36" t="s">
        <v>323</v>
      </c>
      <c r="C12" s="36" t="s">
        <v>324</v>
      </c>
      <c r="D12" s="36" t="s">
        <v>192</v>
      </c>
      <c r="E12" s="36" t="s">
        <v>191</v>
      </c>
      <c r="F12" s="36" t="s">
        <v>325</v>
      </c>
      <c r="G12" s="36" t="s">
        <v>326</v>
      </c>
    </row>
    <row r="13" ht="15" customHeight="1" spans="1:7" x14ac:dyDescent="0.25">
      <c r="A13" s="14" t="s">
        <v>248</v>
      </c>
      <c r="B13" s="40" t="s">
        <v>327</v>
      </c>
      <c r="C13" s="14" t="s">
        <v>328</v>
      </c>
      <c r="D13" s="43">
        <v>0.9615</v>
      </c>
      <c r="E13" s="32">
        <v>1250</v>
      </c>
      <c r="F13" s="14" t="s">
        <v>25</v>
      </c>
      <c r="G13" s="14" t="s">
        <v>329</v>
      </c>
    </row>
    <row r="14" ht="15" customHeight="1" spans="1:7" x14ac:dyDescent="0.25">
      <c r="A14" s="14" t="s">
        <v>248</v>
      </c>
      <c r="B14" s="40" t="s">
        <v>330</v>
      </c>
      <c r="C14" s="14" t="s">
        <v>331</v>
      </c>
      <c r="D14" s="43">
        <v>0.8846</v>
      </c>
      <c r="E14" s="32">
        <v>460</v>
      </c>
      <c r="F14" s="14" t="s">
        <v>25</v>
      </c>
      <c r="G14" s="14" t="s">
        <v>329</v>
      </c>
    </row>
    <row r="15" ht="15" customHeight="1" spans="1:7" x14ac:dyDescent="0.25">
      <c r="A15" s="14" t="s">
        <v>248</v>
      </c>
      <c r="B15" s="40" t="s">
        <v>249</v>
      </c>
      <c r="C15" s="14" t="s">
        <v>247</v>
      </c>
      <c r="D15" s="43">
        <v>0.5385</v>
      </c>
      <c r="E15" s="32">
        <v>370</v>
      </c>
      <c r="F15" s="14" t="s">
        <v>19</v>
      </c>
      <c r="G15" s="14" t="s">
        <v>332</v>
      </c>
    </row>
    <row r="16" ht="15" customHeight="1" spans="1:7" x14ac:dyDescent="0.25">
      <c r="A16" s="14" t="s">
        <v>248</v>
      </c>
      <c r="B16" s="40" t="s">
        <v>280</v>
      </c>
      <c r="C16" s="14" t="s">
        <v>279</v>
      </c>
      <c r="D16" s="43">
        <v>0.0385</v>
      </c>
      <c r="E16" s="32">
        <v>545</v>
      </c>
      <c r="F16" s="14" t="s">
        <v>19</v>
      </c>
      <c r="G16" s="14" t="s">
        <v>332</v>
      </c>
    </row>
  </sheetData>
  <autoFilter ref="A12:G16"/>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90"/>
  <sheetViews>
    <sheetView workbookViewId="0" showGridLines="0" zoomScale="100"/>
  </sheetViews>
  <sheetFormatPr defaultRowHeight="15" outlineLevelRow="0" outlineLevelCol="0" x14ac:dyDescent="55"/>
  <cols>
    <col min="1" max="1" width="18" customWidth="1"/>
    <col min="3" max="3" width="42" customWidth="1"/>
    <col min="4" max="4" width="10" customWidth="1"/>
    <col min="5" max="5" width="18" customWidth="1"/>
    <col min="6" max="6" width="14" customWidth="1"/>
    <col min="9" max="9" width="2" customWidth="1"/>
    <col min="11" max="11" width="18" customWidth="1"/>
    <col min="12" max="12" width="22" customWidth="1"/>
    <col min="13" max="13" width="14" customWidth="1"/>
    <col min="14" max="14" width="12" customWidth="1"/>
    <col min="16" max="16" width="14" customWidth="1"/>
    <col min="17" max="17" width="16" customWidth="1"/>
    <col min="18" max="18" width="14" hidden="1" customWidth="1"/>
    <col min="19" max="19" width="18" hidden="1" customWidth="1"/>
    <col min="20" max="20" width="13" hidden="1" customWidth="1"/>
  </cols>
  <sheetData>
    <row r="1" ht="15" customHeight="1" spans="1:44" x14ac:dyDescent="0.25">
      <c r="A1" s="1" t="s">
        <v>333</v>
      </c>
      <c r="B1" s="1"/>
      <c r="C1" s="1"/>
      <c r="D1" s="1"/>
      <c r="E1" s="1"/>
      <c r="F1" s="1"/>
      <c r="G1" s="1"/>
      <c r="H1" s="1"/>
      <c r="I1" s="1"/>
      <c r="J1" s="1"/>
      <c r="K1" s="1"/>
      <c r="L1" s="1"/>
      <c r="M1" s="1"/>
      <c r="N1" s="1"/>
      <c r="O1" s="1"/>
      <c r="P1" s="1"/>
      <c r="Q1" s="1"/>
      <c r="R1" s="1" t="s">
        <v>334</v>
      </c>
      <c r="S1" s="41" t="s">
        <v>335</v>
      </c>
      <c r="T1" s="41" t="s">
        <v>336</v>
      </c>
      <c r="U1" s="41" t="s">
        <v>337</v>
      </c>
      <c r="V1" s="41" t="s">
        <v>338</v>
      </c>
      <c r="W1" s="41" t="s">
        <v>211</v>
      </c>
      <c r="X1" s="41" t="s">
        <v>212</v>
      </c>
      <c r="Y1" s="41" t="s">
        <v>213</v>
      </c>
      <c r="Z1" s="41" t="s">
        <v>339</v>
      </c>
      <c r="AA1" s="41" t="s">
        <v>340</v>
      </c>
      <c r="AB1" s="41" t="s">
        <v>341</v>
      </c>
      <c r="AD1" s="41" t="s">
        <v>337</v>
      </c>
      <c r="AE1" s="41" t="s">
        <v>342</v>
      </c>
      <c r="AF1" s="41" t="s">
        <v>338</v>
      </c>
      <c r="AG1" s="41" t="s">
        <v>212</v>
      </c>
      <c r="AH1" s="41" t="s">
        <v>340</v>
      </c>
      <c r="AI1" s="41" t="s">
        <v>341</v>
      </c>
      <c r="AJ1" s="41" t="s">
        <v>343</v>
      </c>
      <c r="AK1" s="41" t="s">
        <v>337</v>
      </c>
      <c r="AL1" s="41" t="s">
        <v>342</v>
      </c>
      <c r="AM1" s="41" t="s">
        <v>323</v>
      </c>
      <c r="AN1" s="41" t="s">
        <v>324</v>
      </c>
      <c r="AO1" s="41" t="s">
        <v>338</v>
      </c>
      <c r="AP1" s="41" t="s">
        <v>212</v>
      </c>
      <c r="AQ1" s="41" t="s">
        <v>340</v>
      </c>
      <c r="AR1" s="41" t="s">
        <v>341</v>
      </c>
    </row>
    <row r="2" ht="64.9" customHeight="1" spans="1:44" x14ac:dyDescent="0.25">
      <c r="A2" s="14" t="s">
        <v>344</v>
      </c>
      <c r="B2" s="14"/>
      <c r="C2" s="14"/>
      <c r="D2" s="14"/>
      <c r="E2" s="14"/>
      <c r="F2" s="14"/>
      <c r="G2" s="14"/>
      <c r="H2" s="14"/>
      <c r="I2" s="14"/>
      <c r="J2" s="14"/>
      <c r="K2" s="14"/>
      <c r="L2" s="14"/>
      <c r="M2" s="14"/>
      <c r="N2" s="14"/>
      <c r="O2" s="14"/>
      <c r="P2" s="14"/>
      <c r="Q2" s="14"/>
      <c r="R2" s="14" t="s">
        <v>345</v>
      </c>
      <c r="S2" s="41" t="s">
        <v>345</v>
      </c>
      <c r="T2" s="41" t="s">
        <v>346</v>
      </c>
      <c r="U2" s="41" t="s">
        <v>347</v>
      </c>
      <c r="V2" s="41">
        <v>100</v>
      </c>
      <c r="W2" s="41">
        <v>1</v>
      </c>
      <c r="X2" s="41">
        <v>1</v>
      </c>
      <c r="Y2" s="41">
        <v>1</v>
      </c>
      <c r="Z2" s="41">
        <v>36130</v>
      </c>
      <c r="AA2" s="41">
        <v>36130</v>
      </c>
      <c r="AB2" s="41">
        <v>36130</v>
      </c>
      <c r="AD2" s="41" t="s">
        <v>347</v>
      </c>
      <c r="AE2" s="41" t="s">
        <v>348</v>
      </c>
      <c r="AF2" s="41">
        <v>38.46</v>
      </c>
      <c r="AG2" s="41">
        <v>3</v>
      </c>
      <c r="AH2" s="41">
        <v>36136</v>
      </c>
      <c r="AI2" s="41">
        <v>108408</v>
      </c>
      <c r="AJ2" s="41" t="s">
        <v>349</v>
      </c>
      <c r="AK2" s="41" t="s">
        <v>347</v>
      </c>
      <c r="AL2" s="41" t="s">
        <v>348</v>
      </c>
      <c r="AM2" s="41" t="s">
        <v>350</v>
      </c>
      <c r="AN2" s="41" t="s">
        <v>351</v>
      </c>
      <c r="AO2" s="41">
        <v>11.54</v>
      </c>
      <c r="AP2" s="41">
        <v>1</v>
      </c>
      <c r="AQ2" s="41">
        <v>36136</v>
      </c>
      <c r="AR2" s="41">
        <v>36136</v>
      </c>
    </row>
    <row r="3" ht="115.65" customHeight="1" spans="1:44" x14ac:dyDescent="0.25">
      <c r="A3" s="14" t="s">
        <v>352</v>
      </c>
      <c r="B3" s="14"/>
      <c r="C3" s="14"/>
      <c r="D3" s="14"/>
      <c r="E3" s="14"/>
      <c r="F3" s="14"/>
      <c r="G3" s="14"/>
      <c r="H3" s="14"/>
      <c r="I3" s="14"/>
      <c r="J3" s="14"/>
      <c r="K3" s="14"/>
      <c r="L3" s="14"/>
      <c r="M3" s="14"/>
      <c r="N3" s="14"/>
      <c r="O3" s="14"/>
      <c r="P3" s="14"/>
      <c r="Q3" s="14"/>
      <c r="R3" s="14" t="s">
        <v>347</v>
      </c>
      <c r="S3" s="41" t="s">
        <v>348</v>
      </c>
      <c r="T3" s="41" t="s">
        <v>350</v>
      </c>
      <c r="U3" s="41" t="s">
        <v>353</v>
      </c>
      <c r="V3" s="41">
        <v>100</v>
      </c>
      <c r="W3" s="41">
        <v>1</v>
      </c>
      <c r="X3" s="41">
        <v>1</v>
      </c>
      <c r="Y3" s="41">
        <v>1</v>
      </c>
      <c r="Z3" s="41">
        <v>13340.05</v>
      </c>
      <c r="AA3" s="41">
        <v>13340.05</v>
      </c>
      <c r="AB3" s="41">
        <v>13340.05</v>
      </c>
      <c r="AD3" s="41" t="s">
        <v>347</v>
      </c>
      <c r="AE3" s="41" t="s">
        <v>354</v>
      </c>
      <c r="AF3" s="41">
        <v>15.38</v>
      </c>
      <c r="AG3" s="41">
        <v>3</v>
      </c>
      <c r="AH3" s="41">
        <v>33925</v>
      </c>
      <c r="AI3" s="41">
        <v>101775</v>
      </c>
      <c r="AJ3" s="41" t="s">
        <v>355</v>
      </c>
      <c r="AK3" s="41" t="s">
        <v>347</v>
      </c>
      <c r="AL3" s="41" t="s">
        <v>348</v>
      </c>
      <c r="AM3" s="41" t="s">
        <v>356</v>
      </c>
      <c r="AN3" s="41" t="s">
        <v>357</v>
      </c>
      <c r="AO3" s="41">
        <v>3.85</v>
      </c>
      <c r="AP3" s="41">
        <v>1</v>
      </c>
      <c r="AQ3" s="41">
        <v>36136</v>
      </c>
      <c r="AR3" s="41">
        <v>36136</v>
      </c>
    </row>
    <row r="4" ht="15" customHeight="1" spans="1:44" x14ac:dyDescent="0.25">
      <c r="A4" s="15" t="s">
        <v>358</v>
      </c>
      <c r="B4" s="44" t="s">
        <v>359</v>
      </c>
      <c r="E4" s="45" t="s">
        <v>101</v>
      </c>
      <c r="F4" s="45" t="s">
        <v>60</v>
      </c>
      <c r="G4" s="45" t="s">
        <v>15</v>
      </c>
      <c r="H4" s="45" t="s">
        <v>61</v>
      </c>
      <c r="R4" s="41" t="s">
        <v>353</v>
      </c>
      <c r="S4" s="41" t="s">
        <v>360</v>
      </c>
      <c r="T4" s="41" t="s">
        <v>356</v>
      </c>
      <c r="U4" s="41" t="s">
        <v>361</v>
      </c>
      <c r="V4" s="41">
        <v>100</v>
      </c>
      <c r="W4" s="41">
        <v>1</v>
      </c>
      <c r="X4" s="41">
        <v>1</v>
      </c>
      <c r="Y4" s="41">
        <v>1</v>
      </c>
      <c r="Z4" s="41">
        <v>0.1</v>
      </c>
      <c r="AA4" s="41">
        <v>0.1</v>
      </c>
      <c r="AB4" s="41">
        <v>0.1</v>
      </c>
      <c r="AD4" s="41" t="s">
        <v>347</v>
      </c>
      <c r="AE4" s="41" t="s">
        <v>362</v>
      </c>
      <c r="AF4" s="41">
        <v>46.15</v>
      </c>
      <c r="AG4" s="41">
        <v>3</v>
      </c>
      <c r="AH4" s="41">
        <v>36130</v>
      </c>
      <c r="AI4" s="41">
        <v>108390</v>
      </c>
      <c r="AJ4" s="41" t="s">
        <v>363</v>
      </c>
      <c r="AK4" s="41" t="s">
        <v>347</v>
      </c>
      <c r="AL4" s="41" t="s">
        <v>348</v>
      </c>
      <c r="AM4" s="41" t="s">
        <v>364</v>
      </c>
      <c r="AN4" s="41" t="s">
        <v>365</v>
      </c>
      <c r="AO4" s="41">
        <v>3.85</v>
      </c>
      <c r="AP4" s="41">
        <v>1</v>
      </c>
      <c r="AQ4" s="41">
        <v>36136</v>
      </c>
      <c r="AR4" s="41">
        <v>36136</v>
      </c>
    </row>
    <row r="5" ht="15" customHeight="1" spans="1:44" x14ac:dyDescent="0.25">
      <c r="A5" t="s">
        <v>366</v>
      </c>
      <c r="B5" t="s">
        <v>345</v>
      </c>
      <c r="F5">
        <f>IFERROR(INDEX(Reference!$CG$2:$CG$500, MATCH(Builder!G5, Reference!$AZ$2:$AZ$500, 0)), 0)</f>
        <v>89130.07750000001</v>
      </c>
      <c r="G5">
        <f>IFERROR(INDEX(Reference!$CH$2:$CH$500, MATCH(Builder!G5, Reference!$AZ$2:$AZ$500, 0)), 0)</f>
        <v>89130.16</v>
      </c>
      <c r="H5">
        <f>IFERROR(INDEX(Reference!$CI$2:$CI$500, MATCH(Builder!G5, Reference!$AZ$2:$AZ$500, 0)), 0)</f>
        <v>98838.05</v>
      </c>
      <c r="R5" t="s">
        <v>361</v>
      </c>
      <c r="S5" t="s">
        <v>367</v>
      </c>
      <c r="T5" t="s">
        <v>364</v>
      </c>
      <c r="U5" t="s">
        <v>368</v>
      </c>
      <c r="V5">
        <v>96.15</v>
      </c>
      <c r="W5">
        <v>1</v>
      </c>
      <c r="X5">
        <v>1</v>
      </c>
      <c r="Y5">
        <v>1</v>
      </c>
      <c r="Z5">
        <v>33925</v>
      </c>
      <c r="AA5">
        <v>39660</v>
      </c>
      <c r="AB5">
        <v>39660</v>
      </c>
      <c r="AD5" t="s">
        <v>353</v>
      </c>
      <c r="AE5" t="s">
        <v>348</v>
      </c>
      <c r="AF5">
        <v>38.46</v>
      </c>
      <c r="AG5">
        <v>3</v>
      </c>
      <c r="AH5">
        <v>36136</v>
      </c>
      <c r="AI5">
        <v>108408</v>
      </c>
      <c r="AJ5" t="s">
        <v>369</v>
      </c>
      <c r="AK5" t="s">
        <v>347</v>
      </c>
      <c r="AL5" t="s">
        <v>348</v>
      </c>
      <c r="AM5" t="s">
        <v>370</v>
      </c>
      <c r="AN5" t="s">
        <v>371</v>
      </c>
      <c r="AO5">
        <v>7.69</v>
      </c>
      <c r="AP5">
        <v>1</v>
      </c>
      <c r="AQ5">
        <v>36136</v>
      </c>
      <c r="AR5">
        <v>36136</v>
      </c>
    </row>
    <row r="6" ht="15" customHeight="1" spans="1:44" x14ac:dyDescent="0.25">
      <c r="A6" t="s">
        <v>372</v>
      </c>
      <c r="B6" t="s">
        <v>345</v>
      </c>
      <c r="E6" t="s">
        <v>373</v>
      </c>
      <c r="F6">
        <f>IF(B4="Default P50",$G$5,IF(B4="Family Override",IFERROR(INDEX($AB$2:$AB$50,MATCH(B5,$U$2:$U$50,0)),$G$5),IF(B4="Brand Override",IFERROR(INDEX($AI$2:$AI$100,MATCH(B5&amp;"|"&amp;B6,$AJ$2:$AJ$100,0)),IFERROR(INDEX($AB$2:$AB$50,MATCH(B5,$U$2:$U$50,0)),$G$5)),IFERROR(INDEX($AR$2:$AR$200,MATCH(B7,$AM$2:$AM$200,0)),IFERROR(INDEX($AI$2:$AI$100,MATCH(B5&amp;"|"&amp;B6,$AJ$2:$AJ$100,0)),IFERROR(INDEX($AB$2:$AB$50,MATCH(B5,$U$2:$U$50,0)),$G$5))))))</f>
        <v>89130.16</v>
      </c>
      <c r="R6" t="s">
        <v>368</v>
      </c>
      <c r="S6" t="s">
        <v>354</v>
      </c>
      <c r="T6" t="s">
        <v>370</v>
      </c>
      <c r="U6" t="s">
        <v>374</v>
      </c>
      <c r="V6">
        <v>19.23</v>
      </c>
      <c r="W6">
        <v>1</v>
      </c>
      <c r="X6">
        <v>1</v>
      </c>
      <c r="Y6">
        <v>1</v>
      </c>
      <c r="Z6">
        <v>0.02</v>
      </c>
      <c r="AA6">
        <v>0.1</v>
      </c>
      <c r="AB6">
        <v>0.1</v>
      </c>
      <c r="AD6" t="s">
        <v>353</v>
      </c>
      <c r="AE6" t="s">
        <v>354</v>
      </c>
      <c r="AF6">
        <v>15.38</v>
      </c>
      <c r="AG6">
        <v>3</v>
      </c>
      <c r="AH6">
        <v>33925</v>
      </c>
      <c r="AI6">
        <v>101775</v>
      </c>
      <c r="AJ6" t="s">
        <v>375</v>
      </c>
      <c r="AK6" t="s">
        <v>347</v>
      </c>
      <c r="AL6" t="s">
        <v>348</v>
      </c>
      <c r="AM6" t="s">
        <v>376</v>
      </c>
      <c r="AN6" t="s">
        <v>377</v>
      </c>
      <c r="AO6">
        <v>7.69</v>
      </c>
      <c r="AP6">
        <v>1</v>
      </c>
      <c r="AQ6">
        <v>36136</v>
      </c>
      <c r="AR6">
        <v>36136</v>
      </c>
    </row>
    <row r="7" ht="15" customHeight="1" spans="1:44" x14ac:dyDescent="0.25">
      <c r="A7" t="s">
        <v>378</v>
      </c>
      <c r="B7" t="s">
        <v>346</v>
      </c>
      <c r="C7">
        <f>IF(B7="None","",IFERROR(INDEX($AN$2:$AN$200,MATCH(B7,$AM$2:$AM$200,0)),""))</f>
      </c>
      <c r="R7" t="s">
        <v>374</v>
      </c>
      <c r="S7" t="s">
        <v>379</v>
      </c>
      <c r="T7" t="s">
        <v>376</v>
      </c>
      <c r="U7" t="s">
        <v>380</v>
      </c>
      <c r="V7">
        <v>7.69</v>
      </c>
      <c r="W7">
        <v>1</v>
      </c>
      <c r="X7">
        <v>1</v>
      </c>
      <c r="Y7">
        <v>1</v>
      </c>
      <c r="Z7">
        <v>312.26</v>
      </c>
      <c r="AA7">
        <v>396.62</v>
      </c>
      <c r="AB7">
        <v>396.62</v>
      </c>
      <c r="AD7" t="s">
        <v>353</v>
      </c>
      <c r="AE7" t="s">
        <v>362</v>
      </c>
      <c r="AF7">
        <v>46.15</v>
      </c>
      <c r="AG7">
        <v>3</v>
      </c>
      <c r="AH7">
        <v>36130</v>
      </c>
      <c r="AI7">
        <v>108390</v>
      </c>
      <c r="AJ7" t="s">
        <v>381</v>
      </c>
      <c r="AK7" t="s">
        <v>347</v>
      </c>
      <c r="AL7" t="s">
        <v>348</v>
      </c>
      <c r="AM7" t="s">
        <v>382</v>
      </c>
      <c r="AN7" t="s">
        <v>383</v>
      </c>
      <c r="AO7">
        <v>3.85</v>
      </c>
      <c r="AP7">
        <v>1</v>
      </c>
      <c r="AQ7">
        <v>36136</v>
      </c>
      <c r="AR7">
        <v>36136</v>
      </c>
    </row>
    <row r="8" ht="15" customHeight="1" spans="18:44" x14ac:dyDescent="0.25">
      <c r="R8" t="s">
        <v>380</v>
      </c>
      <c r="S8" t="s">
        <v>384</v>
      </c>
      <c r="T8" t="s">
        <v>382</v>
      </c>
      <c r="U8" t="s">
        <v>385</v>
      </c>
      <c r="V8">
        <v>30.77</v>
      </c>
      <c r="W8">
        <v>1</v>
      </c>
      <c r="X8">
        <v>1</v>
      </c>
      <c r="Y8">
        <v>1</v>
      </c>
      <c r="Z8">
        <v>1406.25</v>
      </c>
      <c r="AA8">
        <v>1453.12</v>
      </c>
      <c r="AB8">
        <v>1453.12</v>
      </c>
      <c r="AD8" t="s">
        <v>361</v>
      </c>
      <c r="AE8" t="s">
        <v>379</v>
      </c>
      <c r="AF8">
        <v>61.54</v>
      </c>
      <c r="AG8">
        <v>1</v>
      </c>
      <c r="AH8">
        <v>0.1</v>
      </c>
      <c r="AI8">
        <v>0.1</v>
      </c>
      <c r="AJ8" t="s">
        <v>386</v>
      </c>
      <c r="AK8" t="s">
        <v>347</v>
      </c>
      <c r="AL8" t="s">
        <v>354</v>
      </c>
      <c r="AM8" t="s">
        <v>387</v>
      </c>
      <c r="AN8" t="s">
        <v>388</v>
      </c>
      <c r="AO8">
        <v>3.85</v>
      </c>
      <c r="AP8">
        <v>1</v>
      </c>
      <c r="AQ8">
        <v>36130</v>
      </c>
      <c r="AR8">
        <v>36130</v>
      </c>
    </row>
    <row r="9" ht="15" customHeight="1" spans="18:44" x14ac:dyDescent="0.25">
      <c r="R9" t="s">
        <v>385</v>
      </c>
      <c r="S9" t="s">
        <v>362</v>
      </c>
      <c r="T9" t="s">
        <v>387</v>
      </c>
      <c r="AD9" t="s">
        <v>361</v>
      </c>
      <c r="AE9" t="s">
        <v>384</v>
      </c>
      <c r="AF9">
        <v>38.46</v>
      </c>
      <c r="AG9">
        <v>1</v>
      </c>
      <c r="AH9">
        <v>5730</v>
      </c>
      <c r="AI9">
        <v>5730</v>
      </c>
      <c r="AJ9" t="s">
        <v>389</v>
      </c>
      <c r="AK9" t="s">
        <v>347</v>
      </c>
      <c r="AL9" t="s">
        <v>354</v>
      </c>
      <c r="AM9" t="s">
        <v>390</v>
      </c>
      <c r="AN9" t="s">
        <v>391</v>
      </c>
      <c r="AO9">
        <v>3.85</v>
      </c>
      <c r="AP9">
        <v>1</v>
      </c>
      <c r="AQ9">
        <v>36130</v>
      </c>
      <c r="AR9">
        <v>36130</v>
      </c>
    </row>
    <row r="10" ht="15" customHeight="1" spans="1:44" x14ac:dyDescent="0.25">
      <c r="A10" t="s">
        <v>392</v>
      </c>
      <c r="K10" t="s">
        <v>393</v>
      </c>
      <c r="T10" t="s">
        <v>390</v>
      </c>
      <c r="AD10" t="s">
        <v>368</v>
      </c>
      <c r="AE10" t="s">
        <v>348</v>
      </c>
      <c r="AF10">
        <v>30.77</v>
      </c>
      <c r="AG10">
        <v>3</v>
      </c>
      <c r="AH10">
        <v>36136</v>
      </c>
      <c r="AI10">
        <v>108408</v>
      </c>
      <c r="AJ10" t="s">
        <v>394</v>
      </c>
      <c r="AK10" t="s">
        <v>347</v>
      </c>
      <c r="AL10" t="s">
        <v>354</v>
      </c>
      <c r="AM10" t="s">
        <v>395</v>
      </c>
      <c r="AN10" t="s">
        <v>396</v>
      </c>
      <c r="AO10">
        <v>3.85</v>
      </c>
      <c r="AP10">
        <v>1</v>
      </c>
      <c r="AQ10">
        <v>36130</v>
      </c>
      <c r="AR10">
        <v>36130</v>
      </c>
    </row>
    <row r="11" ht="115.65" customHeight="1" spans="1:44" x14ac:dyDescent="0.25">
      <c r="A11" t="s">
        <v>337</v>
      </c>
      <c r="B11" t="s">
        <v>192</v>
      </c>
      <c r="C11" t="s">
        <v>211</v>
      </c>
      <c r="D11" t="s">
        <v>212</v>
      </c>
      <c r="E11" t="s">
        <v>213</v>
      </c>
      <c r="F11" t="s">
        <v>339</v>
      </c>
      <c r="G11" t="s">
        <v>340</v>
      </c>
      <c r="H11" t="s">
        <v>397</v>
      </c>
      <c r="I11" t="s">
        <v>341</v>
      </c>
      <c r="K11" t="s">
        <v>337</v>
      </c>
      <c r="L11" t="s">
        <v>342</v>
      </c>
      <c r="M11" t="s">
        <v>192</v>
      </c>
      <c r="N11" t="s">
        <v>212</v>
      </c>
      <c r="O11" t="s">
        <v>340</v>
      </c>
      <c r="P11" t="s">
        <v>341</v>
      </c>
      <c r="Q11" t="s">
        <v>398</v>
      </c>
      <c r="T11" t="s">
        <v>395</v>
      </c>
      <c r="AD11" t="s">
        <v>368</v>
      </c>
      <c r="AE11" t="s">
        <v>367</v>
      </c>
      <c r="AF11">
        <v>3.85</v>
      </c>
      <c r="AG11">
        <v>1</v>
      </c>
      <c r="AH11">
        <v>43628</v>
      </c>
      <c r="AI11">
        <v>43628</v>
      </c>
      <c r="AJ11" t="s">
        <v>399</v>
      </c>
      <c r="AK11" t="s">
        <v>347</v>
      </c>
      <c r="AL11" t="s">
        <v>354</v>
      </c>
      <c r="AM11" t="s">
        <v>400</v>
      </c>
      <c r="AN11" t="s">
        <v>401</v>
      </c>
      <c r="AO11">
        <v>3.85</v>
      </c>
      <c r="AP11">
        <v>1</v>
      </c>
      <c r="AQ11">
        <v>36130</v>
      </c>
      <c r="AR11">
        <v>36130</v>
      </c>
    </row>
    <row r="12" ht="26.85" customHeight="1" spans="1:44" x14ac:dyDescent="0.25">
      <c r="A12" t="s">
        <v>347</v>
      </c>
      <c r="B12">
        <v>100</v>
      </c>
      <c r="C12">
        <v>1</v>
      </c>
      <c r="D12">
        <v>1</v>
      </c>
      <c r="E12">
        <v>1</v>
      </c>
      <c r="F12">
        <v>36130</v>
      </c>
      <c r="G12">
        <v>36130</v>
      </c>
      <c r="H12">
        <v>36136</v>
      </c>
      <c r="I12">
        <v>36130</v>
      </c>
      <c r="K12" t="s">
        <v>347</v>
      </c>
      <c r="L12" t="s">
        <v>348</v>
      </c>
      <c r="M12">
        <v>38.46</v>
      </c>
      <c r="N12">
        <v>3</v>
      </c>
      <c r="O12">
        <v>36136</v>
      </c>
      <c r="P12">
        <v>108408</v>
      </c>
      <c r="Q12" t="str">
        <f>IF($B$5="All","Yes",IF(K12=$B$5,"Yes","No"))</f>
        <v>Yes</v>
      </c>
      <c r="T12" t="s">
        <v>400</v>
      </c>
      <c r="AD12" t="s">
        <v>368</v>
      </c>
      <c r="AE12" t="s">
        <v>354</v>
      </c>
      <c r="AF12">
        <v>15.38</v>
      </c>
      <c r="AG12">
        <v>3</v>
      </c>
      <c r="AH12">
        <v>33925</v>
      </c>
      <c r="AI12">
        <v>101775</v>
      </c>
      <c r="AJ12" t="s">
        <v>402</v>
      </c>
      <c r="AK12" t="s">
        <v>347</v>
      </c>
      <c r="AL12" t="s">
        <v>362</v>
      </c>
      <c r="AM12" t="s">
        <v>403</v>
      </c>
      <c r="AN12" t="s">
        <v>404</v>
      </c>
      <c r="AO12">
        <v>15.38</v>
      </c>
      <c r="AP12">
        <v>1</v>
      </c>
      <c r="AQ12">
        <v>36130</v>
      </c>
      <c r="AR12">
        <v>36130</v>
      </c>
    </row>
    <row r="13" ht="26.85" customHeight="1" spans="1:44" x14ac:dyDescent="0.25">
      <c r="A13" t="s">
        <v>353</v>
      </c>
      <c r="B13">
        <v>100</v>
      </c>
      <c r="C13">
        <v>1</v>
      </c>
      <c r="D13">
        <v>1</v>
      </c>
      <c r="E13">
        <v>1</v>
      </c>
      <c r="F13">
        <v>13340.05</v>
      </c>
      <c r="G13">
        <v>13340.05</v>
      </c>
      <c r="H13">
        <v>13344.01</v>
      </c>
      <c r="I13">
        <v>13340.05</v>
      </c>
      <c r="K13" t="s">
        <v>347</v>
      </c>
      <c r="L13" t="s">
        <v>354</v>
      </c>
      <c r="M13">
        <v>15.38</v>
      </c>
      <c r="N13">
        <v>3</v>
      </c>
      <c r="O13">
        <v>33925</v>
      </c>
      <c r="P13">
        <v>101775</v>
      </c>
      <c r="Q13" t="str">
        <f>IF($B$5="All","Yes",IF(K13=$B$5,"Yes","No"))</f>
        <v>Yes</v>
      </c>
      <c r="T13" t="s">
        <v>403</v>
      </c>
      <c r="AD13" t="s">
        <v>368</v>
      </c>
      <c r="AE13" t="s">
        <v>362</v>
      </c>
      <c r="AF13">
        <v>46.15</v>
      </c>
      <c r="AG13">
        <v>3</v>
      </c>
      <c r="AH13">
        <v>36130</v>
      </c>
      <c r="AI13">
        <v>108390</v>
      </c>
      <c r="AJ13" t="s">
        <v>405</v>
      </c>
      <c r="AK13" t="s">
        <v>347</v>
      </c>
      <c r="AL13" t="s">
        <v>362</v>
      </c>
      <c r="AM13" t="s">
        <v>406</v>
      </c>
      <c r="AN13" t="s">
        <v>407</v>
      </c>
      <c r="AO13">
        <v>15.38</v>
      </c>
      <c r="AP13">
        <v>1</v>
      </c>
      <c r="AQ13">
        <v>36130</v>
      </c>
      <c r="AR13">
        <v>36130</v>
      </c>
    </row>
    <row r="14" ht="26.85" customHeight="1" spans="1:44" x14ac:dyDescent="0.25">
      <c r="A14" t="s">
        <v>361</v>
      </c>
      <c r="B14">
        <v>100</v>
      </c>
      <c r="C14">
        <v>1</v>
      </c>
      <c r="D14">
        <v>1</v>
      </c>
      <c r="E14">
        <v>1</v>
      </c>
      <c r="F14">
        <v>0.1</v>
      </c>
      <c r="G14">
        <v>0.1</v>
      </c>
      <c r="H14">
        <v>5730</v>
      </c>
      <c r="I14">
        <v>0.1</v>
      </c>
      <c r="K14" t="s">
        <v>347</v>
      </c>
      <c r="L14" t="s">
        <v>362</v>
      </c>
      <c r="M14">
        <v>46.15</v>
      </c>
      <c r="N14">
        <v>3</v>
      </c>
      <c r="O14">
        <v>36130</v>
      </c>
      <c r="P14">
        <v>108390</v>
      </c>
      <c r="Q14" t="str">
        <f>IF($B$5="All","Yes",IF(K14=$B$5,"Yes","No"))</f>
        <v>Yes</v>
      </c>
      <c r="T14" t="s">
        <v>406</v>
      </c>
      <c r="AD14" t="s">
        <v>374</v>
      </c>
      <c r="AE14" t="s">
        <v>348</v>
      </c>
      <c r="AF14">
        <v>3.85</v>
      </c>
      <c r="AG14">
        <v>3</v>
      </c>
      <c r="AH14">
        <v>36136</v>
      </c>
      <c r="AI14">
        <v>108408</v>
      </c>
      <c r="AJ14" t="s">
        <v>408</v>
      </c>
      <c r="AK14" t="s">
        <v>347</v>
      </c>
      <c r="AL14" t="s">
        <v>362</v>
      </c>
      <c r="AM14" t="s">
        <v>409</v>
      </c>
      <c r="AN14" t="s">
        <v>410</v>
      </c>
      <c r="AO14">
        <v>3.85</v>
      </c>
      <c r="AP14">
        <v>1</v>
      </c>
      <c r="AQ14">
        <v>36130</v>
      </c>
      <c r="AR14">
        <v>36130</v>
      </c>
    </row>
    <row r="15" ht="26.85" customHeight="1" spans="1:44" x14ac:dyDescent="0.25">
      <c r="A15" t="s">
        <v>368</v>
      </c>
      <c r="B15">
        <v>96.15</v>
      </c>
      <c r="C15">
        <v>1</v>
      </c>
      <c r="D15">
        <v>1</v>
      </c>
      <c r="E15">
        <v>1</v>
      </c>
      <c r="F15">
        <v>33925</v>
      </c>
      <c r="G15">
        <v>39660</v>
      </c>
      <c r="H15">
        <v>43628</v>
      </c>
      <c r="I15">
        <v>39660</v>
      </c>
      <c r="K15" t="s">
        <v>353</v>
      </c>
      <c r="L15" t="s">
        <v>348</v>
      </c>
      <c r="M15">
        <v>38.46</v>
      </c>
      <c r="N15">
        <v>3</v>
      </c>
      <c r="O15">
        <v>36136</v>
      </c>
      <c r="P15">
        <v>108408</v>
      </c>
      <c r="Q15" t="str">
        <f>IF($B$5="All","Yes",IF(K15=$B$5,"Yes","No"))</f>
        <v>Yes</v>
      </c>
      <c r="T15" t="s">
        <v>409</v>
      </c>
      <c r="AD15" t="s">
        <v>374</v>
      </c>
      <c r="AE15" t="s">
        <v>362</v>
      </c>
      <c r="AF15">
        <v>15.38</v>
      </c>
      <c r="AG15">
        <v>3</v>
      </c>
      <c r="AH15">
        <v>36130</v>
      </c>
      <c r="AI15">
        <v>108390</v>
      </c>
      <c r="AJ15" t="s">
        <v>411</v>
      </c>
      <c r="AK15" t="s">
        <v>347</v>
      </c>
      <c r="AL15" t="s">
        <v>362</v>
      </c>
      <c r="AM15" t="s">
        <v>412</v>
      </c>
      <c r="AN15" t="s">
        <v>413</v>
      </c>
      <c r="AO15">
        <v>3.85</v>
      </c>
      <c r="AP15">
        <v>1</v>
      </c>
      <c r="AQ15">
        <v>36130</v>
      </c>
      <c r="AR15">
        <v>36130</v>
      </c>
    </row>
    <row r="16" ht="26.85" customHeight="1" spans="1:44" x14ac:dyDescent="0.25">
      <c r="A16" t="s">
        <v>374</v>
      </c>
      <c r="B16">
        <v>19.23</v>
      </c>
      <c r="C16">
        <v>1</v>
      </c>
      <c r="D16">
        <v>1</v>
      </c>
      <c r="E16">
        <v>1</v>
      </c>
      <c r="F16">
        <v>0.02</v>
      </c>
      <c r="G16">
        <v>0.1</v>
      </c>
      <c r="H16">
        <v>0.1</v>
      </c>
      <c r="I16">
        <v>0.1</v>
      </c>
      <c r="K16" t="s">
        <v>353</v>
      </c>
      <c r="L16" t="s">
        <v>354</v>
      </c>
      <c r="M16">
        <v>15.38</v>
      </c>
      <c r="N16">
        <v>3</v>
      </c>
      <c r="O16">
        <v>33925</v>
      </c>
      <c r="P16">
        <v>101775</v>
      </c>
      <c r="Q16" t="str">
        <f>IF($B$5="All","Yes",IF(K16=$B$5,"Yes","No"))</f>
        <v>Yes</v>
      </c>
      <c r="T16" t="s">
        <v>412</v>
      </c>
      <c r="AD16" t="s">
        <v>380</v>
      </c>
      <c r="AE16" t="s">
        <v>360</v>
      </c>
      <c r="AF16">
        <v>7.69</v>
      </c>
      <c r="AG16">
        <v>1</v>
      </c>
      <c r="AH16">
        <v>1406.25</v>
      </c>
      <c r="AI16">
        <v>1406.25</v>
      </c>
      <c r="AJ16" t="s">
        <v>414</v>
      </c>
      <c r="AK16" t="s">
        <v>347</v>
      </c>
      <c r="AL16" t="s">
        <v>362</v>
      </c>
      <c r="AM16" t="s">
        <v>415</v>
      </c>
      <c r="AN16" t="s">
        <v>416</v>
      </c>
      <c r="AO16">
        <v>7.69</v>
      </c>
      <c r="AP16">
        <v>1</v>
      </c>
      <c r="AQ16">
        <v>36130</v>
      </c>
      <c r="AR16">
        <v>36130</v>
      </c>
    </row>
    <row r="17" ht="26.85" customHeight="1" spans="1:44" x14ac:dyDescent="0.25">
      <c r="A17" t="s">
        <v>380</v>
      </c>
      <c r="B17">
        <v>7.69</v>
      </c>
      <c r="C17">
        <v>1</v>
      </c>
      <c r="D17">
        <v>1</v>
      </c>
      <c r="E17">
        <v>1</v>
      </c>
      <c r="F17">
        <v>312.26</v>
      </c>
      <c r="G17">
        <v>396.62</v>
      </c>
      <c r="H17">
        <v>480.99</v>
      </c>
      <c r="I17">
        <v>396.62</v>
      </c>
      <c r="K17" t="s">
        <v>353</v>
      </c>
      <c r="L17" t="s">
        <v>362</v>
      </c>
      <c r="M17">
        <v>46.15</v>
      </c>
      <c r="N17">
        <v>3</v>
      </c>
      <c r="O17">
        <v>36130</v>
      </c>
      <c r="P17">
        <v>108390</v>
      </c>
      <c r="Q17" t="str">
        <f>IF($B$5="All","Yes",IF(K17=$B$5,"Yes","No"))</f>
        <v>Yes</v>
      </c>
      <c r="T17" t="s">
        <v>415</v>
      </c>
      <c r="AD17" t="s">
        <v>385</v>
      </c>
      <c r="AE17" t="s">
        <v>360</v>
      </c>
      <c r="AF17">
        <v>30.77</v>
      </c>
      <c r="AG17">
        <v>1</v>
      </c>
      <c r="AH17">
        <v>1406.25</v>
      </c>
      <c r="AI17">
        <v>1406.25</v>
      </c>
      <c r="AJ17" t="s">
        <v>417</v>
      </c>
      <c r="AK17" t="s">
        <v>353</v>
      </c>
      <c r="AL17" t="s">
        <v>348</v>
      </c>
      <c r="AM17" t="s">
        <v>418</v>
      </c>
      <c r="AN17" t="s">
        <v>419</v>
      </c>
      <c r="AO17">
        <v>3.85</v>
      </c>
      <c r="AP17">
        <v>1</v>
      </c>
      <c r="AQ17">
        <v>13344.05</v>
      </c>
      <c r="AR17">
        <v>13344.05</v>
      </c>
    </row>
    <row r="18" ht="15" customHeight="1" spans="1:44" x14ac:dyDescent="0.25">
      <c r="A18" t="s">
        <v>385</v>
      </c>
      <c r="B18">
        <v>30.77</v>
      </c>
      <c r="C18">
        <v>1</v>
      </c>
      <c r="D18">
        <v>1</v>
      </c>
      <c r="E18">
        <v>1</v>
      </c>
      <c r="F18">
        <v>1406.25</v>
      </c>
      <c r="G18">
        <v>1453.12</v>
      </c>
      <c r="H18">
        <v>1500</v>
      </c>
      <c r="I18">
        <v>1453.12</v>
      </c>
      <c r="K18" t="s">
        <v>361</v>
      </c>
      <c r="L18" t="s">
        <v>379</v>
      </c>
      <c r="M18">
        <v>61.54</v>
      </c>
      <c r="N18">
        <v>1</v>
      </c>
      <c r="O18">
        <v>0.1</v>
      </c>
      <c r="P18">
        <v>0.1</v>
      </c>
      <c r="Q18" t="str">
        <f>IF($B$5="All","Yes",IF(K18=$B$5,"Yes","No"))</f>
        <v>Yes</v>
      </c>
      <c r="T18" t="s">
        <v>418</v>
      </c>
      <c r="AK18" t="s">
        <v>353</v>
      </c>
      <c r="AL18" t="s">
        <v>348</v>
      </c>
      <c r="AM18" t="s">
        <v>420</v>
      </c>
      <c r="AN18" t="s">
        <v>421</v>
      </c>
      <c r="AO18">
        <v>3.85</v>
      </c>
      <c r="AP18">
        <v>1</v>
      </c>
      <c r="AQ18">
        <v>13344.01</v>
      </c>
      <c r="AR18">
        <v>13344.01</v>
      </c>
    </row>
    <row r="19" ht="15" customHeight="1" spans="11:44" x14ac:dyDescent="0.25">
      <c r="K19" t="s">
        <v>361</v>
      </c>
      <c r="L19" t="s">
        <v>384</v>
      </c>
      <c r="M19">
        <v>38.46</v>
      </c>
      <c r="N19">
        <v>1</v>
      </c>
      <c r="O19">
        <v>5730</v>
      </c>
      <c r="P19">
        <v>5730</v>
      </c>
      <c r="Q19" t="str">
        <f>IF($B$5="All","Yes",IF(K19=$B$5,"Yes","No"))</f>
        <v>Yes</v>
      </c>
      <c r="T19" t="s">
        <v>420</v>
      </c>
      <c r="AK19" t="s">
        <v>353</v>
      </c>
      <c r="AL19" t="s">
        <v>348</v>
      </c>
      <c r="AM19" t="s">
        <v>422</v>
      </c>
      <c r="AN19" t="s">
        <v>423</v>
      </c>
      <c r="AO19">
        <v>3.85</v>
      </c>
      <c r="AP19">
        <v>1</v>
      </c>
      <c r="AQ19">
        <v>13344.05</v>
      </c>
      <c r="AR19">
        <v>13344.05</v>
      </c>
    </row>
    <row r="20" ht="15" customHeight="1" spans="11:44" x14ac:dyDescent="0.25">
      <c r="K20" t="s">
        <v>368</v>
      </c>
      <c r="L20" t="s">
        <v>348</v>
      </c>
      <c r="M20">
        <v>30.77</v>
      </c>
      <c r="N20">
        <v>3</v>
      </c>
      <c r="O20">
        <v>36136</v>
      </c>
      <c r="P20">
        <v>108408</v>
      </c>
      <c r="Q20" t="str">
        <f>IF($B$5="All","Yes",IF(K20=$B$5,"Yes","No"))</f>
        <v>Yes</v>
      </c>
      <c r="T20" t="s">
        <v>422</v>
      </c>
      <c r="AK20" t="s">
        <v>353</v>
      </c>
      <c r="AL20" t="s">
        <v>348</v>
      </c>
      <c r="AM20" t="s">
        <v>424</v>
      </c>
      <c r="AN20" t="s">
        <v>425</v>
      </c>
      <c r="AO20">
        <v>3.85</v>
      </c>
      <c r="AP20">
        <v>1</v>
      </c>
      <c r="AQ20">
        <v>13344.09</v>
      </c>
      <c r="AR20">
        <v>13344.09</v>
      </c>
    </row>
    <row r="21" ht="15" customHeight="1" spans="11:44" x14ac:dyDescent="0.25">
      <c r="K21" t="s">
        <v>368</v>
      </c>
      <c r="L21" t="s">
        <v>367</v>
      </c>
      <c r="M21">
        <v>3.85</v>
      </c>
      <c r="N21">
        <v>1</v>
      </c>
      <c r="O21">
        <v>43628</v>
      </c>
      <c r="P21">
        <v>43628</v>
      </c>
      <c r="Q21" t="str">
        <f>IF($B$5="All","Yes",IF(K21=$B$5,"Yes","No"))</f>
        <v>Yes</v>
      </c>
      <c r="T21" t="s">
        <v>424</v>
      </c>
      <c r="AK21" t="s">
        <v>353</v>
      </c>
      <c r="AL21" t="s">
        <v>348</v>
      </c>
      <c r="AM21" t="s">
        <v>426</v>
      </c>
      <c r="AN21" t="s">
        <v>427</v>
      </c>
      <c r="AO21">
        <v>3.85</v>
      </c>
      <c r="AP21">
        <v>1</v>
      </c>
      <c r="AQ21">
        <v>13344</v>
      </c>
      <c r="AR21">
        <v>13344</v>
      </c>
    </row>
    <row r="22" ht="15" customHeight="1" spans="11:44" x14ac:dyDescent="0.25">
      <c r="K22" t="s">
        <v>368</v>
      </c>
      <c r="L22" t="s">
        <v>354</v>
      </c>
      <c r="M22">
        <v>15.38</v>
      </c>
      <c r="N22">
        <v>3</v>
      </c>
      <c r="O22">
        <v>33925</v>
      </c>
      <c r="P22">
        <v>101775</v>
      </c>
      <c r="Q22" t="str">
        <f>IF($B$5="All","Yes",IF(K22=$B$5,"Yes","No"))</f>
        <v>Yes</v>
      </c>
      <c r="T22" t="s">
        <v>426</v>
      </c>
      <c r="AK22" t="s">
        <v>353</v>
      </c>
      <c r="AL22" t="s">
        <v>348</v>
      </c>
      <c r="AM22" t="s">
        <v>428</v>
      </c>
      <c r="AN22" t="s">
        <v>429</v>
      </c>
      <c r="AO22">
        <v>3.85</v>
      </c>
      <c r="AP22">
        <v>1</v>
      </c>
      <c r="AQ22">
        <v>13344.05</v>
      </c>
      <c r="AR22">
        <v>13344.05</v>
      </c>
    </row>
    <row r="23" ht="15" customHeight="1" spans="11:44" x14ac:dyDescent="0.25">
      <c r="K23" t="s">
        <v>368</v>
      </c>
      <c r="L23" t="s">
        <v>362</v>
      </c>
      <c r="M23">
        <v>46.15</v>
      </c>
      <c r="N23">
        <v>3</v>
      </c>
      <c r="O23">
        <v>36130</v>
      </c>
      <c r="P23">
        <v>108390</v>
      </c>
      <c r="Q23" t="str">
        <f>IF($B$5="All","Yes",IF(K23=$B$5,"Yes","No"))</f>
        <v>Yes</v>
      </c>
      <c r="T23" t="s">
        <v>428</v>
      </c>
      <c r="AK23" t="s">
        <v>353</v>
      </c>
      <c r="AL23" t="s">
        <v>348</v>
      </c>
      <c r="AM23" t="s">
        <v>430</v>
      </c>
      <c r="AN23" t="s">
        <v>431</v>
      </c>
      <c r="AO23">
        <v>3.85</v>
      </c>
      <c r="AP23">
        <v>1</v>
      </c>
      <c r="AQ23">
        <v>13344</v>
      </c>
      <c r="AR23">
        <v>13344</v>
      </c>
    </row>
    <row r="24" ht="15" customHeight="1" spans="11:44" x14ac:dyDescent="0.25">
      <c r="K24" t="s">
        <v>374</v>
      </c>
      <c r="L24" t="s">
        <v>348</v>
      </c>
      <c r="M24">
        <v>3.85</v>
      </c>
      <c r="N24">
        <v>3</v>
      </c>
      <c r="O24">
        <v>36136</v>
      </c>
      <c r="P24">
        <v>108408</v>
      </c>
      <c r="Q24" t="str">
        <f>IF($B$5="All","Yes",IF(K24=$B$5,"Yes","No"))</f>
        <v>Yes</v>
      </c>
      <c r="T24" t="s">
        <v>430</v>
      </c>
      <c r="AK24" t="s">
        <v>353</v>
      </c>
      <c r="AL24" t="s">
        <v>348</v>
      </c>
      <c r="AM24" t="s">
        <v>432</v>
      </c>
      <c r="AN24" t="s">
        <v>433</v>
      </c>
      <c r="AO24">
        <v>3.85</v>
      </c>
      <c r="AP24">
        <v>1</v>
      </c>
      <c r="AQ24">
        <v>13344.01</v>
      </c>
      <c r="AR24">
        <v>13344.01</v>
      </c>
    </row>
    <row r="25" ht="15" customHeight="1" spans="11:44" x14ac:dyDescent="0.25">
      <c r="K25" t="s">
        <v>374</v>
      </c>
      <c r="L25" t="s">
        <v>362</v>
      </c>
      <c r="M25">
        <v>15.38</v>
      </c>
      <c r="N25">
        <v>3</v>
      </c>
      <c r="O25">
        <v>36130</v>
      </c>
      <c r="P25">
        <v>108390</v>
      </c>
      <c r="Q25" t="str">
        <f>IF($B$5="All","Yes",IF(K25=$B$5,"Yes","No"))</f>
        <v>Yes</v>
      </c>
      <c r="T25" t="s">
        <v>432</v>
      </c>
      <c r="AK25" t="s">
        <v>353</v>
      </c>
      <c r="AL25" t="s">
        <v>348</v>
      </c>
      <c r="AM25" t="s">
        <v>434</v>
      </c>
      <c r="AN25" t="s">
        <v>435</v>
      </c>
      <c r="AO25">
        <v>3.85</v>
      </c>
      <c r="AP25">
        <v>1</v>
      </c>
      <c r="AQ25">
        <v>13344.01</v>
      </c>
      <c r="AR25">
        <v>13344.01</v>
      </c>
    </row>
    <row r="26" ht="15" customHeight="1" spans="11:44" x14ac:dyDescent="0.25">
      <c r="K26" t="s">
        <v>436</v>
      </c>
      <c r="L26" t="s">
        <v>360</v>
      </c>
      <c r="M26">
        <v>7.69</v>
      </c>
      <c r="N26">
        <v>1</v>
      </c>
      <c r="O26">
        <v>1406.25</v>
      </c>
      <c r="P26">
        <v>1406.25</v>
      </c>
      <c r="Q26" t="str">
        <f>IF($B$5="All","Yes",IF(K26=$B$5,"Yes","No"))</f>
        <v>Yes</v>
      </c>
      <c r="T26" t="s">
        <v>434</v>
      </c>
      <c r="AK26" t="s">
        <v>353</v>
      </c>
      <c r="AL26" t="s">
        <v>348</v>
      </c>
      <c r="AM26" t="s">
        <v>437</v>
      </c>
      <c r="AN26" t="s">
        <v>438</v>
      </c>
      <c r="AO26">
        <v>3.85</v>
      </c>
      <c r="AP26">
        <v>1</v>
      </c>
      <c r="AQ26">
        <v>13344</v>
      </c>
      <c r="AR26">
        <v>13344</v>
      </c>
    </row>
    <row r="27" ht="26.85" customHeight="1" spans="11:44" x14ac:dyDescent="0.25">
      <c r="K27" t="s">
        <v>337</v>
      </c>
      <c r="L27" t="s">
        <v>342</v>
      </c>
      <c r="M27" t="s">
        <v>323</v>
      </c>
      <c r="N27" t="s">
        <v>324</v>
      </c>
      <c r="O27" t="s">
        <v>192</v>
      </c>
      <c r="P27" t="s">
        <v>212</v>
      </c>
      <c r="Q27" t="s">
        <v>340</v>
      </c>
      <c r="R27" t="s">
        <v>341</v>
      </c>
      <c r="S27" t="s">
        <v>439</v>
      </c>
      <c r="T27" t="s">
        <v>437</v>
      </c>
      <c r="AK27" t="s">
        <v>353</v>
      </c>
      <c r="AL27" t="s">
        <v>354</v>
      </c>
      <c r="AM27" t="s">
        <v>440</v>
      </c>
      <c r="AN27" t="s">
        <v>441</v>
      </c>
      <c r="AO27">
        <v>3.85</v>
      </c>
      <c r="AP27">
        <v>2</v>
      </c>
      <c r="AQ27">
        <v>13340.05</v>
      </c>
      <c r="AR27">
        <v>26680.1</v>
      </c>
    </row>
    <row r="28" ht="90.25" customHeight="1" spans="11:44" x14ac:dyDescent="0.25">
      <c r="K28" t="s">
        <v>347</v>
      </c>
      <c r="L28" t="s">
        <v>348</v>
      </c>
      <c r="M28" t="s">
        <v>350</v>
      </c>
      <c r="N28" t="s">
        <v>351</v>
      </c>
      <c r="O28">
        <v>11.54</v>
      </c>
      <c r="P28">
        <v>1</v>
      </c>
      <c r="Q28">
        <v>36136</v>
      </c>
      <c r="R28">
        <v>36136</v>
      </c>
      <c r="S28" t="str">
        <f>IF($B$5="All","Yes",IF($B$6="All",IF(K28=$B$5,"Yes","No"),IF(AND(K28=$B$5,L28=$B$6),"Yes","No")))</f>
        <v>Yes</v>
      </c>
      <c r="T28" t="s">
        <v>440</v>
      </c>
      <c r="AK28" t="s">
        <v>353</v>
      </c>
      <c r="AL28" t="s">
        <v>354</v>
      </c>
      <c r="AM28" t="s">
        <v>442</v>
      </c>
      <c r="AN28" t="s">
        <v>443</v>
      </c>
      <c r="AO28">
        <v>3.85</v>
      </c>
      <c r="AP28">
        <v>1</v>
      </c>
      <c r="AQ28">
        <v>13340.05</v>
      </c>
      <c r="AR28">
        <v>13340.05</v>
      </c>
    </row>
    <row r="29" ht="141" customHeight="1" spans="11:44" x14ac:dyDescent="0.25">
      <c r="K29" t="s">
        <v>347</v>
      </c>
      <c r="L29" t="s">
        <v>348</v>
      </c>
      <c r="M29" t="s">
        <v>356</v>
      </c>
      <c r="N29" t="s">
        <v>357</v>
      </c>
      <c r="O29">
        <v>3.85</v>
      </c>
      <c r="P29">
        <v>1</v>
      </c>
      <c r="Q29">
        <v>36136</v>
      </c>
      <c r="R29">
        <v>36136</v>
      </c>
      <c r="S29" t="str">
        <f>IF($B$5="All","Yes",IF($B$6="All",IF(K29=$B$5,"Yes","No"),IF(AND(K29=$B$5,L29=$B$6),"Yes","No")))</f>
        <v>Yes</v>
      </c>
      <c r="T29" t="s">
        <v>442</v>
      </c>
      <c r="AK29" t="s">
        <v>353</v>
      </c>
      <c r="AL29" t="s">
        <v>354</v>
      </c>
      <c r="AM29" t="s">
        <v>444</v>
      </c>
      <c r="AN29" t="s">
        <v>445</v>
      </c>
      <c r="AO29">
        <v>3.85</v>
      </c>
      <c r="AP29">
        <v>1</v>
      </c>
      <c r="AQ29">
        <v>13340.05</v>
      </c>
      <c r="AR29">
        <v>13340.05</v>
      </c>
    </row>
    <row r="30" ht="153.7" customHeight="1" spans="11:44" x14ac:dyDescent="0.25">
      <c r="K30" t="s">
        <v>347</v>
      </c>
      <c r="L30" t="s">
        <v>348</v>
      </c>
      <c r="M30" t="s">
        <v>364</v>
      </c>
      <c r="N30" t="s">
        <v>365</v>
      </c>
      <c r="O30">
        <v>3.85</v>
      </c>
      <c r="P30">
        <v>1</v>
      </c>
      <c r="Q30">
        <v>36136</v>
      </c>
      <c r="R30">
        <v>36136</v>
      </c>
      <c r="S30" t="str">
        <f>IF($B$5="All","Yes",IF($B$6="All",IF(K30=$B$5,"Yes","No"),IF(AND(K30=$B$5,L30=$B$6),"Yes","No")))</f>
        <v>Yes</v>
      </c>
      <c r="T30" t="s">
        <v>444</v>
      </c>
      <c r="AK30" t="s">
        <v>353</v>
      </c>
      <c r="AL30" t="s">
        <v>354</v>
      </c>
      <c r="AM30" t="s">
        <v>446</v>
      </c>
      <c r="AN30" t="s">
        <v>447</v>
      </c>
      <c r="AO30">
        <v>3.85</v>
      </c>
      <c r="AP30">
        <v>1</v>
      </c>
      <c r="AQ30">
        <v>13339.5</v>
      </c>
      <c r="AR30">
        <v>13339.5</v>
      </c>
    </row>
    <row r="31" ht="141" customHeight="1" spans="11:44" x14ac:dyDescent="0.25">
      <c r="K31" t="s">
        <v>347</v>
      </c>
      <c r="L31" t="s">
        <v>348</v>
      </c>
      <c r="M31" t="s">
        <v>370</v>
      </c>
      <c r="N31" t="s">
        <v>371</v>
      </c>
      <c r="O31">
        <v>7.69</v>
      </c>
      <c r="P31">
        <v>1</v>
      </c>
      <c r="Q31">
        <v>36136</v>
      </c>
      <c r="R31">
        <v>36136</v>
      </c>
      <c r="S31" t="str">
        <f>IF($B$5="All","Yes",IF($B$6="All",IF(K31=$B$5,"Yes","No"),IF(AND(K31=$B$5,L31=$B$6),"Yes","No")))</f>
        <v>Yes</v>
      </c>
      <c r="T31" t="s">
        <v>446</v>
      </c>
      <c r="AK31" t="s">
        <v>353</v>
      </c>
      <c r="AL31" t="s">
        <v>362</v>
      </c>
      <c r="AM31" t="s">
        <v>448</v>
      </c>
      <c r="AN31" t="s">
        <v>449</v>
      </c>
      <c r="AO31">
        <v>3.85</v>
      </c>
      <c r="AP31">
        <v>1</v>
      </c>
      <c r="AQ31">
        <v>13340.05</v>
      </c>
      <c r="AR31">
        <v>13340.05</v>
      </c>
    </row>
    <row r="32" ht="141" customHeight="1" spans="11:44" x14ac:dyDescent="0.25">
      <c r="K32" t="s">
        <v>347</v>
      </c>
      <c r="L32" t="s">
        <v>348</v>
      </c>
      <c r="M32" t="s">
        <v>376</v>
      </c>
      <c r="N32" t="s">
        <v>377</v>
      </c>
      <c r="O32">
        <v>7.69</v>
      </c>
      <c r="P32">
        <v>1</v>
      </c>
      <c r="Q32">
        <v>36136</v>
      </c>
      <c r="R32">
        <v>36136</v>
      </c>
      <c r="S32" t="str">
        <f>IF($B$5="All","Yes",IF($B$6="All",IF(K32=$B$5,"Yes","No"),IF(AND(K32=$B$5,L32=$B$6),"Yes","No")))</f>
        <v>Yes</v>
      </c>
      <c r="T32" t="s">
        <v>448</v>
      </c>
      <c r="AK32" t="s">
        <v>353</v>
      </c>
      <c r="AL32" t="s">
        <v>362</v>
      </c>
      <c r="AM32" t="s">
        <v>450</v>
      </c>
      <c r="AN32" t="s">
        <v>451</v>
      </c>
      <c r="AO32">
        <v>11.54</v>
      </c>
      <c r="AP32">
        <v>1</v>
      </c>
      <c r="AQ32">
        <v>13340.05</v>
      </c>
      <c r="AR32">
        <v>13340.05</v>
      </c>
    </row>
    <row r="33" ht="141" customHeight="1" spans="11:44" x14ac:dyDescent="0.25">
      <c r="K33" t="s">
        <v>347</v>
      </c>
      <c r="L33" t="s">
        <v>348</v>
      </c>
      <c r="M33" t="s">
        <v>382</v>
      </c>
      <c r="N33" t="s">
        <v>383</v>
      </c>
      <c r="O33">
        <v>3.85</v>
      </c>
      <c r="P33">
        <v>1</v>
      </c>
      <c r="Q33">
        <v>36136</v>
      </c>
      <c r="R33">
        <v>36136</v>
      </c>
      <c r="S33" t="str">
        <f>IF($B$5="All","Yes",IF($B$6="All",IF(K33=$B$5,"Yes","No"),IF(AND(K33=$B$5,L33=$B$6),"Yes","No")))</f>
        <v>Yes</v>
      </c>
      <c r="T33" t="s">
        <v>450</v>
      </c>
      <c r="AK33" t="s">
        <v>353</v>
      </c>
      <c r="AL33" t="s">
        <v>362</v>
      </c>
      <c r="AM33" t="s">
        <v>452</v>
      </c>
      <c r="AN33" t="s">
        <v>453</v>
      </c>
      <c r="AO33">
        <v>3.85</v>
      </c>
      <c r="AP33">
        <v>1</v>
      </c>
      <c r="AQ33">
        <v>13340.05</v>
      </c>
      <c r="AR33">
        <v>13340.05</v>
      </c>
    </row>
    <row r="34" ht="153.7" customHeight="1" spans="11:44" x14ac:dyDescent="0.25">
      <c r="K34" t="s">
        <v>347</v>
      </c>
      <c r="L34" t="s">
        <v>354</v>
      </c>
      <c r="M34" t="s">
        <v>387</v>
      </c>
      <c r="N34" t="s">
        <v>388</v>
      </c>
      <c r="O34">
        <v>3.85</v>
      </c>
      <c r="P34">
        <v>1</v>
      </c>
      <c r="Q34">
        <v>36130</v>
      </c>
      <c r="R34">
        <v>36130</v>
      </c>
      <c r="S34" t="str">
        <f>IF($B$5="All","Yes",IF($B$6="All",IF(K34=$B$5,"Yes","No"),IF(AND(K34=$B$5,L34=$B$6),"Yes","No")))</f>
        <v>Yes</v>
      </c>
      <c r="T34" t="s">
        <v>452</v>
      </c>
      <c r="AK34" t="s">
        <v>353</v>
      </c>
      <c r="AL34" t="s">
        <v>362</v>
      </c>
      <c r="AM34" t="s">
        <v>454</v>
      </c>
      <c r="AN34" t="s">
        <v>455</v>
      </c>
      <c r="AO34">
        <v>3.85</v>
      </c>
      <c r="AP34">
        <v>1</v>
      </c>
      <c r="AQ34">
        <v>13340</v>
      </c>
      <c r="AR34">
        <v>13340</v>
      </c>
    </row>
    <row r="35" ht="102.95" customHeight="1" spans="11:44" x14ac:dyDescent="0.25">
      <c r="K35" t="s">
        <v>347</v>
      </c>
      <c r="L35" t="s">
        <v>354</v>
      </c>
      <c r="M35" t="s">
        <v>390</v>
      </c>
      <c r="N35" t="s">
        <v>391</v>
      </c>
      <c r="O35">
        <v>3.85</v>
      </c>
      <c r="P35">
        <v>1</v>
      </c>
      <c r="Q35">
        <v>36130</v>
      </c>
      <c r="R35">
        <v>36130</v>
      </c>
      <c r="S35" t="str">
        <f>IF($B$5="All","Yes",IF($B$6="All",IF(K35=$B$5,"Yes","No"),IF(AND(K35=$B$5,L35=$B$6),"Yes","No")))</f>
        <v>Yes</v>
      </c>
      <c r="T35" t="s">
        <v>454</v>
      </c>
      <c r="AK35" t="s">
        <v>353</v>
      </c>
      <c r="AL35" t="s">
        <v>362</v>
      </c>
      <c r="AM35" t="s">
        <v>456</v>
      </c>
      <c r="AN35" t="s">
        <v>457</v>
      </c>
      <c r="AO35">
        <v>3.85</v>
      </c>
      <c r="AP35">
        <v>1</v>
      </c>
      <c r="AQ35">
        <v>13340.05</v>
      </c>
      <c r="AR35">
        <v>13340.05</v>
      </c>
    </row>
    <row r="36" ht="102.95" customHeight="1" spans="11:44" x14ac:dyDescent="0.25">
      <c r="K36" t="s">
        <v>347</v>
      </c>
      <c r="L36" t="s">
        <v>354</v>
      </c>
      <c r="M36" t="s">
        <v>395</v>
      </c>
      <c r="N36" t="s">
        <v>396</v>
      </c>
      <c r="O36">
        <v>3.85</v>
      </c>
      <c r="P36">
        <v>1</v>
      </c>
      <c r="Q36">
        <v>36130</v>
      </c>
      <c r="R36">
        <v>36130</v>
      </c>
      <c r="S36" t="str">
        <f>IF($B$5="All","Yes",IF($B$6="All",IF(K36=$B$5,"Yes","No"),IF(AND(K36=$B$5,L36=$B$6),"Yes","No")))</f>
        <v>Yes</v>
      </c>
      <c r="T36" t="s">
        <v>456</v>
      </c>
      <c r="AK36" t="s">
        <v>353</v>
      </c>
      <c r="AL36" t="s">
        <v>362</v>
      </c>
      <c r="AM36" t="s">
        <v>458</v>
      </c>
      <c r="AN36" t="s">
        <v>459</v>
      </c>
      <c r="AO36">
        <v>3.85</v>
      </c>
      <c r="AP36">
        <v>1</v>
      </c>
      <c r="AQ36">
        <v>13340.05</v>
      </c>
      <c r="AR36">
        <v>13340.05</v>
      </c>
    </row>
    <row r="37" ht="102.95" customHeight="1" spans="11:44" x14ac:dyDescent="0.25">
      <c r="K37" t="s">
        <v>347</v>
      </c>
      <c r="L37" t="s">
        <v>354</v>
      </c>
      <c r="M37" t="s">
        <v>400</v>
      </c>
      <c r="N37" t="s">
        <v>401</v>
      </c>
      <c r="O37">
        <v>3.85</v>
      </c>
      <c r="P37">
        <v>1</v>
      </c>
      <c r="Q37">
        <v>36130</v>
      </c>
      <c r="R37">
        <v>36130</v>
      </c>
      <c r="S37" t="str">
        <f>IF($B$5="All","Yes",IF($B$6="All",IF(K37=$B$5,"Yes","No"),IF(AND(K37=$B$5,L37=$B$6),"Yes","No")))</f>
        <v>Yes</v>
      </c>
      <c r="T37" t="s">
        <v>458</v>
      </c>
      <c r="AK37" t="s">
        <v>353</v>
      </c>
      <c r="AL37" t="s">
        <v>362</v>
      </c>
      <c r="AM37" t="s">
        <v>460</v>
      </c>
      <c r="AN37" t="s">
        <v>461</v>
      </c>
      <c r="AO37">
        <v>3.85</v>
      </c>
      <c r="AP37">
        <v>1</v>
      </c>
      <c r="AQ37">
        <v>13340.05</v>
      </c>
      <c r="AR37">
        <v>13340.05</v>
      </c>
    </row>
    <row r="38" ht="64.9" customHeight="1" spans="11:44" x14ac:dyDescent="0.25">
      <c r="K38" t="s">
        <v>347</v>
      </c>
      <c r="L38" t="s">
        <v>362</v>
      </c>
      <c r="M38" t="s">
        <v>403</v>
      </c>
      <c r="N38" t="s">
        <v>404</v>
      </c>
      <c r="O38">
        <v>15.38</v>
      </c>
      <c r="P38">
        <v>1</v>
      </c>
      <c r="Q38">
        <v>36130</v>
      </c>
      <c r="R38">
        <v>36130</v>
      </c>
      <c r="S38" t="str">
        <f>IF($B$5="All","Yes",IF($B$6="All",IF(K38=$B$5,"Yes","No"),IF(AND(K38=$B$5,L38=$B$6),"Yes","No")))</f>
        <v>Yes</v>
      </c>
      <c r="T38" t="s">
        <v>460</v>
      </c>
      <c r="AK38" t="s">
        <v>353</v>
      </c>
      <c r="AL38" t="s">
        <v>362</v>
      </c>
      <c r="AM38" t="s">
        <v>462</v>
      </c>
      <c r="AN38" t="s">
        <v>463</v>
      </c>
      <c r="AO38">
        <v>11.54</v>
      </c>
      <c r="AP38">
        <v>1</v>
      </c>
      <c r="AQ38">
        <v>13340.05</v>
      </c>
      <c r="AR38">
        <v>13340.05</v>
      </c>
    </row>
    <row r="39" ht="77.6" customHeight="1" spans="11:44" x14ac:dyDescent="0.25">
      <c r="K39" t="s">
        <v>347</v>
      </c>
      <c r="L39" t="s">
        <v>362</v>
      </c>
      <c r="M39" t="s">
        <v>406</v>
      </c>
      <c r="N39" t="s">
        <v>407</v>
      </c>
      <c r="O39">
        <v>15.38</v>
      </c>
      <c r="P39">
        <v>1</v>
      </c>
      <c r="Q39">
        <v>36130</v>
      </c>
      <c r="R39">
        <v>36130</v>
      </c>
      <c r="S39" t="str">
        <f>IF($B$5="All","Yes",IF($B$6="All",IF(K39=$B$5,"Yes","No"),IF(AND(K39=$B$5,L39=$B$6),"Yes","No")))</f>
        <v>Yes</v>
      </c>
      <c r="T39" t="s">
        <v>462</v>
      </c>
      <c r="AK39" t="s">
        <v>361</v>
      </c>
      <c r="AL39" t="s">
        <v>379</v>
      </c>
      <c r="AM39" t="s">
        <v>464</v>
      </c>
      <c r="AN39" t="s">
        <v>465</v>
      </c>
      <c r="AO39">
        <v>3.85</v>
      </c>
      <c r="AP39">
        <v>1</v>
      </c>
      <c r="AQ39">
        <v>0.02</v>
      </c>
      <c r="AR39">
        <v>0.02</v>
      </c>
    </row>
    <row r="40" ht="90.25" customHeight="1" spans="11:44" x14ac:dyDescent="0.25">
      <c r="K40" t="s">
        <v>347</v>
      </c>
      <c r="L40" t="s">
        <v>362</v>
      </c>
      <c r="M40" t="s">
        <v>409</v>
      </c>
      <c r="N40" t="s">
        <v>410</v>
      </c>
      <c r="O40">
        <v>3.85</v>
      </c>
      <c r="P40">
        <v>1</v>
      </c>
      <c r="Q40">
        <v>36130</v>
      </c>
      <c r="R40">
        <v>36130</v>
      </c>
      <c r="S40" t="str">
        <f>IF($B$5="All","Yes",IF($B$6="All",IF(K40=$B$5,"Yes","No"),IF(AND(K40=$B$5,L40=$B$6),"Yes","No")))</f>
        <v>Yes</v>
      </c>
      <c r="T40" t="s">
        <v>464</v>
      </c>
      <c r="AK40" t="s">
        <v>361</v>
      </c>
      <c r="AL40" t="s">
        <v>379</v>
      </c>
      <c r="AM40" t="s">
        <v>466</v>
      </c>
      <c r="AN40" t="s">
        <v>467</v>
      </c>
      <c r="AO40">
        <v>23.08</v>
      </c>
      <c r="AP40">
        <v>1</v>
      </c>
      <c r="AQ40">
        <v>0.1</v>
      </c>
      <c r="AR40">
        <v>0.1</v>
      </c>
    </row>
    <row r="41" ht="166.4" customHeight="1" spans="11:44" x14ac:dyDescent="0.25">
      <c r="K41" t="s">
        <v>347</v>
      </c>
      <c r="L41" t="s">
        <v>362</v>
      </c>
      <c r="M41" t="s">
        <v>412</v>
      </c>
      <c r="N41" t="s">
        <v>413</v>
      </c>
      <c r="O41">
        <v>3.85</v>
      </c>
      <c r="P41">
        <v>1</v>
      </c>
      <c r="Q41">
        <v>36130</v>
      </c>
      <c r="R41">
        <v>36130</v>
      </c>
      <c r="S41" t="str">
        <f>IF($B$5="All","Yes",IF($B$6="All",IF(K41=$B$5,"Yes","No"),IF(AND(K41=$B$5,L41=$B$6),"Yes","No")))</f>
        <v>Yes</v>
      </c>
      <c r="T41" t="s">
        <v>466</v>
      </c>
      <c r="AK41" t="s">
        <v>361</v>
      </c>
      <c r="AL41" t="s">
        <v>379</v>
      </c>
      <c r="AM41" t="s">
        <v>468</v>
      </c>
      <c r="AN41" t="s">
        <v>469</v>
      </c>
      <c r="AO41">
        <v>34.62</v>
      </c>
      <c r="AP41">
        <v>1</v>
      </c>
      <c r="AQ41">
        <v>0.1</v>
      </c>
      <c r="AR41">
        <v>0.1</v>
      </c>
    </row>
    <row r="42" ht="179.1" customHeight="1" spans="11:44" x14ac:dyDescent="0.25">
      <c r="K42" t="s">
        <v>347</v>
      </c>
      <c r="L42" t="s">
        <v>362</v>
      </c>
      <c r="M42" t="s">
        <v>415</v>
      </c>
      <c r="N42" t="s">
        <v>416</v>
      </c>
      <c r="O42">
        <v>7.69</v>
      </c>
      <c r="P42">
        <v>1</v>
      </c>
      <c r="Q42">
        <v>36130</v>
      </c>
      <c r="R42">
        <v>36130</v>
      </c>
      <c r="S42" t="str">
        <f>IF($B$5="All","Yes",IF($B$6="All",IF(K42=$B$5,"Yes","No"),IF(AND(K42=$B$5,L42=$B$6),"Yes","No")))</f>
        <v>Yes</v>
      </c>
      <c r="T42" t="s">
        <v>468</v>
      </c>
      <c r="AK42" t="s">
        <v>361</v>
      </c>
      <c r="AL42" t="s">
        <v>384</v>
      </c>
      <c r="AM42" t="s">
        <v>470</v>
      </c>
      <c r="AN42" t="s">
        <v>471</v>
      </c>
      <c r="AO42">
        <v>38.46</v>
      </c>
      <c r="AP42">
        <v>1</v>
      </c>
      <c r="AQ42">
        <v>5730</v>
      </c>
      <c r="AR42">
        <v>5730</v>
      </c>
    </row>
    <row r="43" ht="166.4" customHeight="1" spans="11:44" x14ac:dyDescent="0.25">
      <c r="K43" t="s">
        <v>353</v>
      </c>
      <c r="L43" t="s">
        <v>348</v>
      </c>
      <c r="M43" t="s">
        <v>418</v>
      </c>
      <c r="N43" t="s">
        <v>419</v>
      </c>
      <c r="O43">
        <v>3.85</v>
      </c>
      <c r="P43">
        <v>1</v>
      </c>
      <c r="Q43">
        <v>13344.05</v>
      </c>
      <c r="R43">
        <v>13344.05</v>
      </c>
      <c r="S43" t="str">
        <f>IF($B$5="All","Yes",IF($B$6="All",IF(K43=$B$5,"Yes","No"),IF(AND(K43=$B$5,L43=$B$6),"Yes","No")))</f>
        <v>Yes</v>
      </c>
      <c r="T43" t="s">
        <v>470</v>
      </c>
      <c r="AK43" t="s">
        <v>368</v>
      </c>
      <c r="AL43" t="s">
        <v>348</v>
      </c>
      <c r="AM43" t="s">
        <v>472</v>
      </c>
      <c r="AN43" t="s">
        <v>473</v>
      </c>
      <c r="AO43">
        <v>7.69</v>
      </c>
      <c r="AP43">
        <v>1</v>
      </c>
      <c r="AQ43">
        <v>43628</v>
      </c>
      <c r="AR43">
        <v>43628</v>
      </c>
    </row>
    <row r="44" ht="179.1" customHeight="1" spans="11:44" x14ac:dyDescent="0.25">
      <c r="K44" t="s">
        <v>353</v>
      </c>
      <c r="L44" t="s">
        <v>348</v>
      </c>
      <c r="M44" t="s">
        <v>420</v>
      </c>
      <c r="N44" t="s">
        <v>421</v>
      </c>
      <c r="O44">
        <v>3.85</v>
      </c>
      <c r="P44">
        <v>1</v>
      </c>
      <c r="Q44">
        <v>13344.01</v>
      </c>
      <c r="R44">
        <v>13344.01</v>
      </c>
      <c r="S44" t="str">
        <f>IF($B$5="All","Yes",IF($B$6="All",IF(K44=$B$5,"Yes","No"),IF(AND(K44=$B$5,L44=$B$6),"Yes","No")))</f>
        <v>Yes</v>
      </c>
      <c r="T44" t="s">
        <v>472</v>
      </c>
      <c r="AK44" t="s">
        <v>368</v>
      </c>
      <c r="AL44" t="s">
        <v>348</v>
      </c>
      <c r="AM44" t="s">
        <v>474</v>
      </c>
      <c r="AN44" t="s">
        <v>475</v>
      </c>
      <c r="AO44">
        <v>3.85</v>
      </c>
      <c r="AP44">
        <v>1</v>
      </c>
      <c r="AQ44">
        <v>23742</v>
      </c>
      <c r="AR44">
        <v>23742</v>
      </c>
    </row>
    <row r="45" ht="179.1" customHeight="1" spans="11:44" x14ac:dyDescent="0.25">
      <c r="K45" t="s">
        <v>353</v>
      </c>
      <c r="L45" t="s">
        <v>348</v>
      </c>
      <c r="M45" t="s">
        <v>422</v>
      </c>
      <c r="N45" t="s">
        <v>423</v>
      </c>
      <c r="O45">
        <v>3.85</v>
      </c>
      <c r="P45">
        <v>1</v>
      </c>
      <c r="Q45">
        <v>13344.05</v>
      </c>
      <c r="R45">
        <v>13344.05</v>
      </c>
      <c r="S45" t="str">
        <f>IF($B$5="All","Yes",IF($B$6="All",IF(K45=$B$5,"Yes","No"),IF(AND(K45=$B$5,L45=$B$6),"Yes","No")))</f>
        <v>Yes</v>
      </c>
      <c r="T45" t="s">
        <v>474</v>
      </c>
      <c r="AK45" t="s">
        <v>368</v>
      </c>
      <c r="AL45" t="s">
        <v>348</v>
      </c>
      <c r="AM45" t="s">
        <v>476</v>
      </c>
      <c r="AN45" t="s">
        <v>477</v>
      </c>
      <c r="AO45">
        <v>3.85</v>
      </c>
      <c r="AP45">
        <v>1</v>
      </c>
      <c r="AQ45">
        <v>23742</v>
      </c>
      <c r="AR45">
        <v>23742</v>
      </c>
    </row>
    <row r="46" ht="179.1" customHeight="1" spans="11:44" x14ac:dyDescent="0.25">
      <c r="K46" t="s">
        <v>353</v>
      </c>
      <c r="L46" t="s">
        <v>348</v>
      </c>
      <c r="M46" t="s">
        <v>424</v>
      </c>
      <c r="N46" t="s">
        <v>425</v>
      </c>
      <c r="O46">
        <v>3.85</v>
      </c>
      <c r="P46">
        <v>1</v>
      </c>
      <c r="Q46">
        <v>13344.09</v>
      </c>
      <c r="R46">
        <v>13344.09</v>
      </c>
      <c r="S46" t="str">
        <f>IF($B$5="All","Yes",IF($B$6="All",IF(K46=$B$5,"Yes","No"),IF(AND(K46=$B$5,L46=$B$6),"Yes","No")))</f>
        <v>Yes</v>
      </c>
      <c r="T46" t="s">
        <v>476</v>
      </c>
      <c r="AK46" t="s">
        <v>368</v>
      </c>
      <c r="AL46" t="s">
        <v>348</v>
      </c>
      <c r="AM46" t="s">
        <v>478</v>
      </c>
      <c r="AN46" t="s">
        <v>479</v>
      </c>
      <c r="AO46">
        <v>15.38</v>
      </c>
      <c r="AP46">
        <v>1</v>
      </c>
      <c r="AQ46">
        <v>43628</v>
      </c>
      <c r="AR46">
        <v>43628</v>
      </c>
    </row>
    <row r="47" ht="102.95" customHeight="1" spans="11:44" x14ac:dyDescent="0.25">
      <c r="K47" t="s">
        <v>353</v>
      </c>
      <c r="L47" t="s">
        <v>348</v>
      </c>
      <c r="M47" t="s">
        <v>426</v>
      </c>
      <c r="N47" t="s">
        <v>427</v>
      </c>
      <c r="O47">
        <v>3.85</v>
      </c>
      <c r="P47">
        <v>1</v>
      </c>
      <c r="Q47">
        <v>13344</v>
      </c>
      <c r="R47">
        <v>13344</v>
      </c>
      <c r="S47" t="str">
        <f>IF($B$5="All","Yes",IF($B$6="All",IF(K47=$B$5,"Yes","No"),IF(AND(K47=$B$5,L47=$B$6),"Yes","No")))</f>
        <v>Yes</v>
      </c>
      <c r="T47" t="s">
        <v>478</v>
      </c>
      <c r="AK47" t="s">
        <v>368</v>
      </c>
      <c r="AL47" t="s">
        <v>367</v>
      </c>
      <c r="AM47" t="s">
        <v>480</v>
      </c>
      <c r="AN47" t="s">
        <v>481</v>
      </c>
      <c r="AO47">
        <v>3.85</v>
      </c>
      <c r="AP47">
        <v>1</v>
      </c>
      <c r="AQ47">
        <v>43628</v>
      </c>
      <c r="AR47">
        <v>43628</v>
      </c>
    </row>
    <row r="48" ht="153.7" customHeight="1" spans="11:44" x14ac:dyDescent="0.25">
      <c r="K48" t="s">
        <v>353</v>
      </c>
      <c r="L48" t="s">
        <v>348</v>
      </c>
      <c r="M48" t="s">
        <v>428</v>
      </c>
      <c r="N48" t="s">
        <v>429</v>
      </c>
      <c r="O48">
        <v>3.85</v>
      </c>
      <c r="P48">
        <v>1</v>
      </c>
      <c r="Q48">
        <v>13344.05</v>
      </c>
      <c r="R48">
        <v>13344.05</v>
      </c>
      <c r="S48" t="str">
        <f>IF($B$5="All","Yes",IF($B$6="All",IF(K48=$B$5,"Yes","No"),IF(AND(K48=$B$5,L48=$B$6),"Yes","No")))</f>
        <v>Yes</v>
      </c>
      <c r="T48" t="s">
        <v>480</v>
      </c>
      <c r="AK48" t="s">
        <v>368</v>
      </c>
      <c r="AL48" t="s">
        <v>354</v>
      </c>
      <c r="AM48" t="s">
        <v>482</v>
      </c>
      <c r="AN48" t="s">
        <v>483</v>
      </c>
      <c r="AO48">
        <v>3.85</v>
      </c>
      <c r="AP48">
        <v>1</v>
      </c>
      <c r="AQ48">
        <v>33924.98</v>
      </c>
      <c r="AR48">
        <v>33924.98</v>
      </c>
    </row>
    <row r="49" ht="153.7" customHeight="1" spans="11:44" x14ac:dyDescent="0.25">
      <c r="K49" t="s">
        <v>353</v>
      </c>
      <c r="L49" t="s">
        <v>348</v>
      </c>
      <c r="M49" t="s">
        <v>430</v>
      </c>
      <c r="N49" t="s">
        <v>431</v>
      </c>
      <c r="O49">
        <v>3.85</v>
      </c>
      <c r="P49">
        <v>1</v>
      </c>
      <c r="Q49">
        <v>13344</v>
      </c>
      <c r="R49">
        <v>13344</v>
      </c>
      <c r="S49" t="str">
        <f>IF($B$5="All","Yes",IF($B$6="All",IF(K49=$B$5,"Yes","No"),IF(AND(K49=$B$5,L49=$B$6),"Yes","No")))</f>
        <v>Yes</v>
      </c>
      <c r="T49" t="s">
        <v>482</v>
      </c>
      <c r="AK49" t="s">
        <v>368</v>
      </c>
      <c r="AL49" t="s">
        <v>354</v>
      </c>
      <c r="AM49" t="s">
        <v>484</v>
      </c>
      <c r="AN49" t="s">
        <v>485</v>
      </c>
      <c r="AO49">
        <v>3.85</v>
      </c>
      <c r="AP49">
        <v>1</v>
      </c>
      <c r="AQ49">
        <v>33925</v>
      </c>
      <c r="AR49">
        <v>33925</v>
      </c>
    </row>
    <row r="50" ht="153.7" customHeight="1" spans="11:44" x14ac:dyDescent="0.25">
      <c r="K50" t="s">
        <v>353</v>
      </c>
      <c r="L50" t="s">
        <v>348</v>
      </c>
      <c r="M50" t="s">
        <v>432</v>
      </c>
      <c r="N50" t="s">
        <v>433</v>
      </c>
      <c r="O50">
        <v>3.85</v>
      </c>
      <c r="P50">
        <v>1</v>
      </c>
      <c r="Q50">
        <v>13344.01</v>
      </c>
      <c r="R50">
        <v>13344.01</v>
      </c>
      <c r="S50" t="str">
        <f>IF($B$5="All","Yes",IF($B$6="All",IF(K50=$B$5,"Yes","No"),IF(AND(K50=$B$5,L50=$B$6),"Yes","No")))</f>
        <v>Yes</v>
      </c>
      <c r="T50" t="s">
        <v>484</v>
      </c>
      <c r="AK50" t="s">
        <v>368</v>
      </c>
      <c r="AL50" t="s">
        <v>354</v>
      </c>
      <c r="AM50" t="s">
        <v>486</v>
      </c>
      <c r="AN50" t="s">
        <v>487</v>
      </c>
      <c r="AO50">
        <v>3.85</v>
      </c>
      <c r="AP50">
        <v>1</v>
      </c>
      <c r="AQ50">
        <v>33925</v>
      </c>
      <c r="AR50">
        <v>33925</v>
      </c>
    </row>
    <row r="51" ht="153.7" customHeight="1" spans="11:44" x14ac:dyDescent="0.25">
      <c r="K51" t="s">
        <v>353</v>
      </c>
      <c r="L51" t="s">
        <v>348</v>
      </c>
      <c r="M51" t="s">
        <v>434</v>
      </c>
      <c r="N51" t="s">
        <v>435</v>
      </c>
      <c r="O51">
        <v>3.85</v>
      </c>
      <c r="P51">
        <v>1</v>
      </c>
      <c r="Q51">
        <v>13344.01</v>
      </c>
      <c r="R51">
        <v>13344.01</v>
      </c>
      <c r="S51" t="str">
        <f>IF($B$5="All","Yes",IF($B$6="All",IF(K51=$B$5,"Yes","No"),IF(AND(K51=$B$5,L51=$B$6),"Yes","No")))</f>
        <v>Yes</v>
      </c>
      <c r="T51" t="s">
        <v>486</v>
      </c>
      <c r="AK51" t="s">
        <v>368</v>
      </c>
      <c r="AL51" t="s">
        <v>354</v>
      </c>
      <c r="AM51" t="s">
        <v>488</v>
      </c>
      <c r="AN51" t="s">
        <v>489</v>
      </c>
      <c r="AO51">
        <v>3.85</v>
      </c>
      <c r="AP51">
        <v>1</v>
      </c>
      <c r="AQ51">
        <v>33925</v>
      </c>
      <c r="AR51">
        <v>33925</v>
      </c>
    </row>
    <row r="52" ht="153.7" customHeight="1" spans="11:44" x14ac:dyDescent="0.25">
      <c r="K52" t="s">
        <v>353</v>
      </c>
      <c r="L52" t="s">
        <v>348</v>
      </c>
      <c r="M52" t="s">
        <v>437</v>
      </c>
      <c r="N52" t="s">
        <v>438</v>
      </c>
      <c r="O52">
        <v>3.85</v>
      </c>
      <c r="P52">
        <v>1</v>
      </c>
      <c r="Q52">
        <v>13344</v>
      </c>
      <c r="R52">
        <v>13344</v>
      </c>
      <c r="S52" t="str">
        <f>IF($B$5="All","Yes",IF($B$6="All",IF(K52=$B$5,"Yes","No"),IF(AND(K52=$B$5,L52=$B$6),"Yes","No")))</f>
        <v>Yes</v>
      </c>
      <c r="T52" t="s">
        <v>488</v>
      </c>
      <c r="AK52" t="s">
        <v>368</v>
      </c>
      <c r="AL52" t="s">
        <v>362</v>
      </c>
      <c r="AM52" t="s">
        <v>490</v>
      </c>
      <c r="AN52" t="s">
        <v>491</v>
      </c>
      <c r="AO52">
        <v>3.85</v>
      </c>
      <c r="AP52">
        <v>1</v>
      </c>
      <c r="AQ52">
        <v>23735.05</v>
      </c>
      <c r="AR52">
        <v>23735.05</v>
      </c>
    </row>
    <row r="53" ht="64.9" customHeight="1" spans="11:44" x14ac:dyDescent="0.25">
      <c r="K53" t="s">
        <v>353</v>
      </c>
      <c r="L53" t="s">
        <v>354</v>
      </c>
      <c r="M53" t="s">
        <v>440</v>
      </c>
      <c r="N53" t="s">
        <v>441</v>
      </c>
      <c r="O53">
        <v>3.85</v>
      </c>
      <c r="P53">
        <v>2</v>
      </c>
      <c r="Q53">
        <v>13340.05</v>
      </c>
      <c r="R53">
        <v>26680.1</v>
      </c>
      <c r="S53" t="str">
        <f>IF($B$5="All","Yes",IF($B$6="All",IF(K53=$B$5,"Yes","No"),IF(AND(K53=$B$5,L53=$B$6),"Yes","No")))</f>
        <v>Yes</v>
      </c>
      <c r="T53" t="s">
        <v>490</v>
      </c>
      <c r="AK53" t="s">
        <v>368</v>
      </c>
      <c r="AL53" t="s">
        <v>362</v>
      </c>
      <c r="AM53" t="s">
        <v>492</v>
      </c>
      <c r="AN53" t="s">
        <v>493</v>
      </c>
      <c r="AO53">
        <v>3.85</v>
      </c>
      <c r="AP53">
        <v>1</v>
      </c>
      <c r="AQ53">
        <v>39660</v>
      </c>
      <c r="AR53">
        <v>39660</v>
      </c>
    </row>
    <row r="54" ht="77.6" customHeight="1" spans="11:44" x14ac:dyDescent="0.25">
      <c r="K54" t="s">
        <v>353</v>
      </c>
      <c r="L54" t="s">
        <v>354</v>
      </c>
      <c r="M54" t="s">
        <v>442</v>
      </c>
      <c r="N54" t="s">
        <v>443</v>
      </c>
      <c r="O54">
        <v>3.85</v>
      </c>
      <c r="P54">
        <v>1</v>
      </c>
      <c r="Q54">
        <v>13340.05</v>
      </c>
      <c r="R54">
        <v>13340.05</v>
      </c>
      <c r="S54" t="str">
        <f>IF($B$5="All","Yes",IF($B$6="All",IF(K54=$B$5,"Yes","No"),IF(AND(K54=$B$5,L54=$B$6),"Yes","No")))</f>
        <v>Yes</v>
      </c>
      <c r="T54" t="s">
        <v>492</v>
      </c>
      <c r="AK54" t="s">
        <v>368</v>
      </c>
      <c r="AL54" t="s">
        <v>362</v>
      </c>
      <c r="AM54" t="s">
        <v>494</v>
      </c>
      <c r="AN54" t="s">
        <v>495</v>
      </c>
      <c r="AO54">
        <v>15.38</v>
      </c>
      <c r="AP54">
        <v>1</v>
      </c>
      <c r="AQ54">
        <v>39660</v>
      </c>
      <c r="AR54">
        <v>39660</v>
      </c>
    </row>
    <row r="55" ht="102.95" customHeight="1" spans="11:44" x14ac:dyDescent="0.25">
      <c r="K55" t="s">
        <v>353</v>
      </c>
      <c r="L55" t="s">
        <v>354</v>
      </c>
      <c r="M55" t="s">
        <v>444</v>
      </c>
      <c r="N55" t="s">
        <v>445</v>
      </c>
      <c r="O55">
        <v>3.85</v>
      </c>
      <c r="P55">
        <v>1</v>
      </c>
      <c r="Q55">
        <v>13340.05</v>
      </c>
      <c r="R55">
        <v>13340.05</v>
      </c>
      <c r="S55" t="str">
        <f>IF($B$5="All","Yes",IF($B$6="All",IF(K55=$B$5,"Yes","No"),IF(AND(K55=$B$5,L55=$B$6),"Yes","No")))</f>
        <v>Yes</v>
      </c>
      <c r="T55" t="s">
        <v>494</v>
      </c>
      <c r="AK55" t="s">
        <v>368</v>
      </c>
      <c r="AL55" t="s">
        <v>362</v>
      </c>
      <c r="AM55" t="s">
        <v>496</v>
      </c>
      <c r="AN55" t="s">
        <v>497</v>
      </c>
      <c r="AO55">
        <v>15.38</v>
      </c>
      <c r="AP55">
        <v>1</v>
      </c>
      <c r="AQ55">
        <v>39660</v>
      </c>
      <c r="AR55">
        <v>39660</v>
      </c>
    </row>
    <row r="56" ht="153.7" customHeight="1" spans="11:44" x14ac:dyDescent="0.25">
      <c r="K56" t="s">
        <v>353</v>
      </c>
      <c r="L56" t="s">
        <v>354</v>
      </c>
      <c r="M56" t="s">
        <v>446</v>
      </c>
      <c r="N56" t="s">
        <v>447</v>
      </c>
      <c r="O56">
        <v>3.85</v>
      </c>
      <c r="P56">
        <v>1</v>
      </c>
      <c r="Q56">
        <v>13339.5</v>
      </c>
      <c r="R56">
        <v>13339.5</v>
      </c>
      <c r="S56" t="str">
        <f>IF($B$5="All","Yes",IF($B$6="All",IF(K56=$B$5,"Yes","No"),IF(AND(K56=$B$5,L56=$B$6),"Yes","No")))</f>
        <v>Yes</v>
      </c>
      <c r="T56" t="s">
        <v>496</v>
      </c>
      <c r="AK56" t="s">
        <v>368</v>
      </c>
      <c r="AL56" t="s">
        <v>362</v>
      </c>
      <c r="AM56" t="s">
        <v>498</v>
      </c>
      <c r="AN56" t="s">
        <v>499</v>
      </c>
      <c r="AO56">
        <v>3.85</v>
      </c>
      <c r="AP56">
        <v>1</v>
      </c>
      <c r="AQ56">
        <v>39660</v>
      </c>
      <c r="AR56">
        <v>39660</v>
      </c>
    </row>
    <row r="57" ht="77.6" customHeight="1" spans="11:44" x14ac:dyDescent="0.25">
      <c r="K57" t="s">
        <v>353</v>
      </c>
      <c r="L57" t="s">
        <v>362</v>
      </c>
      <c r="M57" t="s">
        <v>448</v>
      </c>
      <c r="N57" t="s">
        <v>449</v>
      </c>
      <c r="O57">
        <v>3.85</v>
      </c>
      <c r="P57">
        <v>1</v>
      </c>
      <c r="Q57">
        <v>13340.05</v>
      </c>
      <c r="R57">
        <v>13340.05</v>
      </c>
      <c r="S57" t="str">
        <f>IF($B$5="All","Yes",IF($B$6="All",IF(K57=$B$5,"Yes","No"),IF(AND(K57=$B$5,L57=$B$6),"Yes","No")))</f>
        <v>Yes</v>
      </c>
      <c r="T57" t="s">
        <v>498</v>
      </c>
      <c r="AK57" t="s">
        <v>368</v>
      </c>
      <c r="AL57" t="s">
        <v>362</v>
      </c>
      <c r="AM57" t="s">
        <v>500</v>
      </c>
      <c r="AN57" t="s">
        <v>501</v>
      </c>
      <c r="AO57">
        <v>3.85</v>
      </c>
      <c r="AP57">
        <v>1</v>
      </c>
      <c r="AQ57">
        <v>23735</v>
      </c>
      <c r="AR57">
        <v>23735</v>
      </c>
    </row>
    <row r="58" ht="77.6" customHeight="1" spans="11:44" x14ac:dyDescent="0.25">
      <c r="K58" t="s">
        <v>353</v>
      </c>
      <c r="L58" t="s">
        <v>362</v>
      </c>
      <c r="M58" t="s">
        <v>450</v>
      </c>
      <c r="N58" t="s">
        <v>451</v>
      </c>
      <c r="O58">
        <v>11.54</v>
      </c>
      <c r="P58">
        <v>1</v>
      </c>
      <c r="Q58">
        <v>13340.05</v>
      </c>
      <c r="R58">
        <v>13340.05</v>
      </c>
      <c r="S58" t="str">
        <f>IF($B$5="All","Yes",IF($B$6="All",IF(K58=$B$5,"Yes","No"),IF(AND(K58=$B$5,L58=$B$6),"Yes","No")))</f>
        <v>Yes</v>
      </c>
      <c r="T58" t="s">
        <v>500</v>
      </c>
      <c r="AK58" t="s">
        <v>374</v>
      </c>
      <c r="AL58" t="s">
        <v>348</v>
      </c>
      <c r="AM58" t="s">
        <v>502</v>
      </c>
      <c r="AN58" t="s">
        <v>503</v>
      </c>
      <c r="AO58">
        <v>3.85</v>
      </c>
      <c r="AP58">
        <v>1</v>
      </c>
      <c r="AQ58">
        <v>43628</v>
      </c>
      <c r="AR58">
        <v>43628</v>
      </c>
    </row>
    <row r="59" ht="77.6" customHeight="1" spans="11:44" x14ac:dyDescent="0.25">
      <c r="K59" t="s">
        <v>353</v>
      </c>
      <c r="L59" t="s">
        <v>362</v>
      </c>
      <c r="M59" t="s">
        <v>452</v>
      </c>
      <c r="N59" t="s">
        <v>453</v>
      </c>
      <c r="O59">
        <v>3.85</v>
      </c>
      <c r="P59">
        <v>1</v>
      </c>
      <c r="Q59">
        <v>13340.05</v>
      </c>
      <c r="R59">
        <v>13340.05</v>
      </c>
      <c r="S59" t="str">
        <f>IF($B$5="All","Yes",IF($B$6="All",IF(K59=$B$5,"Yes","No"),IF(AND(K59=$B$5,L59=$B$6),"Yes","No")))</f>
        <v>Yes</v>
      </c>
      <c r="T59" t="s">
        <v>502</v>
      </c>
      <c r="AK59" t="s">
        <v>374</v>
      </c>
      <c r="AL59" t="s">
        <v>362</v>
      </c>
      <c r="AM59" t="s">
        <v>504</v>
      </c>
      <c r="AN59" t="s">
        <v>505</v>
      </c>
      <c r="AO59">
        <v>11.54</v>
      </c>
      <c r="AP59">
        <v>1</v>
      </c>
      <c r="AQ59">
        <v>0.02</v>
      </c>
      <c r="AR59">
        <v>0.02</v>
      </c>
    </row>
    <row r="60" ht="141" customHeight="1" spans="11:44" x14ac:dyDescent="0.25">
      <c r="K60" t="s">
        <v>353</v>
      </c>
      <c r="L60" t="s">
        <v>362</v>
      </c>
      <c r="M60" t="s">
        <v>454</v>
      </c>
      <c r="N60" t="s">
        <v>455</v>
      </c>
      <c r="O60">
        <v>3.85</v>
      </c>
      <c r="P60">
        <v>1</v>
      </c>
      <c r="Q60">
        <v>13340</v>
      </c>
      <c r="R60">
        <v>13340</v>
      </c>
      <c r="S60" t="str">
        <f>IF($B$5="All","Yes",IF($B$6="All",IF(K60=$B$5,"Yes","No"),IF(AND(K60=$B$5,L60=$B$6),"Yes","No")))</f>
        <v>Yes</v>
      </c>
      <c r="T60" t="s">
        <v>504</v>
      </c>
      <c r="AK60" t="s">
        <v>374</v>
      </c>
      <c r="AL60" t="s">
        <v>362</v>
      </c>
      <c r="AM60" t="s">
        <v>506</v>
      </c>
      <c r="AN60" t="s">
        <v>507</v>
      </c>
      <c r="AO60">
        <v>3.85</v>
      </c>
      <c r="AP60">
        <v>1</v>
      </c>
      <c r="AQ60">
        <v>0.1</v>
      </c>
      <c r="AR60">
        <v>0.1</v>
      </c>
    </row>
    <row r="61" ht="141" customHeight="1" spans="11:44" x14ac:dyDescent="0.25">
      <c r="K61" t="s">
        <v>353</v>
      </c>
      <c r="L61" t="s">
        <v>362</v>
      </c>
      <c r="M61" t="s">
        <v>456</v>
      </c>
      <c r="N61" t="s">
        <v>457</v>
      </c>
      <c r="O61">
        <v>3.85</v>
      </c>
      <c r="P61">
        <v>1</v>
      </c>
      <c r="Q61">
        <v>13340.05</v>
      </c>
      <c r="R61">
        <v>13340.05</v>
      </c>
      <c r="S61" t="str">
        <f>IF($B$5="All","Yes",IF($B$6="All",IF(K61=$B$5,"Yes","No"),IF(AND(K61=$B$5,L61=$B$6),"Yes","No")))</f>
        <v>Yes</v>
      </c>
      <c r="T61" t="s">
        <v>506</v>
      </c>
      <c r="AK61" t="s">
        <v>380</v>
      </c>
      <c r="AL61" t="s">
        <v>360</v>
      </c>
      <c r="AM61" t="s">
        <v>508</v>
      </c>
      <c r="AN61" t="s">
        <v>509</v>
      </c>
      <c r="AO61">
        <v>3.85</v>
      </c>
      <c r="AP61">
        <v>1</v>
      </c>
      <c r="AQ61">
        <v>227.9</v>
      </c>
      <c r="AR61">
        <v>227.9</v>
      </c>
    </row>
    <row r="62" ht="153.7" customHeight="1" spans="11:44" x14ac:dyDescent="0.25">
      <c r="K62" t="s">
        <v>353</v>
      </c>
      <c r="L62" t="s">
        <v>362</v>
      </c>
      <c r="M62" t="s">
        <v>458</v>
      </c>
      <c r="N62" t="s">
        <v>459</v>
      </c>
      <c r="O62">
        <v>3.85</v>
      </c>
      <c r="P62">
        <v>1</v>
      </c>
      <c r="Q62">
        <v>13340.05</v>
      </c>
      <c r="R62">
        <v>13340.05</v>
      </c>
      <c r="S62" t="str">
        <f>IF($B$5="All","Yes",IF($B$6="All",IF(K62=$B$5,"Yes","No"),IF(AND(K62=$B$5,L62=$B$6),"Yes","No")))</f>
        <v>Yes</v>
      </c>
      <c r="T62" t="s">
        <v>508</v>
      </c>
      <c r="AK62" t="s">
        <v>380</v>
      </c>
      <c r="AL62" t="s">
        <v>360</v>
      </c>
      <c r="AM62" t="s">
        <v>510</v>
      </c>
      <c r="AN62" t="s">
        <v>511</v>
      </c>
      <c r="AO62">
        <v>3.85</v>
      </c>
      <c r="AP62">
        <v>1</v>
      </c>
      <c r="AQ62">
        <v>565.35</v>
      </c>
      <c r="AR62">
        <v>565.35</v>
      </c>
    </row>
    <row r="63" ht="153.7" customHeight="1" spans="11:44" x14ac:dyDescent="0.25">
      <c r="K63" t="s">
        <v>353</v>
      </c>
      <c r="L63" t="s">
        <v>362</v>
      </c>
      <c r="M63" t="s">
        <v>460</v>
      </c>
      <c r="N63" t="s">
        <v>461</v>
      </c>
      <c r="O63">
        <v>3.85</v>
      </c>
      <c r="P63">
        <v>1</v>
      </c>
      <c r="Q63">
        <v>13340.05</v>
      </c>
      <c r="R63">
        <v>13340.05</v>
      </c>
      <c r="S63" t="str">
        <f>IF($B$5="All","Yes",IF($B$6="All",IF(K63=$B$5,"Yes","No"),IF(AND(K63=$B$5,L63=$B$6),"Yes","No")))</f>
        <v>Yes</v>
      </c>
      <c r="T63" t="s">
        <v>510</v>
      </c>
      <c r="AK63" t="s">
        <v>385</v>
      </c>
      <c r="AL63" t="s">
        <v>360</v>
      </c>
      <c r="AM63" t="s">
        <v>512</v>
      </c>
      <c r="AN63" t="s">
        <v>513</v>
      </c>
      <c r="AO63">
        <v>26.92</v>
      </c>
      <c r="AP63">
        <v>1</v>
      </c>
      <c r="AQ63">
        <v>1406.25</v>
      </c>
      <c r="AR63">
        <v>1406.25</v>
      </c>
    </row>
    <row r="64" ht="90.25" customHeight="1" spans="11:44" x14ac:dyDescent="0.25">
      <c r="K64" t="s">
        <v>353</v>
      </c>
      <c r="L64" t="s">
        <v>362</v>
      </c>
      <c r="M64" t="s">
        <v>462</v>
      </c>
      <c r="N64" t="s">
        <v>463</v>
      </c>
      <c r="O64">
        <v>11.54</v>
      </c>
      <c r="P64">
        <v>1</v>
      </c>
      <c r="Q64">
        <v>13340.05</v>
      </c>
      <c r="R64">
        <v>13340.05</v>
      </c>
      <c r="S64" t="str">
        <f>IF($B$5="All","Yes",IF($B$6="All",IF(K64=$B$5,"Yes","No"),IF(AND(K64=$B$5,L64=$B$6),"Yes","No")))</f>
        <v>Yes</v>
      </c>
      <c r="T64" t="s">
        <v>512</v>
      </c>
      <c r="AK64" t="s">
        <v>385</v>
      </c>
      <c r="AL64" t="s">
        <v>360</v>
      </c>
      <c r="AM64" t="s">
        <v>514</v>
      </c>
      <c r="AN64" t="s">
        <v>515</v>
      </c>
      <c r="AO64">
        <v>3.85</v>
      </c>
      <c r="AP64">
        <v>1</v>
      </c>
      <c r="AQ64">
        <v>30768.75</v>
      </c>
      <c r="AR64">
        <v>30768.75</v>
      </c>
    </row>
    <row r="65" ht="64.9" customHeight="1" spans="11:20" x14ac:dyDescent="0.25">
      <c r="K65" t="s">
        <v>361</v>
      </c>
      <c r="L65" t="s">
        <v>379</v>
      </c>
      <c r="M65" t="s">
        <v>464</v>
      </c>
      <c r="N65" t="s">
        <v>465</v>
      </c>
      <c r="O65">
        <v>3.85</v>
      </c>
      <c r="P65">
        <v>1</v>
      </c>
      <c r="Q65">
        <v>0.02</v>
      </c>
      <c r="R65">
        <v>0.02</v>
      </c>
      <c r="S65" t="str">
        <f>IF($B$5="All","Yes",IF($B$6="All",IF(K65=$B$5,"Yes","No"),IF(AND(K65=$B$5,L65=$B$6),"Yes","No")))</f>
        <v>Yes</v>
      </c>
      <c r="T65" t="s">
        <v>514</v>
      </c>
    </row>
    <row r="66" ht="90.25" customHeight="1" spans="11:19" x14ac:dyDescent="0.25">
      <c r="K66" t="s">
        <v>361</v>
      </c>
      <c r="L66" t="s">
        <v>379</v>
      </c>
      <c r="M66" t="s">
        <v>466</v>
      </c>
      <c r="N66" t="s">
        <v>467</v>
      </c>
      <c r="O66">
        <v>23.08</v>
      </c>
      <c r="P66">
        <v>1</v>
      </c>
      <c r="Q66">
        <v>0.1</v>
      </c>
      <c r="R66">
        <v>0.1</v>
      </c>
      <c r="S66" t="str">
        <f>IF($B$5="All","Yes",IF($B$6="All",IF(K66=$B$5,"Yes","No"),IF(AND(K66=$B$5,L66=$B$6),"Yes","No")))</f>
        <v>Yes</v>
      </c>
    </row>
    <row r="67" ht="77.6" customHeight="1" spans="11:19" x14ac:dyDescent="0.25">
      <c r="K67" t="s">
        <v>361</v>
      </c>
      <c r="L67" t="s">
        <v>379</v>
      </c>
      <c r="M67" t="s">
        <v>468</v>
      </c>
      <c r="N67" t="s">
        <v>469</v>
      </c>
      <c r="O67">
        <v>34.62</v>
      </c>
      <c r="P67">
        <v>1</v>
      </c>
      <c r="Q67">
        <v>0.1</v>
      </c>
      <c r="R67">
        <v>0.1</v>
      </c>
      <c r="S67" t="str">
        <f>IF($B$5="All","Yes",IF($B$6="All",IF(K67=$B$5,"Yes","No"),IF(AND(K67=$B$5,L67=$B$6),"Yes","No")))</f>
        <v>Yes</v>
      </c>
    </row>
    <row r="68" ht="90.25" customHeight="1" spans="11:19" x14ac:dyDescent="0.25">
      <c r="K68" t="s">
        <v>361</v>
      </c>
      <c r="L68" t="s">
        <v>384</v>
      </c>
      <c r="M68" t="s">
        <v>470</v>
      </c>
      <c r="N68" t="s">
        <v>471</v>
      </c>
      <c r="O68">
        <v>38.46</v>
      </c>
      <c r="P68">
        <v>1</v>
      </c>
      <c r="Q68">
        <v>5730</v>
      </c>
      <c r="R68">
        <v>5730</v>
      </c>
      <c r="S68" t="str">
        <f>IF($B$5="All","Yes",IF($B$6="All",IF(K68=$B$5,"Yes","No"),IF(AND(K68=$B$5,L68=$B$6),"Yes","No")))</f>
        <v>Yes</v>
      </c>
    </row>
    <row r="69" ht="153.7" customHeight="1" spans="11:19" x14ac:dyDescent="0.25">
      <c r="K69" t="s">
        <v>368</v>
      </c>
      <c r="L69" t="s">
        <v>348</v>
      </c>
      <c r="M69" t="s">
        <v>472</v>
      </c>
      <c r="N69" t="s">
        <v>473</v>
      </c>
      <c r="O69">
        <v>7.69</v>
      </c>
      <c r="P69">
        <v>1</v>
      </c>
      <c r="Q69">
        <v>43628</v>
      </c>
      <c r="R69">
        <v>43628</v>
      </c>
      <c r="S69" t="str">
        <f>IF($B$5="All","Yes",IF($B$6="All",IF(K69=$B$5,"Yes","No"),IF(AND(K69=$B$5,L69=$B$6),"Yes","No")))</f>
        <v>Yes</v>
      </c>
    </row>
    <row r="70" ht="128.35" customHeight="1" spans="11:19" x14ac:dyDescent="0.25">
      <c r="K70" t="s">
        <v>368</v>
      </c>
      <c r="L70" t="s">
        <v>348</v>
      </c>
      <c r="M70" t="s">
        <v>474</v>
      </c>
      <c r="N70" t="s">
        <v>475</v>
      </c>
      <c r="O70">
        <v>3.85</v>
      </c>
      <c r="P70">
        <v>1</v>
      </c>
      <c r="Q70">
        <v>23742</v>
      </c>
      <c r="R70">
        <v>23742</v>
      </c>
      <c r="S70" t="str">
        <f>IF($B$5="All","Yes",IF($B$6="All",IF(K70=$B$5,"Yes","No"),IF(AND(K70=$B$5,L70=$B$6),"Yes","No")))</f>
        <v>Yes</v>
      </c>
    </row>
    <row r="71" ht="128.35" customHeight="1" spans="11:19" x14ac:dyDescent="0.25">
      <c r="K71" t="s">
        <v>368</v>
      </c>
      <c r="L71" t="s">
        <v>348</v>
      </c>
      <c r="M71" t="s">
        <v>476</v>
      </c>
      <c r="N71" t="s">
        <v>477</v>
      </c>
      <c r="O71">
        <v>3.85</v>
      </c>
      <c r="P71">
        <v>1</v>
      </c>
      <c r="Q71">
        <v>23742</v>
      </c>
      <c r="R71">
        <v>23742</v>
      </c>
      <c r="S71" t="str">
        <f>IF($B$5="All","Yes",IF($B$6="All",IF(K71=$B$5,"Yes","No"),IF(AND(K71=$B$5,L71=$B$6),"Yes","No")))</f>
        <v>Yes</v>
      </c>
    </row>
    <row r="72" ht="153.7" customHeight="1" spans="11:19" x14ac:dyDescent="0.25">
      <c r="K72" t="s">
        <v>368</v>
      </c>
      <c r="L72" t="s">
        <v>348</v>
      </c>
      <c r="M72" t="s">
        <v>478</v>
      </c>
      <c r="N72" t="s">
        <v>479</v>
      </c>
      <c r="O72">
        <v>15.38</v>
      </c>
      <c r="P72">
        <v>1</v>
      </c>
      <c r="Q72">
        <v>43628</v>
      </c>
      <c r="R72">
        <v>43628</v>
      </c>
      <c r="S72" t="str">
        <f>IF($B$5="All","Yes",IF($B$6="All",IF(K72=$B$5,"Yes","No"),IF(AND(K72=$B$5,L72=$B$6),"Yes","No")))</f>
        <v>Yes</v>
      </c>
    </row>
    <row r="73" ht="166.4" customHeight="1" spans="11:19" x14ac:dyDescent="0.25">
      <c r="K73" t="s">
        <v>368</v>
      </c>
      <c r="L73" t="s">
        <v>367</v>
      </c>
      <c r="M73" t="s">
        <v>480</v>
      </c>
      <c r="N73" t="s">
        <v>481</v>
      </c>
      <c r="O73">
        <v>3.85</v>
      </c>
      <c r="P73">
        <v>1</v>
      </c>
      <c r="Q73">
        <v>43628</v>
      </c>
      <c r="R73">
        <v>43628</v>
      </c>
      <c r="S73" t="str">
        <f>IF($B$5="All","Yes",IF($B$6="All",IF(K73=$B$5,"Yes","No"),IF(AND(K73=$B$5,L73=$B$6),"Yes","No")))</f>
        <v>Yes</v>
      </c>
    </row>
    <row r="74" ht="90.25" customHeight="1" spans="11:19" x14ac:dyDescent="0.25">
      <c r="K74" t="s">
        <v>368</v>
      </c>
      <c r="L74" t="s">
        <v>354</v>
      </c>
      <c r="M74" t="s">
        <v>482</v>
      </c>
      <c r="N74" t="s">
        <v>483</v>
      </c>
      <c r="O74">
        <v>3.85</v>
      </c>
      <c r="P74">
        <v>1</v>
      </c>
      <c r="Q74">
        <v>33924.98</v>
      </c>
      <c r="R74">
        <v>33924.98</v>
      </c>
      <c r="S74" t="str">
        <f>IF($B$5="All","Yes",IF($B$6="All",IF(K74=$B$5,"Yes","No"),IF(AND(K74=$B$5,L74=$B$6),"Yes","No")))</f>
        <v>Yes</v>
      </c>
    </row>
    <row r="75" ht="90.25" customHeight="1" spans="11:19" x14ac:dyDescent="0.25">
      <c r="K75" t="s">
        <v>368</v>
      </c>
      <c r="L75" t="s">
        <v>354</v>
      </c>
      <c r="M75" t="s">
        <v>484</v>
      </c>
      <c r="N75" t="s">
        <v>485</v>
      </c>
      <c r="O75">
        <v>3.85</v>
      </c>
      <c r="P75">
        <v>1</v>
      </c>
      <c r="Q75">
        <v>33925</v>
      </c>
      <c r="R75">
        <v>33925</v>
      </c>
      <c r="S75" t="str">
        <f>IF($B$5="All","Yes",IF($B$6="All",IF(K75=$B$5,"Yes","No"),IF(AND(K75=$B$5,L75=$B$6),"Yes","No")))</f>
        <v>Yes</v>
      </c>
    </row>
    <row r="76" ht="90.25" customHeight="1" spans="11:19" x14ac:dyDescent="0.25">
      <c r="K76" t="s">
        <v>368</v>
      </c>
      <c r="L76" t="s">
        <v>354</v>
      </c>
      <c r="M76" t="s">
        <v>486</v>
      </c>
      <c r="N76" t="s">
        <v>487</v>
      </c>
      <c r="O76">
        <v>3.85</v>
      </c>
      <c r="P76">
        <v>1</v>
      </c>
      <c r="Q76">
        <v>33925</v>
      </c>
      <c r="R76">
        <v>33925</v>
      </c>
      <c r="S76" t="str">
        <f>IF($B$5="All","Yes",IF($B$6="All",IF(K76=$B$5,"Yes","No"),IF(AND(K76=$B$5,L76=$B$6),"Yes","No")))</f>
        <v>Yes</v>
      </c>
    </row>
    <row r="77" ht="141" customHeight="1" spans="11:19" x14ac:dyDescent="0.25">
      <c r="K77" t="s">
        <v>368</v>
      </c>
      <c r="L77" t="s">
        <v>354</v>
      </c>
      <c r="M77" t="s">
        <v>488</v>
      </c>
      <c r="N77" t="s">
        <v>489</v>
      </c>
      <c r="O77">
        <v>3.85</v>
      </c>
      <c r="P77">
        <v>1</v>
      </c>
      <c r="Q77">
        <v>33925</v>
      </c>
      <c r="R77">
        <v>33925</v>
      </c>
      <c r="S77" t="str">
        <f>IF($B$5="All","Yes",IF($B$6="All",IF(K77=$B$5,"Yes","No"),IF(AND(K77=$B$5,L77=$B$6),"Yes","No")))</f>
        <v>Yes</v>
      </c>
    </row>
    <row r="78" ht="64.9" customHeight="1" spans="11:19" x14ac:dyDescent="0.25">
      <c r="K78" t="s">
        <v>368</v>
      </c>
      <c r="L78" t="s">
        <v>362</v>
      </c>
      <c r="M78" t="s">
        <v>490</v>
      </c>
      <c r="N78" t="s">
        <v>491</v>
      </c>
      <c r="O78">
        <v>3.85</v>
      </c>
      <c r="P78">
        <v>1</v>
      </c>
      <c r="Q78">
        <v>23735.05</v>
      </c>
      <c r="R78">
        <v>23735.05</v>
      </c>
      <c r="S78" t="str">
        <f>IF($B$5="All","Yes",IF($B$6="All",IF(K78=$B$5,"Yes","No"),IF(AND(K78=$B$5,L78=$B$6),"Yes","No")))</f>
        <v>Yes</v>
      </c>
    </row>
    <row r="79" ht="90.25" customHeight="1" spans="11:19" x14ac:dyDescent="0.25">
      <c r="K79" t="s">
        <v>368</v>
      </c>
      <c r="L79" t="s">
        <v>362</v>
      </c>
      <c r="M79" t="s">
        <v>492</v>
      </c>
      <c r="N79" t="s">
        <v>493</v>
      </c>
      <c r="O79">
        <v>3.85</v>
      </c>
      <c r="P79">
        <v>1</v>
      </c>
      <c r="Q79">
        <v>39660</v>
      </c>
      <c r="R79">
        <v>39660</v>
      </c>
      <c r="S79" t="str">
        <f>IF($B$5="All","Yes",IF($B$6="All",IF(K79=$B$5,"Yes","No"),IF(AND(K79=$B$5,L79=$B$6),"Yes","No")))</f>
        <v>Yes</v>
      </c>
    </row>
    <row r="80" ht="64.9" customHeight="1" spans="11:19" x14ac:dyDescent="0.25">
      <c r="K80" t="s">
        <v>368</v>
      </c>
      <c r="L80" t="s">
        <v>362</v>
      </c>
      <c r="M80" t="s">
        <v>494</v>
      </c>
      <c r="N80" t="s">
        <v>495</v>
      </c>
      <c r="O80">
        <v>15.38</v>
      </c>
      <c r="P80">
        <v>1</v>
      </c>
      <c r="Q80">
        <v>39660</v>
      </c>
      <c r="R80">
        <v>39660</v>
      </c>
      <c r="S80" t="str">
        <f>IF($B$5="All","Yes",IF($B$6="All",IF(K80=$B$5,"Yes","No"),IF(AND(K80=$B$5,L80=$B$6),"Yes","No")))</f>
        <v>Yes</v>
      </c>
    </row>
    <row r="81" ht="64.9" customHeight="1" spans="11:19" x14ac:dyDescent="0.25">
      <c r="K81" t="s">
        <v>368</v>
      </c>
      <c r="L81" t="s">
        <v>362</v>
      </c>
      <c r="M81" t="s">
        <v>496</v>
      </c>
      <c r="N81" t="s">
        <v>497</v>
      </c>
      <c r="O81">
        <v>15.38</v>
      </c>
      <c r="P81">
        <v>1</v>
      </c>
      <c r="Q81">
        <v>39660</v>
      </c>
      <c r="R81">
        <v>39660</v>
      </c>
      <c r="S81" t="str">
        <f>IF($B$5="All","Yes",IF($B$6="All",IF(K81=$B$5,"Yes","No"),IF(AND(K81=$B$5,L81=$B$6),"Yes","No")))</f>
        <v>Yes</v>
      </c>
    </row>
    <row r="82" ht="141" customHeight="1" spans="11:19" x14ac:dyDescent="0.25">
      <c r="K82" t="s">
        <v>368</v>
      </c>
      <c r="L82" t="s">
        <v>362</v>
      </c>
      <c r="M82" t="s">
        <v>498</v>
      </c>
      <c r="N82" t="s">
        <v>499</v>
      </c>
      <c r="O82">
        <v>3.85</v>
      </c>
      <c r="P82">
        <v>1</v>
      </c>
      <c r="Q82">
        <v>39660</v>
      </c>
      <c r="R82">
        <v>39660</v>
      </c>
      <c r="S82" t="str">
        <f>IF($B$5="All","Yes",IF($B$6="All",IF(K82=$B$5,"Yes","No"),IF(AND(K82=$B$5,L82=$B$6),"Yes","No")))</f>
        <v>Yes</v>
      </c>
    </row>
    <row r="83" ht="128.35" customHeight="1" spans="11:19" x14ac:dyDescent="0.25">
      <c r="K83" t="s">
        <v>368</v>
      </c>
      <c r="L83" t="s">
        <v>362</v>
      </c>
      <c r="M83" t="s">
        <v>500</v>
      </c>
      <c r="N83" t="s">
        <v>501</v>
      </c>
      <c r="O83">
        <v>3.85</v>
      </c>
      <c r="P83">
        <v>1</v>
      </c>
      <c r="Q83">
        <v>23735</v>
      </c>
      <c r="R83">
        <v>23735</v>
      </c>
      <c r="S83" t="str">
        <f>IF($B$5="All","Yes",IF($B$6="All",IF(K83=$B$5,"Yes","No"),IF(AND(K83=$B$5,L83=$B$6),"Yes","No")))</f>
        <v>Yes</v>
      </c>
    </row>
    <row r="84" ht="141" customHeight="1" spans="11:19" x14ac:dyDescent="0.25">
      <c r="K84" t="s">
        <v>374</v>
      </c>
      <c r="L84" t="s">
        <v>348</v>
      </c>
      <c r="M84" t="s">
        <v>502</v>
      </c>
      <c r="N84" t="s">
        <v>503</v>
      </c>
      <c r="O84">
        <v>3.85</v>
      </c>
      <c r="P84">
        <v>1</v>
      </c>
      <c r="Q84">
        <v>43628</v>
      </c>
      <c r="R84">
        <v>43628</v>
      </c>
      <c r="S84" t="str">
        <f>IF($B$5="All","Yes",IF($B$6="All",IF(K84=$B$5,"Yes","No"),IF(AND(K84=$B$5,L84=$B$6),"Yes","No")))</f>
        <v>Yes</v>
      </c>
    </row>
    <row r="85" ht="90.25" customHeight="1" spans="11:19" x14ac:dyDescent="0.25">
      <c r="K85" t="s">
        <v>374</v>
      </c>
      <c r="L85" t="s">
        <v>362</v>
      </c>
      <c r="M85" t="s">
        <v>504</v>
      </c>
      <c r="N85" t="s">
        <v>505</v>
      </c>
      <c r="O85">
        <v>11.54</v>
      </c>
      <c r="P85">
        <v>1</v>
      </c>
      <c r="Q85">
        <v>0.02</v>
      </c>
      <c r="R85">
        <v>0.02</v>
      </c>
      <c r="S85" t="str">
        <f>IF($B$5="All","Yes",IF($B$6="All",IF(K85=$B$5,"Yes","No"),IF(AND(K85=$B$5,L85=$B$6),"Yes","No")))</f>
        <v>Yes</v>
      </c>
    </row>
    <row r="86" ht="141" customHeight="1" spans="11:19" x14ac:dyDescent="0.25">
      <c r="K86" t="s">
        <v>374</v>
      </c>
      <c r="L86" t="s">
        <v>362</v>
      </c>
      <c r="M86" t="s">
        <v>506</v>
      </c>
      <c r="N86" t="s">
        <v>507</v>
      </c>
      <c r="O86">
        <v>3.85</v>
      </c>
      <c r="P86">
        <v>1</v>
      </c>
      <c r="Q86">
        <v>0.1</v>
      </c>
      <c r="R86">
        <v>0.1</v>
      </c>
      <c r="S86" t="str">
        <f>IF($B$5="All","Yes",IF($B$6="All",IF(K86=$B$5,"Yes","No"),IF(AND(K86=$B$5,L86=$B$6),"Yes","No")))</f>
        <v>Yes</v>
      </c>
    </row>
    <row r="87" ht="102.95" customHeight="1" spans="11:19" x14ac:dyDescent="0.25">
      <c r="K87" t="s">
        <v>380</v>
      </c>
      <c r="L87" t="s">
        <v>360</v>
      </c>
      <c r="M87" t="s">
        <v>508</v>
      </c>
      <c r="N87" t="s">
        <v>509</v>
      </c>
      <c r="O87">
        <v>3.85</v>
      </c>
      <c r="P87">
        <v>1</v>
      </c>
      <c r="Q87">
        <v>227.9</v>
      </c>
      <c r="R87">
        <v>227.9</v>
      </c>
      <c r="S87" t="str">
        <f>IF($B$5="All","Yes",IF($B$6="All",IF(K87=$B$5,"Yes","No"),IF(AND(K87=$B$5,L87=$B$6),"Yes","No")))</f>
        <v>Yes</v>
      </c>
    </row>
    <row r="88" ht="115.65" customHeight="1" spans="11:19" x14ac:dyDescent="0.25">
      <c r="K88" t="s">
        <v>380</v>
      </c>
      <c r="L88" t="s">
        <v>360</v>
      </c>
      <c r="M88" t="s">
        <v>510</v>
      </c>
      <c r="N88" t="s">
        <v>511</v>
      </c>
      <c r="O88">
        <v>3.85</v>
      </c>
      <c r="P88">
        <v>1</v>
      </c>
      <c r="Q88">
        <v>565.35</v>
      </c>
      <c r="R88">
        <v>565.35</v>
      </c>
      <c r="S88" t="str">
        <f>IF($B$5="All","Yes",IF($B$6="All",IF(K88=$B$5,"Yes","No"),IF(AND(K88=$B$5,L88=$B$6),"Yes","No")))</f>
        <v>Yes</v>
      </c>
    </row>
    <row r="89" ht="64.9" customHeight="1" spans="11:19" x14ac:dyDescent="0.25">
      <c r="K89" t="s">
        <v>385</v>
      </c>
      <c r="L89" t="s">
        <v>360</v>
      </c>
      <c r="M89" t="s">
        <v>512</v>
      </c>
      <c r="N89" t="s">
        <v>513</v>
      </c>
      <c r="O89">
        <v>26.92</v>
      </c>
      <c r="P89">
        <v>1</v>
      </c>
      <c r="Q89">
        <v>1406.25</v>
      </c>
      <c r="R89">
        <v>1406.25</v>
      </c>
      <c r="S89" t="str">
        <f>IF($B$5="All","Yes",IF($B$6="All",IF(K89=$B$5,"Yes","No"),IF(AND(K89=$B$5,L89=$B$6),"Yes","No")))</f>
        <v>Yes</v>
      </c>
    </row>
    <row r="90" ht="64.9" customHeight="1" spans="11:19" x14ac:dyDescent="0.25">
      <c r="K90" s="40" t="s">
        <v>385</v>
      </c>
      <c r="L90" s="40" t="s">
        <v>360</v>
      </c>
      <c r="M90" s="40" t="s">
        <v>514</v>
      </c>
      <c r="N90" s="40" t="s">
        <v>515</v>
      </c>
      <c r="O90" s="32">
        <v>3.85</v>
      </c>
      <c r="P90" s="32">
        <v>1</v>
      </c>
      <c r="Q90" s="32">
        <v>30768.75</v>
      </c>
      <c r="R90" s="32">
        <v>30768.75</v>
      </c>
      <c r="S90" s="40" t="str">
        <f>IF($B$5="All","Yes",IF($B$6="All",IF(K90=$B$5,"Yes","No"),IF(AND(K90=$B$5,L90=$B$6),"Yes","No")))</f>
        <v>Yes</v>
      </c>
    </row>
  </sheetData>
  <dataValidations count="4">
    <dataValidation type="list" sqref="B4">
      <formula1>"Default P50,Family Override,Brand Override,Exact Item Override"</formula1>
    </dataValidation>
    <dataValidation type="list" sqref="B5">
      <formula1>'Implant Selection'!$R$2:$R$9</formula1>
    </dataValidation>
    <dataValidation type="list" sqref="B6">
      <formula1>'Implant Selection'!$S$2:$S$9</formula1>
    </dataValidation>
    <dataValidation type="list" sqref="B7">
      <formula1>'Implant Selection'!$T$2:$T$65</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workbookViewId="0" showGridLines="0" zoomScale="100"/>
  </sheetViews>
  <sheetFormatPr defaultRowHeight="15" outlineLevelRow="0" outlineLevelCol="0" x14ac:dyDescent="55"/>
  <cols>
    <col min="1" max="1" width="34" customWidth="1"/>
    <col min="2" max="2" width="22" customWidth="1"/>
    <col min="3" max="3" width="18" customWidth="1"/>
    <col min="4" max="4" width="14" customWidth="1"/>
    <col min="5" max="5" width="34" customWidth="1"/>
    <col min="6" max="6" width="12" customWidth="1"/>
    <col min="7" max="7" width="14" customWidth="1"/>
    <col min="10" max="10" width="16" customWidth="1"/>
  </cols>
  <sheetData>
    <row r="1" ht="15" customHeight="1" spans="1:10" x14ac:dyDescent="0.25">
      <c r="A1" s="1" t="s">
        <v>516</v>
      </c>
      <c r="B1" s="1"/>
      <c r="C1" s="1"/>
      <c r="D1" s="1"/>
      <c r="E1" s="1"/>
      <c r="F1" s="1"/>
      <c r="G1" s="1"/>
      <c r="H1" s="1"/>
      <c r="I1" s="1"/>
      <c r="J1" s="1"/>
    </row>
    <row r="2" ht="52.2" customHeight="1" spans="1:10" x14ac:dyDescent="0.25">
      <c r="A2" s="14" t="s">
        <v>517</v>
      </c>
      <c r="B2" s="14"/>
      <c r="C2" s="14"/>
      <c r="D2" s="14"/>
      <c r="E2" s="14"/>
      <c r="F2" s="14"/>
      <c r="G2" s="14"/>
      <c r="H2" s="14"/>
      <c r="I2" s="14"/>
      <c r="J2" s="14"/>
    </row>
    <row r="3" ht="26.85" customHeight="1" spans="1:10" x14ac:dyDescent="0.25">
      <c r="A3" s="7" t="s">
        <v>518</v>
      </c>
      <c r="B3" s="7" t="s">
        <v>519</v>
      </c>
      <c r="C3" s="7" t="s">
        <v>520</v>
      </c>
      <c r="D3" s="7" t="s">
        <v>521</v>
      </c>
      <c r="E3" s="7" t="s">
        <v>522</v>
      </c>
      <c r="F3" s="7" t="s">
        <v>523</v>
      </c>
      <c r="G3" s="7" t="s">
        <v>524</v>
      </c>
      <c r="H3" s="7" t="s">
        <v>55</v>
      </c>
      <c r="I3" s="7" t="s">
        <v>525</v>
      </c>
      <c r="J3" s="7" t="s">
        <v>312</v>
      </c>
    </row>
    <row r="4" ht="15" customHeight="1" spans="1:10" x14ac:dyDescent="0.25">
      <c r="A4" s="5" t="s">
        <v>79</v>
      </c>
      <c r="B4" s="5"/>
      <c r="C4" s="5"/>
      <c r="D4" s="5"/>
      <c r="E4" s="5"/>
      <c r="F4" s="5"/>
      <c r="G4" s="46"/>
      <c r="H4" s="46"/>
      <c r="I4" s="46"/>
      <c r="J4" s="46"/>
    </row>
    <row r="5" ht="15" customHeight="1" spans="1:10" x14ac:dyDescent="0.25">
      <c r="A5" t="str">
        <f>'Line Item Detail'!A3</f>
        <v>Nursing - Room</v>
      </c>
      <c r="B5" t="s">
        <v>79</v>
      </c>
      <c r="C5" t="str">
        <f>'Line Item Detail'!C3</f>
        <v>Ward Care</v>
      </c>
      <c r="D5" t="str">
        <f>'Line Item Detail'!D3</f>
        <v>Logic</v>
      </c>
      <c r="E5" t="str">
        <f>'Line Item Detail'!E3</f>
        <v>Ward days x rate</v>
      </c>
      <c r="F5" t="str">
        <f>IF(AND(Builder!E2="Insurance / Org Tariff",IFERROR(INDEX(Reference!$EZ$2:$EZ$1000, MATCH('Line Item Detail'!F3, Reference!$EX$2:$EX$1000, 0)), "No")="Yes"),"Excluded for Insurance",IF('Line Item Detail'!D3="Grouped Residual",IF((IF(Builder!B4="General",'Line Item Detail'!W3,IF(Builder!B4="Twin",'Line Item Detail'!X3,'Line Item Detail'!Y3)))=0,"Excluded","Included"),"Included"))</f>
        <v>Included</v>
      </c>
      <c r="G5">
        <f>IF('Line Item Detail'!D3="Grouped Residual","",'Line Item Detail'!G3)</f>
        <v>1</v>
      </c>
      <c r="H5" t="str">
        <f>Builder!B4</f>
        <v>Single</v>
      </c>
      <c r="I5">
        <f>IF('Line Item Detail'!D3="Grouped Residual",IF((IF(Builder!B4="General",'Line Item Detail'!W3,IF(Builder!B4="Twin",'Line Item Detail'!X3,'Line Item Detail'!Y3)))=0,"",IF(Builder!B4="General",'Line Item Detail'!K3,IF(Builder!B4="Twin",'Line Item Detail'!L3,'Line Item Detail'!M3))),IF(Builder!B4="General",'Line Item Detail'!K3,IF(Builder!B4="Twin",'Line Item Detail'!L3,'Line Item Detail'!M3)))</f>
        <v>1200</v>
      </c>
      <c r="J5">
        <f>IF(Builder!B4="General",'Line Item Detail'!W3,IF(Builder!B4="Twin",'Line Item Detail'!X3,'Line Item Detail'!Y3))</f>
        <v>1200</v>
      </c>
    </row>
    <row r="6" ht="15" customHeight="1" spans="1:10" x14ac:dyDescent="0.25">
      <c r="A6" t="str">
        <f>'Line Item Detail'!A4</f>
        <v>Nursing - ICU</v>
      </c>
      <c r="B6" t="s">
        <v>79</v>
      </c>
      <c r="C6" t="str">
        <f>'Line Item Detail'!C4</f>
        <v>Critical Care</v>
      </c>
      <c r="D6" t="str">
        <f>'Line Item Detail'!D4</f>
        <v>Logic</v>
      </c>
      <c r="E6" t="str">
        <f>'Line Item Detail'!E4</f>
        <v>ICU days x rate</v>
      </c>
      <c r="F6" t="str">
        <f>IF(AND(Builder!E2="Insurance / Org Tariff",IFERROR(INDEX(Reference!$EZ$2:$EZ$1000, MATCH('Line Item Detail'!F4, Reference!$EX$2:$EX$1000, 0)), "No")="Yes"),"Excluded for Insurance",IF('Line Item Detail'!D4="Grouped Residual",IF((IF(Builder!B4="General",'Line Item Detail'!W4,IF(Builder!B4="Twin",'Line Item Detail'!X4,'Line Item Detail'!Y4)))=0,"Excluded","Included"),"Included"))</f>
        <v>Included</v>
      </c>
      <c r="G6">
        <f>IF('Line Item Detail'!D4="Grouped Residual","",'Line Item Detail'!G4)</f>
        <v>2</v>
      </c>
      <c r="H6" t="str">
        <f>Builder!B4</f>
        <v>Single</v>
      </c>
      <c r="I6">
        <f>IF('Line Item Detail'!D4="Grouped Residual",IF((IF(Builder!B4="General",'Line Item Detail'!W4,IF(Builder!B4="Twin",'Line Item Detail'!X4,'Line Item Detail'!Y4)))=0,"",IF(Builder!B4="General",'Line Item Detail'!K4,IF(Builder!B4="Twin",'Line Item Detail'!L4,'Line Item Detail'!M4))),IF(Builder!B4="General",'Line Item Detail'!K4,IF(Builder!B4="Twin",'Line Item Detail'!L4,'Line Item Detail'!M4)))</f>
        <v>1200</v>
      </c>
      <c r="J6">
        <f>IF(Builder!B4="General",'Line Item Detail'!W4,IF(Builder!B4="Twin",'Line Item Detail'!X4,'Line Item Detail'!Y4))</f>
        <v>2400</v>
      </c>
    </row>
    <row r="7" ht="15" customHeight="1" spans="1:10" x14ac:dyDescent="0.25">
      <c r="A7" t="str">
        <f>'Line Item Detail'!A5</f>
        <v>DMO</v>
      </c>
      <c r="B7" t="s">
        <v>79</v>
      </c>
      <c r="C7" t="str">
        <f>'Line Item Detail'!C5</f>
        <v>Ward Care</v>
      </c>
      <c r="D7" t="str">
        <f>'Line Item Detail'!D5</f>
        <v>Logic</v>
      </c>
      <c r="E7" t="str">
        <f>'Line Item Detail'!E5</f>
        <v>Ward days x rate</v>
      </c>
      <c r="F7" t="str">
        <f>IF(AND(Builder!E2="Insurance / Org Tariff",IFERROR(INDEX(Reference!$EZ$2:$EZ$1000, MATCH('Line Item Detail'!F5, Reference!$EX$2:$EX$1000, 0)), "No")="Yes"),"Excluded for Insurance",IF('Line Item Detail'!D5="Grouped Residual",IF((IF(Builder!B4="General",'Line Item Detail'!W5,IF(Builder!B4="Twin",'Line Item Detail'!X5,'Line Item Detail'!Y5)))=0,"Excluded","Included"),"Included"))</f>
        <v>Included</v>
      </c>
      <c r="G7">
        <f>IF('Line Item Detail'!D5="Grouped Residual","",'Line Item Detail'!G5)</f>
        <v>1</v>
      </c>
      <c r="H7" t="str">
        <f>Builder!B4</f>
        <v>Single</v>
      </c>
      <c r="I7">
        <f>IF('Line Item Detail'!D5="Grouped Residual",IF((IF(Builder!B4="General",'Line Item Detail'!W5,IF(Builder!B4="Twin",'Line Item Detail'!X5,'Line Item Detail'!Y5)))=0,"",IF(Builder!B4="General",'Line Item Detail'!K5,IF(Builder!B4="Twin",'Line Item Detail'!L5,'Line Item Detail'!M5))),IF(Builder!B4="General",'Line Item Detail'!K5,IF(Builder!B4="Twin",'Line Item Detail'!L5,'Line Item Detail'!M5)))</f>
        <v>1250</v>
      </c>
      <c r="J7">
        <f>IF(Builder!B4="General",'Line Item Detail'!W5,IF(Builder!B4="Twin",'Line Item Detail'!X5,'Line Item Detail'!Y5))</f>
        <v>1250</v>
      </c>
    </row>
    <row r="8" ht="15" customHeight="1" spans="1:10" x14ac:dyDescent="0.25">
      <c r="A8" t="str">
        <f>'Line Item Detail'!A6</f>
        <v>ICU - Surgical</v>
      </c>
      <c r="B8" t="s">
        <v>79</v>
      </c>
      <c r="C8" t="str">
        <f>'Line Item Detail'!C6</f>
        <v>Critical Care</v>
      </c>
      <c r="D8" t="str">
        <f>'Line Item Detail'!D6</f>
        <v>Logic</v>
      </c>
      <c r="E8" t="str">
        <f>'Line Item Detail'!E6</f>
        <v>ICU days x rate</v>
      </c>
      <c r="F8" t="str">
        <f>IF(AND(Builder!E2="Insurance / Org Tariff",IFERROR(INDEX(Reference!$EZ$2:$EZ$1000, MATCH('Line Item Detail'!F6, Reference!$EX$2:$EX$1000, 0)), "No")="Yes"),"Excluded for Insurance",IF('Line Item Detail'!D6="Grouped Residual",IF((IF(Builder!B4="General",'Line Item Detail'!W6,IF(Builder!B4="Twin",'Line Item Detail'!X6,'Line Item Detail'!Y6)))=0,"Excluded","Included"),"Included"))</f>
        <v>Included</v>
      </c>
      <c r="G8">
        <f>IF('Line Item Detail'!D6="Grouped Residual","",'Line Item Detail'!G6)</f>
        <v>2</v>
      </c>
      <c r="H8" t="str">
        <f>Builder!B4</f>
        <v>Single</v>
      </c>
      <c r="I8">
        <f>IF('Line Item Detail'!D6="Grouped Residual",IF((IF(Builder!B4="General",'Line Item Detail'!W6,IF(Builder!B4="Twin",'Line Item Detail'!X6,'Line Item Detail'!Y6)))=0,"",IF(Builder!B4="General",'Line Item Detail'!K6,IF(Builder!B4="Twin",'Line Item Detail'!L6,'Line Item Detail'!M6))),IF(Builder!B4="General",'Line Item Detail'!K6,IF(Builder!B4="Twin",'Line Item Detail'!L6,'Line Item Detail'!M6)))</f>
        <v>10500</v>
      </c>
      <c r="J8">
        <f>IF(Builder!B4="General",'Line Item Detail'!W6,IF(Builder!B4="Twin",'Line Item Detail'!X6,'Line Item Detail'!Y6))</f>
        <v>21000</v>
      </c>
    </row>
    <row r="9" ht="15" customHeight="1" spans="1:10" x14ac:dyDescent="0.25">
      <c r="A9" t="str">
        <f>'Line Item Detail'!A7</f>
        <v>Bed Charges - Ward</v>
      </c>
      <c r="B9" t="s">
        <v>79</v>
      </c>
      <c r="C9" t="str">
        <f>'Line Item Detail'!C7</f>
        <v>Ward Care</v>
      </c>
      <c r="D9" t="str">
        <f>'Line Item Detail'!D7</f>
        <v>Logic</v>
      </c>
      <c r="E9" t="str">
        <f>'Line Item Detail'!E7</f>
        <v>Ward days x room rate</v>
      </c>
      <c r="F9" t="str">
        <f>IF(AND(Builder!E2="Insurance / Org Tariff",IFERROR(INDEX(Reference!$EZ$2:$EZ$1000, MATCH('Line Item Detail'!F7, Reference!$EX$2:$EX$1000, 0)), "No")="Yes"),"Excluded for Insurance",IF('Line Item Detail'!D7="Grouped Residual",IF((IF(Builder!B4="General",'Line Item Detail'!W7,IF(Builder!B4="Twin",'Line Item Detail'!X7,'Line Item Detail'!Y7)))=0,"Excluded","Included"),"Included"))</f>
        <v>Included</v>
      </c>
      <c r="G9">
        <f>IF('Line Item Detail'!D7="Grouped Residual","",'Line Item Detail'!G7)</f>
        <v>1</v>
      </c>
      <c r="H9" t="str">
        <f>Builder!B4</f>
        <v>Single</v>
      </c>
      <c r="I9">
        <f>IF('Line Item Detail'!D7="Grouped Residual",IF((IF(Builder!B4="General",'Line Item Detail'!W7,IF(Builder!B4="Twin",'Line Item Detail'!X7,'Line Item Detail'!Y7)))=0,"",IF(Builder!B4="General",'Line Item Detail'!K7,IF(Builder!B4="Twin",'Line Item Detail'!L7,'Line Item Detail'!M7))),IF(Builder!B4="General",'Line Item Detail'!K7,IF(Builder!B4="Twin",'Line Item Detail'!L7,'Line Item Detail'!M7)))</f>
        <v>7680</v>
      </c>
      <c r="J9">
        <f>IF(Builder!B4="General",'Line Item Detail'!W7,IF(Builder!B4="Twin",'Line Item Detail'!X7,'Line Item Detail'!Y7))</f>
        <v>7680</v>
      </c>
    </row>
    <row r="10" ht="15" customHeight="1" spans="1:10" x14ac:dyDescent="0.25">
      <c r="A10" t="str">
        <f>'Line Item Detail'!A19</f>
        <v>Intensivist Per Day</v>
      </c>
      <c r="B10" t="s">
        <v>79</v>
      </c>
      <c r="C10" t="str">
        <f>'Line Item Detail'!C19</f>
        <v>Critical Care</v>
      </c>
      <c r="D10" t="str">
        <f>'Line Item Detail'!D19</f>
        <v>Logic</v>
      </c>
      <c r="E10" t="str">
        <f>'Line Item Detail'!E19</f>
        <v>ICU days x rate</v>
      </c>
      <c r="F10" t="str">
        <f>IF(AND(Builder!E2="Insurance / Org Tariff",IFERROR(INDEX(Reference!$EZ$2:$EZ$1000, MATCH('Line Item Detail'!F19, Reference!$EX$2:$EX$1000, 0)), "No")="Yes"),"Excluded for Insurance",IF('Line Item Detail'!D19="Grouped Residual",IF((IF(Builder!B4="General",'Line Item Detail'!W19,IF(Builder!B4="Twin",'Line Item Detail'!X19,'Line Item Detail'!Y19)))=0,"Excluded","Included"),"Included"))</f>
        <v>Included</v>
      </c>
      <c r="G10">
        <f>IF('Line Item Detail'!D19="Grouped Residual","",'Line Item Detail'!G19)</f>
        <v>2</v>
      </c>
      <c r="H10" t="str">
        <f>Builder!B4</f>
        <v>Single</v>
      </c>
      <c r="I10">
        <f>IF('Line Item Detail'!D19="Grouped Residual",IF((IF(Builder!B4="General",'Line Item Detail'!W19,IF(Builder!B4="Twin",'Line Item Detail'!X19,'Line Item Detail'!Y19)))=0,"",IF(Builder!B4="General",'Line Item Detail'!K19,IF(Builder!B4="Twin",'Line Item Detail'!L19,'Line Item Detail'!M19))),IF(Builder!B4="General",'Line Item Detail'!K19,IF(Builder!B4="Twin",'Line Item Detail'!L19,'Line Item Detail'!M19)))</f>
        <v>3000</v>
      </c>
      <c r="J10">
        <f>IF(Builder!B4="General",'Line Item Detail'!W19,IF(Builder!B4="Twin",'Line Item Detail'!X19,'Line Item Detail'!Y19))</f>
        <v>6000</v>
      </c>
    </row>
    <row r="11" ht="15" customHeight="1" spans="1:10" x14ac:dyDescent="0.25">
      <c r="A11" t="str">
        <f>'Line Item Detail'!A20</f>
        <v>Assistant Intensivist Per Day</v>
      </c>
      <c r="B11" t="s">
        <v>79</v>
      </c>
      <c r="C11" t="str">
        <f>'Line Item Detail'!C20</f>
        <v>Critical Care</v>
      </c>
      <c r="D11" t="str">
        <f>'Line Item Detail'!D20</f>
        <v>Logic</v>
      </c>
      <c r="E11" t="str">
        <f>'Line Item Detail'!E20</f>
        <v>ICU days x rate</v>
      </c>
      <c r="F11" t="str">
        <f>IF(AND(Builder!E2="Insurance / Org Tariff",IFERROR(INDEX(Reference!$EZ$2:$EZ$1000, MATCH('Line Item Detail'!F20, Reference!$EX$2:$EX$1000, 0)), "No")="Yes"),"Excluded for Insurance",IF('Line Item Detail'!D20="Grouped Residual",IF((IF(Builder!B4="General",'Line Item Detail'!W20,IF(Builder!B4="Twin",'Line Item Detail'!X20,'Line Item Detail'!Y20)))=0,"Excluded","Included"),"Included"))</f>
        <v>Included</v>
      </c>
      <c r="G11">
        <f>IF('Line Item Detail'!D20="Grouped Residual","",'Line Item Detail'!G20)</f>
        <v>2</v>
      </c>
      <c r="H11" t="str">
        <f>Builder!B4</f>
        <v>Single</v>
      </c>
      <c r="I11">
        <f>IF('Line Item Detail'!D20="Grouped Residual",IF((IF(Builder!B4="General",'Line Item Detail'!W20,IF(Builder!B4="Twin",'Line Item Detail'!X20,'Line Item Detail'!Y20)))=0,"",IF(Builder!B4="General",'Line Item Detail'!K20,IF(Builder!B4="Twin",'Line Item Detail'!L20,'Line Item Detail'!M20))),IF(Builder!B4="General",'Line Item Detail'!K20,IF(Builder!B4="Twin",'Line Item Detail'!L20,'Line Item Detail'!M20)))</f>
        <v>1500</v>
      </c>
      <c r="J11">
        <f>IF(Builder!B4="General",'Line Item Detail'!W20,IF(Builder!B4="Twin",'Line Item Detail'!X20,'Line Item Detail'!Y20))</f>
        <v>3000</v>
      </c>
    </row>
    <row r="12" ht="15" customHeight="1" spans="1:10" x14ac:dyDescent="0.25">
      <c r="A12" t="str">
        <f>'Line Item Detail'!A21</f>
        <v>Ward Consumables</v>
      </c>
      <c r="B12" t="s">
        <v>79</v>
      </c>
      <c r="C12" t="str">
        <f>'Line Item Detail'!C21</f>
        <v>Ward Care</v>
      </c>
      <c r="D12" t="str">
        <f>'Line Item Detail'!D21</f>
        <v>Logic</v>
      </c>
      <c r="E12" t="str">
        <f>'Line Item Detail'!E21</f>
        <v>LOS days x rate</v>
      </c>
      <c r="F12" t="str">
        <f>IF(AND(Builder!E2="Insurance / Org Tariff",IFERROR(INDEX(Reference!$EZ$2:$EZ$1000, MATCH('Line Item Detail'!F21, Reference!$EX$2:$EX$1000, 0)), "No")="Yes"),"Excluded for Insurance",IF('Line Item Detail'!D21="Grouped Residual",IF((IF(Builder!B4="General",'Line Item Detail'!W21,IF(Builder!B4="Twin",'Line Item Detail'!X21,'Line Item Detail'!Y21)))=0,"Excluded","Included"),"Included"))</f>
        <v>Included</v>
      </c>
      <c r="G12">
        <f>IF('Line Item Detail'!D21="Grouped Residual","",'Line Item Detail'!G21)</f>
        <v>3</v>
      </c>
      <c r="H12" t="str">
        <f>Builder!B4</f>
        <v>Single</v>
      </c>
      <c r="I12">
        <f>IF('Line Item Detail'!D21="Grouped Residual",IF((IF(Builder!B4="General",'Line Item Detail'!W21,IF(Builder!B4="Twin",'Line Item Detail'!X21,'Line Item Detail'!Y21)))=0,"",IF(Builder!B4="General",'Line Item Detail'!K21,IF(Builder!B4="Twin",'Line Item Detail'!L21,'Line Item Detail'!M21))),IF(Builder!B4="General",'Line Item Detail'!K21,IF(Builder!B4="Twin",'Line Item Detail'!L21,'Line Item Detail'!M21)))</f>
        <v>350</v>
      </c>
      <c r="J12">
        <f>IF(Builder!B4="General",'Line Item Detail'!W21,IF(Builder!B4="Twin",'Line Item Detail'!X21,'Line Item Detail'!Y21))</f>
        <v>1050</v>
      </c>
    </row>
    <row r="13" ht="15" customHeight="1" spans="1:10" x14ac:dyDescent="0.25">
      <c r="A13" t="str">
        <f>'Line Item Detail'!A23</f>
        <v>Monitor Per Day</v>
      </c>
      <c r="B13" t="s">
        <v>79</v>
      </c>
      <c r="C13" t="str">
        <f>'Line Item Detail'!C23</f>
        <v>Critical Care</v>
      </c>
      <c r="D13" t="str">
        <f>'Line Item Detail'!D23</f>
        <v>Logic</v>
      </c>
      <c r="E13" t="str">
        <f>'Line Item Detail'!E23</f>
        <v>ICU days x rate</v>
      </c>
      <c r="F13" t="str">
        <f>IF(AND(Builder!E2="Insurance / Org Tariff",IFERROR(INDEX(Reference!$EZ$2:$EZ$1000, MATCH('Line Item Detail'!F23, Reference!$EX$2:$EX$1000, 0)), "No")="Yes"),"Excluded for Insurance",IF('Line Item Detail'!D23="Grouped Residual",IF((IF(Builder!B4="General",'Line Item Detail'!W23,IF(Builder!B4="Twin",'Line Item Detail'!X23,'Line Item Detail'!Y23)))=0,"Excluded","Included"),"Included"))</f>
        <v>Included</v>
      </c>
      <c r="G13">
        <f>IF('Line Item Detail'!D23="Grouped Residual","",'Line Item Detail'!G23)</f>
        <v>2</v>
      </c>
      <c r="H13" t="str">
        <f>Builder!B4</f>
        <v>Single</v>
      </c>
      <c r="I13">
        <f>IF('Line Item Detail'!D23="Grouped Residual",IF((IF(Builder!B4="General",'Line Item Detail'!W23,IF(Builder!B4="Twin",'Line Item Detail'!X23,'Line Item Detail'!Y23)))=0,"",IF(Builder!B4="General",'Line Item Detail'!K23,IF(Builder!B4="Twin",'Line Item Detail'!L23,'Line Item Detail'!M23))),IF(Builder!B4="General",'Line Item Detail'!K23,IF(Builder!B4="Twin",'Line Item Detail'!L23,'Line Item Detail'!M23)))</f>
        <v>850</v>
      </c>
      <c r="J13">
        <f>IF(Builder!B4="General",'Line Item Detail'!W23,IF(Builder!B4="Twin",'Line Item Detail'!X23,'Line Item Detail'!Y23))</f>
        <v>1700</v>
      </c>
    </row>
    <row r="14" ht="15" customHeight="1" x14ac:dyDescent="0.25"/>
    <row r="15" ht="15" customHeight="1" spans="1:1" x14ac:dyDescent="0.25">
      <c r="A15" t="s">
        <v>81</v>
      </c>
    </row>
    <row r="16" ht="26.85" customHeight="1" spans="1:10" x14ac:dyDescent="0.25">
      <c r="A16" t="str">
        <f>'Line Item Detail'!A2</f>
        <v>X-RAY KNEE JOINT AP &amp; LATERAL VIEW (BEDSIDE)</v>
      </c>
      <c r="B16" t="s">
        <v>81</v>
      </c>
      <c r="C16" t="str">
        <f>'Line Item Detail'!C2</f>
        <v>Investigations</v>
      </c>
      <c r="D16" t="str">
        <f>'Line Item Detail'!D2</f>
        <v>Template</v>
      </c>
      <c r="E16" t="str">
        <f>'Line Item Detail'!E2</f>
        <v>Auto-Included</v>
      </c>
      <c r="F16" t="str">
        <f>IF(AND(Builder!E2="Insurance / Org Tariff",IFERROR(INDEX(Reference!$EZ$2:$EZ$1000, MATCH('Line Item Detail'!F2, Reference!$EX$2:$EX$1000, 0)), "No")="Yes"),"Excluded for Insurance",IF('Line Item Detail'!D2="Grouped Residual",IF((IF(Builder!B4="General",'Line Item Detail'!W2,IF(Builder!B4="Twin",'Line Item Detail'!X2,'Line Item Detail'!Y2)))=0,"Excluded","Included"),"Included"))</f>
        <v>Included</v>
      </c>
      <c r="G16">
        <f>IF('Line Item Detail'!D2="Grouped Residual","",'Line Item Detail'!G2)</f>
        <v>1</v>
      </c>
      <c r="H16" t="str">
        <f>Builder!B4</f>
        <v>Single</v>
      </c>
      <c r="I16">
        <f>IF('Line Item Detail'!D2="Grouped Residual",IF((IF(Builder!B4="General",'Line Item Detail'!W2,IF(Builder!B4="Twin",'Line Item Detail'!X2,'Line Item Detail'!Y2)))=0,"",IF(Builder!B4="General",'Line Item Detail'!K2,IF(Builder!B4="Twin",'Line Item Detail'!L2,'Line Item Detail'!M2))),IF(Builder!B4="General",'Line Item Detail'!K2,IF(Builder!B4="Twin",'Line Item Detail'!L2,'Line Item Detail'!M2)))</f>
        <v>1990</v>
      </c>
      <c r="J16">
        <f>IF(Builder!B4="General",'Line Item Detail'!W2,IF(Builder!B4="Twin",'Line Item Detail'!X2,'Line Item Detail'!Y2))</f>
        <v>1990</v>
      </c>
    </row>
    <row r="17" ht="15" customHeight="1" spans="1:10" x14ac:dyDescent="0.25">
      <c r="A17" t="str">
        <f>'Line Item Detail'!A11</f>
        <v>HAEMOGLOBIN</v>
      </c>
      <c r="B17" t="s">
        <v>81</v>
      </c>
      <c r="C17" t="str">
        <f>'Line Item Detail'!C11</f>
        <v>Investigations</v>
      </c>
      <c r="D17" t="str">
        <f>'Line Item Detail'!D11</f>
        <v>Template</v>
      </c>
      <c r="E17" t="str">
        <f>'Line Item Detail'!E11</f>
        <v>Auto-Included</v>
      </c>
      <c r="F17" t="str">
        <f>IF(AND(Builder!E2="Insurance / Org Tariff",IFERROR(INDEX(Reference!$EZ$2:$EZ$1000, MATCH('Line Item Detail'!F11, Reference!$EX$2:$EX$1000, 0)), "No")="Yes"),"Excluded for Insurance",IF('Line Item Detail'!D11="Grouped Residual",IF((IF(Builder!B4="General",'Line Item Detail'!W11,IF(Builder!B4="Twin",'Line Item Detail'!X11,'Line Item Detail'!Y11)))=0,"Excluded","Included"),"Included"))</f>
        <v>Included</v>
      </c>
      <c r="G17">
        <f>IF('Line Item Detail'!D11="Grouped Residual","",'Line Item Detail'!G11)</f>
        <v>1</v>
      </c>
      <c r="H17" t="str">
        <f>Builder!B4</f>
        <v>Single</v>
      </c>
      <c r="I17">
        <f>IF('Line Item Detail'!D11="Grouped Residual",IF((IF(Builder!B4="General",'Line Item Detail'!W11,IF(Builder!B4="Twin",'Line Item Detail'!X11,'Line Item Detail'!Y11)))=0,"",IF(Builder!B4="General",'Line Item Detail'!K11,IF(Builder!B4="Twin",'Line Item Detail'!L11,'Line Item Detail'!M11))),IF(Builder!B4="General",'Line Item Detail'!K11,IF(Builder!B4="Twin",'Line Item Detail'!L11,'Line Item Detail'!M11)))</f>
        <v>460</v>
      </c>
      <c r="J17">
        <f>IF(Builder!B4="General",'Line Item Detail'!W11,IF(Builder!B4="Twin",'Line Item Detail'!X11,'Line Item Detail'!Y11))</f>
        <v>460</v>
      </c>
    </row>
    <row r="18" ht="15" customHeight="1" spans="1:10" x14ac:dyDescent="0.25">
      <c r="A18" t="str">
        <f>'Line Item Detail'!A12</f>
        <v>CBP (COMPLETE BLOOD PICTURE)</v>
      </c>
      <c r="B18" t="s">
        <v>81</v>
      </c>
      <c r="C18" t="str">
        <f>'Line Item Detail'!C12</f>
        <v>Investigations</v>
      </c>
      <c r="D18" t="str">
        <f>'Line Item Detail'!D12</f>
        <v>Template</v>
      </c>
      <c r="E18" t="str">
        <f>'Line Item Detail'!E12</f>
        <v>Auto-Included</v>
      </c>
      <c r="F18" t="str">
        <f>IF(AND(Builder!E2="Insurance / Org Tariff",IFERROR(INDEX(Reference!$EZ$2:$EZ$1000, MATCH('Line Item Detail'!F12, Reference!$EX$2:$EX$1000, 0)), "No")="Yes"),"Excluded for Insurance",IF('Line Item Detail'!D12="Grouped Residual",IF((IF(Builder!B4="General",'Line Item Detail'!W12,IF(Builder!B4="Twin",'Line Item Detail'!X12,'Line Item Detail'!Y12)))=0,"Excluded","Included"),"Included"))</f>
        <v>Included</v>
      </c>
      <c r="G18">
        <f>IF('Line Item Detail'!D12="Grouped Residual","",'Line Item Detail'!G12)</f>
        <v>1</v>
      </c>
      <c r="H18" t="str">
        <f>Builder!B4</f>
        <v>Single</v>
      </c>
      <c r="I18">
        <f>IF('Line Item Detail'!D12="Grouped Residual",IF((IF(Builder!B4="General",'Line Item Detail'!W12,IF(Builder!B4="Twin",'Line Item Detail'!X12,'Line Item Detail'!Y12)))=0,"",IF(Builder!B4="General",'Line Item Detail'!K12,IF(Builder!B4="Twin",'Line Item Detail'!L12,'Line Item Detail'!M12))),IF(Builder!B4="General",'Line Item Detail'!K12,IF(Builder!B4="Twin",'Line Item Detail'!L12,'Line Item Detail'!M12)))</f>
        <v>1250</v>
      </c>
      <c r="J18">
        <f>IF(Builder!B4="General",'Line Item Detail'!W12,IF(Builder!B4="Twin",'Line Item Detail'!X12,'Line Item Detail'!Y12))</f>
        <v>1250</v>
      </c>
    </row>
    <row r="19" ht="15" customHeight="1" spans="1:10" x14ac:dyDescent="0.25">
      <c r="A19" t="str">
        <f>'Line Item Detail'!A28</f>
        <v>Albumin</v>
      </c>
      <c r="B19" t="s">
        <v>81</v>
      </c>
      <c r="C19" t="str">
        <f>'Line Item Detail'!C28</f>
        <v>Investigations</v>
      </c>
      <c r="D19" t="str">
        <f>'Line Item Detail'!D28</f>
        <v>Template</v>
      </c>
      <c r="E19" t="str">
        <f>'Line Item Detail'!E28</f>
        <v>Auto-Included</v>
      </c>
      <c r="F19" t="str">
        <f>IF(AND(Builder!E2="Insurance / Org Tariff",IFERROR(INDEX(Reference!$EZ$2:$EZ$1000, MATCH('Line Item Detail'!F28, Reference!$EX$2:$EX$1000, 0)), "No")="Yes"),"Excluded for Insurance",IF('Line Item Detail'!D28="Grouped Residual",IF((IF(Builder!B4="General",'Line Item Detail'!W28,IF(Builder!B4="Twin",'Line Item Detail'!X28,'Line Item Detail'!Y28)))=0,"Excluded","Included"),"Included"))</f>
        <v>Included</v>
      </c>
      <c r="G19">
        <f>IF('Line Item Detail'!D28="Grouped Residual","",'Line Item Detail'!G28)</f>
        <v>1</v>
      </c>
      <c r="H19" t="str">
        <f>Builder!B4</f>
        <v>Single</v>
      </c>
      <c r="I19">
        <f>IF('Line Item Detail'!D28="Grouped Residual",IF((IF(Builder!B4="General",'Line Item Detail'!W28,IF(Builder!B4="Twin",'Line Item Detail'!X28,'Line Item Detail'!Y28)))=0,"",IF(Builder!B4="General",'Line Item Detail'!K28,IF(Builder!B4="Twin",'Line Item Detail'!L28,'Line Item Detail'!M28))),IF(Builder!B4="General",'Line Item Detail'!K28,IF(Builder!B4="Twin",'Line Item Detail'!L28,'Line Item Detail'!M28)))</f>
        <v>430</v>
      </c>
      <c r="J19">
        <f>IF(Builder!B4="General",'Line Item Detail'!W28,IF(Builder!B4="Twin",'Line Item Detail'!X28,'Line Item Detail'!Y28))</f>
        <v>430</v>
      </c>
    </row>
    <row r="20" ht="15" customHeight="1" spans="1:10" x14ac:dyDescent="0.25">
      <c r="A20" t="str">
        <f>'Line Item Detail'!A29</f>
        <v>Sodium</v>
      </c>
      <c r="B20" t="s">
        <v>81</v>
      </c>
      <c r="C20" t="str">
        <f>'Line Item Detail'!C29</f>
        <v>Investigations</v>
      </c>
      <c r="D20" t="str">
        <f>'Line Item Detail'!D29</f>
        <v>Template</v>
      </c>
      <c r="E20" t="str">
        <f>'Line Item Detail'!E29</f>
        <v>Auto-Included</v>
      </c>
      <c r="F20" t="str">
        <f>IF(AND(Builder!E2="Insurance / Org Tariff",IFERROR(INDEX(Reference!$EZ$2:$EZ$1000, MATCH('Line Item Detail'!F29, Reference!$EX$2:$EX$1000, 0)), "No")="Yes"),"Excluded for Insurance",IF('Line Item Detail'!D29="Grouped Residual",IF((IF(Builder!B4="General",'Line Item Detail'!W29,IF(Builder!B4="Twin",'Line Item Detail'!X29,'Line Item Detail'!Y29)))=0,"Excluded","Included"),"Included"))</f>
        <v>Included</v>
      </c>
      <c r="G20">
        <f>IF('Line Item Detail'!D29="Grouped Residual","",'Line Item Detail'!G29)</f>
        <v>1</v>
      </c>
      <c r="H20" t="str">
        <f>Builder!B4</f>
        <v>Single</v>
      </c>
      <c r="I20">
        <f>IF('Line Item Detail'!D29="Grouped Residual",IF((IF(Builder!B4="General",'Line Item Detail'!W29,IF(Builder!B4="Twin",'Line Item Detail'!X29,'Line Item Detail'!Y29)))=0,"",IF(Builder!B4="General",'Line Item Detail'!K29,IF(Builder!B4="Twin",'Line Item Detail'!L29,'Line Item Detail'!M29))),IF(Builder!B4="General",'Line Item Detail'!K29,IF(Builder!B4="Twin",'Line Item Detail'!L29,'Line Item Detail'!M29)))</f>
        <v>870</v>
      </c>
      <c r="J20">
        <f>IF(Builder!B4="General",'Line Item Detail'!W29,IF(Builder!B4="Twin",'Line Item Detail'!X29,'Line Item Detail'!Y29))</f>
        <v>870</v>
      </c>
    </row>
    <row r="21" ht="15" customHeight="1" spans="1:10" x14ac:dyDescent="0.25">
      <c r="A21" t="str">
        <f>'Line Item Detail'!A30</f>
        <v>Electrolytes</v>
      </c>
      <c r="B21" t="s">
        <v>81</v>
      </c>
      <c r="C21" t="str">
        <f>'Line Item Detail'!C30</f>
        <v>Investigations</v>
      </c>
      <c r="D21" t="str">
        <f>'Line Item Detail'!D30</f>
        <v>Template</v>
      </c>
      <c r="E21" t="str">
        <f>'Line Item Detail'!E30</f>
        <v>Auto-Included</v>
      </c>
      <c r="F21" t="str">
        <f>IF(AND(Builder!E2="Insurance / Org Tariff",IFERROR(INDEX(Reference!$EZ$2:$EZ$1000, MATCH('Line Item Detail'!F30, Reference!$EX$2:$EX$1000, 0)), "No")="Yes"),"Excluded for Insurance",IF('Line Item Detail'!D30="Grouped Residual",IF((IF(Builder!B4="General",'Line Item Detail'!W30,IF(Builder!B4="Twin",'Line Item Detail'!X30,'Line Item Detail'!Y30)))=0,"Excluded","Included"),"Included"))</f>
        <v>Included</v>
      </c>
      <c r="G21">
        <f>IF('Line Item Detail'!D30="Grouped Residual","",'Line Item Detail'!G30)</f>
        <v>1</v>
      </c>
      <c r="H21" t="str">
        <f>Builder!B4</f>
        <v>Single</v>
      </c>
      <c r="I21">
        <f>IF('Line Item Detail'!D30="Grouped Residual",IF((IF(Builder!B4="General",'Line Item Detail'!W30,IF(Builder!B4="Twin",'Line Item Detail'!X30,'Line Item Detail'!Y30)))=0,"",IF(Builder!B4="General",'Line Item Detail'!K30,IF(Builder!B4="Twin",'Line Item Detail'!L30,'Line Item Detail'!M30))),IF(Builder!B4="General",'Line Item Detail'!K30,IF(Builder!B4="Twin",'Line Item Detail'!L30,'Line Item Detail'!M30)))</f>
        <v>1470</v>
      </c>
      <c r="J21">
        <f>IF(Builder!B4="General",'Line Item Detail'!W30,IF(Builder!B4="Twin",'Line Item Detail'!X30,'Line Item Detail'!Y30))</f>
        <v>1470</v>
      </c>
    </row>
    <row r="22" ht="15" customHeight="1" spans="1:10" x14ac:dyDescent="0.25">
      <c r="A22" t="str">
        <f>'Line Item Detail'!A31</f>
        <v>Creatinine</v>
      </c>
      <c r="B22" t="s">
        <v>81</v>
      </c>
      <c r="C22" t="str">
        <f>'Line Item Detail'!C31</f>
        <v>Investigations</v>
      </c>
      <c r="D22" t="str">
        <f>'Line Item Detail'!D31</f>
        <v>Template</v>
      </c>
      <c r="E22" t="str">
        <f>'Line Item Detail'!E31</f>
        <v>Auto-Included</v>
      </c>
      <c r="F22" t="str">
        <f>IF(AND(Builder!E2="Insurance / Org Tariff",IFERROR(INDEX(Reference!$EZ$2:$EZ$1000, MATCH('Line Item Detail'!F31, Reference!$EX$2:$EX$1000, 0)), "No")="Yes"),"Excluded for Insurance",IF('Line Item Detail'!D31="Grouped Residual",IF((IF(Builder!B4="General",'Line Item Detail'!W31,IF(Builder!B4="Twin",'Line Item Detail'!X31,'Line Item Detail'!Y31)))=0,"Excluded","Included"),"Included"))</f>
        <v>Included</v>
      </c>
      <c r="G22">
        <f>IF('Line Item Detail'!D31="Grouped Residual","",'Line Item Detail'!G31)</f>
        <v>1</v>
      </c>
      <c r="H22" t="str">
        <f>Builder!B4</f>
        <v>Single</v>
      </c>
      <c r="I22">
        <f>IF('Line Item Detail'!D31="Grouped Residual",IF((IF(Builder!B4="General",'Line Item Detail'!W31,IF(Builder!B4="Twin",'Line Item Detail'!X31,'Line Item Detail'!Y31)))=0,"",IF(Builder!B4="General",'Line Item Detail'!K31,IF(Builder!B4="Twin",'Line Item Detail'!L31,'Line Item Detail'!M31))),IF(Builder!B4="General",'Line Item Detail'!K31,IF(Builder!B4="Twin",'Line Item Detail'!L31,'Line Item Detail'!M31)))</f>
        <v>760</v>
      </c>
      <c r="J22">
        <f>IF(Builder!B4="General",'Line Item Detail'!W31,IF(Builder!B4="Twin",'Line Item Detail'!X31,'Line Item Detail'!Y31))</f>
        <v>760</v>
      </c>
    </row>
    <row r="23" ht="15" customHeight="1" spans="1:10" x14ac:dyDescent="0.25">
      <c r="A23" t="str">
        <f>'Line Item Detail'!A32</f>
        <v>Urea</v>
      </c>
      <c r="B23" t="s">
        <v>81</v>
      </c>
      <c r="C23" t="str">
        <f>'Line Item Detail'!C32</f>
        <v>Investigations</v>
      </c>
      <c r="D23" t="str">
        <f>'Line Item Detail'!D32</f>
        <v>Template</v>
      </c>
      <c r="E23" t="str">
        <f>'Line Item Detail'!E32</f>
        <v>Auto-Included</v>
      </c>
      <c r="F23" t="str">
        <f>IF(AND(Builder!E2="Insurance / Org Tariff",IFERROR(INDEX(Reference!$EZ$2:$EZ$1000, MATCH('Line Item Detail'!F32, Reference!$EX$2:$EX$1000, 0)), "No")="Yes"),"Excluded for Insurance",IF('Line Item Detail'!D32="Grouped Residual",IF((IF(Builder!B4="General",'Line Item Detail'!W32,IF(Builder!B4="Twin",'Line Item Detail'!X32,'Line Item Detail'!Y32)))=0,"Excluded","Included"),"Included"))</f>
        <v>Included</v>
      </c>
      <c r="G23">
        <f>IF('Line Item Detail'!D32="Grouped Residual","",'Line Item Detail'!G32)</f>
        <v>1</v>
      </c>
      <c r="H23" t="str">
        <f>Builder!B4</f>
        <v>Single</v>
      </c>
      <c r="I23">
        <f>IF('Line Item Detail'!D32="Grouped Residual",IF((IF(Builder!B4="General",'Line Item Detail'!W32,IF(Builder!B4="Twin",'Line Item Detail'!X32,'Line Item Detail'!Y32)))=0,"",IF(Builder!B4="General",'Line Item Detail'!K32,IF(Builder!B4="Twin",'Line Item Detail'!L32,'Line Item Detail'!M32))),IF(Builder!B4="General",'Line Item Detail'!K32,IF(Builder!B4="Twin",'Line Item Detail'!L32,'Line Item Detail'!M32)))</f>
        <v>430</v>
      </c>
      <c r="J23">
        <f>IF(Builder!B4="General",'Line Item Detail'!W32,IF(Builder!B4="Twin",'Line Item Detail'!X32,'Line Item Detail'!Y32))</f>
        <v>430</v>
      </c>
    </row>
    <row r="24" ht="39.55" customHeight="1" spans="1:10" x14ac:dyDescent="0.25">
      <c r="A24" t="str">
        <f>'Line Item Detail'!A71</f>
        <v>Coagulation Tests Residual</v>
      </c>
      <c r="B24" t="s">
        <v>81</v>
      </c>
      <c r="C24" t="str">
        <f>'Line Item Detail'!C71</f>
        <v>Coagulation Tests</v>
      </c>
      <c r="D24" t="str">
        <f>'Line Item Detail'!D71</f>
        <v>Grouped Residual</v>
      </c>
      <c r="E24" t="str">
        <f>'Line Item Detail'!E71</f>
        <v>Mode-aware grouped residual net of selected child add-ons from same grouping</v>
      </c>
      <c r="F24" t="str">
        <f>IF(AND(Builder!E2="Insurance / Org Tariff",IFERROR(INDEX(Reference!$EZ$2:$EZ$1000, MATCH('Line Item Detail'!F71, Reference!$EX$2:$EX$1000, 0)), "No")="Yes"),"Excluded for Insurance",IF('Line Item Detail'!D71="Grouped Residual",IF((IF(Builder!B4="General",'Line Item Detail'!W71,IF(Builder!B4="Twin",'Line Item Detail'!X71,'Line Item Detail'!Y71)))=0,"Excluded","Included"),"Included"))</f>
        <v>Included</v>
      </c>
      <c r="G24">
        <f>IF('Line Item Detail'!D71="Grouped Residual","",'Line Item Detail'!G71)</f>
      </c>
      <c r="H24" t="str">
        <f>Builder!B4</f>
        <v>Single</v>
      </c>
      <c r="I24">
        <f>IF('Line Item Detail'!D71="Grouped Residual",IF((IF(Builder!B4="General",'Line Item Detail'!W71,IF(Builder!B4="Twin",'Line Item Detail'!X71,'Line Item Detail'!Y71)))=0,"",IF(Builder!B4="General",'Line Item Detail'!K71,IF(Builder!B4="Twin",'Line Item Detail'!L71,'Line Item Detail'!M71))),IF(Builder!B4="General",'Line Item Detail'!K71,IF(Builder!B4="Twin",'Line Item Detail'!L71,'Line Item Detail'!M71)))</f>
        <v>5590</v>
      </c>
      <c r="J24">
        <f>IF(Builder!B4="General",'Line Item Detail'!W71,IF(Builder!B4="Twin",'Line Item Detail'!X71,'Line Item Detail'!Y71))</f>
        <v>5590</v>
      </c>
    </row>
    <row r="25" ht="39.55" customHeight="1" spans="1:10" x14ac:dyDescent="0.25">
      <c r="A25" t="str">
        <f>'Line Item Detail'!A72</f>
        <v>Inflammatory Marker Tests Residual</v>
      </c>
      <c r="B25" t="s">
        <v>81</v>
      </c>
      <c r="C25" t="str">
        <f>'Line Item Detail'!C72</f>
        <v>Inflammatory Marker Tests</v>
      </c>
      <c r="D25" t="str">
        <f>'Line Item Detail'!D72</f>
        <v>Grouped Residual</v>
      </c>
      <c r="E25" t="str">
        <f>'Line Item Detail'!E72</f>
        <v>Mode-aware grouped residual net of selected child add-ons from same grouping</v>
      </c>
      <c r="F25" t="str">
        <f>IF(AND(Builder!E2="Insurance / Org Tariff",IFERROR(INDEX(Reference!$EZ$2:$EZ$1000, MATCH('Line Item Detail'!F72, Reference!$EX$2:$EX$1000, 0)), "No")="Yes"),"Excluded for Insurance",IF('Line Item Detail'!D72="Grouped Residual",IF((IF(Builder!B4="General",'Line Item Detail'!W72,IF(Builder!B4="Twin",'Line Item Detail'!X72,'Line Item Detail'!Y72)))=0,"Excluded","Included"),"Included"))</f>
        <v>Included</v>
      </c>
      <c r="G25">
        <f>IF('Line Item Detail'!D72="Grouped Residual","",'Line Item Detail'!G72)</f>
      </c>
      <c r="H25" t="str">
        <f>Builder!B4</f>
        <v>Single</v>
      </c>
      <c r="I25">
        <f>IF('Line Item Detail'!D72="Grouped Residual",IF((IF(Builder!B4="General",'Line Item Detail'!W72,IF(Builder!B4="Twin",'Line Item Detail'!X72,'Line Item Detail'!Y72)))=0,"",IF(Builder!B4="General",'Line Item Detail'!K72,IF(Builder!B4="Twin",'Line Item Detail'!L72,'Line Item Detail'!M72))),IF(Builder!B4="General",'Line Item Detail'!K72,IF(Builder!B4="Twin",'Line Item Detail'!L72,'Line Item Detail'!M72)))</f>
        <v>1320</v>
      </c>
      <c r="J25">
        <f>IF(Builder!B4="General",'Line Item Detail'!W72,IF(Builder!B4="Twin",'Line Item Detail'!X72,'Line Item Detail'!Y72))</f>
        <v>1320</v>
      </c>
    </row>
    <row r="26" ht="39.55" customHeight="1" spans="1:10" x14ac:dyDescent="0.25">
      <c r="A26" t="str">
        <f>'Line Item Detail'!A73</f>
        <v>Haematology Counts Residual</v>
      </c>
      <c r="B26" t="s">
        <v>81</v>
      </c>
      <c r="C26" t="str">
        <f>'Line Item Detail'!C73</f>
        <v>Haematology Counts</v>
      </c>
      <c r="D26" t="str">
        <f>'Line Item Detail'!D73</f>
        <v>Grouped Residual</v>
      </c>
      <c r="E26" t="str">
        <f>'Line Item Detail'!E73</f>
        <v>Mode-aware grouped residual net of selected child add-ons from same grouping</v>
      </c>
      <c r="F26" t="str">
        <f>IF(AND(Builder!E2="Insurance / Org Tariff",IFERROR(INDEX(Reference!$EZ$2:$EZ$1000, MATCH('Line Item Detail'!F73, Reference!$EX$2:$EX$1000, 0)), "No")="Yes"),"Excluded for Insurance",IF('Line Item Detail'!D73="Grouped Residual",IF((IF(Builder!B4="General",'Line Item Detail'!W73,IF(Builder!B4="Twin",'Line Item Detail'!X73,'Line Item Detail'!Y73)))=0,"Excluded","Included"),"Included"))</f>
        <v>Included</v>
      </c>
      <c r="G26">
        <f>IF('Line Item Detail'!D73="Grouped Residual","",'Line Item Detail'!G73)</f>
      </c>
      <c r="H26" t="str">
        <f>Builder!B4</f>
        <v>Single</v>
      </c>
      <c r="I26">
        <f>IF('Line Item Detail'!D73="Grouped Residual",IF((IF(Builder!B4="General",'Line Item Detail'!W73,IF(Builder!B4="Twin",'Line Item Detail'!X73,'Line Item Detail'!Y73)))=0,"",IF(Builder!B4="General",'Line Item Detail'!K73,IF(Builder!B4="Twin",'Line Item Detail'!L73,'Line Item Detail'!M73))),IF(Builder!B4="General",'Line Item Detail'!K73,IF(Builder!B4="Twin",'Line Item Detail'!L73,'Line Item Detail'!M73)))</f>
        <v>370</v>
      </c>
      <c r="J26">
        <f>IF(Builder!B4="General",'Line Item Detail'!W73,IF(Builder!B4="Twin",'Line Item Detail'!X73,'Line Item Detail'!Y73))</f>
        <v>370</v>
      </c>
    </row>
    <row r="27" ht="15" customHeight="1" x14ac:dyDescent="0.25"/>
    <row r="28" ht="15" customHeight="1" spans="1:1" x14ac:dyDescent="0.25">
      <c r="A28" t="s">
        <v>88</v>
      </c>
    </row>
    <row r="29" ht="15" customHeight="1" spans="1:10" x14ac:dyDescent="0.25">
      <c r="A29" t="str">
        <f>'Line Item Detail'!A8</f>
        <v>CSSD CHARGES FOR GA</v>
      </c>
      <c r="B29" t="s">
        <v>88</v>
      </c>
      <c r="C29" t="str">
        <f>'Line Item Detail'!C8</f>
        <v>OT Charges</v>
      </c>
      <c r="D29" t="str">
        <f>'Line Item Detail'!D8</f>
        <v>Template</v>
      </c>
      <c r="E29" t="str">
        <f>'Line Item Detail'!E8</f>
        <v>Auto-Included</v>
      </c>
      <c r="F29" t="str">
        <f>IF(AND(Builder!E2="Insurance / Org Tariff",IFERROR(INDEX(Reference!$EZ$2:$EZ$1000, MATCH('Line Item Detail'!F8, Reference!$EX$2:$EX$1000, 0)), "No")="Yes"),"Excluded for Insurance",IF('Line Item Detail'!D8="Grouped Residual",IF((IF(Builder!B4="General",'Line Item Detail'!W8,IF(Builder!B4="Twin",'Line Item Detail'!X8,'Line Item Detail'!Y8)))=0,"Excluded","Included"),"Included"))</f>
        <v>Included</v>
      </c>
      <c r="G29">
        <f>IF('Line Item Detail'!D8="Grouped Residual","",'Line Item Detail'!G8)</f>
        <v>1</v>
      </c>
      <c r="H29" t="str">
        <f>Builder!B4</f>
        <v>Single</v>
      </c>
      <c r="I29">
        <f>IF('Line Item Detail'!D8="Grouped Residual",IF((IF(Builder!B4="General",'Line Item Detail'!W8,IF(Builder!B4="Twin",'Line Item Detail'!X8,'Line Item Detail'!Y8)))=0,"",IF(Builder!B4="General",'Line Item Detail'!K8,IF(Builder!B4="Twin",'Line Item Detail'!L8,'Line Item Detail'!M8))),IF(Builder!B4="General",'Line Item Detail'!K8,IF(Builder!B4="Twin",'Line Item Detail'!L8,'Line Item Detail'!M8)))</f>
        <v>2000</v>
      </c>
      <c r="J29">
        <f>IF(Builder!B4="General",'Line Item Detail'!W8,IF(Builder!B4="Twin",'Line Item Detail'!X8,'Line Item Detail'!Y8))</f>
        <v>2000</v>
      </c>
    </row>
    <row r="30" ht="15" customHeight="1" spans="1:10" x14ac:dyDescent="0.25">
      <c r="A30" t="str">
        <f>'Line Item Detail'!A10</f>
        <v>PHYSIOTHERAPY PACKAGE 5 VISITS</v>
      </c>
      <c r="B30" t="s">
        <v>88</v>
      </c>
      <c r="C30" t="str">
        <f>'Line Item Detail'!C10</f>
        <v>Physiotherapy</v>
      </c>
      <c r="D30" t="str">
        <f>'Line Item Detail'!D10</f>
        <v>Template</v>
      </c>
      <c r="E30" t="str">
        <f>'Line Item Detail'!E10</f>
        <v>Auto-Included</v>
      </c>
      <c r="F30" t="str">
        <f>IF(AND(Builder!E2="Insurance / Org Tariff",IFERROR(INDEX(Reference!$EZ$2:$EZ$1000, MATCH('Line Item Detail'!F10, Reference!$EX$2:$EX$1000, 0)), "No")="Yes"),"Excluded for Insurance",IF('Line Item Detail'!D10="Grouped Residual",IF((IF(Builder!B4="General",'Line Item Detail'!W10,IF(Builder!B4="Twin",'Line Item Detail'!X10,'Line Item Detail'!Y10)))=0,"Excluded","Included"),"Included"))</f>
        <v>Included</v>
      </c>
      <c r="G30">
        <f>IF('Line Item Detail'!D10="Grouped Residual","",'Line Item Detail'!G10)</f>
        <v>1</v>
      </c>
      <c r="H30" t="str">
        <f>Builder!B4</f>
        <v>Single</v>
      </c>
      <c r="I30">
        <f>IF('Line Item Detail'!D10="Grouped Residual",IF((IF(Builder!B4="General",'Line Item Detail'!W10,IF(Builder!B4="Twin",'Line Item Detail'!X10,'Line Item Detail'!Y10)))=0,"",IF(Builder!B4="General",'Line Item Detail'!K10,IF(Builder!B4="Twin",'Line Item Detail'!L10,'Line Item Detail'!M10))),IF(Builder!B4="General",'Line Item Detail'!K10,IF(Builder!B4="Twin",'Line Item Detail'!L10,'Line Item Detail'!M10)))</f>
        <v>2380</v>
      </c>
      <c r="J30">
        <f>IF(Builder!B4="General",'Line Item Detail'!W10,IF(Builder!B4="Twin",'Line Item Detail'!X10,'Line Item Detail'!Y10))</f>
        <v>2380</v>
      </c>
    </row>
    <row r="31" ht="15" customHeight="1" spans="1:10" x14ac:dyDescent="0.25">
      <c r="A31" t="str">
        <f>'Line Item Detail'!A13</f>
        <v>ROBO (TKR) - UNILATERAL</v>
      </c>
      <c r="B31" t="s">
        <v>88</v>
      </c>
      <c r="C31" t="str">
        <f>'Line Item Detail'!C13</f>
        <v>OT Charges</v>
      </c>
      <c r="D31" t="str">
        <f>'Line Item Detail'!D13</f>
        <v>Template</v>
      </c>
      <c r="E31" t="str">
        <f>'Line Item Detail'!E13</f>
        <v>Auto-Included</v>
      </c>
      <c r="F31" t="str">
        <f>IF(AND(Builder!E2="Insurance / Org Tariff",IFERROR(INDEX(Reference!$EZ$2:$EZ$1000, MATCH('Line Item Detail'!F13, Reference!$EX$2:$EX$1000, 0)), "No")="Yes"),"Excluded for Insurance",IF('Line Item Detail'!D13="Grouped Residual",IF((IF(Builder!B4="General",'Line Item Detail'!W13,IF(Builder!B4="Twin",'Line Item Detail'!X13,'Line Item Detail'!Y13)))=0,"Excluded","Included"),"Included"))</f>
        <v>Included</v>
      </c>
      <c r="G31">
        <f>IF('Line Item Detail'!D13="Grouped Residual","",'Line Item Detail'!G13)</f>
        <v>1</v>
      </c>
      <c r="H31" t="str">
        <f>Builder!B4</f>
        <v>Single</v>
      </c>
      <c r="I31">
        <f>IF('Line Item Detail'!D13="Grouped Residual",IF((IF(Builder!B4="General",'Line Item Detail'!W13,IF(Builder!B4="Twin",'Line Item Detail'!X13,'Line Item Detail'!Y13)))=0,"",IF(Builder!B4="General",'Line Item Detail'!K13,IF(Builder!B4="Twin",'Line Item Detail'!L13,'Line Item Detail'!M13))),IF(Builder!B4="General",'Line Item Detail'!K13,IF(Builder!B4="Twin",'Line Item Detail'!L13,'Line Item Detail'!M13)))</f>
        <v>100000</v>
      </c>
      <c r="J31">
        <f>IF(Builder!B4="General",'Line Item Detail'!W13,IF(Builder!B4="Twin",'Line Item Detail'!X13,'Line Item Detail'!Y13))</f>
        <v>100000</v>
      </c>
    </row>
    <row r="32" ht="15" customHeight="1" spans="1:10" x14ac:dyDescent="0.25">
      <c r="A32" t="str">
        <f>'Line Item Detail'!A14</f>
        <v>Instrument Charges (Major)</v>
      </c>
      <c r="B32" t="s">
        <v>88</v>
      </c>
      <c r="C32" t="str">
        <f>'Line Item Detail'!C14</f>
        <v>OT Charges</v>
      </c>
      <c r="D32" t="str">
        <f>'Line Item Detail'!D14</f>
        <v>Logic</v>
      </c>
      <c r="E32" t="str">
        <f>'Line Item Detail'!E14</f>
        <v>Fixed 1</v>
      </c>
      <c r="F32" t="str">
        <f>IF(AND(Builder!E2="Insurance / Org Tariff",IFERROR(INDEX(Reference!$EZ$2:$EZ$1000, MATCH('Line Item Detail'!F14, Reference!$EX$2:$EX$1000, 0)), "No")="Yes"),"Excluded for Insurance",IF('Line Item Detail'!D14="Grouped Residual",IF((IF(Builder!B4="General",'Line Item Detail'!W14,IF(Builder!B4="Twin",'Line Item Detail'!X14,'Line Item Detail'!Y14)))=0,"Excluded","Included"),"Included"))</f>
        <v>Included</v>
      </c>
      <c r="G32">
        <f>IF('Line Item Detail'!D14="Grouped Residual","",'Line Item Detail'!G14)</f>
        <v>1</v>
      </c>
      <c r="H32" t="str">
        <f>Builder!B4</f>
        <v>Single</v>
      </c>
      <c r="I32">
        <f>IF('Line Item Detail'!D14="Grouped Residual",IF((IF(Builder!B4="General",'Line Item Detail'!W14,IF(Builder!B4="Twin",'Line Item Detail'!X14,'Line Item Detail'!Y14)))=0,"",IF(Builder!B4="General",'Line Item Detail'!K14,IF(Builder!B4="Twin",'Line Item Detail'!L14,'Line Item Detail'!M14))),IF(Builder!B4="General",'Line Item Detail'!K14,IF(Builder!B4="Twin",'Line Item Detail'!L14,'Line Item Detail'!M14)))</f>
        <v>10480</v>
      </c>
      <c r="J32">
        <f>IF(Builder!B4="General",'Line Item Detail'!W14,IF(Builder!B4="Twin",'Line Item Detail'!X14,'Line Item Detail'!Y14))</f>
        <v>10480</v>
      </c>
    </row>
    <row r="33" ht="15" customHeight="1" spans="1:10" x14ac:dyDescent="0.25">
      <c r="A33" t="str">
        <f>'Line Item Detail'!A15</f>
        <v>OT Disinfection Charges</v>
      </c>
      <c r="B33" t="s">
        <v>88</v>
      </c>
      <c r="C33" t="str">
        <f>'Line Item Detail'!C15</f>
        <v>OT Charges</v>
      </c>
      <c r="D33" t="str">
        <f>'Line Item Detail'!D15</f>
        <v>Logic</v>
      </c>
      <c r="E33" t="str">
        <f>'Line Item Detail'!E15</f>
        <v>Fixed 1</v>
      </c>
      <c r="F33" t="str">
        <f>IF(AND(Builder!E2="Insurance / Org Tariff",IFERROR(INDEX(Reference!$EZ$2:$EZ$1000, MATCH('Line Item Detail'!F15, Reference!$EX$2:$EX$1000, 0)), "No")="Yes"),"Excluded for Insurance",IF('Line Item Detail'!D15="Grouped Residual",IF((IF(Builder!B4="General",'Line Item Detail'!W15,IF(Builder!B4="Twin",'Line Item Detail'!X15,'Line Item Detail'!Y15)))=0,"Excluded","Included"),"Included"))</f>
        <v>Included</v>
      </c>
      <c r="G33">
        <f>IF('Line Item Detail'!D15="Grouped Residual","",'Line Item Detail'!G15)</f>
        <v>1</v>
      </c>
      <c r="H33" t="str">
        <f>Builder!B4</f>
        <v>Single</v>
      </c>
      <c r="I33">
        <f>IF('Line Item Detail'!D15="Grouped Residual",IF((IF(Builder!B4="General",'Line Item Detail'!W15,IF(Builder!B4="Twin",'Line Item Detail'!X15,'Line Item Detail'!Y15)))=0,"",IF(Builder!B4="General",'Line Item Detail'!K15,IF(Builder!B4="Twin",'Line Item Detail'!L15,'Line Item Detail'!M15))),IF(Builder!B4="General",'Line Item Detail'!K15,IF(Builder!B4="Twin",'Line Item Detail'!L15,'Line Item Detail'!M15)))</f>
        <v>2470</v>
      </c>
      <c r="J33">
        <f>IF(Builder!B4="General",'Line Item Detail'!W15,IF(Builder!B4="Twin",'Line Item Detail'!X15,'Line Item Detail'!Y15))</f>
        <v>2470</v>
      </c>
    </row>
    <row r="34" ht="15" customHeight="1" spans="1:10" x14ac:dyDescent="0.25">
      <c r="A34" t="str">
        <f>'Line Item Detail'!A16</f>
        <v>Post Surgery Recovery Charges</v>
      </c>
      <c r="B34" t="s">
        <v>88</v>
      </c>
      <c r="C34" t="str">
        <f>'Line Item Detail'!C16</f>
        <v>OT Charges</v>
      </c>
      <c r="D34" t="str">
        <f>'Line Item Detail'!D16</f>
        <v>Logic</v>
      </c>
      <c r="E34" t="str">
        <f>'Line Item Detail'!E16</f>
        <v>Fixed 1</v>
      </c>
      <c r="F34" t="str">
        <f>IF(AND(Builder!E2="Insurance / Org Tariff",IFERROR(INDEX(Reference!$EZ$2:$EZ$1000, MATCH('Line Item Detail'!F16, Reference!$EX$2:$EX$1000, 0)), "No")="Yes"),"Excluded for Insurance",IF('Line Item Detail'!D16="Grouped Residual",IF((IF(Builder!B4="General",'Line Item Detail'!W16,IF(Builder!B4="Twin",'Line Item Detail'!X16,'Line Item Detail'!Y16)))=0,"Excluded","Included"),"Included"))</f>
        <v>Included</v>
      </c>
      <c r="G34">
        <f>IF('Line Item Detail'!D16="Grouped Residual","",'Line Item Detail'!G16)</f>
        <v>1</v>
      </c>
      <c r="H34" t="str">
        <f>Builder!B4</f>
        <v>Single</v>
      </c>
      <c r="I34">
        <f>IF('Line Item Detail'!D16="Grouped Residual",IF((IF(Builder!B4="General",'Line Item Detail'!W16,IF(Builder!B4="Twin",'Line Item Detail'!X16,'Line Item Detail'!Y16)))=0,"",IF(Builder!B4="General",'Line Item Detail'!K16,IF(Builder!B4="Twin",'Line Item Detail'!L16,'Line Item Detail'!M16))),IF(Builder!B4="General",'Line Item Detail'!K16,IF(Builder!B4="Twin",'Line Item Detail'!L16,'Line Item Detail'!M16)))</f>
        <v>3020</v>
      </c>
      <c r="J34">
        <f>IF(Builder!B4="General",'Line Item Detail'!W16,IF(Builder!B4="Twin",'Line Item Detail'!X16,'Line Item Detail'!Y16))</f>
        <v>3020</v>
      </c>
    </row>
    <row r="35" ht="39.55" customHeight="1" spans="1:10" x14ac:dyDescent="0.25">
      <c r="A35" t="str">
        <f>'Line Item Detail'!A17</f>
        <v>OT Charges</v>
      </c>
      <c r="B35" t="s">
        <v>88</v>
      </c>
      <c r="C35" t="str">
        <f>'Line Item Detail'!C17</f>
        <v>OT Charges</v>
      </c>
      <c r="D35" t="str">
        <f>'Line Item Detail'!D17</f>
        <v>Logic</v>
      </c>
      <c r="E35" t="str">
        <f>'Line Item Detail'!E17</f>
        <v>Selected OT duration snapped to the nearest supported tariff OT slot using the normal or emergency ladder</v>
      </c>
      <c r="F35" t="str">
        <f>IF(AND(Builder!E2="Insurance / Org Tariff",IFERROR(INDEX(Reference!$EZ$2:$EZ$1000, MATCH('Line Item Detail'!F17, Reference!$EX$2:$EX$1000, 0)), "No")="Yes"),"Excluded for Insurance",IF('Line Item Detail'!D17="Grouped Residual",IF((IF(Builder!B4="General",'Line Item Detail'!W17,IF(Builder!B4="Twin",'Line Item Detail'!X17,'Line Item Detail'!Y17)))=0,"Excluded","Included"),"Included"))</f>
        <v>Included</v>
      </c>
      <c r="G35">
        <f>IF('Line Item Detail'!D17="Grouped Residual","",'Line Item Detail'!G17)</f>
        <v>3</v>
      </c>
      <c r="H35" t="str">
        <f>Builder!B4</f>
        <v>Single</v>
      </c>
      <c r="I35">
        <f>IF('Line Item Detail'!D17="Grouped Residual",IF((IF(Builder!B4="General",'Line Item Detail'!W17,IF(Builder!B4="Twin",'Line Item Detail'!X17,'Line Item Detail'!Y17)))=0,"",IF(Builder!B4="General",'Line Item Detail'!K17,IF(Builder!B4="Twin",'Line Item Detail'!L17,'Line Item Detail'!M17))),IF(Builder!B4="General",'Line Item Detail'!K17,IF(Builder!B4="Twin",'Line Item Detail'!L17,'Line Item Detail'!M17)))</f>
        <v>38310</v>
      </c>
      <c r="J35">
        <f>IF(Builder!B4="General",'Line Item Detail'!W17,IF(Builder!B4="Twin",'Line Item Detail'!X17,'Line Item Detail'!Y17))</f>
        <v>38310</v>
      </c>
    </row>
    <row r="36" ht="39.55" customHeight="1" spans="1:10" x14ac:dyDescent="0.25">
      <c r="A36" t="str">
        <f>'Line Item Detail'!A18</f>
        <v>Cath Lab Charges</v>
      </c>
      <c r="B36" t="s">
        <v>88</v>
      </c>
      <c r="C36" t="str">
        <f>'Line Item Detail'!C18</f>
        <v>Cath Lab Hours</v>
      </c>
      <c r="D36" t="str">
        <f>'Line Item Detail'!D18</f>
        <v>Historical Cath Lab Family</v>
      </c>
      <c r="E36" t="str">
        <f>'Line Item Detail'!E18</f>
        <v>Actual billed cath-lab slot-family P25 / P50 / P75 from the selected historical payer basis.</v>
      </c>
      <c r="F36" t="str">
        <f>IF(AND(Builder!E2="Insurance / Org Tariff",IFERROR(INDEX(Reference!$EZ$2:$EZ$1000, MATCH('Line Item Detail'!F18, Reference!$EX$2:$EX$1000, 0)), "No")="Yes"),"Excluded for Insurance",IF('Line Item Detail'!D18="Grouped Residual",IF((IF(Builder!B4="General",'Line Item Detail'!W18,IF(Builder!B4="Twin",'Line Item Detail'!X18,'Line Item Detail'!Y18)))=0,"Excluded","Included"),"Included"))</f>
        <v>Included</v>
      </c>
      <c r="G36">
        <f>IF('Line Item Detail'!D18="Grouped Residual","",'Line Item Detail'!G18)</f>
        <v>1</v>
      </c>
      <c r="H36" t="str">
        <f>Builder!B4</f>
        <v>Single</v>
      </c>
      <c r="I36">
        <f>IF('Line Item Detail'!D18="Grouped Residual",IF((IF(Builder!B4="General",'Line Item Detail'!W18,IF(Builder!B4="Twin",'Line Item Detail'!X18,'Line Item Detail'!Y18)))=0,"",IF(Builder!B4="General",'Line Item Detail'!K18,IF(Builder!B4="Twin",'Line Item Detail'!L18,'Line Item Detail'!M18))),IF(Builder!B4="General",'Line Item Detail'!K18,IF(Builder!B4="Twin",'Line Item Detail'!L18,'Line Item Detail'!M18)))</f>
        <v>0</v>
      </c>
      <c r="J36">
        <f>IF(Builder!B4="General",'Line Item Detail'!W18,IF(Builder!B4="Twin",'Line Item Detail'!X18,'Line Item Detail'!Y18))</f>
        <v>0</v>
      </c>
    </row>
    <row r="37" ht="15" customHeight="1" x14ac:dyDescent="0.25"/>
    <row r="38" ht="15" customHeight="1" spans="1:1" x14ac:dyDescent="0.25">
      <c r="A38" t="s">
        <v>90</v>
      </c>
    </row>
    <row r="39" ht="15" customHeight="1" spans="1:10" x14ac:dyDescent="0.25">
      <c r="A39" t="str">
        <f>'Line Item Detail'!A9</f>
        <v>Medical Records</v>
      </c>
      <c r="B39" t="s">
        <v>90</v>
      </c>
      <c r="C39" t="str">
        <f>'Line Item Detail'!C9</f>
        <v>Administrative</v>
      </c>
      <c r="D39" t="str">
        <f>'Line Item Detail'!D9</f>
        <v>Logic</v>
      </c>
      <c r="E39" t="str">
        <f>'Line Item Detail'!E9</f>
        <v>Fixed 1</v>
      </c>
      <c r="F39" t="str">
        <f>IF(AND(Builder!E2="Insurance / Org Tariff",IFERROR(INDEX(Reference!$EZ$2:$EZ$1000, MATCH('Line Item Detail'!F9, Reference!$EX$2:$EX$1000, 0)), "No")="Yes"),"Excluded for Insurance",IF('Line Item Detail'!D9="Grouped Residual",IF((IF(Builder!B4="General",'Line Item Detail'!W9,IF(Builder!B4="Twin",'Line Item Detail'!X9,'Line Item Detail'!Y9)))=0,"Excluded","Included"),"Included"))</f>
        <v>Included</v>
      </c>
      <c r="G39">
        <f>IF('Line Item Detail'!D9="Grouped Residual","",'Line Item Detail'!G9)</f>
        <v>1</v>
      </c>
      <c r="H39" t="str">
        <f>Builder!B4</f>
        <v>Single</v>
      </c>
      <c r="I39">
        <f>IF('Line Item Detail'!D9="Grouped Residual",IF((IF(Builder!B4="General",'Line Item Detail'!W9,IF(Builder!B4="Twin",'Line Item Detail'!X9,'Line Item Detail'!Y9)))=0,"",IF(Builder!B4="General",'Line Item Detail'!K9,IF(Builder!B4="Twin",'Line Item Detail'!L9,'Line Item Detail'!M9))),IF(Builder!B4="General",'Line Item Detail'!K9,IF(Builder!B4="Twin",'Line Item Detail'!L9,'Line Item Detail'!M9)))</f>
        <v>1300</v>
      </c>
      <c r="J39">
        <f>IF(Builder!B4="General",'Line Item Detail'!W9,IF(Builder!B4="Twin",'Line Item Detail'!X9,'Line Item Detail'!Y9))</f>
        <v>1300</v>
      </c>
    </row>
    <row r="40" ht="15" customHeight="1" spans="1:10" x14ac:dyDescent="0.25">
      <c r="A40" t="str">
        <f>'Line Item Detail'!A22</f>
        <v>Warmer</v>
      </c>
      <c r="B40" t="s">
        <v>90</v>
      </c>
      <c r="C40" t="str">
        <f>'Line Item Detail'!C22</f>
        <v>Bedside</v>
      </c>
      <c r="D40" t="str">
        <f>'Line Item Detail'!D22</f>
        <v>Template</v>
      </c>
      <c r="E40" t="str">
        <f>'Line Item Detail'!E22</f>
        <v>Auto-Included</v>
      </c>
      <c r="F40" t="str">
        <f>IF(AND(Builder!E2="Insurance / Org Tariff",IFERROR(INDEX(Reference!$EZ$2:$EZ$1000, MATCH('Line Item Detail'!F22, Reference!$EX$2:$EX$1000, 0)), "No")="Yes"),"Excluded for Insurance",IF('Line Item Detail'!D22="Grouped Residual",IF((IF(Builder!B4="General",'Line Item Detail'!W22,IF(Builder!B4="Twin",'Line Item Detail'!X22,'Line Item Detail'!Y22)))=0,"Excluded","Included"),"Included"))</f>
        <v>Included</v>
      </c>
      <c r="G40">
        <f>IF('Line Item Detail'!D22="Grouped Residual","",'Line Item Detail'!G22)</f>
        <v>1</v>
      </c>
      <c r="H40" t="str">
        <f>Builder!B4</f>
        <v>Single</v>
      </c>
      <c r="I40">
        <f>IF('Line Item Detail'!D22="Grouped Residual",IF((IF(Builder!B4="General",'Line Item Detail'!W22,IF(Builder!B4="Twin",'Line Item Detail'!X22,'Line Item Detail'!Y22)))=0,"",IF(Builder!B4="General",'Line Item Detail'!K22,IF(Builder!B4="Twin",'Line Item Detail'!L22,'Line Item Detail'!M22))),IF(Builder!B4="General",'Line Item Detail'!K22,IF(Builder!B4="Twin",'Line Item Detail'!L22,'Line Item Detail'!M22)))</f>
        <v>930</v>
      </c>
      <c r="J40">
        <f>IF(Builder!B4="General",'Line Item Detail'!W22,IF(Builder!B4="Twin",'Line Item Detail'!X22,'Line Item Detail'!Y22))</f>
        <v>930</v>
      </c>
    </row>
    <row r="41" ht="15" customHeight="1" spans="1:10" x14ac:dyDescent="0.25">
      <c r="A41" t="str">
        <f>'Line Item Detail'!A24</f>
        <v>Oxygen Per Hour</v>
      </c>
      <c r="B41" t="s">
        <v>90</v>
      </c>
      <c r="C41" t="str">
        <f>'Line Item Detail'!C24</f>
        <v>Bedside</v>
      </c>
      <c r="D41" t="str">
        <f>'Line Item Detail'!D24</f>
        <v>Template</v>
      </c>
      <c r="E41" t="str">
        <f>'Line Item Detail'!E24</f>
        <v>Auto-Included</v>
      </c>
      <c r="F41" t="str">
        <f>IF(AND(Builder!E2="Insurance / Org Tariff",IFERROR(INDEX(Reference!$EZ$2:$EZ$1000, MATCH('Line Item Detail'!F24, Reference!$EX$2:$EX$1000, 0)), "No")="Yes"),"Excluded for Insurance",IF('Line Item Detail'!D24="Grouped Residual",IF((IF(Builder!B4="General",'Line Item Detail'!W24,IF(Builder!B4="Twin",'Line Item Detail'!X24,'Line Item Detail'!Y24)))=0,"Excluded","Included"),"Included"))</f>
        <v>Included</v>
      </c>
      <c r="G41">
        <f>IF('Line Item Detail'!D24="Grouped Residual","",'Line Item Detail'!G24)</f>
        <v>1</v>
      </c>
      <c r="H41" t="str">
        <f>Builder!B4</f>
        <v>Single</v>
      </c>
      <c r="I41">
        <f>IF('Line Item Detail'!D24="Grouped Residual",IF((IF(Builder!B4="General",'Line Item Detail'!W24,IF(Builder!B4="Twin",'Line Item Detail'!X24,'Line Item Detail'!Y24)))=0,"",IF(Builder!B4="General",'Line Item Detail'!K24,IF(Builder!B4="Twin",'Line Item Detail'!L24,'Line Item Detail'!M24))),IF(Builder!B4="General",'Line Item Detail'!K24,IF(Builder!B4="Twin",'Line Item Detail'!L24,'Line Item Detail'!M24)))</f>
        <v>350</v>
      </c>
      <c r="J41">
        <f>IF(Builder!B4="General",'Line Item Detail'!W24,IF(Builder!B4="Twin",'Line Item Detail'!X24,'Line Item Detail'!Y24))</f>
        <v>350</v>
      </c>
    </row>
    <row r="42" ht="15" customHeight="1" spans="1:10" x14ac:dyDescent="0.25">
      <c r="A42" t="str">
        <f>'Line Item Detail'!A25</f>
        <v>Diet Consultation</v>
      </c>
      <c r="B42" t="s">
        <v>90</v>
      </c>
      <c r="C42" t="str">
        <f>'Line Item Detail'!C25</f>
        <v>Consultation</v>
      </c>
      <c r="D42" t="str">
        <f>'Line Item Detail'!D25</f>
        <v>Template</v>
      </c>
      <c r="E42" t="str">
        <f>'Line Item Detail'!E25</f>
        <v>Auto-Included</v>
      </c>
      <c r="F42" t="str">
        <f>IF(AND(Builder!E2="Insurance / Org Tariff",IFERROR(INDEX(Reference!$EZ$2:$EZ$1000, MATCH('Line Item Detail'!F25, Reference!$EX$2:$EX$1000, 0)), "No")="Yes"),"Excluded for Insurance",IF('Line Item Detail'!D25="Grouped Residual",IF((IF(Builder!B4="General",'Line Item Detail'!W25,IF(Builder!B4="Twin",'Line Item Detail'!X25,'Line Item Detail'!Y25)))=0,"Excluded","Included"),"Included"))</f>
        <v>Included</v>
      </c>
      <c r="G42">
        <f>IF('Line Item Detail'!D25="Grouped Residual","",'Line Item Detail'!G25)</f>
        <v>1</v>
      </c>
      <c r="H42" t="str">
        <f>Builder!B4</f>
        <v>Single</v>
      </c>
      <c r="I42">
        <f>IF('Line Item Detail'!D25="Grouped Residual",IF((IF(Builder!B4="General",'Line Item Detail'!W25,IF(Builder!B4="Twin",'Line Item Detail'!X25,'Line Item Detail'!Y25)))=0,"",IF(Builder!B4="General",'Line Item Detail'!K25,IF(Builder!B4="Twin",'Line Item Detail'!L25,'Line Item Detail'!M25))),IF(Builder!B4="General",'Line Item Detail'!K25,IF(Builder!B4="Twin",'Line Item Detail'!L25,'Line Item Detail'!M25)))</f>
        <v>880</v>
      </c>
      <c r="J42">
        <f>IF(Builder!B4="General",'Line Item Detail'!W25,IF(Builder!B4="Twin",'Line Item Detail'!X25,'Line Item Detail'!Y25))</f>
        <v>880</v>
      </c>
    </row>
    <row r="43" ht="15" customHeight="1" spans="1:10" x14ac:dyDescent="0.25">
      <c r="A43" t="str">
        <f>'Line Item Detail'!A26</f>
        <v>Dressing - Minor</v>
      </c>
      <c r="B43" t="s">
        <v>90</v>
      </c>
      <c r="C43" t="str">
        <f>'Line Item Detail'!C26</f>
        <v>Bedside</v>
      </c>
      <c r="D43" t="str">
        <f>'Line Item Detail'!D26</f>
        <v>Template</v>
      </c>
      <c r="E43" t="str">
        <f>'Line Item Detail'!E26</f>
        <v>Auto-Included</v>
      </c>
      <c r="F43" t="str">
        <f>IF(AND(Builder!E2="Insurance / Org Tariff",IFERROR(INDEX(Reference!$EZ$2:$EZ$1000, MATCH('Line Item Detail'!F26, Reference!$EX$2:$EX$1000, 0)), "No")="Yes"),"Excluded for Insurance",IF('Line Item Detail'!D26="Grouped Residual",IF((IF(Builder!B4="General",'Line Item Detail'!W26,IF(Builder!B4="Twin",'Line Item Detail'!X26,'Line Item Detail'!Y26)))=0,"Excluded","Included"),"Included"))</f>
        <v>Included</v>
      </c>
      <c r="G43">
        <f>IF('Line Item Detail'!D26="Grouped Residual","",'Line Item Detail'!G26)</f>
        <v>1</v>
      </c>
      <c r="H43" t="str">
        <f>Builder!B4</f>
        <v>Single</v>
      </c>
      <c r="I43">
        <f>IF('Line Item Detail'!D26="Grouped Residual",IF((IF(Builder!B4="General",'Line Item Detail'!W26,IF(Builder!B4="Twin",'Line Item Detail'!X26,'Line Item Detail'!Y26)))=0,"",IF(Builder!B4="General",'Line Item Detail'!K26,IF(Builder!B4="Twin",'Line Item Detail'!L26,'Line Item Detail'!M26))),IF(Builder!B4="General",'Line Item Detail'!K26,IF(Builder!B4="Twin",'Line Item Detail'!L26,'Line Item Detail'!M26)))</f>
        <v>1170</v>
      </c>
      <c r="J43">
        <f>IF(Builder!B4="General",'Line Item Detail'!W26,IF(Builder!B4="Twin",'Line Item Detail'!X26,'Line Item Detail'!Y26))</f>
        <v>1170</v>
      </c>
    </row>
    <row r="44" ht="15" customHeight="1" spans="1:10" x14ac:dyDescent="0.25">
      <c r="A44" t="str">
        <f>'Line Item Detail'!A27</f>
        <v>Bedside ECG</v>
      </c>
      <c r="B44" t="s">
        <v>90</v>
      </c>
      <c r="C44" t="str">
        <f>'Line Item Detail'!C27</f>
        <v>Bedside</v>
      </c>
      <c r="D44" t="str">
        <f>'Line Item Detail'!D27</f>
        <v>Template</v>
      </c>
      <c r="E44" t="str">
        <f>'Line Item Detail'!E27</f>
        <v>Auto-Included</v>
      </c>
      <c r="F44" t="str">
        <f>IF(AND(Builder!E2="Insurance / Org Tariff",IFERROR(INDEX(Reference!$EZ$2:$EZ$1000, MATCH('Line Item Detail'!F27, Reference!$EX$2:$EX$1000, 0)), "No")="Yes"),"Excluded for Insurance",IF('Line Item Detail'!D27="Grouped Residual",IF((IF(Builder!B4="General",'Line Item Detail'!W27,IF(Builder!B4="Twin",'Line Item Detail'!X27,'Line Item Detail'!Y27)))=0,"Excluded","Included"),"Included"))</f>
        <v>Included</v>
      </c>
      <c r="G44">
        <f>IF('Line Item Detail'!D27="Grouped Residual","",'Line Item Detail'!G27)</f>
        <v>1</v>
      </c>
      <c r="H44" t="str">
        <f>Builder!B4</f>
        <v>Single</v>
      </c>
      <c r="I44">
        <f>IF('Line Item Detail'!D27="Grouped Residual",IF((IF(Builder!B4="General",'Line Item Detail'!W27,IF(Builder!B4="Twin",'Line Item Detail'!X27,'Line Item Detail'!Y27)))=0,"",IF(Builder!B4="General",'Line Item Detail'!K27,IF(Builder!B4="Twin",'Line Item Detail'!L27,'Line Item Detail'!M27))),IF(Builder!B4="General",'Line Item Detail'!K27,IF(Builder!B4="Twin",'Line Item Detail'!L27,'Line Item Detail'!M27)))</f>
        <v>570</v>
      </c>
      <c r="J44">
        <f>IF(Builder!B4="General",'Line Item Detail'!W27,IF(Builder!B4="Twin",'Line Item Detail'!X27,'Line Item Detail'!Y27))</f>
        <v>570</v>
      </c>
    </row>
    <row r="45" ht="15" customHeight="1" spans="1:10" x14ac:dyDescent="0.25">
      <c r="A45" t="str">
        <f>'Line Item Detail'!A33</f>
        <v>MLC Charges</v>
      </c>
      <c r="B45" t="s">
        <v>90</v>
      </c>
      <c r="C45" t="str">
        <f>'Line Item Detail'!C33</f>
        <v>Administrative</v>
      </c>
      <c r="D45" t="str">
        <f>'Line Item Detail'!D33</f>
        <v>Logic</v>
      </c>
      <c r="E45" t="str">
        <f>'Line Item Detail'!E33</f>
        <v>Applied only when MLC input is Yes</v>
      </c>
      <c r="F45" t="str">
        <f>IF(AND(Builder!E2="Insurance / Org Tariff",IFERROR(INDEX(Reference!$EZ$2:$EZ$1000, MATCH('Line Item Detail'!F33, Reference!$EX$2:$EX$1000, 0)), "No")="Yes"),"Excluded for Insurance",IF('Line Item Detail'!D33="Grouped Residual",IF((IF(Builder!B4="General",'Line Item Detail'!W33,IF(Builder!B4="Twin",'Line Item Detail'!X33,'Line Item Detail'!Y33)))=0,"Excluded","Included"),"Included"))</f>
        <v>Included</v>
      </c>
      <c r="G45">
        <f>IF('Line Item Detail'!D33="Grouped Residual","",'Line Item Detail'!G33)</f>
        <v>0</v>
      </c>
      <c r="H45" t="str">
        <f>Builder!B4</f>
        <v>Single</v>
      </c>
      <c r="I45">
        <f>IF('Line Item Detail'!D33="Grouped Residual",IF((IF(Builder!B4="General",'Line Item Detail'!W33,IF(Builder!B4="Twin",'Line Item Detail'!X33,'Line Item Detail'!Y33)))=0,"",IF(Builder!B4="General",'Line Item Detail'!K33,IF(Builder!B4="Twin",'Line Item Detail'!L33,'Line Item Detail'!M33))),IF(Builder!B4="General",'Line Item Detail'!K33,IF(Builder!B4="Twin",'Line Item Detail'!L33,'Line Item Detail'!M33)))</f>
        <v>1200</v>
      </c>
      <c r="J45">
        <f>IF(Builder!B4="General",'Line Item Detail'!W33,IF(Builder!B4="Twin",'Line Item Detail'!X33,'Line Item Detail'!Y33))</f>
        <v>0</v>
      </c>
    </row>
    <row r="46" ht="15" customHeight="1" x14ac:dyDescent="0.25"/>
    <row r="47" ht="15" customHeight="1" spans="1:1" x14ac:dyDescent="0.25">
      <c r="A47" t="s">
        <v>96</v>
      </c>
    </row>
    <row r="48" ht="26.85" customHeight="1" spans="1:10" x14ac:dyDescent="0.25">
      <c r="A48" t="str">
        <f>'Line Item Detail'!A34</f>
        <v>Drug Administration Charges</v>
      </c>
      <c r="B48" t="s">
        <v>96</v>
      </c>
      <c r="C48" t="str">
        <f>'Line Item Detail'!C34</f>
        <v>Pharmacy Related</v>
      </c>
      <c r="D48" t="str">
        <f>'Line Item Detail'!D34</f>
        <v>Logic</v>
      </c>
      <c r="E48" t="str">
        <f>'Line Item Detail'!E34</f>
        <v>12.5% of pharmacy total</v>
      </c>
      <c r="F48" t="str">
        <f>IF(AND(Builder!E2="Insurance / Org Tariff",IFERROR(INDEX(Reference!$EZ$2:$EZ$1000, MATCH('Line Item Detail'!F34, Reference!$EX$2:$EX$1000, 0)), "No")="Yes"),"Excluded for Insurance",IF('Line Item Detail'!D34="Grouped Residual",IF((IF(Builder!B4="General",'Line Item Detail'!W34,IF(Builder!B4="Twin",'Line Item Detail'!X34,'Line Item Detail'!Y34)))=0,"Excluded","Included"),"Included"))</f>
        <v>Included</v>
      </c>
      <c r="G48">
        <f>IF('Line Item Detail'!D34="Grouped Residual","",'Line Item Detail'!G34)</f>
        <v>0</v>
      </c>
      <c r="H48" t="str">
        <f>Builder!B4</f>
        <v>Single</v>
      </c>
      <c r="I48">
        <f>IF('Line Item Detail'!D34="Grouped Residual",IF((IF(Builder!B4="General",'Line Item Detail'!W34,IF(Builder!B4="Twin",'Line Item Detail'!X34,'Line Item Detail'!Y34)))=0,"",IF(Builder!B4="General",'Line Item Detail'!K34,IF(Builder!B4="Twin",'Line Item Detail'!L34,'Line Item Detail'!M34))),IF(Builder!B4="General",'Line Item Detail'!K34,IF(Builder!B4="Twin",'Line Item Detail'!L34,'Line Item Detail'!M34)))</f>
        <v>0</v>
      </c>
      <c r="J48">
        <f>IF(Builder!B4="General",'Line Item Detail'!W34,IF(Builder!B4="Twin",'Line Item Detail'!X34,'Line Item Detail'!Y34))</f>
        <v>23725.62953125</v>
      </c>
    </row>
    <row r="49" ht="15" customHeight="1" x14ac:dyDescent="0.25"/>
    <row r="50" ht="15" customHeight="1" spans="1:1" x14ac:dyDescent="0.25">
      <c r="A50" t="s">
        <v>93</v>
      </c>
    </row>
    <row r="51" ht="26.85" customHeight="1" spans="1:10" x14ac:dyDescent="0.25">
      <c r="A51" t="str">
        <f>'Line Item Detail'!A39</f>
        <v>IP Drugs &amp; Medications</v>
      </c>
      <c r="B51" t="s">
        <v>93</v>
      </c>
      <c r="C51" t="str">
        <f>'Line Item Detail'!C39</f>
        <v>IP Pharmacy</v>
      </c>
      <c r="D51" t="str">
        <f>'Line Item Detail'!D39</f>
        <v>History</v>
      </c>
      <c r="E51" t="str">
        <f>'Line Item Detail'!E39</f>
        <v>Historic per-LOS-day percentile x selected LOS</v>
      </c>
      <c r="F51" t="str">
        <f>IF(AND(Builder!E2="Insurance / Org Tariff",IFERROR(INDEX(Reference!$EZ$2:$EZ$1000, MATCH('Line Item Detail'!F39, Reference!$EX$2:$EX$1000, 0)), "No")="Yes"),"Excluded for Insurance",IF('Line Item Detail'!D39="Grouped Residual",IF((IF(Builder!B4="General",'Line Item Detail'!W39,IF(Builder!B4="Twin",'Line Item Detail'!X39,'Line Item Detail'!Y39)))=0,"Excluded","Included"),"Included"))</f>
        <v>Included</v>
      </c>
      <c r="G51">
        <f>IF('Line Item Detail'!D39="Grouped Residual","",'Line Item Detail'!G39)</f>
        <v>3</v>
      </c>
      <c r="H51" t="str">
        <f>Builder!B4</f>
        <v>Single</v>
      </c>
      <c r="I51">
        <f>IF('Line Item Detail'!D39="Grouped Residual",IF((IF(Builder!B4="General",'Line Item Detail'!W39,IF(Builder!B4="Twin",'Line Item Detail'!X39,'Line Item Detail'!Y39)))=0,"",IF(Builder!B4="General",'Line Item Detail'!K39,IF(Builder!B4="Twin",'Line Item Detail'!L39,'Line Item Detail'!M39))),IF(Builder!B4="General",'Line Item Detail'!K39,IF(Builder!B4="Twin",'Line Item Detail'!L39,'Line Item Detail'!M39)))</f>
        <v>2855.3187500000004</v>
      </c>
      <c r="J51">
        <f>IF(Builder!B4="General",'Line Item Detail'!W39,IF(Builder!B4="Twin",'Line Item Detail'!X39,'Line Item Detail'!Y39))</f>
        <v>8565.956250000001</v>
      </c>
    </row>
    <row r="52" ht="26.85" customHeight="1" spans="1:10" x14ac:dyDescent="0.25">
      <c r="A52" t="str">
        <f>'Line Item Detail'!A40</f>
        <v>IP Consumables</v>
      </c>
      <c r="B52" t="s">
        <v>93</v>
      </c>
      <c r="C52" t="str">
        <f>'Line Item Detail'!C40</f>
        <v>IP Pharmacy</v>
      </c>
      <c r="D52" t="str">
        <f>'Line Item Detail'!D40</f>
        <v>History</v>
      </c>
      <c r="E52" t="str">
        <f>'Line Item Detail'!E40</f>
        <v>Historic per-LOS-day percentile x selected LOS</v>
      </c>
      <c r="F52" t="str">
        <f>IF(AND(Builder!E2="Insurance / Org Tariff",IFERROR(INDEX(Reference!$EZ$2:$EZ$1000, MATCH('Line Item Detail'!F40, Reference!$EX$2:$EX$1000, 0)), "No")="Yes"),"Excluded for Insurance",IF('Line Item Detail'!D40="Grouped Residual",IF((IF(Builder!B4="General",'Line Item Detail'!W40,IF(Builder!B4="Twin",'Line Item Detail'!X40,'Line Item Detail'!Y40)))=0,"Excluded","Included"),"Included"))</f>
        <v>Included</v>
      </c>
      <c r="G52">
        <f>IF('Line Item Detail'!D40="Grouped Residual","",'Line Item Detail'!G40)</f>
        <v>3</v>
      </c>
      <c r="H52" t="str">
        <f>Builder!B4</f>
        <v>Single</v>
      </c>
      <c r="I52">
        <f>IF('Line Item Detail'!D40="Grouped Residual",IF((IF(Builder!B4="General",'Line Item Detail'!W40,IF(Builder!B4="Twin",'Line Item Detail'!X40,'Line Item Detail'!Y40)))=0,"",IF(Builder!B4="General",'Line Item Detail'!K40,IF(Builder!B4="Twin",'Line Item Detail'!L40,'Line Item Detail'!M40))),IF(Builder!B4="General",'Line Item Detail'!K40,IF(Builder!B4="Twin",'Line Item Detail'!L40,'Line Item Detail'!M40)))</f>
        <v>3428.828333333333</v>
      </c>
      <c r="J52">
        <f>IF(Builder!B4="General",'Line Item Detail'!W40,IF(Builder!B4="Twin",'Line Item Detail'!X40,'Line Item Detail'!Y40))</f>
        <v>10286.484999999999</v>
      </c>
    </row>
    <row r="53" ht="15" customHeight="1" spans="1:10" x14ac:dyDescent="0.25">
      <c r="A53" t="str">
        <f>'Line Item Detail'!A41</f>
        <v>OT Drugs &amp; Medications</v>
      </c>
      <c r="B53" t="s">
        <v>93</v>
      </c>
      <c r="C53" t="str">
        <f>'Line Item Detail'!C41</f>
        <v>OT Pharmacy</v>
      </c>
      <c r="D53" t="str">
        <f>'Line Item Detail'!D41</f>
        <v>History</v>
      </c>
      <c r="E53" t="str">
        <f>'Line Item Detail'!E41</f>
        <v>Bucket quartiles</v>
      </c>
      <c r="F53" t="str">
        <f>IF(AND(Builder!E2="Insurance / Org Tariff",IFERROR(INDEX(Reference!$EZ$2:$EZ$1000, MATCH('Line Item Detail'!F41, Reference!$EX$2:$EX$1000, 0)), "No")="Yes"),"Excluded for Insurance",IF('Line Item Detail'!D41="Grouped Residual",IF((IF(Builder!B4="General",'Line Item Detail'!W41,IF(Builder!B4="Twin",'Line Item Detail'!X41,'Line Item Detail'!Y41)))=0,"Excluded","Included"),"Included"))</f>
        <v>Included</v>
      </c>
      <c r="G53">
        <f>IF('Line Item Detail'!D41="Grouped Residual","",'Line Item Detail'!G41)</f>
        <v>0</v>
      </c>
      <c r="H53" t="str">
        <f>Builder!B4</f>
        <v>Single</v>
      </c>
      <c r="I53">
        <f>IF('Line Item Detail'!D41="Grouped Residual",IF((IF(Builder!B4="General",'Line Item Detail'!W41,IF(Builder!B4="Twin",'Line Item Detail'!X41,'Line Item Detail'!Y41)))=0,"",IF(Builder!B4="General",'Line Item Detail'!K41,IF(Builder!B4="Twin",'Line Item Detail'!L41,'Line Item Detail'!M41))),IF(Builder!B4="General",'Line Item Detail'!K41,IF(Builder!B4="Twin",'Line Item Detail'!L41,'Line Item Detail'!M41)))</f>
        <v>0</v>
      </c>
      <c r="J53">
        <f>IF(Builder!B4="General",'Line Item Detail'!W41,IF(Builder!B4="Twin",'Line Item Detail'!X41,'Line Item Detail'!Y41))</f>
        <v>9439.535</v>
      </c>
    </row>
    <row r="54" ht="15" customHeight="1" spans="1:10" x14ac:dyDescent="0.25">
      <c r="A54" t="str">
        <f>'Line Item Detail'!A42</f>
        <v>OT Consumables</v>
      </c>
      <c r="B54" t="s">
        <v>93</v>
      </c>
      <c r="C54" t="str">
        <f>'Line Item Detail'!C42</f>
        <v>OT Pharmacy</v>
      </c>
      <c r="D54" t="str">
        <f>'Line Item Detail'!D42</f>
        <v>Advanced</v>
      </c>
      <c r="E54" t="str">
        <f>'Line Item Detail'!E42</f>
        <v>OT consumables variance controls</v>
      </c>
      <c r="F54" t="str">
        <f>IF(AND(Builder!E2="Insurance / Org Tariff",IFERROR(INDEX(Reference!$EZ$2:$EZ$1000, MATCH('Line Item Detail'!F42, Reference!$EX$2:$EX$1000, 0)), "No")="Yes"),"Excluded for Insurance",IF('Line Item Detail'!D42="Grouped Residual",IF((IF(Builder!B4="General",'Line Item Detail'!W42,IF(Builder!B4="Twin",'Line Item Detail'!X42,'Line Item Detail'!Y42)))=0,"Excluded","Included"),"Included"))</f>
        <v>Included</v>
      </c>
      <c r="G54">
        <f>IF('Line Item Detail'!D42="Grouped Residual","",'Line Item Detail'!G42)</f>
        <v>0</v>
      </c>
      <c r="H54" t="str">
        <f>Builder!B4</f>
        <v>Single</v>
      </c>
      <c r="I54">
        <f>IF('Line Item Detail'!D42="Grouped Residual",IF((IF(Builder!B4="General",'Line Item Detail'!W42,IF(Builder!B4="Twin",'Line Item Detail'!X42,'Line Item Detail'!Y42)))=0,"",IF(Builder!B4="General",'Line Item Detail'!K42,IF(Builder!B4="Twin",'Line Item Detail'!L42,'Line Item Detail'!M42))),IF(Builder!B4="General",'Line Item Detail'!K42,IF(Builder!B4="Twin",'Line Item Detail'!L42,'Line Item Detail'!M42)))</f>
        <v>0</v>
      </c>
      <c r="J54">
        <f>IF(Builder!B4="General",'Line Item Detail'!W42,IF(Builder!B4="Twin",'Line Item Detail'!X42,'Line Item Detail'!Y42))</f>
        <v>72382.9</v>
      </c>
    </row>
    <row r="55" ht="15" customHeight="1" spans="1:10" x14ac:dyDescent="0.25">
      <c r="A55" t="str">
        <f>'Line Item Detail'!A43</f>
        <v>Implants</v>
      </c>
      <c r="B55" t="s">
        <v>93</v>
      </c>
      <c r="C55" t="str">
        <f>'Line Item Detail'!C43</f>
        <v>Implants</v>
      </c>
      <c r="D55" t="str">
        <f>'Line Item Detail'!D43</f>
        <v>Advanced</v>
      </c>
      <c r="E55" t="str">
        <f>'Line Item Detail'!E43</f>
        <v>Implant variance controls</v>
      </c>
      <c r="F55" t="str">
        <f>IF(AND(Builder!E2="Insurance / Org Tariff",IFERROR(INDEX(Reference!$EZ$2:$EZ$1000, MATCH('Line Item Detail'!F43, Reference!$EX$2:$EX$1000, 0)), "No")="Yes"),"Excluded for Insurance",IF('Line Item Detail'!D43="Grouped Residual",IF((IF(Builder!B4="General",'Line Item Detail'!W43,IF(Builder!B4="Twin",'Line Item Detail'!X43,'Line Item Detail'!Y43)))=0,"Excluded","Included"),"Included"))</f>
        <v>Included</v>
      </c>
      <c r="G55">
        <f>IF('Line Item Detail'!D43="Grouped Residual","",'Line Item Detail'!G43)</f>
        <v>0</v>
      </c>
      <c r="H55" t="str">
        <f>Builder!B4</f>
        <v>Single</v>
      </c>
      <c r="I55">
        <f>IF('Line Item Detail'!D43="Grouped Residual",IF((IF(Builder!B4="General",'Line Item Detail'!W43,IF(Builder!B4="Twin",'Line Item Detail'!X43,'Line Item Detail'!Y43)))=0,"",IF(Builder!B4="General",'Line Item Detail'!K43,IF(Builder!B4="Twin",'Line Item Detail'!L43,'Line Item Detail'!M43))),IF(Builder!B4="General",'Line Item Detail'!K43,IF(Builder!B4="Twin",'Line Item Detail'!L43,'Line Item Detail'!M43)))</f>
        <v>0</v>
      </c>
      <c r="J55">
        <f>IF(Builder!B4="General",'Line Item Detail'!W43,IF(Builder!B4="Twin",'Line Item Detail'!X43,'Line Item Detail'!Y43))</f>
        <v>89130.16</v>
      </c>
    </row>
    <row r="56" ht="15" customHeight="1" x14ac:dyDescent="0.25"/>
    <row r="57" ht="15" customHeight="1" spans="1:1" x14ac:dyDescent="0.25">
      <c r="A57" t="s">
        <v>99</v>
      </c>
    </row>
    <row r="58" ht="15" customHeight="1" spans="1:10" x14ac:dyDescent="0.25">
      <c r="A58" t="str">
        <f>'Line Item Detail'!A35</f>
        <v>Surgeon</v>
      </c>
      <c r="B58" t="s">
        <v>99</v>
      </c>
      <c r="C58" t="str">
        <f>'Line Item Detail'!C35</f>
        <v>Professional Fees</v>
      </c>
      <c r="D58" t="str">
        <f>'Line Item Detail'!D35</f>
        <v>Logic</v>
      </c>
      <c r="E58" t="str">
        <f>'Line Item Detail'!E35</f>
        <v>Cash PF % of pre-PF subtotal</v>
      </c>
      <c r="F58" t="str">
        <f>IF(AND(Builder!E2="Insurance / Org Tariff",IFERROR(INDEX(Reference!$EZ$2:$EZ$1000, MATCH('Line Item Detail'!F35, Reference!$EX$2:$EX$1000, 0)), "No")="Yes"),"Excluded for Insurance",IF('Line Item Detail'!D35="Grouped Residual",IF((IF(Builder!B4="General",'Line Item Detail'!W35,IF(Builder!B4="Twin",'Line Item Detail'!X35,'Line Item Detail'!Y35)))=0,"Excluded","Included"),"Included"))</f>
        <v>Included</v>
      </c>
      <c r="G58">
        <f>IF('Line Item Detail'!D35="Grouped Residual","",'Line Item Detail'!G35)</f>
        <v>0</v>
      </c>
      <c r="H58" t="str">
        <f>Builder!B4</f>
        <v>Single</v>
      </c>
      <c r="I58">
        <f>IF('Line Item Detail'!D35="Grouped Residual",IF((IF(Builder!B4="General",'Line Item Detail'!W35,IF(Builder!B4="Twin",'Line Item Detail'!X35,'Line Item Detail'!Y35)))=0,"",IF(Builder!B4="General",'Line Item Detail'!K35,IF(Builder!B4="Twin",'Line Item Detail'!L35,'Line Item Detail'!M35))),IF(Builder!B4="General",'Line Item Detail'!K35,IF(Builder!B4="Twin",'Line Item Detail'!L35,'Line Item Detail'!M35)))</f>
        <v>0</v>
      </c>
      <c r="J58">
        <f>IF(Builder!B4="General",'Line Item Detail'!W35,IF(Builder!B4="Twin",'Line Item Detail'!X35,'Line Item Detail'!Y35))</f>
        <v>109402.6664453125</v>
      </c>
    </row>
    <row r="59" ht="15" customHeight="1" spans="1:10" x14ac:dyDescent="0.25">
      <c r="A59" t="str">
        <f>'Line Item Detail'!A36</f>
        <v>Assistant Surgeon</v>
      </c>
      <c r="B59" t="s">
        <v>99</v>
      </c>
      <c r="C59" t="str">
        <f>'Line Item Detail'!C36</f>
        <v>Professional Fees</v>
      </c>
      <c r="D59" t="str">
        <f>'Line Item Detail'!D36</f>
        <v>Logic</v>
      </c>
      <c r="E59" t="str">
        <f>'Line Item Detail'!E36</f>
        <v>Cash PF % of surgeon fee</v>
      </c>
      <c r="F59" t="str">
        <f>IF(AND(Builder!E2="Insurance / Org Tariff",IFERROR(INDEX(Reference!$EZ$2:$EZ$1000, MATCH('Line Item Detail'!F36, Reference!$EX$2:$EX$1000, 0)), "No")="Yes"),"Excluded for Insurance",IF('Line Item Detail'!D36="Grouped Residual",IF((IF(Builder!B4="General",'Line Item Detail'!W36,IF(Builder!B4="Twin",'Line Item Detail'!X36,'Line Item Detail'!Y36)))=0,"Excluded","Included"),"Included"))</f>
        <v>Included</v>
      </c>
      <c r="G59">
        <f>IF('Line Item Detail'!D36="Grouped Residual","",'Line Item Detail'!G36)</f>
        <v>0</v>
      </c>
      <c r="H59" t="str">
        <f>Builder!B4</f>
        <v>Single</v>
      </c>
      <c r="I59">
        <f>IF('Line Item Detail'!D36="Grouped Residual",IF((IF(Builder!B4="General",'Line Item Detail'!W36,IF(Builder!B4="Twin",'Line Item Detail'!X36,'Line Item Detail'!Y36)))=0,"",IF(Builder!B4="General",'Line Item Detail'!K36,IF(Builder!B4="Twin",'Line Item Detail'!L36,'Line Item Detail'!M36))),IF(Builder!B4="General",'Line Item Detail'!K36,IF(Builder!B4="Twin",'Line Item Detail'!L36,'Line Item Detail'!M36)))</f>
        <v>0</v>
      </c>
      <c r="J59">
        <f>IF(Builder!B4="General",'Line Item Detail'!W36,IF(Builder!B4="Twin",'Line Item Detail'!X36,'Line Item Detail'!Y36))</f>
        <v>16410.399966796875</v>
      </c>
    </row>
    <row r="60" ht="15" customHeight="1" spans="1:10" x14ac:dyDescent="0.25">
      <c r="A60" t="str">
        <f>'Line Item Detail'!A37</f>
        <v>Anesthetist</v>
      </c>
      <c r="B60" t="s">
        <v>99</v>
      </c>
      <c r="C60" t="str">
        <f>'Line Item Detail'!C37</f>
        <v>Professional Fees</v>
      </c>
      <c r="D60" t="str">
        <f>'Line Item Detail'!D37</f>
        <v>Logic</v>
      </c>
      <c r="E60" t="str">
        <f>'Line Item Detail'!E37</f>
        <v>Cash PF % of surgeon fee</v>
      </c>
      <c r="F60" t="str">
        <f>IF(AND(Builder!E2="Insurance / Org Tariff",IFERROR(INDEX(Reference!$EZ$2:$EZ$1000, MATCH('Line Item Detail'!F37, Reference!$EX$2:$EX$1000, 0)), "No")="Yes"),"Excluded for Insurance",IF('Line Item Detail'!D37="Grouped Residual",IF((IF(Builder!B4="General",'Line Item Detail'!W37,IF(Builder!B4="Twin",'Line Item Detail'!X37,'Line Item Detail'!Y37)))=0,"Excluded","Included"),"Included"))</f>
        <v>Included</v>
      </c>
      <c r="G60">
        <f>IF('Line Item Detail'!D37="Grouped Residual","",'Line Item Detail'!G37)</f>
        <v>0</v>
      </c>
      <c r="H60" t="str">
        <f>Builder!B4</f>
        <v>Single</v>
      </c>
      <c r="I60">
        <f>IF('Line Item Detail'!D37="Grouped Residual",IF((IF(Builder!B4="General",'Line Item Detail'!W37,IF(Builder!B4="Twin",'Line Item Detail'!X37,'Line Item Detail'!Y37)))=0,"",IF(Builder!B4="General",'Line Item Detail'!K37,IF(Builder!B4="Twin",'Line Item Detail'!L37,'Line Item Detail'!M37))),IF(Builder!B4="General",'Line Item Detail'!K37,IF(Builder!B4="Twin",'Line Item Detail'!L37,'Line Item Detail'!M37)))</f>
        <v>0</v>
      </c>
      <c r="J60">
        <f>IF(Builder!B4="General",'Line Item Detail'!W37,IF(Builder!B4="Twin",'Line Item Detail'!X37,'Line Item Detail'!Y37))</f>
        <v>27350.666611328124</v>
      </c>
    </row>
    <row r="61" ht="15" customHeight="1" spans="1:10" x14ac:dyDescent="0.25">
      <c r="A61" t="str">
        <f>'Line Item Detail'!A38</f>
        <v>Assistant Anesthetist</v>
      </c>
      <c r="B61" t="s">
        <v>99</v>
      </c>
      <c r="C61" t="str">
        <f>'Line Item Detail'!C38</f>
        <v>Professional Fees</v>
      </c>
      <c r="D61" t="str">
        <f>'Line Item Detail'!D38</f>
        <v>Logic</v>
      </c>
      <c r="E61" t="str">
        <f>'Line Item Detail'!E38</f>
        <v>Cash PF % of anesthetist fee</v>
      </c>
      <c r="F61" t="str">
        <f>IF(AND(Builder!E2="Insurance / Org Tariff",IFERROR(INDEX(Reference!$EZ$2:$EZ$1000, MATCH('Line Item Detail'!F38, Reference!$EX$2:$EX$1000, 0)), "No")="Yes"),"Excluded for Insurance",IF('Line Item Detail'!D38="Grouped Residual",IF((IF(Builder!B4="General",'Line Item Detail'!W38,IF(Builder!B4="Twin",'Line Item Detail'!X38,'Line Item Detail'!Y38)))=0,"Excluded","Included"),"Included"))</f>
        <v>Included</v>
      </c>
      <c r="G61">
        <f>IF('Line Item Detail'!D38="Grouped Residual","",'Line Item Detail'!G38)</f>
        <v>0</v>
      </c>
      <c r="H61" t="str">
        <f>Builder!B4</f>
        <v>Single</v>
      </c>
      <c r="I61">
        <f>IF('Line Item Detail'!D38="Grouped Residual",IF((IF(Builder!B4="General",'Line Item Detail'!W38,IF(Builder!B4="Twin",'Line Item Detail'!X38,'Line Item Detail'!Y38)))=0,"",IF(Builder!B4="General",'Line Item Detail'!K38,IF(Builder!B4="Twin",'Line Item Detail'!L38,'Line Item Detail'!M38))),IF(Builder!B4="General",'Line Item Detail'!K38,IF(Builder!B4="Twin",'Line Item Detail'!L38,'Line Item Detail'!M38)))</f>
        <v>0</v>
      </c>
      <c r="J61">
        <f>IF(Builder!B4="General",'Line Item Detail'!W38,IF(Builder!B4="Twin",'Line Item Detail'!X38,'Line Item Detail'!Y38))</f>
        <v>6837.666652832031</v>
      </c>
    </row>
    <row r="62" ht="15" customHeight="1" x14ac:dyDescent="0.25"/>
    <row r="63" ht="15" customHeight="1" spans="1:1" x14ac:dyDescent="0.25">
      <c r="A63" t="s">
        <v>102</v>
      </c>
    </row>
    <row r="64" ht="15" customHeight="1" spans="1:10" x14ac:dyDescent="0.25">
      <c r="A64" t="str">
        <f>'Line Item Detail'!A44</f>
        <v>FIBRINOGEN</v>
      </c>
      <c r="B64" t="s">
        <v>102</v>
      </c>
      <c r="C64" t="str">
        <f>'Line Item Detail'!C44</f>
        <v>Coagulation Tests</v>
      </c>
      <c r="D64" t="str">
        <f>'Line Item Detail'!D44</f>
        <v>Advanced</v>
      </c>
      <c r="E64" t="str">
        <f>'Line Item Detail'!E44</f>
        <v>Include / Exclude selection</v>
      </c>
      <c r="F64" t="str">
        <f>IF(AND(Builder!E2="Insurance / Org Tariff",IFERROR(INDEX(Reference!$EZ$2:$EZ$1000, MATCH('Line Item Detail'!F44, Reference!$EX$2:$EX$1000, 0)), "No")="Yes"),"Excluded for Insurance",IF((IF(Builder!B4="General",'Line Item Detail'!W44,IF(Builder!B4="Twin",'Line Item Detail'!X44,'Line Item Detail'!Y44)))=0,"Excluded","Included"))</f>
        <v>Excluded</v>
      </c>
      <c r="G64">
        <f>IF((IF(Builder!B4="General",'Line Item Detail'!W44,IF(Builder!B4="Twin",'Line Item Detail'!X44,'Line Item Detail'!Y44)))=0,"",'Line Item Detail'!G44)</f>
        <v>2</v>
      </c>
      <c r="H64" t="str">
        <f>Builder!B4</f>
        <v>Single</v>
      </c>
      <c r="I64">
        <f>IF((IF(Builder!B4="General",'Line Item Detail'!W44,IF(Builder!B4="Twin",'Line Item Detail'!X44,'Line Item Detail'!Y44)))=0,"",IF(Builder!B4="General",'Line Item Detail'!K44,IF(Builder!B4="Twin",'Line Item Detail'!L44,'Line Item Detail'!M44)))</f>
        <v>2900</v>
      </c>
      <c r="J64">
        <f>IF(Builder!B4="General",'Line Item Detail'!W44,IF(Builder!B4="Twin",'Line Item Detail'!X44,'Line Item Detail'!Y44))</f>
        <v>0</v>
      </c>
    </row>
    <row r="65" ht="15" customHeight="1" spans="1:10" x14ac:dyDescent="0.25">
      <c r="A65" t="str">
        <f>'Line Item Detail'!A45</f>
        <v>CORTISOL</v>
      </c>
      <c r="B65" t="s">
        <v>102</v>
      </c>
      <c r="C65" t="str">
        <f>'Line Item Detail'!C45</f>
        <v>Hormone Tests</v>
      </c>
      <c r="D65" t="str">
        <f>'Line Item Detail'!D45</f>
        <v>Advanced</v>
      </c>
      <c r="E65" t="str">
        <f>'Line Item Detail'!E45</f>
        <v>Include / Exclude selection</v>
      </c>
      <c r="F65" t="str">
        <f>IF(AND(Builder!E2="Insurance / Org Tariff",IFERROR(INDEX(Reference!$EZ$2:$EZ$1000, MATCH('Line Item Detail'!F45, Reference!$EX$2:$EX$1000, 0)), "No")="Yes"),"Excluded for Insurance",IF((IF(Builder!B4="General",'Line Item Detail'!W45,IF(Builder!B4="Twin",'Line Item Detail'!X45,'Line Item Detail'!Y45)))=0,"Excluded","Included"))</f>
        <v>Excluded</v>
      </c>
      <c r="G65">
        <f>IF((IF(Builder!B4="General",'Line Item Detail'!W45,IF(Builder!B4="Twin",'Line Item Detail'!X45,'Line Item Detail'!Y45)))=0,"",'Line Item Detail'!G45)</f>
        <v>1</v>
      </c>
      <c r="H65" t="str">
        <f>Builder!B4</f>
        <v>Single</v>
      </c>
      <c r="I65">
        <f>IF((IF(Builder!B4="General",'Line Item Detail'!W45,IF(Builder!B4="Twin",'Line Item Detail'!X45,'Line Item Detail'!Y45)))=0,"",IF(Builder!B4="General",'Line Item Detail'!K45,IF(Builder!B4="Twin",'Line Item Detail'!L45,'Line Item Detail'!M45)))</f>
        <v>3260</v>
      </c>
      <c r="J65">
        <f>IF(Builder!B4="General",'Line Item Detail'!W45,IF(Builder!B4="Twin",'Line Item Detail'!X45,'Line Item Detail'!Y45))</f>
        <v>0</v>
      </c>
    </row>
    <row r="66" ht="15" customHeight="1" spans="1:10" x14ac:dyDescent="0.25">
      <c r="A66" t="str">
        <f>'Line Item Detail'!A46</f>
        <v>GRBS</v>
      </c>
      <c r="B66" t="s">
        <v>102</v>
      </c>
      <c r="C66" t="str">
        <f>'Line Item Detail'!C46</f>
        <v>GRBS Monitoring</v>
      </c>
      <c r="D66" t="str">
        <f>'Line Item Detail'!D46</f>
        <v>Advanced</v>
      </c>
      <c r="E66" t="str">
        <f>'Line Item Detail'!E46</f>
        <v>Include / Exclude selection</v>
      </c>
      <c r="F66" t="str">
        <f>IF(AND(Builder!E2="Insurance / Org Tariff",IFERROR(INDEX(Reference!$EZ$2:$EZ$1000, MATCH('Line Item Detail'!F46, Reference!$EX$2:$EX$1000, 0)), "No")="Yes"),"Excluded for Insurance",IF((IF(Builder!B4="General",'Line Item Detail'!W46,IF(Builder!B4="Twin",'Line Item Detail'!X46,'Line Item Detail'!Y46)))=0,"Excluded","Included"))</f>
        <v>Excluded</v>
      </c>
      <c r="G66">
        <f>IF((IF(Builder!B4="General",'Line Item Detail'!W46,IF(Builder!B4="Twin",'Line Item Detail'!X46,'Line Item Detail'!Y46)))=0,"",'Line Item Detail'!G46)</f>
        <v>5</v>
      </c>
      <c r="H66" t="str">
        <f>Builder!B4</f>
        <v>Single</v>
      </c>
      <c r="I66">
        <f>IF((IF(Builder!B4="General",'Line Item Detail'!W46,IF(Builder!B4="Twin",'Line Item Detail'!X46,'Line Item Detail'!Y46)))=0,"",IF(Builder!B4="General",'Line Item Detail'!K46,IF(Builder!B4="Twin",'Line Item Detail'!L46,'Line Item Detail'!M46)))</f>
        <v>330</v>
      </c>
      <c r="J66">
        <f>IF(Builder!B4="General",'Line Item Detail'!W46,IF(Builder!B4="Twin",'Line Item Detail'!X46,'Line Item Detail'!Y46))</f>
        <v>0</v>
      </c>
    </row>
    <row r="67" ht="26.85" customHeight="1" spans="1:10" x14ac:dyDescent="0.25">
      <c r="A67" t="str">
        <f>'Line Item Detail'!A47</f>
        <v>CRP</v>
      </c>
      <c r="B67" t="s">
        <v>102</v>
      </c>
      <c r="C67" t="str">
        <f>'Line Item Detail'!C47</f>
        <v>Inflammatory Marker Tests</v>
      </c>
      <c r="D67" t="str">
        <f>'Line Item Detail'!D47</f>
        <v>Advanced</v>
      </c>
      <c r="E67" t="str">
        <f>'Line Item Detail'!E47</f>
        <v>Include / Exclude selection</v>
      </c>
      <c r="F67" t="str">
        <f>IF(AND(Builder!E2="Insurance / Org Tariff",IFERROR(INDEX(Reference!$EZ$2:$EZ$1000, MATCH('Line Item Detail'!F47, Reference!$EX$2:$EX$1000, 0)), "No")="Yes"),"Excluded for Insurance",IF((IF(Builder!B4="General",'Line Item Detail'!W47,IF(Builder!B4="Twin",'Line Item Detail'!X47,'Line Item Detail'!Y47)))=0,"Excluded","Included"))</f>
        <v>Excluded</v>
      </c>
      <c r="G67">
        <f>IF((IF(Builder!B4="General",'Line Item Detail'!W47,IF(Builder!B4="Twin",'Line Item Detail'!X47,'Line Item Detail'!Y47)))=0,"",'Line Item Detail'!G47)</f>
        <v>1</v>
      </c>
      <c r="H67" t="str">
        <f>Builder!B4</f>
        <v>Single</v>
      </c>
      <c r="I67">
        <f>IF((IF(Builder!B4="General",'Line Item Detail'!W47,IF(Builder!B4="Twin",'Line Item Detail'!X47,'Line Item Detail'!Y47)))=0,"",IF(Builder!B4="General",'Line Item Detail'!K47,IF(Builder!B4="Twin",'Line Item Detail'!L47,'Line Item Detail'!M47)))</f>
        <v>1320</v>
      </c>
      <c r="J67">
        <f>IF(Builder!B4="General",'Line Item Detail'!W47,IF(Builder!B4="Twin",'Line Item Detail'!X47,'Line Item Detail'!Y47))</f>
        <v>0</v>
      </c>
    </row>
    <row r="68" ht="26.85" customHeight="1" spans="1:10" x14ac:dyDescent="0.25">
      <c r="A68" t="str">
        <f>'Line Item Detail'!A48</f>
        <v>PACKED RED BLOOD CELLS</v>
      </c>
      <c r="B68" t="s">
        <v>102</v>
      </c>
      <c r="C68" t="str">
        <f>'Line Item Detail'!C48</f>
        <v>Blood Bank Services</v>
      </c>
      <c r="D68" t="str">
        <f>'Line Item Detail'!D48</f>
        <v>Advanced</v>
      </c>
      <c r="E68" t="str">
        <f>'Line Item Detail'!E48</f>
        <v>Include / Exclude selection</v>
      </c>
      <c r="F68" t="str">
        <f>IF(AND(Builder!E2="Insurance / Org Tariff",IFERROR(INDEX(Reference!$EZ$2:$EZ$1000, MATCH('Line Item Detail'!F48, Reference!$EX$2:$EX$1000, 0)), "No")="Yes"),"Excluded for Insurance",IF((IF(Builder!B4="General",'Line Item Detail'!W48,IF(Builder!B4="Twin",'Line Item Detail'!X48,'Line Item Detail'!Y48)))=0,"Excluded","Included"))</f>
        <v>Excluded</v>
      </c>
      <c r="G68">
        <f>IF((IF(Builder!B4="General",'Line Item Detail'!W48,IF(Builder!B4="Twin",'Line Item Detail'!X48,'Line Item Detail'!Y48)))=0,"",'Line Item Detail'!G48)</f>
        <v>1</v>
      </c>
      <c r="H68" t="str">
        <f>Builder!B4</f>
        <v>Single</v>
      </c>
      <c r="I68">
        <f>IF((IF(Builder!B4="General",'Line Item Detail'!W48,IF(Builder!B4="Twin",'Line Item Detail'!X48,'Line Item Detail'!Y48)))=0,"",IF(Builder!B4="General",'Line Item Detail'!K48,IF(Builder!B4="Twin",'Line Item Detail'!L48,'Line Item Detail'!M48)))</f>
        <v>2650</v>
      </c>
      <c r="J68">
        <f>IF(Builder!B4="General",'Line Item Detail'!W48,IF(Builder!B4="Twin",'Line Item Detail'!X48,'Line Item Detail'!Y48))</f>
        <v>0</v>
      </c>
    </row>
    <row r="69" ht="26.85" customHeight="1" spans="1:10" x14ac:dyDescent="0.25">
      <c r="A69" t="str">
        <f>'Line Item Detail'!A49</f>
        <v>OXYGEN PER DAY</v>
      </c>
      <c r="B69" t="s">
        <v>102</v>
      </c>
      <c r="C69" t="str">
        <f>'Line Item Detail'!C49</f>
        <v>Oxygen / HFNT Charges</v>
      </c>
      <c r="D69" t="str">
        <f>'Line Item Detail'!D49</f>
        <v>Advanced</v>
      </c>
      <c r="E69" t="str">
        <f>'Line Item Detail'!E49</f>
        <v>Include / Exclude selection</v>
      </c>
      <c r="F69" t="str">
        <f>IF(AND(Builder!E2="Insurance / Org Tariff",IFERROR(INDEX(Reference!$EZ$2:$EZ$1000, MATCH('Line Item Detail'!F49, Reference!$EX$2:$EX$1000, 0)), "No")="Yes"),"Excluded for Insurance",IF((IF(Builder!B4="General",'Line Item Detail'!W49,IF(Builder!B4="Twin",'Line Item Detail'!X49,'Line Item Detail'!Y49)))=0,"Excluded","Included"))</f>
        <v>Excluded</v>
      </c>
      <c r="G69">
        <f>IF((IF(Builder!B4="General",'Line Item Detail'!W49,IF(Builder!B4="Twin",'Line Item Detail'!X49,'Line Item Detail'!Y49)))=0,"",'Line Item Detail'!G49)</f>
        <v>2</v>
      </c>
      <c r="H69" t="str">
        <f>Builder!B4</f>
        <v>Single</v>
      </c>
      <c r="I69">
        <f>IF((IF(Builder!B4="General",'Line Item Detail'!W49,IF(Builder!B4="Twin",'Line Item Detail'!X49,'Line Item Detail'!Y49)))=0,"",IF(Builder!B4="General",'Line Item Detail'!K49,IF(Builder!B4="Twin",'Line Item Detail'!L49,'Line Item Detail'!M49)))</f>
        <v>3620</v>
      </c>
      <c r="J69">
        <f>IF(Builder!B4="General",'Line Item Detail'!W49,IF(Builder!B4="Twin",'Line Item Detail'!X49,'Line Item Detail'!Y49))</f>
        <v>0</v>
      </c>
    </row>
    <row r="70" ht="26.85" customHeight="1" spans="1:10" x14ac:dyDescent="0.25">
      <c r="A70" t="str">
        <f>'Line Item Detail'!A50</f>
        <v>EVMS - ENHANCED VITALS MONITORING SYSTEM (DOZEE)</v>
      </c>
      <c r="B70" t="s">
        <v>102</v>
      </c>
      <c r="C70" t="str">
        <f>'Line Item Detail'!C50</f>
        <v>Patient Monitoring</v>
      </c>
      <c r="D70" t="str">
        <f>'Line Item Detail'!D50</f>
        <v>Advanced</v>
      </c>
      <c r="E70" t="str">
        <f>'Line Item Detail'!E50</f>
        <v>Include / Exclude selection</v>
      </c>
      <c r="F70" t="str">
        <f>IF(AND(Builder!E2="Insurance / Org Tariff",IFERROR(INDEX(Reference!$EZ$2:$EZ$1000, MATCH('Line Item Detail'!F50, Reference!$EX$2:$EX$1000, 0)), "No")="Yes"),"Excluded for Insurance",IF((IF(Builder!B4="General",'Line Item Detail'!W50,IF(Builder!B4="Twin",'Line Item Detail'!X50,'Line Item Detail'!Y50)))=0,"Excluded","Included"))</f>
        <v>Excluded</v>
      </c>
      <c r="G70">
        <f>IF((IF(Builder!B4="General",'Line Item Detail'!W50,IF(Builder!B4="Twin",'Line Item Detail'!X50,'Line Item Detail'!Y50)))=0,"",'Line Item Detail'!G50)</f>
        <v>1</v>
      </c>
      <c r="H70" t="str">
        <f>Builder!B4</f>
        <v>Single</v>
      </c>
      <c r="I70">
        <f>IF((IF(Builder!B4="General",'Line Item Detail'!W50,IF(Builder!B4="Twin",'Line Item Detail'!X50,'Line Item Detail'!Y50)))=0,"",IF(Builder!B4="General",'Line Item Detail'!K50,IF(Builder!B4="Twin",'Line Item Detail'!L50,'Line Item Detail'!M50)))</f>
        <v>1250</v>
      </c>
      <c r="J70">
        <f>IF(Builder!B4="General",'Line Item Detail'!W50,IF(Builder!B4="Twin",'Line Item Detail'!X50,'Line Item Detail'!Y50))</f>
        <v>0</v>
      </c>
    </row>
    <row r="71" ht="26.85" customHeight="1" spans="1:10" x14ac:dyDescent="0.25">
      <c r="A71" t="str">
        <f>'Line Item Detail'!A51</f>
        <v>NEBULIZATION PER DAY</v>
      </c>
      <c r="B71" t="s">
        <v>102</v>
      </c>
      <c r="C71" t="str">
        <f>'Line Item Detail'!C51</f>
        <v>Nebulization Charges</v>
      </c>
      <c r="D71" t="str">
        <f>'Line Item Detail'!D51</f>
        <v>Advanced</v>
      </c>
      <c r="E71" t="str">
        <f>'Line Item Detail'!E51</f>
        <v>Include / Exclude selection</v>
      </c>
      <c r="F71" t="str">
        <f>IF(AND(Builder!E2="Insurance / Org Tariff",IFERROR(INDEX(Reference!$EZ$2:$EZ$1000, MATCH('Line Item Detail'!F51, Reference!$EX$2:$EX$1000, 0)), "No")="Yes"),"Excluded for Insurance",IF((IF(Builder!B4="General",'Line Item Detail'!W51,IF(Builder!B4="Twin",'Line Item Detail'!X51,'Line Item Detail'!Y51)))=0,"Excluded","Included"))</f>
        <v>Excluded</v>
      </c>
      <c r="G71">
        <f>IF((IF(Builder!B4="General",'Line Item Detail'!W51,IF(Builder!B4="Twin",'Line Item Detail'!X51,'Line Item Detail'!Y51)))=0,"",'Line Item Detail'!G51)</f>
        <v>1.5</v>
      </c>
      <c r="H71" t="str">
        <f>Builder!B4</f>
        <v>Single</v>
      </c>
      <c r="I71">
        <f>IF((IF(Builder!B4="General",'Line Item Detail'!W51,IF(Builder!B4="Twin",'Line Item Detail'!X51,'Line Item Detail'!Y51)))=0,"",IF(Builder!B4="General",'Line Item Detail'!K51,IF(Builder!B4="Twin",'Line Item Detail'!L51,'Line Item Detail'!M51)))</f>
        <v>870</v>
      </c>
      <c r="J71">
        <f>IF(Builder!B4="General",'Line Item Detail'!W51,IF(Builder!B4="Twin",'Line Item Detail'!X51,'Line Item Detail'!Y51))</f>
        <v>0</v>
      </c>
    </row>
    <row r="72" ht="26.85" customHeight="1" spans="1:10" x14ac:dyDescent="0.25">
      <c r="A72" t="str">
        <f>'Line Item Detail'!A52</f>
        <v>ESR</v>
      </c>
      <c r="B72" t="s">
        <v>102</v>
      </c>
      <c r="C72" t="str">
        <f>'Line Item Detail'!C52</f>
        <v>Haematology Counts</v>
      </c>
      <c r="D72" t="str">
        <f>'Line Item Detail'!D52</f>
        <v>Advanced</v>
      </c>
      <c r="E72" t="str">
        <f>'Line Item Detail'!E52</f>
        <v>Include / Exclude selection</v>
      </c>
      <c r="F72" t="str">
        <f>IF(AND(Builder!E2="Insurance / Org Tariff",IFERROR(INDEX(Reference!$EZ$2:$EZ$1000, MATCH('Line Item Detail'!F52, Reference!$EX$2:$EX$1000, 0)), "No")="Yes"),"Excluded for Insurance",IF((IF(Builder!B4="General",'Line Item Detail'!W52,IF(Builder!B4="Twin",'Line Item Detail'!X52,'Line Item Detail'!Y52)))=0,"Excluded","Included"))</f>
        <v>Excluded</v>
      </c>
      <c r="G72">
        <f>IF((IF(Builder!B4="General",'Line Item Detail'!W52,IF(Builder!B4="Twin",'Line Item Detail'!X52,'Line Item Detail'!Y52)))=0,"",'Line Item Detail'!G52)</f>
        <v>1</v>
      </c>
      <c r="H72" t="str">
        <f>Builder!B4</f>
        <v>Single</v>
      </c>
      <c r="I72">
        <f>IF((IF(Builder!B4="General",'Line Item Detail'!W52,IF(Builder!B4="Twin",'Line Item Detail'!X52,'Line Item Detail'!Y52)))=0,"",IF(Builder!B4="General",'Line Item Detail'!K52,IF(Builder!B4="Twin",'Line Item Detail'!L52,'Line Item Detail'!M52)))</f>
        <v>370</v>
      </c>
      <c r="J72">
        <f>IF(Builder!B4="General",'Line Item Detail'!W52,IF(Builder!B4="Twin",'Line Item Detail'!X52,'Line Item Detail'!Y52))</f>
        <v>0</v>
      </c>
    </row>
    <row r="73" ht="26.85" customHeight="1" spans="1:10" x14ac:dyDescent="0.25">
      <c r="A73" t="str">
        <f>'Line Item Detail'!A53</f>
        <v>SYRINGE PUMP PER DAY</v>
      </c>
      <c r="B73" t="s">
        <v>102</v>
      </c>
      <c r="C73" t="str">
        <f>'Line Item Detail'!C53</f>
        <v>Syringe Pump Charges</v>
      </c>
      <c r="D73" t="str">
        <f>'Line Item Detail'!D53</f>
        <v>Advanced</v>
      </c>
      <c r="E73" t="str">
        <f>'Line Item Detail'!E53</f>
        <v>Include / Exclude selection</v>
      </c>
      <c r="F73" t="str">
        <f>IF(AND(Builder!E2="Insurance / Org Tariff",IFERROR(INDEX(Reference!$EZ$2:$EZ$1000, MATCH('Line Item Detail'!F53, Reference!$EX$2:$EX$1000, 0)), "No")="Yes"),"Excluded for Insurance",IF((IF(Builder!B4="General",'Line Item Detail'!W53,IF(Builder!B4="Twin",'Line Item Detail'!X53,'Line Item Detail'!Y53)))=0,"Excluded","Included"))</f>
        <v>Excluded</v>
      </c>
      <c r="G73">
        <f>IF((IF(Builder!B4="General",'Line Item Detail'!W53,IF(Builder!B4="Twin",'Line Item Detail'!X53,'Line Item Detail'!Y53)))=0,"",'Line Item Detail'!G53)</f>
        <v>1</v>
      </c>
      <c r="H73" t="str">
        <f>Builder!B4</f>
        <v>Single</v>
      </c>
      <c r="I73">
        <f>IF((IF(Builder!B4="General",'Line Item Detail'!W53,IF(Builder!B4="Twin",'Line Item Detail'!X53,'Line Item Detail'!Y53)))=0,"",IF(Builder!B4="General",'Line Item Detail'!K53,IF(Builder!B4="Twin",'Line Item Detail'!L53,'Line Item Detail'!M53)))</f>
        <v>890</v>
      </c>
      <c r="J73">
        <f>IF(Builder!B4="General",'Line Item Detail'!W53,IF(Builder!B4="Twin",'Line Item Detail'!X53,'Line Item Detail'!Y53))</f>
        <v>0</v>
      </c>
    </row>
    <row r="74" ht="26.85" customHeight="1" spans="1:10" x14ac:dyDescent="0.25">
      <c r="A74" t="str">
        <f>'Line Item Detail'!A54</f>
        <v>FOLEY'S CATHETERIZATION</v>
      </c>
      <c r="B74" t="s">
        <v>102</v>
      </c>
      <c r="C74" t="str">
        <f>'Line Item Detail'!C54</f>
        <v>Catheterization / Cannulation</v>
      </c>
      <c r="D74" t="str">
        <f>'Line Item Detail'!D54</f>
        <v>Advanced</v>
      </c>
      <c r="E74" t="str">
        <f>'Line Item Detail'!E54</f>
        <v>Include / Exclude selection</v>
      </c>
      <c r="F74" t="str">
        <f>IF(AND(Builder!E2="Insurance / Org Tariff",IFERROR(INDEX(Reference!$EZ$2:$EZ$1000, MATCH('Line Item Detail'!F54, Reference!$EX$2:$EX$1000, 0)), "No")="Yes"),"Excluded for Insurance",IF((IF(Builder!B4="General",'Line Item Detail'!W54,IF(Builder!B4="Twin",'Line Item Detail'!X54,'Line Item Detail'!Y54)))=0,"Excluded","Included"))</f>
        <v>Excluded</v>
      </c>
      <c r="G74">
        <f>IF((IF(Builder!B4="General",'Line Item Detail'!W54,IF(Builder!B4="Twin",'Line Item Detail'!X54,'Line Item Detail'!Y54)))=0,"",'Line Item Detail'!G54)</f>
        <v>1</v>
      </c>
      <c r="H74" t="str">
        <f>Builder!B4</f>
        <v>Single</v>
      </c>
      <c r="I74">
        <f>IF((IF(Builder!B4="General",'Line Item Detail'!W54,IF(Builder!B4="Twin",'Line Item Detail'!X54,'Line Item Detail'!Y54)))=0,"",IF(Builder!B4="General",'Line Item Detail'!K54,IF(Builder!B4="Twin",'Line Item Detail'!L54,'Line Item Detail'!M54)))</f>
        <v>1170</v>
      </c>
      <c r="J74">
        <f>IF(Builder!B4="General",'Line Item Detail'!W54,IF(Builder!B4="Twin",'Line Item Detail'!X54,'Line Item Detail'!Y54))</f>
        <v>0</v>
      </c>
    </row>
    <row r="75" ht="26.85" customHeight="1" spans="1:10" x14ac:dyDescent="0.25">
      <c r="A75" t="str">
        <f>'Line Item Detail'!A55</f>
        <v>TROPONIN-I</v>
      </c>
      <c r="B75" t="s">
        <v>102</v>
      </c>
      <c r="C75" t="str">
        <f>'Line Item Detail'!C55</f>
        <v>Cardiac Marker Tests</v>
      </c>
      <c r="D75" t="str">
        <f>'Line Item Detail'!D55</f>
        <v>Advanced</v>
      </c>
      <c r="E75" t="str">
        <f>'Line Item Detail'!E55</f>
        <v>Include / Exclude selection</v>
      </c>
      <c r="F75" t="str">
        <f>IF(AND(Builder!E2="Insurance / Org Tariff",IFERROR(INDEX(Reference!$EZ$2:$EZ$1000, MATCH('Line Item Detail'!F55, Reference!$EX$2:$EX$1000, 0)), "No")="Yes"),"Excluded for Insurance",IF((IF(Builder!B4="General",'Line Item Detail'!W55,IF(Builder!B4="Twin",'Line Item Detail'!X55,'Line Item Detail'!Y55)))=0,"Excluded","Included"))</f>
        <v>Excluded</v>
      </c>
      <c r="G75">
        <f>IF((IF(Builder!B4="General",'Line Item Detail'!W55,IF(Builder!B4="Twin",'Line Item Detail'!X55,'Line Item Detail'!Y55)))=0,"",'Line Item Detail'!G55)</f>
        <v>1</v>
      </c>
      <c r="H75" t="str">
        <f>Builder!B4</f>
        <v>Single</v>
      </c>
      <c r="I75">
        <f>IF((IF(Builder!B4="General",'Line Item Detail'!W55,IF(Builder!B4="Twin",'Line Item Detail'!X55,'Line Item Detail'!Y55)))=0,"",IF(Builder!B4="General",'Line Item Detail'!K55,IF(Builder!B4="Twin",'Line Item Detail'!L55,'Line Item Detail'!M55)))</f>
        <v>3470</v>
      </c>
      <c r="J75">
        <f>IF(Builder!B4="General",'Line Item Detail'!W55,IF(Builder!B4="Twin",'Line Item Detail'!X55,'Line Item Detail'!Y55))</f>
        <v>0</v>
      </c>
    </row>
    <row r="76" ht="15" customHeight="1" spans="1:10" x14ac:dyDescent="0.25">
      <c r="A76" t="str">
        <f>'Line Item Detail'!A56</f>
        <v>TRANSFUSION</v>
      </c>
      <c r="B76" t="s">
        <v>102</v>
      </c>
      <c r="C76" t="str">
        <f>'Line Item Detail'!C56</f>
        <v>Blood Transfusion</v>
      </c>
      <c r="D76" t="str">
        <f>'Line Item Detail'!D56</f>
        <v>Advanced</v>
      </c>
      <c r="E76" t="str">
        <f>'Line Item Detail'!E56</f>
        <v>Include / Exclude selection</v>
      </c>
      <c r="F76" t="str">
        <f>IF(AND(Builder!E2="Insurance / Org Tariff",IFERROR(INDEX(Reference!$EZ$2:$EZ$1000, MATCH('Line Item Detail'!F56, Reference!$EX$2:$EX$1000, 0)), "No")="Yes"),"Excluded for Insurance",IF((IF(Builder!B4="General",'Line Item Detail'!W56,IF(Builder!B4="Twin",'Line Item Detail'!X56,'Line Item Detail'!Y56)))=0,"Excluded","Included"))</f>
        <v>Excluded</v>
      </c>
      <c r="G76">
        <f>IF((IF(Builder!B4="General",'Line Item Detail'!W56,IF(Builder!B4="Twin",'Line Item Detail'!X56,'Line Item Detail'!Y56)))=0,"",'Line Item Detail'!G56)</f>
        <v>1</v>
      </c>
      <c r="H76" t="str">
        <f>Builder!B4</f>
        <v>Single</v>
      </c>
      <c r="I76">
        <f>IF((IF(Builder!B4="General",'Line Item Detail'!W56,IF(Builder!B4="Twin",'Line Item Detail'!X56,'Line Item Detail'!Y56)))=0,"",IF(Builder!B4="General",'Line Item Detail'!K56,IF(Builder!B4="Twin",'Line Item Detail'!L56,'Line Item Detail'!M56)))</f>
        <v>1020</v>
      </c>
      <c r="J76">
        <f>IF(Builder!B4="General",'Line Item Detail'!W56,IF(Builder!B4="Twin",'Line Item Detail'!X56,'Line Item Detail'!Y56))</f>
        <v>0</v>
      </c>
    </row>
    <row r="77" ht="26.85" customHeight="1" spans="1:10" x14ac:dyDescent="0.25">
      <c r="A77" t="str">
        <f>'Line Item Detail'!A57</f>
        <v>PRE ANAESTHETIST CHECK</v>
      </c>
      <c r="B77" t="s">
        <v>102</v>
      </c>
      <c r="C77" t="str">
        <f>'Line Item Detail'!C57</f>
        <v>Pre-Anaesthesia Check</v>
      </c>
      <c r="D77" t="str">
        <f>'Line Item Detail'!D57</f>
        <v>Advanced</v>
      </c>
      <c r="E77" t="str">
        <f>'Line Item Detail'!E57</f>
        <v>Include / Exclude selection</v>
      </c>
      <c r="F77" t="str">
        <f>IF(AND(Builder!E2="Insurance / Org Tariff",IFERROR(INDEX(Reference!$EZ$2:$EZ$1000, MATCH('Line Item Detail'!F57, Reference!$EX$2:$EX$1000, 0)), "No")="Yes"),"Excluded for Insurance",IF((IF(Builder!B4="General",'Line Item Detail'!W57,IF(Builder!B4="Twin",'Line Item Detail'!X57,'Line Item Detail'!Y57)))=0,"Excluded","Included"))</f>
        <v>Excluded</v>
      </c>
      <c r="G77">
        <f>IF((IF(Builder!B4="General",'Line Item Detail'!W57,IF(Builder!B4="Twin",'Line Item Detail'!X57,'Line Item Detail'!Y57)))=0,"",'Line Item Detail'!G57)</f>
        <v>1</v>
      </c>
      <c r="H77" t="str">
        <f>Builder!B4</f>
        <v>Single</v>
      </c>
      <c r="I77">
        <f>IF((IF(Builder!B4="General",'Line Item Detail'!W57,IF(Builder!B4="Twin",'Line Item Detail'!X57,'Line Item Detail'!Y57)))=0,"",IF(Builder!B4="General",'Line Item Detail'!K57,IF(Builder!B4="Twin",'Line Item Detail'!L57,'Line Item Detail'!M57)))</f>
        <v>810</v>
      </c>
      <c r="J77">
        <f>IF(Builder!B4="General",'Line Item Detail'!W57,IF(Builder!B4="Twin",'Line Item Detail'!X57,'Line Item Detail'!Y57))</f>
        <v>0</v>
      </c>
    </row>
    <row r="78" ht="15" customHeight="1" spans="1:10" x14ac:dyDescent="0.25">
      <c r="A78" t="str">
        <f>'Line Item Detail'!A58</f>
        <v>THYROID PROFILE</v>
      </c>
      <c r="B78" t="s">
        <v>102</v>
      </c>
      <c r="C78" t="str">
        <f>'Line Item Detail'!C58</f>
        <v>Thyroid Tests</v>
      </c>
      <c r="D78" t="str">
        <f>'Line Item Detail'!D58</f>
        <v>Advanced</v>
      </c>
      <c r="E78" t="str">
        <f>'Line Item Detail'!E58</f>
        <v>Include / Exclude selection</v>
      </c>
      <c r="F78" t="str">
        <f>IF(AND(Builder!E2="Insurance / Org Tariff",IFERROR(INDEX(Reference!$EZ$2:$EZ$1000, MATCH('Line Item Detail'!F58, Reference!$EX$2:$EX$1000, 0)), "No")="Yes"),"Excluded for Insurance",IF((IF(Builder!B4="General",'Line Item Detail'!W58,IF(Builder!B4="Twin",'Line Item Detail'!X58,'Line Item Detail'!Y58)))=0,"Excluded","Included"))</f>
        <v>Excluded</v>
      </c>
      <c r="G78">
        <f>IF((IF(Builder!B4="General",'Line Item Detail'!W58,IF(Builder!B4="Twin",'Line Item Detail'!X58,'Line Item Detail'!Y58)))=0,"",'Line Item Detail'!G58)</f>
        <v>1</v>
      </c>
      <c r="H78" t="str">
        <f>Builder!B4</f>
        <v>Single</v>
      </c>
      <c r="I78">
        <f>IF((IF(Builder!B4="General",'Line Item Detail'!W58,IF(Builder!B4="Twin",'Line Item Detail'!X58,'Line Item Detail'!Y58)))=0,"",IF(Builder!B4="General",'Line Item Detail'!K58,IF(Builder!B4="Twin",'Line Item Detail'!L58,'Line Item Detail'!M58)))</f>
        <v>2290</v>
      </c>
      <c r="J78">
        <f>IF(Builder!B4="General",'Line Item Detail'!W58,IF(Builder!B4="Twin",'Line Item Detail'!X58,'Line Item Detail'!Y58))</f>
        <v>0</v>
      </c>
    </row>
    <row r="79" ht="26.85" customHeight="1" spans="1:10" x14ac:dyDescent="0.25">
      <c r="A79" t="str">
        <f>'Line Item Detail'!A59</f>
        <v>CROSS MATCHING</v>
      </c>
      <c r="B79" t="s">
        <v>102</v>
      </c>
      <c r="C79" t="str">
        <f>'Line Item Detail'!C59</f>
        <v>Blood Bank Services</v>
      </c>
      <c r="D79" t="str">
        <f>'Line Item Detail'!D59</f>
        <v>Advanced</v>
      </c>
      <c r="E79" t="str">
        <f>'Line Item Detail'!E59</f>
        <v>Include / Exclude selection</v>
      </c>
      <c r="F79" t="str">
        <f>IF(AND(Builder!E2="Insurance / Org Tariff",IFERROR(INDEX(Reference!$EZ$2:$EZ$1000, MATCH('Line Item Detail'!F59, Reference!$EX$2:$EX$1000, 0)), "No")="Yes"),"Excluded for Insurance",IF((IF(Builder!B4="General",'Line Item Detail'!W59,IF(Builder!B4="Twin",'Line Item Detail'!X59,'Line Item Detail'!Y59)))=0,"Excluded","Included"))</f>
        <v>Excluded</v>
      </c>
      <c r="G79">
        <f>IF((IF(Builder!B4="General",'Line Item Detail'!W59,IF(Builder!B4="Twin",'Line Item Detail'!X59,'Line Item Detail'!Y59)))=0,"",'Line Item Detail'!G59)</f>
        <v>1</v>
      </c>
      <c r="H79" t="str">
        <f>Builder!B4</f>
        <v>Single</v>
      </c>
      <c r="I79">
        <f>IF((IF(Builder!B4="General",'Line Item Detail'!W59,IF(Builder!B4="Twin",'Line Item Detail'!X59,'Line Item Detail'!Y59)))=0,"",IF(Builder!B4="General",'Line Item Detail'!K59,IF(Builder!B4="Twin",'Line Item Detail'!L59,'Line Item Detail'!M59)))</f>
        <v>280</v>
      </c>
      <c r="J79">
        <f>IF(Builder!B4="General",'Line Item Detail'!W59,IF(Builder!B4="Twin",'Line Item Detail'!X59,'Line Item Detail'!Y59))</f>
        <v>0</v>
      </c>
    </row>
    <row r="80" ht="15" customHeight="1" spans="1:10" x14ac:dyDescent="0.25">
      <c r="A80" t="str">
        <f>'Line Item Detail'!A60</f>
        <v>ABG (ARTERIAL BLOOD GASES)</v>
      </c>
      <c r="B80" t="s">
        <v>102</v>
      </c>
      <c r="C80" t="str">
        <f>'Line Item Detail'!C60</f>
        <v>Blood Gas Analysis</v>
      </c>
      <c r="D80" t="str">
        <f>'Line Item Detail'!D60</f>
        <v>Advanced</v>
      </c>
      <c r="E80" t="str">
        <f>'Line Item Detail'!E60</f>
        <v>Include / Exclude selection</v>
      </c>
      <c r="F80" t="str">
        <f>IF(AND(Builder!E2="Insurance / Org Tariff",IFERROR(INDEX(Reference!$EZ$2:$EZ$1000, MATCH('Line Item Detail'!F60, Reference!$EX$2:$EX$1000, 0)), "No")="Yes"),"Excluded for Insurance",IF((IF(Builder!B4="General",'Line Item Detail'!W60,IF(Builder!B4="Twin",'Line Item Detail'!X60,'Line Item Detail'!Y60)))=0,"Excluded","Included"))</f>
        <v>Excluded</v>
      </c>
      <c r="G80">
        <f>IF((IF(Builder!B4="General",'Line Item Detail'!W60,IF(Builder!B4="Twin",'Line Item Detail'!X60,'Line Item Detail'!Y60)))=0,"",'Line Item Detail'!G60)</f>
        <v>1</v>
      </c>
      <c r="H80" t="str">
        <f>Builder!B4</f>
        <v>Single</v>
      </c>
      <c r="I80">
        <f>IF((IF(Builder!B4="General",'Line Item Detail'!W60,IF(Builder!B4="Twin",'Line Item Detail'!X60,'Line Item Detail'!Y60)))=0,"",IF(Builder!B4="General",'Line Item Detail'!K60,IF(Builder!B4="Twin",'Line Item Detail'!L60,'Line Item Detail'!M60)))</f>
        <v>1710</v>
      </c>
      <c r="J80">
        <f>IF(Builder!B4="General",'Line Item Detail'!W60,IF(Builder!B4="Twin",'Line Item Detail'!X60,'Line Item Detail'!Y60))</f>
        <v>0</v>
      </c>
    </row>
    <row r="81" ht="26.85" customHeight="1" spans="1:10" x14ac:dyDescent="0.25">
      <c r="A81" t="str">
        <f>'Line Item Detail'!A61</f>
        <v>X-RAY AP VIEW (BEDSIDE)</v>
      </c>
      <c r="B81" t="s">
        <v>102</v>
      </c>
      <c r="C81" t="str">
        <f>'Line Item Detail'!C61</f>
        <v>X-Ray / Fluoroscopy</v>
      </c>
      <c r="D81" t="str">
        <f>'Line Item Detail'!D61</f>
        <v>Advanced</v>
      </c>
      <c r="E81" t="str">
        <f>'Line Item Detail'!E61</f>
        <v>Include / Exclude selection</v>
      </c>
      <c r="F81" t="str">
        <f>IF(AND(Builder!E2="Insurance / Org Tariff",IFERROR(INDEX(Reference!$EZ$2:$EZ$1000, MATCH('Line Item Detail'!F61, Reference!$EX$2:$EX$1000, 0)), "No")="Yes"),"Excluded for Insurance",IF((IF(Builder!B4="General",'Line Item Detail'!W61,IF(Builder!B4="Twin",'Line Item Detail'!X61,'Line Item Detail'!Y61)))=0,"Excluded","Included"))</f>
        <v>Excluded</v>
      </c>
      <c r="G81">
        <f>IF((IF(Builder!B4="General",'Line Item Detail'!W61,IF(Builder!B4="Twin",'Line Item Detail'!X61,'Line Item Detail'!Y61)))=0,"",'Line Item Detail'!G61)</f>
        <v>1</v>
      </c>
      <c r="H81" t="str">
        <f>Builder!B4</f>
        <v>Single</v>
      </c>
      <c r="I81">
        <f>IF((IF(Builder!B4="General",'Line Item Detail'!W61,IF(Builder!B4="Twin",'Line Item Detail'!X61,'Line Item Detail'!Y61)))=0,"",IF(Builder!B4="General",'Line Item Detail'!K61,IF(Builder!B4="Twin",'Line Item Detail'!L61,'Line Item Detail'!M61)))</f>
        <v>1200</v>
      </c>
      <c r="J81">
        <f>IF(Builder!B4="General",'Line Item Detail'!W61,IF(Builder!B4="Twin",'Line Item Detail'!X61,'Line Item Detail'!Y61))</f>
        <v>0</v>
      </c>
    </row>
    <row r="82" ht="26.85" customHeight="1" spans="1:10" x14ac:dyDescent="0.25">
      <c r="A82" t="str">
        <f>'Line Item Detail'!A62</f>
        <v>PHYSIOTHERAPY CONSULTATION</v>
      </c>
      <c r="B82" t="s">
        <v>102</v>
      </c>
      <c r="C82" t="str">
        <f>'Line Item Detail'!C62</f>
        <v>Consultation Charges</v>
      </c>
      <c r="D82" t="str">
        <f>'Line Item Detail'!D62</f>
        <v>Advanced</v>
      </c>
      <c r="E82" t="str">
        <f>'Line Item Detail'!E62</f>
        <v>Include / Exclude selection</v>
      </c>
      <c r="F82" t="str">
        <f>IF(AND(Builder!E2="Insurance / Org Tariff",IFERROR(INDEX(Reference!$EZ$2:$EZ$1000, MATCH('Line Item Detail'!F62, Reference!$EX$2:$EX$1000, 0)), "No")="Yes"),"Excluded for Insurance",IF((IF(Builder!B4="General",'Line Item Detail'!W62,IF(Builder!B4="Twin",'Line Item Detail'!X62,'Line Item Detail'!Y62)))=0,"Excluded","Included"))</f>
        <v>Excluded</v>
      </c>
      <c r="G82">
        <f>IF((IF(Builder!B4="General",'Line Item Detail'!W62,IF(Builder!B4="Twin",'Line Item Detail'!X62,'Line Item Detail'!Y62)))=0,"",'Line Item Detail'!G62)</f>
        <v>1</v>
      </c>
      <c r="H82" t="str">
        <f>Builder!B4</f>
        <v>Single</v>
      </c>
      <c r="I82">
        <f>IF((IF(Builder!B4="General",'Line Item Detail'!W62,IF(Builder!B4="Twin",'Line Item Detail'!X62,'Line Item Detail'!Y62)))=0,"",IF(Builder!B4="General",'Line Item Detail'!K62,IF(Builder!B4="Twin",'Line Item Detail'!L62,'Line Item Detail'!M62)))</f>
        <v>1110</v>
      </c>
      <c r="J82">
        <f>IF(Builder!B4="General",'Line Item Detail'!W62,IF(Builder!B4="Twin",'Line Item Detail'!X62,'Line Item Detail'!Y62))</f>
        <v>0</v>
      </c>
    </row>
    <row r="83" ht="26.85" customHeight="1" spans="1:10" x14ac:dyDescent="0.25">
      <c r="A83" t="str">
        <f>'Line Item Detail'!A63</f>
        <v>CBC (COMPLETE BLOOD COUNT)</v>
      </c>
      <c r="B83" t="s">
        <v>102</v>
      </c>
      <c r="C83" t="str">
        <f>'Line Item Detail'!C63</f>
        <v>Haematology Counts</v>
      </c>
      <c r="D83" t="str">
        <f>'Line Item Detail'!D63</f>
        <v>Advanced</v>
      </c>
      <c r="E83" t="str">
        <f>'Line Item Detail'!E63</f>
        <v>Include / Exclude selection</v>
      </c>
      <c r="F83" t="str">
        <f>IF(AND(Builder!E2="Insurance / Org Tariff",IFERROR(INDEX(Reference!$EZ$2:$EZ$1000, MATCH('Line Item Detail'!F63, Reference!$EX$2:$EX$1000, 0)), "No")="Yes"),"Excluded for Insurance",IF((IF(Builder!B4="General",'Line Item Detail'!W63,IF(Builder!B4="Twin",'Line Item Detail'!X63,'Line Item Detail'!Y63)))=0,"Excluded","Included"))</f>
        <v>Excluded</v>
      </c>
      <c r="G83">
        <f>IF((IF(Builder!B4="General",'Line Item Detail'!W63,IF(Builder!B4="Twin",'Line Item Detail'!X63,'Line Item Detail'!Y63)))=0,"",'Line Item Detail'!G63)</f>
        <v>1</v>
      </c>
      <c r="H83" t="str">
        <f>Builder!B4</f>
        <v>Single</v>
      </c>
      <c r="I83">
        <f>IF((IF(Builder!B4="General",'Line Item Detail'!W63,IF(Builder!B4="Twin",'Line Item Detail'!X63,'Line Item Detail'!Y63)))=0,"",IF(Builder!B4="General",'Line Item Detail'!K63,IF(Builder!B4="Twin",'Line Item Detail'!L63,'Line Item Detail'!M63)))</f>
        <v>1020</v>
      </c>
      <c r="J83">
        <f>IF(Builder!B4="General",'Line Item Detail'!W63,IF(Builder!B4="Twin",'Line Item Detail'!X63,'Line Item Detail'!Y63))</f>
        <v>0</v>
      </c>
    </row>
    <row r="84" ht="26.85" customHeight="1" spans="1:10" x14ac:dyDescent="0.25">
      <c r="A84" t="str">
        <f>'Line Item Detail'!A64</f>
        <v>FBS (FASTING PLASMA GLUCOSE)</v>
      </c>
      <c r="B84" t="s">
        <v>102</v>
      </c>
      <c r="C84" t="str">
        <f>'Line Item Detail'!C64</f>
        <v>Diabetes / Glucose Tests</v>
      </c>
      <c r="D84" t="str">
        <f>'Line Item Detail'!D64</f>
        <v>Advanced</v>
      </c>
      <c r="E84" t="str">
        <f>'Line Item Detail'!E64</f>
        <v>Include / Exclude selection</v>
      </c>
      <c r="F84" t="str">
        <f>IF(AND(Builder!E2="Insurance / Org Tariff",IFERROR(INDEX(Reference!$EZ$2:$EZ$1000, MATCH('Line Item Detail'!F64, Reference!$EX$2:$EX$1000, 0)), "No")="Yes"),"Excluded for Insurance",IF((IF(Builder!B4="General",'Line Item Detail'!W64,IF(Builder!B4="Twin",'Line Item Detail'!X64,'Line Item Detail'!Y64)))=0,"Excluded","Included"))</f>
        <v>Excluded</v>
      </c>
      <c r="G84">
        <f>IF((IF(Builder!B4="General",'Line Item Detail'!W64,IF(Builder!B4="Twin",'Line Item Detail'!X64,'Line Item Detail'!Y64)))=0,"",'Line Item Detail'!G64)</f>
        <v>1</v>
      </c>
      <c r="H84" t="str">
        <f>Builder!B4</f>
        <v>Single</v>
      </c>
      <c r="I84">
        <f>IF((IF(Builder!B4="General",'Line Item Detail'!W64,IF(Builder!B4="Twin",'Line Item Detail'!X64,'Line Item Detail'!Y64)))=0,"",IF(Builder!B4="General",'Line Item Detail'!K64,IF(Builder!B4="Twin",'Line Item Detail'!L64,'Line Item Detail'!M64)))</f>
        <v>430</v>
      </c>
      <c r="J84">
        <f>IF(Builder!B4="General",'Line Item Detail'!W64,IF(Builder!B4="Twin",'Line Item Detail'!X64,'Line Item Detail'!Y64))</f>
        <v>0</v>
      </c>
    </row>
    <row r="85" ht="26.85" customHeight="1" spans="1:10" x14ac:dyDescent="0.25">
      <c r="A85" t="str">
        <f>'Line Item Detail'!A65</f>
        <v>POTASSIUM</v>
      </c>
      <c r="B85" t="s">
        <v>102</v>
      </c>
      <c r="C85" t="str">
        <f>'Line Item Detail'!C65</f>
        <v>Renal Function / Electrolytes</v>
      </c>
      <c r="D85" t="str">
        <f>'Line Item Detail'!D65</f>
        <v>Advanced</v>
      </c>
      <c r="E85" t="str">
        <f>'Line Item Detail'!E65</f>
        <v>Include / Exclude selection</v>
      </c>
      <c r="F85" t="str">
        <f>IF(AND(Builder!E2="Insurance / Org Tariff",IFERROR(INDEX(Reference!$EZ$2:$EZ$1000, MATCH('Line Item Detail'!F65, Reference!$EX$2:$EX$1000, 0)), "No")="Yes"),"Excluded for Insurance",IF((IF(Builder!B4="General",'Line Item Detail'!W65,IF(Builder!B4="Twin",'Line Item Detail'!X65,'Line Item Detail'!Y65)))=0,"Excluded","Included"))</f>
        <v>Excluded</v>
      </c>
      <c r="G85">
        <f>IF((IF(Builder!B4="General",'Line Item Detail'!W65,IF(Builder!B4="Twin",'Line Item Detail'!X65,'Line Item Detail'!Y65)))=0,"",'Line Item Detail'!G65)</f>
        <v>1</v>
      </c>
      <c r="H85" t="str">
        <f>Builder!B4</f>
        <v>Single</v>
      </c>
      <c r="I85">
        <f>IF((IF(Builder!B4="General",'Line Item Detail'!W65,IF(Builder!B4="Twin",'Line Item Detail'!X65,'Line Item Detail'!Y65)))=0,"",IF(Builder!B4="General",'Line Item Detail'!K65,IF(Builder!B4="Twin",'Line Item Detail'!L65,'Line Item Detail'!M65)))</f>
        <v>810</v>
      </c>
      <c r="J85">
        <f>IF(Builder!B4="General",'Line Item Detail'!W65,IF(Builder!B4="Twin",'Line Item Detail'!X65,'Line Item Detail'!Y65))</f>
        <v>0</v>
      </c>
    </row>
    <row r="86" ht="26.85" customHeight="1" spans="1:10" x14ac:dyDescent="0.25">
      <c r="A86" t="str">
        <f>'Line Item Detail'!A66</f>
        <v>BLOOD GROUP AND RH (D) TYPING</v>
      </c>
      <c r="B86" t="s">
        <v>102</v>
      </c>
      <c r="C86" t="str">
        <f>'Line Item Detail'!C66</f>
        <v>Blood Bank Services</v>
      </c>
      <c r="D86" t="str">
        <f>'Line Item Detail'!D66</f>
        <v>Advanced</v>
      </c>
      <c r="E86" t="str">
        <f>'Line Item Detail'!E66</f>
        <v>Include / Exclude selection</v>
      </c>
      <c r="F86" t="str">
        <f>IF(AND(Builder!E2="Insurance / Org Tariff",IFERROR(INDEX(Reference!$EZ$2:$EZ$1000, MATCH('Line Item Detail'!F66, Reference!$EX$2:$EX$1000, 0)), "No")="Yes"),"Excluded for Insurance",IF((IF(Builder!B4="General",'Line Item Detail'!W66,IF(Builder!B4="Twin",'Line Item Detail'!X66,'Line Item Detail'!Y66)))=0,"Excluded","Included"))</f>
        <v>Excluded</v>
      </c>
      <c r="G86">
        <f>IF((IF(Builder!B4="General",'Line Item Detail'!W66,IF(Builder!B4="Twin",'Line Item Detail'!X66,'Line Item Detail'!Y66)))=0,"",'Line Item Detail'!G66)</f>
        <v>1</v>
      </c>
      <c r="H86" t="str">
        <f>Builder!B4</f>
        <v>Single</v>
      </c>
      <c r="I86">
        <f>IF((IF(Builder!B4="General",'Line Item Detail'!W66,IF(Builder!B4="Twin",'Line Item Detail'!X66,'Line Item Detail'!Y66)))=0,"",IF(Builder!B4="General",'Line Item Detail'!K66,IF(Builder!B4="Twin",'Line Item Detail'!L66,'Line Item Detail'!M66)))</f>
        <v>580</v>
      </c>
      <c r="J86">
        <f>IF(Builder!B4="General",'Line Item Detail'!W66,IF(Builder!B4="Twin",'Line Item Detail'!X66,'Line Item Detail'!Y66))</f>
        <v>0</v>
      </c>
    </row>
    <row r="87" ht="15" customHeight="1" spans="1:10" x14ac:dyDescent="0.25">
      <c r="A87" t="str">
        <f>'Line Item Detail'!A67</f>
        <v>ECG</v>
      </c>
      <c r="B87" t="s">
        <v>102</v>
      </c>
      <c r="C87" t="str">
        <f>'Line Item Detail'!C67</f>
        <v>ECG</v>
      </c>
      <c r="D87" t="str">
        <f>'Line Item Detail'!D67</f>
        <v>Advanced</v>
      </c>
      <c r="E87" t="str">
        <f>'Line Item Detail'!E67</f>
        <v>Include / Exclude selection</v>
      </c>
      <c r="F87" t="str">
        <f>IF(AND(Builder!E2="Insurance / Org Tariff",IFERROR(INDEX(Reference!$EZ$2:$EZ$1000, MATCH('Line Item Detail'!F67, Reference!$EX$2:$EX$1000, 0)), "No")="Yes"),"Excluded for Insurance",IF((IF(Builder!B4="General",'Line Item Detail'!W67,IF(Builder!B4="Twin",'Line Item Detail'!X67,'Line Item Detail'!Y67)))=0,"Excluded","Included"))</f>
        <v>Excluded</v>
      </c>
      <c r="G87">
        <f>IF((IF(Builder!B4="General",'Line Item Detail'!W67,IF(Builder!B4="Twin",'Line Item Detail'!X67,'Line Item Detail'!Y67)))=0,"",'Line Item Detail'!G67)</f>
        <v>1</v>
      </c>
      <c r="H87" t="str">
        <f>Builder!B4</f>
        <v>Single</v>
      </c>
      <c r="I87">
        <f>IF((IF(Builder!B4="General",'Line Item Detail'!W67,IF(Builder!B4="Twin",'Line Item Detail'!X67,'Line Item Detail'!Y67)))=0,"",IF(Builder!B4="General",'Line Item Detail'!K67,IF(Builder!B4="Twin",'Line Item Detail'!L67,'Line Item Detail'!M67)))</f>
        <v>500</v>
      </c>
      <c r="J87">
        <f>IF(Builder!B4="General",'Line Item Detail'!W67,IF(Builder!B4="Twin",'Line Item Detail'!X67,'Line Item Detail'!Y67))</f>
        <v>0</v>
      </c>
    </row>
    <row r="88" ht="26.85" customHeight="1" spans="1:10" x14ac:dyDescent="0.25">
      <c r="A88" t="str">
        <f>'Line Item Detail'!A68</f>
        <v>CUE (COMPLETE URINE EXAMINATION)</v>
      </c>
      <c r="B88" t="s">
        <v>102</v>
      </c>
      <c r="C88" t="str">
        <f>'Line Item Detail'!C68</f>
        <v>Urine Tests</v>
      </c>
      <c r="D88" t="str">
        <f>'Line Item Detail'!D68</f>
        <v>Advanced</v>
      </c>
      <c r="E88" t="str">
        <f>'Line Item Detail'!E68</f>
        <v>Include / Exclude selection</v>
      </c>
      <c r="F88" t="str">
        <f>IF(AND(Builder!E2="Insurance / Org Tariff",IFERROR(INDEX(Reference!$EZ$2:$EZ$1000, MATCH('Line Item Detail'!F68, Reference!$EX$2:$EX$1000, 0)), "No")="Yes"),"Excluded for Insurance",IF((IF(Builder!B4="General",'Line Item Detail'!W68,IF(Builder!B4="Twin",'Line Item Detail'!X68,'Line Item Detail'!Y68)))=0,"Excluded","Included"))</f>
        <v>Excluded</v>
      </c>
      <c r="G88">
        <f>IF((IF(Builder!B4="General",'Line Item Detail'!W68,IF(Builder!B4="Twin",'Line Item Detail'!X68,'Line Item Detail'!Y68)))=0,"",'Line Item Detail'!G68)</f>
        <v>1</v>
      </c>
      <c r="H88" t="str">
        <f>Builder!B4</f>
        <v>Single</v>
      </c>
      <c r="I88">
        <f>IF((IF(Builder!B4="General",'Line Item Detail'!W68,IF(Builder!B4="Twin",'Line Item Detail'!X68,'Line Item Detail'!Y68)))=0,"",IF(Builder!B4="General",'Line Item Detail'!K68,IF(Builder!B4="Twin",'Line Item Detail'!L68,'Line Item Detail'!M68)))</f>
        <v>400</v>
      </c>
      <c r="J88">
        <f>IF(Builder!B4="General",'Line Item Detail'!W68,IF(Builder!B4="Twin",'Line Item Detail'!X68,'Line Item Detail'!Y68))</f>
        <v>0</v>
      </c>
    </row>
    <row r="89" ht="26.85" customHeight="1" spans="1:10" x14ac:dyDescent="0.25">
      <c r="A89" t="str">
        <f>'Line Item Detail'!A69</f>
        <v>PSYCHOLOGIST COUNSELLING</v>
      </c>
      <c r="B89" t="s">
        <v>102</v>
      </c>
      <c r="C89" t="str">
        <f>'Line Item Detail'!C69</f>
        <v>Psychology / Counselling</v>
      </c>
      <c r="D89" t="str">
        <f>'Line Item Detail'!D69</f>
        <v>Advanced</v>
      </c>
      <c r="E89" t="str">
        <f>'Line Item Detail'!E69</f>
        <v>Include / Exclude selection</v>
      </c>
      <c r="F89" t="str">
        <f>IF(AND(Builder!E2="Insurance / Org Tariff",IFERROR(INDEX(Reference!$EZ$2:$EZ$1000, MATCH('Line Item Detail'!F69, Reference!$EX$2:$EX$1000, 0)), "No")="Yes"),"Excluded for Insurance",IF((IF(Builder!B4="General",'Line Item Detail'!W69,IF(Builder!B4="Twin",'Line Item Detail'!X69,'Line Item Detail'!Y69)))=0,"Excluded","Included"))</f>
        <v>Excluded</v>
      </c>
      <c r="G89">
        <f>IF((IF(Builder!B4="General",'Line Item Detail'!W69,IF(Builder!B4="Twin",'Line Item Detail'!X69,'Line Item Detail'!Y69)))=0,"",'Line Item Detail'!G69)</f>
        <v>1</v>
      </c>
      <c r="H89" t="str">
        <f>Builder!B4</f>
        <v>Single</v>
      </c>
      <c r="I89">
        <f>IF((IF(Builder!B4="General",'Line Item Detail'!W69,IF(Builder!B4="Twin",'Line Item Detail'!X69,'Line Item Detail'!Y69)))=0,"",IF(Builder!B4="General",'Line Item Detail'!K69,IF(Builder!B4="Twin",'Line Item Detail'!L69,'Line Item Detail'!M69)))</f>
        <v>150</v>
      </c>
      <c r="J89">
        <f>IF(Builder!B4="General",'Line Item Detail'!W69,IF(Builder!B4="Twin",'Line Item Detail'!X69,'Line Item Detail'!Y69))</f>
        <v>0</v>
      </c>
    </row>
    <row r="90" ht="26.85" customHeight="1" spans="1:10" x14ac:dyDescent="0.25">
      <c r="A90" s="14" t="str">
        <f>'Line Item Detail'!A70</f>
        <v>X-RAY SCANOGRAM (ACADEMIC CASES)</v>
      </c>
      <c r="B90" s="14" t="s">
        <v>102</v>
      </c>
      <c r="C90" s="14" t="str">
        <f>'Line Item Detail'!C70</f>
        <v>X-Ray / Fluoroscopy</v>
      </c>
      <c r="D90" s="14" t="str">
        <f>'Line Item Detail'!D70</f>
        <v>Advanced</v>
      </c>
      <c r="E90" s="14" t="str">
        <f>'Line Item Detail'!E70</f>
        <v>Include / Exclude selection</v>
      </c>
      <c r="F90" s="40" t="str">
        <f>IF(AND(Builder!E2="Insurance / Org Tariff",IFERROR(INDEX(Reference!$EZ$2:$EZ$1000, MATCH('Line Item Detail'!F70, Reference!$EX$2:$EX$1000, 0)), "No")="Yes"),"Excluded for Insurance",IF((IF(Builder!B4="General",'Line Item Detail'!W70,IF(Builder!B4="Twin",'Line Item Detail'!X70,'Line Item Detail'!Y70)))=0,"Excluded","Included"))</f>
        <v>Excluded</v>
      </c>
      <c r="G90" s="32">
        <f>IF((IF(Builder!B4="General",'Line Item Detail'!W70,IF(Builder!B4="Twin",'Line Item Detail'!X70,'Line Item Detail'!Y70)))=0,"",'Line Item Detail'!G70)</f>
        <v>1</v>
      </c>
      <c r="H90" s="32" t="str">
        <f>Builder!B4</f>
        <v>Single</v>
      </c>
      <c r="I90" s="32">
        <f>IF((IF(Builder!B4="General",'Line Item Detail'!W70,IF(Builder!B4="Twin",'Line Item Detail'!X70,'Line Item Detail'!Y70)))=0,"",IF(Builder!B4="General",'Line Item Detail'!K70,IF(Builder!B4="Twin",'Line Item Detail'!L70,'Line Item Detail'!M70)))</f>
        <v>1</v>
      </c>
      <c r="J90" s="32">
        <f>IF(Builder!B4="General",'Line Item Detail'!W70,IF(Builder!B4="Twin",'Line Item Detail'!X70,'Line Item Detail'!Y70))</f>
        <v>0</v>
      </c>
    </row>
  </sheetData>
  <autoFilter ref="A3:J90"/>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5"/>
  <sheetViews>
    <sheetView workbookViewId="0" showGridLines="0" zoomScale="100"/>
  </sheetViews>
  <sheetFormatPr defaultRowHeight="15" outlineLevelRow="0" outlineLevelCol="0" x14ac:dyDescent="55"/>
  <cols>
    <col min="1" max="1" width="34" customWidth="1"/>
    <col min="2" max="2" width="20" customWidth="1"/>
    <col min="3" max="3" width="18" customWidth="1"/>
    <col min="4" max="4" width="14" customWidth="1"/>
    <col min="5" max="5" width="24" customWidth="1"/>
    <col min="6" max="6" width="12" hidden="1" customWidth="1"/>
    <col min="7" max="7" width="12" customWidth="1"/>
    <col min="8" max="8" width="10" customWidth="1"/>
    <col min="11" max="11" width="12" customWidth="1"/>
    <col min="23" max="23" width="14" customWidth="1"/>
  </cols>
  <sheetData>
    <row r="1" ht="26.85" customHeight="1" spans="1:25" x14ac:dyDescent="0.25">
      <c r="A1" s="47" t="s">
        <v>518</v>
      </c>
      <c r="B1" s="47" t="s">
        <v>526</v>
      </c>
      <c r="C1" s="47" t="s">
        <v>520</v>
      </c>
      <c r="D1" s="47" t="s">
        <v>527</v>
      </c>
      <c r="E1" s="47" t="s">
        <v>528</v>
      </c>
      <c r="F1" s="47" t="s">
        <v>323</v>
      </c>
      <c r="G1" s="47" t="s">
        <v>529</v>
      </c>
      <c r="H1" s="47" t="s">
        <v>530</v>
      </c>
      <c r="I1" s="47" t="s">
        <v>531</v>
      </c>
      <c r="J1" s="47" t="s">
        <v>532</v>
      </c>
      <c r="K1" s="47" t="s">
        <v>533</v>
      </c>
      <c r="L1" s="47" t="s">
        <v>534</v>
      </c>
      <c r="M1" s="47" t="s">
        <v>535</v>
      </c>
      <c r="N1" s="47" t="s">
        <v>536</v>
      </c>
      <c r="O1" s="47" t="s">
        <v>537</v>
      </c>
      <c r="P1" s="47" t="s">
        <v>538</v>
      </c>
      <c r="Q1" s="47" t="s">
        <v>539</v>
      </c>
      <c r="R1" s="47" t="s">
        <v>540</v>
      </c>
      <c r="S1" s="47" t="s">
        <v>541</v>
      </c>
      <c r="T1" s="47" t="s">
        <v>542</v>
      </c>
      <c r="U1" s="47" t="s">
        <v>543</v>
      </c>
      <c r="V1" s="47" t="s">
        <v>544</v>
      </c>
      <c r="W1" s="47" t="s">
        <v>545</v>
      </c>
      <c r="X1" s="47" t="s">
        <v>546</v>
      </c>
      <c r="Y1" s="47" t="s">
        <v>547</v>
      </c>
    </row>
    <row r="2" ht="26.85" customHeight="1" spans="1:25" x14ac:dyDescent="0.25">
      <c r="A2" s="14" t="s">
        <v>548</v>
      </c>
      <c r="B2" s="40" t="s">
        <v>81</v>
      </c>
      <c r="C2" s="14" t="s">
        <v>81</v>
      </c>
      <c r="D2" s="14" t="s">
        <v>549</v>
      </c>
      <c r="E2" s="14" t="s">
        <v>550</v>
      </c>
      <c r="F2" s="40" t="s">
        <v>551</v>
      </c>
      <c r="G2" s="32">
        <f>IF(Builder!B5="Low",H2,IF(Builder!B5="Typical",I2,J2))</f>
        <v>1</v>
      </c>
      <c r="H2" s="32">
        <f>IFERROR(INDEX(Reference!$CX$2:$CX$4000, MATCH(Builder!G6&amp;"|"&amp;F2, Reference!$CQ$2:$CQ$4000, 0)), 1)</f>
        <v>1</v>
      </c>
      <c r="I2" s="32">
        <f>IFERROR(INDEX(Reference!$CY$2:$CY$4000, MATCH(Builder!G6&amp;"|"&amp;F2, Reference!$CQ$2:$CQ$4000, 0)), 1)</f>
        <v>1</v>
      </c>
      <c r="J2" s="32">
        <f>IFERROR(INDEX(Reference!$CZ$2:$CZ$4000, MATCH(Builder!G6&amp;"|"&amp;F2, Reference!$CQ$2:$CQ$4000, 0)), 1)</f>
        <v>1</v>
      </c>
      <c r="K2" s="32">
        <f>0+IFERROR(INDEX(Reference!$EG$2:$EG$8000, MATCH(Builder!E5&amp;"|"&amp;F2, Reference!$EB$2:$EB$8000, 0)), 1670)</f>
        <v>1670</v>
      </c>
      <c r="L2" s="32">
        <f>0+IFERROR(INDEX(Reference!$EH$2:$EH$8000, MATCH(Builder!E5&amp;"|"&amp;F2, Reference!$EB$2:$EB$8000, 0)), 1850)</f>
        <v>1850</v>
      </c>
      <c r="M2" s="32">
        <f>0+IFERROR(INDEX(Reference!$EI$2:$EI$8000, MATCH(Builder!E5&amp;"|"&amp;F2, Reference!$EB$2:$EB$8000, 0)), 1990)</f>
        <v>1990</v>
      </c>
      <c r="N2" s="32">
        <f>IF(AND(Builder!E2="Insurance / Org Tariff",IFERROR(INDEX(Reference!$EZ$2:$EZ$1000, MATCH(F2, Reference!$EX$2:$EX$1000, 0)), "No")="Yes"),0,H2*K2)</f>
        <v>1670</v>
      </c>
      <c r="O2" s="32">
        <f>IF(AND(Builder!E2="Insurance / Org Tariff",IFERROR(INDEX(Reference!$EZ$2:$EZ$1000, MATCH(F2, Reference!$EX$2:$EX$1000, 0)), "No")="Yes"),0,I2*K2)</f>
        <v>1670</v>
      </c>
      <c r="P2" s="32">
        <f>IF(AND(Builder!E2="Insurance / Org Tariff",IFERROR(INDEX(Reference!$EZ$2:$EZ$1000, MATCH(F2, Reference!$EX$2:$EX$1000, 0)), "No")="Yes"),0,J2*K2)</f>
        <v>1670</v>
      </c>
      <c r="Q2" s="32">
        <f>IF(AND(Builder!E2="Insurance / Org Tariff",IFERROR(INDEX(Reference!$EZ$2:$EZ$1000, MATCH(F2, Reference!$EX$2:$EX$1000, 0)), "No")="Yes"),0,H2*L2)</f>
        <v>1850</v>
      </c>
      <c r="R2" s="32">
        <f>IF(AND(Builder!E2="Insurance / Org Tariff",IFERROR(INDEX(Reference!$EZ$2:$EZ$1000, MATCH(F2, Reference!$EX$2:$EX$1000, 0)), "No")="Yes"),0,I2*L2)</f>
        <v>1850</v>
      </c>
      <c r="S2" s="32">
        <f>IF(AND(Builder!E2="Insurance / Org Tariff",IFERROR(INDEX(Reference!$EZ$2:$EZ$1000, MATCH(F2, Reference!$EX$2:$EX$1000, 0)), "No")="Yes"),0,J2*L2)</f>
        <v>1850</v>
      </c>
      <c r="T2" s="32">
        <f>IF(AND(Builder!E2="Insurance / Org Tariff",IFERROR(INDEX(Reference!$EZ$2:$EZ$1000, MATCH(F2, Reference!$EX$2:$EX$1000, 0)), "No")="Yes"),0,H2*M2)</f>
        <v>1990</v>
      </c>
      <c r="U2" s="32">
        <f>IF(AND(Builder!E2="Insurance / Org Tariff",IFERROR(INDEX(Reference!$EZ$2:$EZ$1000, MATCH(F2, Reference!$EX$2:$EX$1000, 0)), "No")="Yes"),0,I2*M2)</f>
        <v>1990</v>
      </c>
      <c r="V2" s="32">
        <f>IF(AND(Builder!E2="Insurance / Org Tariff",IFERROR(INDEX(Reference!$EZ$2:$EZ$1000, MATCH(F2, Reference!$EX$2:$EX$1000, 0)), "No")="Yes"),0,J2*M2)</f>
        <v>1990</v>
      </c>
      <c r="W2" s="32">
        <f>IF(Builder!B5="Low",N2,IF(Builder!B5="Typical",O2,P2))</f>
        <v>1670</v>
      </c>
      <c r="X2" s="32">
        <f>IF(Builder!B5="Low",Q2,IF(Builder!B5="Typical",R2,S2))</f>
        <v>1850</v>
      </c>
      <c r="Y2" s="32">
        <f>IF(Builder!B5="Low",T2,IF(Builder!B5="Typical",U2,V2))</f>
        <v>1990</v>
      </c>
    </row>
    <row r="3" ht="15" customHeight="1" spans="1:25" x14ac:dyDescent="0.25">
      <c r="A3" s="14" t="s">
        <v>552</v>
      </c>
      <c r="B3" s="40" t="s">
        <v>79</v>
      </c>
      <c r="C3" s="14" t="s">
        <v>553</v>
      </c>
      <c r="D3" s="14" t="s">
        <v>554</v>
      </c>
      <c r="E3" s="14" t="s">
        <v>555</v>
      </c>
      <c r="F3" s="40" t="s">
        <v>556</v>
      </c>
      <c r="G3" s="32">
        <f>Builder!G12</f>
        <v>1</v>
      </c>
      <c r="H3" s="32">
        <f>Builder!B12</f>
        <v>0</v>
      </c>
      <c r="I3" s="32">
        <f>Builder!C12</f>
        <v>1</v>
      </c>
      <c r="J3" s="32">
        <f>Builder!D12</f>
        <v>2</v>
      </c>
      <c r="K3" s="32">
        <f>0+IFERROR(INDEX(Reference!$EG$2:$EG$8000, MATCH(Builder!E5&amp;"|"&amp;F3, Reference!$EB$2:$EB$8000, 0)), 550)</f>
        <v>550</v>
      </c>
      <c r="L3" s="32">
        <f>0+IFERROR(INDEX(Reference!$EH$2:$EH$8000, MATCH(Builder!E5&amp;"|"&amp;F3, Reference!$EB$2:$EB$8000, 0)), 850)</f>
        <v>850</v>
      </c>
      <c r="M3" s="32">
        <f>0+IFERROR(INDEX(Reference!$EI$2:$EI$8000, MATCH(Builder!E5&amp;"|"&amp;F3, Reference!$EB$2:$EB$8000, 0)), 1200)</f>
        <v>1200</v>
      </c>
      <c r="N3" s="32">
        <f>IF(AND(Builder!E2="Insurance / Org Tariff",IFERROR(INDEX(Reference!$EZ$2:$EZ$1000, MATCH(F3, Reference!$EX$2:$EX$1000, 0)), "No")="Yes"),0,H3*K3)</f>
        <v>0</v>
      </c>
      <c r="O3" s="32">
        <f>IF(AND(Builder!E2="Insurance / Org Tariff",IFERROR(INDEX(Reference!$EZ$2:$EZ$1000, MATCH(F3, Reference!$EX$2:$EX$1000, 0)), "No")="Yes"),0,I3*K3)</f>
        <v>550</v>
      </c>
      <c r="P3" s="32">
        <f>IF(AND(Builder!E2="Insurance / Org Tariff",IFERROR(INDEX(Reference!$EZ$2:$EZ$1000, MATCH(F3, Reference!$EX$2:$EX$1000, 0)), "No")="Yes"),0,J3*K3)</f>
        <v>1100</v>
      </c>
      <c r="Q3" s="32">
        <f>IF(AND(Builder!E2="Insurance / Org Tariff",IFERROR(INDEX(Reference!$EZ$2:$EZ$1000, MATCH(F3, Reference!$EX$2:$EX$1000, 0)), "No")="Yes"),0,H3*L3)</f>
        <v>0</v>
      </c>
      <c r="R3" s="32">
        <f>IF(AND(Builder!E2="Insurance / Org Tariff",IFERROR(INDEX(Reference!$EZ$2:$EZ$1000, MATCH(F3, Reference!$EX$2:$EX$1000, 0)), "No")="Yes"),0,I3*L3)</f>
        <v>850</v>
      </c>
      <c r="S3" s="32">
        <f>IF(AND(Builder!E2="Insurance / Org Tariff",IFERROR(INDEX(Reference!$EZ$2:$EZ$1000, MATCH(F3, Reference!$EX$2:$EX$1000, 0)), "No")="Yes"),0,J3*L3)</f>
        <v>1700</v>
      </c>
      <c r="T3" s="32">
        <f>IF(AND(Builder!E2="Insurance / Org Tariff",IFERROR(INDEX(Reference!$EZ$2:$EZ$1000, MATCH(F3, Reference!$EX$2:$EX$1000, 0)), "No")="Yes"),0,H3*M3)</f>
        <v>0</v>
      </c>
      <c r="U3" s="32">
        <f>IF(AND(Builder!E2="Insurance / Org Tariff",IFERROR(INDEX(Reference!$EZ$2:$EZ$1000, MATCH(F3, Reference!$EX$2:$EX$1000, 0)), "No")="Yes"),0,I3*M3)</f>
        <v>1200</v>
      </c>
      <c r="V3" s="32">
        <f>IF(AND(Builder!E2="Insurance / Org Tariff",IFERROR(INDEX(Reference!$EZ$2:$EZ$1000, MATCH(F3, Reference!$EX$2:$EX$1000, 0)), "No")="Yes"),0,J3*M3)</f>
        <v>2400</v>
      </c>
      <c r="W3" s="32">
        <f>IF(AND(Builder!E2="Insurance / Org Tariff",IFERROR(INDEX(Reference!$EZ$2:$EZ$1000, MATCH(F3, Reference!$EX$2:$EX$1000, 0)), "No")="Yes"),0,G3*K3)</f>
        <v>550</v>
      </c>
      <c r="X3" s="32">
        <f>IF(AND(Builder!E2="Insurance / Org Tariff",IFERROR(INDEX(Reference!$EZ$2:$EZ$1000, MATCH(F3, Reference!$EX$2:$EX$1000, 0)), "No")="Yes"),0,G3*L3)</f>
        <v>850</v>
      </c>
      <c r="Y3" s="32">
        <f>IF(AND(Builder!E2="Insurance / Org Tariff",IFERROR(INDEX(Reference!$EZ$2:$EZ$1000, MATCH(F3, Reference!$EX$2:$EX$1000, 0)), "No")="Yes"),0,G3*M3)</f>
        <v>1200</v>
      </c>
    </row>
    <row r="4" ht="15" customHeight="1" spans="1:25" x14ac:dyDescent="0.25">
      <c r="A4" s="14" t="s">
        <v>557</v>
      </c>
      <c r="B4" s="40" t="s">
        <v>79</v>
      </c>
      <c r="C4" s="14" t="s">
        <v>558</v>
      </c>
      <c r="D4" s="14" t="s">
        <v>554</v>
      </c>
      <c r="E4" s="14" t="s">
        <v>559</v>
      </c>
      <c r="F4" s="40" t="s">
        <v>556</v>
      </c>
      <c r="G4" s="32">
        <f>Builder!G11</f>
        <v>2</v>
      </c>
      <c r="H4" s="32">
        <f>Builder!B11</f>
        <v>2</v>
      </c>
      <c r="I4" s="32">
        <f>Builder!C11</f>
        <v>2</v>
      </c>
      <c r="J4" s="32">
        <f>Builder!D11</f>
        <v>3</v>
      </c>
      <c r="K4" s="32">
        <f>0+IFERROR(INDEX(Reference!$EJ$2:$EJ$8000, MATCH(Builder!E5&amp;"|"&amp;F4, Reference!$EB$2:$EB$8000, 0)), 1200)</f>
        <v>1200</v>
      </c>
      <c r="L4" s="32">
        <f>0+IFERROR(INDEX(Reference!$EJ$2:$EJ$8000, MATCH(Builder!E5&amp;"|"&amp;F4, Reference!$EB$2:$EB$8000, 0)), 1200)</f>
        <v>1200</v>
      </c>
      <c r="M4" s="32">
        <f>0+IFERROR(INDEX(Reference!$EJ$2:$EJ$8000, MATCH(Builder!E5&amp;"|"&amp;F4, Reference!$EB$2:$EB$8000, 0)), 1200)</f>
        <v>1200</v>
      </c>
      <c r="N4" s="32">
        <f>IF(AND(Builder!E2="Insurance / Org Tariff",IFERROR(INDEX(Reference!$EZ$2:$EZ$1000, MATCH(F4, Reference!$EX$2:$EX$1000, 0)), "No")="Yes"),0,H4*K4)</f>
        <v>2400</v>
      </c>
      <c r="O4" s="32">
        <f>IF(AND(Builder!E2="Insurance / Org Tariff",IFERROR(INDEX(Reference!$EZ$2:$EZ$1000, MATCH(F4, Reference!$EX$2:$EX$1000, 0)), "No")="Yes"),0,I4*K4)</f>
        <v>2400</v>
      </c>
      <c r="P4" s="32">
        <f>IF(AND(Builder!E2="Insurance / Org Tariff",IFERROR(INDEX(Reference!$EZ$2:$EZ$1000, MATCH(F4, Reference!$EX$2:$EX$1000, 0)), "No")="Yes"),0,J4*K4)</f>
        <v>3600</v>
      </c>
      <c r="Q4" s="32">
        <f>IF(AND(Builder!E2="Insurance / Org Tariff",IFERROR(INDEX(Reference!$EZ$2:$EZ$1000, MATCH(F4, Reference!$EX$2:$EX$1000, 0)), "No")="Yes"),0,H4*L4)</f>
        <v>2400</v>
      </c>
      <c r="R4" s="32">
        <f>IF(AND(Builder!E2="Insurance / Org Tariff",IFERROR(INDEX(Reference!$EZ$2:$EZ$1000, MATCH(F4, Reference!$EX$2:$EX$1000, 0)), "No")="Yes"),0,I4*L4)</f>
        <v>2400</v>
      </c>
      <c r="S4" s="32">
        <f>IF(AND(Builder!E2="Insurance / Org Tariff",IFERROR(INDEX(Reference!$EZ$2:$EZ$1000, MATCH(F4, Reference!$EX$2:$EX$1000, 0)), "No")="Yes"),0,J4*L4)</f>
        <v>3600</v>
      </c>
      <c r="T4" s="32">
        <f>IF(AND(Builder!E2="Insurance / Org Tariff",IFERROR(INDEX(Reference!$EZ$2:$EZ$1000, MATCH(F4, Reference!$EX$2:$EX$1000, 0)), "No")="Yes"),0,H4*M4)</f>
        <v>2400</v>
      </c>
      <c r="U4" s="32">
        <f>IF(AND(Builder!E2="Insurance / Org Tariff",IFERROR(INDEX(Reference!$EZ$2:$EZ$1000, MATCH(F4, Reference!$EX$2:$EX$1000, 0)), "No")="Yes"),0,I4*M4)</f>
        <v>2400</v>
      </c>
      <c r="V4" s="32">
        <f>IF(AND(Builder!E2="Insurance / Org Tariff",IFERROR(INDEX(Reference!$EZ$2:$EZ$1000, MATCH(F4, Reference!$EX$2:$EX$1000, 0)), "No")="Yes"),0,J4*M4)</f>
        <v>3600</v>
      </c>
      <c r="W4" s="32">
        <f>IF(AND(Builder!E2="Insurance / Org Tariff",IFERROR(INDEX(Reference!$EZ$2:$EZ$1000, MATCH(F4, Reference!$EX$2:$EX$1000, 0)), "No")="Yes"),0,G4*K4)</f>
        <v>2400</v>
      </c>
      <c r="X4" s="32">
        <f>IF(AND(Builder!E2="Insurance / Org Tariff",IFERROR(INDEX(Reference!$EZ$2:$EZ$1000, MATCH(F4, Reference!$EX$2:$EX$1000, 0)), "No")="Yes"),0,G4*L4)</f>
        <v>2400</v>
      </c>
      <c r="Y4" s="32">
        <f>IF(AND(Builder!E2="Insurance / Org Tariff",IFERROR(INDEX(Reference!$EZ$2:$EZ$1000, MATCH(F4, Reference!$EX$2:$EX$1000, 0)), "No")="Yes"),0,G4*M4)</f>
        <v>2400</v>
      </c>
    </row>
    <row r="5" ht="15" customHeight="1" spans="1:25" x14ac:dyDescent="0.25">
      <c r="A5" s="14" t="s">
        <v>560</v>
      </c>
      <c r="B5" s="40" t="s">
        <v>79</v>
      </c>
      <c r="C5" s="14" t="s">
        <v>553</v>
      </c>
      <c r="D5" s="14" t="s">
        <v>554</v>
      </c>
      <c r="E5" s="14" t="s">
        <v>555</v>
      </c>
      <c r="F5" s="40" t="s">
        <v>561</v>
      </c>
      <c r="G5" s="32">
        <f>Builder!G12</f>
        <v>1</v>
      </c>
      <c r="H5" s="32">
        <f>Builder!B12</f>
        <v>0</v>
      </c>
      <c r="I5" s="32">
        <f>Builder!C12</f>
        <v>1</v>
      </c>
      <c r="J5" s="32">
        <f>Builder!D12</f>
        <v>2</v>
      </c>
      <c r="K5" s="32">
        <f>0+IFERROR(INDEX(Reference!$EG$2:$EG$8000, MATCH(Builder!E5&amp;"|"&amp;F5, Reference!$EB$2:$EB$8000, 0)), 1250)</f>
        <v>1250</v>
      </c>
      <c r="L5" s="32">
        <f>0+IFERROR(INDEX(Reference!$EH$2:$EH$8000, MATCH(Builder!E5&amp;"|"&amp;F5, Reference!$EB$2:$EB$8000, 0)), 1250)</f>
        <v>1250</v>
      </c>
      <c r="M5" s="32">
        <f>0+IFERROR(INDEX(Reference!$EI$2:$EI$8000, MATCH(Builder!E5&amp;"|"&amp;F5, Reference!$EB$2:$EB$8000, 0)), 1250)</f>
        <v>1250</v>
      </c>
      <c r="N5" s="32">
        <f>IF(AND(Builder!E2="Insurance / Org Tariff",IFERROR(INDEX(Reference!$EZ$2:$EZ$1000, MATCH(F5, Reference!$EX$2:$EX$1000, 0)), "No")="Yes"),0,H5*K5)</f>
        <v>0</v>
      </c>
      <c r="O5" s="32">
        <f>IF(AND(Builder!E2="Insurance / Org Tariff",IFERROR(INDEX(Reference!$EZ$2:$EZ$1000, MATCH(F5, Reference!$EX$2:$EX$1000, 0)), "No")="Yes"),0,I5*K5)</f>
        <v>1250</v>
      </c>
      <c r="P5" s="32">
        <f>IF(AND(Builder!E2="Insurance / Org Tariff",IFERROR(INDEX(Reference!$EZ$2:$EZ$1000, MATCH(F5, Reference!$EX$2:$EX$1000, 0)), "No")="Yes"),0,J5*K5)</f>
        <v>2500</v>
      </c>
      <c r="Q5" s="32">
        <f>IF(AND(Builder!E2="Insurance / Org Tariff",IFERROR(INDEX(Reference!$EZ$2:$EZ$1000, MATCH(F5, Reference!$EX$2:$EX$1000, 0)), "No")="Yes"),0,H5*L5)</f>
        <v>0</v>
      </c>
      <c r="R5" s="32">
        <f>IF(AND(Builder!E2="Insurance / Org Tariff",IFERROR(INDEX(Reference!$EZ$2:$EZ$1000, MATCH(F5, Reference!$EX$2:$EX$1000, 0)), "No")="Yes"),0,I5*L5)</f>
        <v>1250</v>
      </c>
      <c r="S5" s="32">
        <f>IF(AND(Builder!E2="Insurance / Org Tariff",IFERROR(INDEX(Reference!$EZ$2:$EZ$1000, MATCH(F5, Reference!$EX$2:$EX$1000, 0)), "No")="Yes"),0,J5*L5)</f>
        <v>2500</v>
      </c>
      <c r="T5" s="32">
        <f>IF(AND(Builder!E2="Insurance / Org Tariff",IFERROR(INDEX(Reference!$EZ$2:$EZ$1000, MATCH(F5, Reference!$EX$2:$EX$1000, 0)), "No")="Yes"),0,H5*M5)</f>
        <v>0</v>
      </c>
      <c r="U5" s="32">
        <f>IF(AND(Builder!E2="Insurance / Org Tariff",IFERROR(INDEX(Reference!$EZ$2:$EZ$1000, MATCH(F5, Reference!$EX$2:$EX$1000, 0)), "No")="Yes"),0,I5*M5)</f>
        <v>1250</v>
      </c>
      <c r="V5" s="32">
        <f>IF(AND(Builder!E2="Insurance / Org Tariff",IFERROR(INDEX(Reference!$EZ$2:$EZ$1000, MATCH(F5, Reference!$EX$2:$EX$1000, 0)), "No")="Yes"),0,J5*M5)</f>
        <v>2500</v>
      </c>
      <c r="W5" s="32">
        <f>IF(AND(Builder!E2="Insurance / Org Tariff",IFERROR(INDEX(Reference!$EZ$2:$EZ$1000, MATCH(F5, Reference!$EX$2:$EX$1000, 0)), "No")="Yes"),0,G5*K5)</f>
        <v>1250</v>
      </c>
      <c r="X5" s="32">
        <f>IF(AND(Builder!E2="Insurance / Org Tariff",IFERROR(INDEX(Reference!$EZ$2:$EZ$1000, MATCH(F5, Reference!$EX$2:$EX$1000, 0)), "No")="Yes"),0,G5*L5)</f>
        <v>1250</v>
      </c>
      <c r="Y5" s="32">
        <f>IF(AND(Builder!E2="Insurance / Org Tariff",IFERROR(INDEX(Reference!$EZ$2:$EZ$1000, MATCH(F5, Reference!$EX$2:$EX$1000, 0)), "No")="Yes"),0,G5*M5)</f>
        <v>1250</v>
      </c>
    </row>
    <row r="6" ht="15" customHeight="1" spans="1:25" x14ac:dyDescent="0.25">
      <c r="A6" s="14" t="s">
        <v>562</v>
      </c>
      <c r="B6" s="40" t="s">
        <v>79</v>
      </c>
      <c r="C6" s="14" t="s">
        <v>558</v>
      </c>
      <c r="D6" s="14" t="s">
        <v>554</v>
      </c>
      <c r="E6" s="14" t="s">
        <v>559</v>
      </c>
      <c r="F6" s="40" t="s">
        <v>563</v>
      </c>
      <c r="G6" s="32">
        <f>Builder!G11</f>
        <v>2</v>
      </c>
      <c r="H6" s="32">
        <f>Builder!B11</f>
        <v>2</v>
      </c>
      <c r="I6" s="32">
        <f>Builder!C11</f>
        <v>2</v>
      </c>
      <c r="J6" s="32">
        <f>Builder!D11</f>
        <v>3</v>
      </c>
      <c r="K6" s="32">
        <f>0+IFERROR(INDEX(Reference!$EJ$2:$EJ$8000, MATCH(Builder!E5&amp;"|"&amp;F6, Reference!$EB$2:$EB$8000, 0)), 10500)</f>
        <v>10500</v>
      </c>
      <c r="L6" s="32">
        <f>0+IFERROR(INDEX(Reference!$EJ$2:$EJ$8000, MATCH(Builder!E5&amp;"|"&amp;F6, Reference!$EB$2:$EB$8000, 0)), 10500)</f>
        <v>10500</v>
      </c>
      <c r="M6" s="32">
        <f>0+IFERROR(INDEX(Reference!$EJ$2:$EJ$8000, MATCH(Builder!E5&amp;"|"&amp;F6, Reference!$EB$2:$EB$8000, 0)), 10500)</f>
        <v>10500</v>
      </c>
      <c r="N6" s="32">
        <f>IF(AND(Builder!E2="Insurance / Org Tariff",IFERROR(INDEX(Reference!$EZ$2:$EZ$1000, MATCH(F6, Reference!$EX$2:$EX$1000, 0)), "No")="Yes"),0,H6*K6)</f>
        <v>21000</v>
      </c>
      <c r="O6" s="32">
        <f>IF(AND(Builder!E2="Insurance / Org Tariff",IFERROR(INDEX(Reference!$EZ$2:$EZ$1000, MATCH(F6, Reference!$EX$2:$EX$1000, 0)), "No")="Yes"),0,I6*K6)</f>
        <v>21000</v>
      </c>
      <c r="P6" s="32">
        <f>IF(AND(Builder!E2="Insurance / Org Tariff",IFERROR(INDEX(Reference!$EZ$2:$EZ$1000, MATCH(F6, Reference!$EX$2:$EX$1000, 0)), "No")="Yes"),0,J6*K6)</f>
        <v>31500</v>
      </c>
      <c r="Q6" s="32">
        <f>IF(AND(Builder!E2="Insurance / Org Tariff",IFERROR(INDEX(Reference!$EZ$2:$EZ$1000, MATCH(F6, Reference!$EX$2:$EX$1000, 0)), "No")="Yes"),0,H6*L6)</f>
        <v>21000</v>
      </c>
      <c r="R6" s="32">
        <f>IF(AND(Builder!E2="Insurance / Org Tariff",IFERROR(INDEX(Reference!$EZ$2:$EZ$1000, MATCH(F6, Reference!$EX$2:$EX$1000, 0)), "No")="Yes"),0,I6*L6)</f>
        <v>21000</v>
      </c>
      <c r="S6" s="32">
        <f>IF(AND(Builder!E2="Insurance / Org Tariff",IFERROR(INDEX(Reference!$EZ$2:$EZ$1000, MATCH(F6, Reference!$EX$2:$EX$1000, 0)), "No")="Yes"),0,J6*L6)</f>
        <v>31500</v>
      </c>
      <c r="T6" s="32">
        <f>IF(AND(Builder!E2="Insurance / Org Tariff",IFERROR(INDEX(Reference!$EZ$2:$EZ$1000, MATCH(F6, Reference!$EX$2:$EX$1000, 0)), "No")="Yes"),0,H6*M6)</f>
        <v>21000</v>
      </c>
      <c r="U6" s="32">
        <f>IF(AND(Builder!E2="Insurance / Org Tariff",IFERROR(INDEX(Reference!$EZ$2:$EZ$1000, MATCH(F6, Reference!$EX$2:$EX$1000, 0)), "No")="Yes"),0,I6*M6)</f>
        <v>21000</v>
      </c>
      <c r="V6" s="32">
        <f>IF(AND(Builder!E2="Insurance / Org Tariff",IFERROR(INDEX(Reference!$EZ$2:$EZ$1000, MATCH(F6, Reference!$EX$2:$EX$1000, 0)), "No")="Yes"),0,J6*M6)</f>
        <v>31500</v>
      </c>
      <c r="W6" s="32">
        <f>IF(AND(Builder!E2="Insurance / Org Tariff",IFERROR(INDEX(Reference!$EZ$2:$EZ$1000, MATCH(F6, Reference!$EX$2:$EX$1000, 0)), "No")="Yes"),0,G6*K6)</f>
        <v>21000</v>
      </c>
      <c r="X6" s="32">
        <f>IF(AND(Builder!E2="Insurance / Org Tariff",IFERROR(INDEX(Reference!$EZ$2:$EZ$1000, MATCH(F6, Reference!$EX$2:$EX$1000, 0)), "No")="Yes"),0,G6*L6)</f>
        <v>21000</v>
      </c>
      <c r="Y6" s="32">
        <f>IF(AND(Builder!E2="Insurance / Org Tariff",IFERROR(INDEX(Reference!$EZ$2:$EZ$1000, MATCH(F6, Reference!$EX$2:$EX$1000, 0)), "No")="Yes"),0,G6*M6)</f>
        <v>21000</v>
      </c>
    </row>
    <row r="7" ht="15" customHeight="1" spans="1:25" x14ac:dyDescent="0.25">
      <c r="A7" s="14" t="s">
        <v>564</v>
      </c>
      <c r="B7" s="40" t="s">
        <v>79</v>
      </c>
      <c r="C7" s="14" t="s">
        <v>553</v>
      </c>
      <c r="D7" s="14" t="s">
        <v>554</v>
      </c>
      <c r="E7" s="14" t="s">
        <v>565</v>
      </c>
      <c r="F7" s="40" t="s">
        <v>566</v>
      </c>
      <c r="G7" s="32">
        <f>Builder!G12</f>
        <v>1</v>
      </c>
      <c r="H7" s="32">
        <f>Builder!B12</f>
        <v>0</v>
      </c>
      <c r="I7" s="32">
        <f>Builder!C12</f>
        <v>1</v>
      </c>
      <c r="J7" s="32">
        <f>Builder!D12</f>
        <v>2</v>
      </c>
      <c r="K7" s="32">
        <f>0+IFERROR(INDEX(Reference!$EG$2:$EG$8000, MATCH(Builder!E5&amp;"|"&amp;"ROM0001", Reference!$EB$2:$EB$8000, 0)), 3320)</f>
        <v>3320</v>
      </c>
      <c r="L7" s="32">
        <f>0+IFERROR(INDEX(Reference!$EG$2:$EG$8000, MATCH(Builder!E5&amp;"|"&amp;"ROM0024", Reference!$EB$2:$EB$8000, 0)), 4660)</f>
        <v>4660</v>
      </c>
      <c r="M7" s="32">
        <f>0+IFERROR(INDEX(Reference!$EG$2:$EG$8000, MATCH(Builder!E5&amp;"|"&amp;"ROM0036", Reference!$EB$2:$EB$8000, 0)), 7680)</f>
        <v>7680</v>
      </c>
      <c r="N7" s="32">
        <f>H7*K7</f>
        <v>0</v>
      </c>
      <c r="O7" s="32">
        <f>I7*K7</f>
        <v>3320</v>
      </c>
      <c r="P7" s="32">
        <f>J7*K7</f>
        <v>6640</v>
      </c>
      <c r="Q7" s="32">
        <f>H7*L7</f>
        <v>0</v>
      </c>
      <c r="R7" s="32">
        <f>I7*L7</f>
        <v>4660</v>
      </c>
      <c r="S7" s="32">
        <f>J7*L7</f>
        <v>9320</v>
      </c>
      <c r="T7" s="32">
        <f>H7*M7</f>
        <v>0</v>
      </c>
      <c r="U7" s="32">
        <f>I7*M7</f>
        <v>7680</v>
      </c>
      <c r="V7" s="32">
        <f>J7*M7</f>
        <v>15360</v>
      </c>
      <c r="W7" s="32">
        <f>G7*K7</f>
        <v>3320</v>
      </c>
      <c r="X7" s="32">
        <f>G7*L7</f>
        <v>4660</v>
      </c>
      <c r="Y7" s="32">
        <f>G7*M7</f>
        <v>7680</v>
      </c>
    </row>
    <row r="8" ht="26.85" customHeight="1" spans="1:25" x14ac:dyDescent="0.25">
      <c r="A8" s="14" t="s">
        <v>567</v>
      </c>
      <c r="B8" s="40" t="s">
        <v>88</v>
      </c>
      <c r="C8" s="14" t="s">
        <v>568</v>
      </c>
      <c r="D8" s="14" t="s">
        <v>549</v>
      </c>
      <c r="E8" s="14" t="s">
        <v>550</v>
      </c>
      <c r="F8" s="40" t="s">
        <v>569</v>
      </c>
      <c r="G8" s="32">
        <f>IF(Builder!B5="Low",H8,IF(Builder!B5="Typical",I8,J8))</f>
        <v>1</v>
      </c>
      <c r="H8" s="32">
        <f>IFERROR(INDEX(Reference!$CX$2:$CX$4000, MATCH(Builder!G6&amp;"|"&amp;F8, Reference!$CQ$2:$CQ$4000, 0)), 1)</f>
        <v>1</v>
      </c>
      <c r="I8" s="32">
        <f>IFERROR(INDEX(Reference!$CY$2:$CY$4000, MATCH(Builder!G6&amp;"|"&amp;F8, Reference!$CQ$2:$CQ$4000, 0)), 1)</f>
        <v>1</v>
      </c>
      <c r="J8" s="32">
        <f>IFERROR(INDEX(Reference!$CZ$2:$CZ$4000, MATCH(Builder!G6&amp;"|"&amp;F8, Reference!$CQ$2:$CQ$4000, 0)), 1)</f>
        <v>1</v>
      </c>
      <c r="K8" s="32">
        <f>0+IFERROR(INDEX(Reference!$EG$2:$EG$8000, MATCH(Builder!E5&amp;"|"&amp;F8, Reference!$EB$2:$EB$8000, 0)), 2000)</f>
        <v>2000</v>
      </c>
      <c r="L8" s="32">
        <f>0+IFERROR(INDEX(Reference!$EH$2:$EH$8000, MATCH(Builder!E5&amp;"|"&amp;F8, Reference!$EB$2:$EB$8000, 0)), 2000)</f>
        <v>2000</v>
      </c>
      <c r="M8" s="32">
        <f>0+IFERROR(INDEX(Reference!$EI$2:$EI$8000, MATCH(Builder!E5&amp;"|"&amp;F8, Reference!$EB$2:$EB$8000, 0)), 2000)</f>
        <v>2000</v>
      </c>
      <c r="N8" s="32">
        <f>IF(AND(Builder!E2="Insurance / Org Tariff",IFERROR(INDEX(Reference!$EZ$2:$EZ$1000, MATCH(F8, Reference!$EX$2:$EX$1000, 0)), "No")="Yes"),0,H8*K8)</f>
        <v>2000</v>
      </c>
      <c r="O8" s="32">
        <f>IF(AND(Builder!E2="Insurance / Org Tariff",IFERROR(INDEX(Reference!$EZ$2:$EZ$1000, MATCH(F8, Reference!$EX$2:$EX$1000, 0)), "No")="Yes"),0,I8*K8)</f>
        <v>2000</v>
      </c>
      <c r="P8" s="32">
        <f>IF(AND(Builder!E2="Insurance / Org Tariff",IFERROR(INDEX(Reference!$EZ$2:$EZ$1000, MATCH(F8, Reference!$EX$2:$EX$1000, 0)), "No")="Yes"),0,J8*K8)</f>
        <v>2000</v>
      </c>
      <c r="Q8" s="32">
        <f>IF(AND(Builder!E2="Insurance / Org Tariff",IFERROR(INDEX(Reference!$EZ$2:$EZ$1000, MATCH(F8, Reference!$EX$2:$EX$1000, 0)), "No")="Yes"),0,H8*L8)</f>
        <v>2000</v>
      </c>
      <c r="R8" s="32">
        <f>IF(AND(Builder!E2="Insurance / Org Tariff",IFERROR(INDEX(Reference!$EZ$2:$EZ$1000, MATCH(F8, Reference!$EX$2:$EX$1000, 0)), "No")="Yes"),0,I8*L8)</f>
        <v>2000</v>
      </c>
      <c r="S8" s="32">
        <f>IF(AND(Builder!E2="Insurance / Org Tariff",IFERROR(INDEX(Reference!$EZ$2:$EZ$1000, MATCH(F8, Reference!$EX$2:$EX$1000, 0)), "No")="Yes"),0,J8*L8)</f>
        <v>2000</v>
      </c>
      <c r="T8" s="32">
        <f>IF(AND(Builder!E2="Insurance / Org Tariff",IFERROR(INDEX(Reference!$EZ$2:$EZ$1000, MATCH(F8, Reference!$EX$2:$EX$1000, 0)), "No")="Yes"),0,H8*M8)</f>
        <v>2000</v>
      </c>
      <c r="U8" s="32">
        <f>IF(AND(Builder!E2="Insurance / Org Tariff",IFERROR(INDEX(Reference!$EZ$2:$EZ$1000, MATCH(F8, Reference!$EX$2:$EX$1000, 0)), "No")="Yes"),0,I8*M8)</f>
        <v>2000</v>
      </c>
      <c r="V8" s="32">
        <f>IF(AND(Builder!E2="Insurance / Org Tariff",IFERROR(INDEX(Reference!$EZ$2:$EZ$1000, MATCH(F8, Reference!$EX$2:$EX$1000, 0)), "No")="Yes"),0,J8*M8)</f>
        <v>2000</v>
      </c>
      <c r="W8" s="32">
        <f>IF(Builder!B5="Low",N8,IF(Builder!B5="Typical",O8,P8))</f>
        <v>2000</v>
      </c>
      <c r="X8" s="32">
        <f>IF(Builder!B5="Low",Q8,IF(Builder!B5="Typical",R8,S8))</f>
        <v>2000</v>
      </c>
      <c r="Y8" s="32">
        <f>IF(Builder!B5="Low",T8,IF(Builder!B5="Typical",U8,V8))</f>
        <v>2000</v>
      </c>
    </row>
    <row r="9" ht="15" customHeight="1" spans="1:25" x14ac:dyDescent="0.25">
      <c r="A9" s="14" t="s">
        <v>570</v>
      </c>
      <c r="B9" s="40" t="s">
        <v>90</v>
      </c>
      <c r="C9" s="14" t="s">
        <v>571</v>
      </c>
      <c r="D9" s="14" t="s">
        <v>554</v>
      </c>
      <c r="E9" s="14" t="s">
        <v>572</v>
      </c>
      <c r="F9" s="40" t="s">
        <v>573</v>
      </c>
      <c r="G9" s="32">
        <v>1</v>
      </c>
      <c r="H9" s="32">
        <v>1</v>
      </c>
      <c r="I9" s="32">
        <v>1</v>
      </c>
      <c r="J9" s="32">
        <v>1</v>
      </c>
      <c r="K9" s="32">
        <f>0+IFERROR(INDEX(Reference!$EG$2:$EG$8000, MATCH(Builder!E5&amp;"|"&amp;F9, Reference!$EB$2:$EB$8000, 0)), 1300)</f>
        <v>1300</v>
      </c>
      <c r="L9" s="32">
        <f>0+IFERROR(INDEX(Reference!$EH$2:$EH$8000, MATCH(Builder!E5&amp;"|"&amp;F9, Reference!$EB$2:$EB$8000, 0)), 1300)</f>
        <v>1300</v>
      </c>
      <c r="M9" s="32">
        <f>0+IFERROR(INDEX(Reference!$EI$2:$EI$8000, MATCH(Builder!E5&amp;"|"&amp;F9, Reference!$EB$2:$EB$8000, 0)), 1300)</f>
        <v>1300</v>
      </c>
      <c r="N9" s="32">
        <f>IF(AND(Builder!E2="Insurance / Org Tariff",IFERROR(INDEX(Reference!$EZ$2:$EZ$1000, MATCH(F9, Reference!$EX$2:$EX$1000, 0)), "No")="Yes"),0,K9)</f>
        <v>1300</v>
      </c>
      <c r="O9" s="32">
        <f>IF(AND(Builder!E2="Insurance / Org Tariff",IFERROR(INDEX(Reference!$EZ$2:$EZ$1000, MATCH(F9, Reference!$EX$2:$EX$1000, 0)), "No")="Yes"),0,K9)</f>
        <v>1300</v>
      </c>
      <c r="P9" s="32">
        <f>IF(AND(Builder!E2="Insurance / Org Tariff",IFERROR(INDEX(Reference!$EZ$2:$EZ$1000, MATCH(F9, Reference!$EX$2:$EX$1000, 0)), "No")="Yes"),0,K9)</f>
        <v>1300</v>
      </c>
      <c r="Q9" s="32">
        <f>IF(AND(Builder!E2="Insurance / Org Tariff",IFERROR(INDEX(Reference!$EZ$2:$EZ$1000, MATCH(F9, Reference!$EX$2:$EX$1000, 0)), "No")="Yes"),0,L9)</f>
        <v>1300</v>
      </c>
      <c r="R9" s="32">
        <f>IF(AND(Builder!E2="Insurance / Org Tariff",IFERROR(INDEX(Reference!$EZ$2:$EZ$1000, MATCH(F9, Reference!$EX$2:$EX$1000, 0)), "No")="Yes"),0,L9)</f>
        <v>1300</v>
      </c>
      <c r="S9" s="32">
        <f>IF(AND(Builder!E2="Insurance / Org Tariff",IFERROR(INDEX(Reference!$EZ$2:$EZ$1000, MATCH(F9, Reference!$EX$2:$EX$1000, 0)), "No")="Yes"),0,L9)</f>
        <v>1300</v>
      </c>
      <c r="T9" s="32">
        <f>IF(AND(Builder!E2="Insurance / Org Tariff",IFERROR(INDEX(Reference!$EZ$2:$EZ$1000, MATCH(F9, Reference!$EX$2:$EX$1000, 0)), "No")="Yes"),0,M9)</f>
        <v>1300</v>
      </c>
      <c r="U9" s="32">
        <f>IF(AND(Builder!E2="Insurance / Org Tariff",IFERROR(INDEX(Reference!$EZ$2:$EZ$1000, MATCH(F9, Reference!$EX$2:$EX$1000, 0)), "No")="Yes"),0,M9)</f>
        <v>1300</v>
      </c>
      <c r="V9" s="32">
        <f>IF(AND(Builder!E2="Insurance / Org Tariff",IFERROR(INDEX(Reference!$EZ$2:$EZ$1000, MATCH(F9, Reference!$EX$2:$EX$1000, 0)), "No")="Yes"),0,M9)</f>
        <v>1300</v>
      </c>
      <c r="W9" s="32">
        <f>IF(AND(Builder!E2="Insurance / Org Tariff",IFERROR(INDEX(Reference!$EZ$2:$EZ$1000, MATCH(F9, Reference!$EX$2:$EX$1000, 0)), "No")="Yes"),0,K9)</f>
        <v>1300</v>
      </c>
      <c r="X9" s="32">
        <f>IF(AND(Builder!E2="Insurance / Org Tariff",IFERROR(INDEX(Reference!$EZ$2:$EZ$1000, MATCH(F9, Reference!$EX$2:$EX$1000, 0)), "No")="Yes"),0,L9)</f>
        <v>1300</v>
      </c>
      <c r="Y9" s="32">
        <f>IF(AND(Builder!E2="Insurance / Org Tariff",IFERROR(INDEX(Reference!$EZ$2:$EZ$1000, MATCH(F9, Reference!$EX$2:$EX$1000, 0)), "No")="Yes"),0,M9)</f>
        <v>1300</v>
      </c>
    </row>
    <row r="10" ht="26.85" customHeight="1" spans="1:25" x14ac:dyDescent="0.25">
      <c r="A10" s="14" t="s">
        <v>574</v>
      </c>
      <c r="B10" s="40" t="s">
        <v>88</v>
      </c>
      <c r="C10" s="14" t="s">
        <v>575</v>
      </c>
      <c r="D10" s="14" t="s">
        <v>549</v>
      </c>
      <c r="E10" s="14" t="s">
        <v>550</v>
      </c>
      <c r="F10" s="40" t="s">
        <v>576</v>
      </c>
      <c r="G10" s="32">
        <f>IF(Builder!B5="Low",H10,IF(Builder!B5="Typical",I10,J10))</f>
        <v>1</v>
      </c>
      <c r="H10" s="32">
        <f>IFERROR(INDEX(Reference!$CX$2:$CX$4000, MATCH(Builder!G6&amp;"|"&amp;F10, Reference!$CQ$2:$CQ$4000, 0)), 1)</f>
        <v>1</v>
      </c>
      <c r="I10" s="32">
        <f>IFERROR(INDEX(Reference!$CY$2:$CY$4000, MATCH(Builder!G6&amp;"|"&amp;F10, Reference!$CQ$2:$CQ$4000, 0)), 1)</f>
        <v>1</v>
      </c>
      <c r="J10" s="32">
        <f>IFERROR(INDEX(Reference!$CZ$2:$CZ$4000, MATCH(Builder!G6&amp;"|"&amp;F10, Reference!$CQ$2:$CQ$4000, 0)), 1)</f>
        <v>1</v>
      </c>
      <c r="K10" s="32">
        <f>0+IFERROR(INDEX(Reference!$EG$2:$EG$8000, MATCH(Builder!E5&amp;"|"&amp;F10, Reference!$EB$2:$EB$8000, 0)), 2030)</f>
        <v>2030</v>
      </c>
      <c r="L10" s="32">
        <f>0+IFERROR(INDEX(Reference!$EH$2:$EH$8000, MATCH(Builder!E5&amp;"|"&amp;F10, Reference!$EB$2:$EB$8000, 0)), 2210)</f>
        <v>2210</v>
      </c>
      <c r="M10" s="32">
        <f>0+IFERROR(INDEX(Reference!$EI$2:$EI$8000, MATCH(Builder!E5&amp;"|"&amp;F10, Reference!$EB$2:$EB$8000, 0)), 2380)</f>
        <v>2380</v>
      </c>
      <c r="N10" s="32">
        <f>IF(AND(Builder!E2="Insurance / Org Tariff",IFERROR(INDEX(Reference!$EZ$2:$EZ$1000, MATCH(F10, Reference!$EX$2:$EX$1000, 0)), "No")="Yes"),0,H10*K10)</f>
        <v>2030</v>
      </c>
      <c r="O10" s="32">
        <f>IF(AND(Builder!E2="Insurance / Org Tariff",IFERROR(INDEX(Reference!$EZ$2:$EZ$1000, MATCH(F10, Reference!$EX$2:$EX$1000, 0)), "No")="Yes"),0,I10*K10)</f>
        <v>2030</v>
      </c>
      <c r="P10" s="32">
        <f>IF(AND(Builder!E2="Insurance / Org Tariff",IFERROR(INDEX(Reference!$EZ$2:$EZ$1000, MATCH(F10, Reference!$EX$2:$EX$1000, 0)), "No")="Yes"),0,J10*K10)</f>
        <v>2030</v>
      </c>
      <c r="Q10" s="32">
        <f>IF(AND(Builder!E2="Insurance / Org Tariff",IFERROR(INDEX(Reference!$EZ$2:$EZ$1000, MATCH(F10, Reference!$EX$2:$EX$1000, 0)), "No")="Yes"),0,H10*L10)</f>
        <v>2210</v>
      </c>
      <c r="R10" s="32">
        <f>IF(AND(Builder!E2="Insurance / Org Tariff",IFERROR(INDEX(Reference!$EZ$2:$EZ$1000, MATCH(F10, Reference!$EX$2:$EX$1000, 0)), "No")="Yes"),0,I10*L10)</f>
        <v>2210</v>
      </c>
      <c r="S10" s="32">
        <f>IF(AND(Builder!E2="Insurance / Org Tariff",IFERROR(INDEX(Reference!$EZ$2:$EZ$1000, MATCH(F10, Reference!$EX$2:$EX$1000, 0)), "No")="Yes"),0,J10*L10)</f>
        <v>2210</v>
      </c>
      <c r="T10" s="32">
        <f>IF(AND(Builder!E2="Insurance / Org Tariff",IFERROR(INDEX(Reference!$EZ$2:$EZ$1000, MATCH(F10, Reference!$EX$2:$EX$1000, 0)), "No")="Yes"),0,H10*M10)</f>
        <v>2380</v>
      </c>
      <c r="U10" s="32">
        <f>IF(AND(Builder!E2="Insurance / Org Tariff",IFERROR(INDEX(Reference!$EZ$2:$EZ$1000, MATCH(F10, Reference!$EX$2:$EX$1000, 0)), "No")="Yes"),0,I10*M10)</f>
        <v>2380</v>
      </c>
      <c r="V10" s="32">
        <f>IF(AND(Builder!E2="Insurance / Org Tariff",IFERROR(INDEX(Reference!$EZ$2:$EZ$1000, MATCH(F10, Reference!$EX$2:$EX$1000, 0)), "No")="Yes"),0,J10*M10)</f>
        <v>2380</v>
      </c>
      <c r="W10" s="32">
        <f>IF(Builder!B5="Low",N10,IF(Builder!B5="Typical",O10,P10))</f>
        <v>2030</v>
      </c>
      <c r="X10" s="32">
        <f>IF(Builder!B5="Low",Q10,IF(Builder!B5="Typical",R10,S10))</f>
        <v>2210</v>
      </c>
      <c r="Y10" s="32">
        <f>IF(Builder!B5="Low",T10,IF(Builder!B5="Typical",U10,V10))</f>
        <v>2380</v>
      </c>
    </row>
    <row r="11" ht="15" customHeight="1" spans="1:25" x14ac:dyDescent="0.25">
      <c r="A11" s="14" t="s">
        <v>331</v>
      </c>
      <c r="B11" s="40" t="s">
        <v>81</v>
      </c>
      <c r="C11" s="14" t="s">
        <v>81</v>
      </c>
      <c r="D11" s="14" t="s">
        <v>549</v>
      </c>
      <c r="E11" s="14" t="s">
        <v>550</v>
      </c>
      <c r="F11" s="40" t="s">
        <v>330</v>
      </c>
      <c r="G11" s="32">
        <f>IF(Builder!B5="Low",H11,IF(Builder!B5="Typical",I11,J11))</f>
        <v>1</v>
      </c>
      <c r="H11" s="32">
        <f>IFERROR(INDEX(Reference!$CX$2:$CX$4000, MATCH(Builder!G6&amp;"|"&amp;F11, Reference!$CQ$2:$CQ$4000, 0)), 1)</f>
        <v>1</v>
      </c>
      <c r="I11" s="32">
        <f>IFERROR(INDEX(Reference!$CY$2:$CY$4000, MATCH(Builder!G6&amp;"|"&amp;F11, Reference!$CQ$2:$CQ$4000, 0)), 1)</f>
        <v>1</v>
      </c>
      <c r="J11" s="32">
        <f>IFERROR(INDEX(Reference!$CZ$2:$CZ$4000, MATCH(Builder!G6&amp;"|"&amp;F11, Reference!$CQ$2:$CQ$4000, 0)), 1)</f>
        <v>1</v>
      </c>
      <c r="K11" s="32">
        <f>0+IFERROR(INDEX(Reference!$EG$2:$EG$8000, MATCH(Builder!E5&amp;"|"&amp;F11, Reference!$EB$2:$EB$8000, 0)), 380)</f>
        <v>380</v>
      </c>
      <c r="L11" s="32">
        <f>0+IFERROR(INDEX(Reference!$EH$2:$EH$8000, MATCH(Builder!E5&amp;"|"&amp;F11, Reference!$EB$2:$EB$8000, 0)), 420)</f>
        <v>420</v>
      </c>
      <c r="M11" s="32">
        <f>0+IFERROR(INDEX(Reference!$EI$2:$EI$8000, MATCH(Builder!E5&amp;"|"&amp;F11, Reference!$EB$2:$EB$8000, 0)), 460)</f>
        <v>460</v>
      </c>
      <c r="N11" s="32">
        <f>IF(AND(Builder!E2="Insurance / Org Tariff",IFERROR(INDEX(Reference!$EZ$2:$EZ$1000, MATCH(F11, Reference!$EX$2:$EX$1000, 0)), "No")="Yes"),0,H11*K11)</f>
        <v>380</v>
      </c>
      <c r="O11" s="32">
        <f>IF(AND(Builder!E2="Insurance / Org Tariff",IFERROR(INDEX(Reference!$EZ$2:$EZ$1000, MATCH(F11, Reference!$EX$2:$EX$1000, 0)), "No")="Yes"),0,I11*K11)</f>
        <v>380</v>
      </c>
      <c r="P11" s="32">
        <f>IF(AND(Builder!E2="Insurance / Org Tariff",IFERROR(INDEX(Reference!$EZ$2:$EZ$1000, MATCH(F11, Reference!$EX$2:$EX$1000, 0)), "No")="Yes"),0,J11*K11)</f>
        <v>380</v>
      </c>
      <c r="Q11" s="32">
        <f>IF(AND(Builder!E2="Insurance / Org Tariff",IFERROR(INDEX(Reference!$EZ$2:$EZ$1000, MATCH(F11, Reference!$EX$2:$EX$1000, 0)), "No")="Yes"),0,H11*L11)</f>
        <v>420</v>
      </c>
      <c r="R11" s="32">
        <f>IF(AND(Builder!E2="Insurance / Org Tariff",IFERROR(INDEX(Reference!$EZ$2:$EZ$1000, MATCH(F11, Reference!$EX$2:$EX$1000, 0)), "No")="Yes"),0,I11*L11)</f>
        <v>420</v>
      </c>
      <c r="S11" s="32">
        <f>IF(AND(Builder!E2="Insurance / Org Tariff",IFERROR(INDEX(Reference!$EZ$2:$EZ$1000, MATCH(F11, Reference!$EX$2:$EX$1000, 0)), "No")="Yes"),0,J11*L11)</f>
        <v>420</v>
      </c>
      <c r="T11" s="32">
        <f>IF(AND(Builder!E2="Insurance / Org Tariff",IFERROR(INDEX(Reference!$EZ$2:$EZ$1000, MATCH(F11, Reference!$EX$2:$EX$1000, 0)), "No")="Yes"),0,H11*M11)</f>
        <v>460</v>
      </c>
      <c r="U11" s="32">
        <f>IF(AND(Builder!E2="Insurance / Org Tariff",IFERROR(INDEX(Reference!$EZ$2:$EZ$1000, MATCH(F11, Reference!$EX$2:$EX$1000, 0)), "No")="Yes"),0,I11*M11)</f>
        <v>460</v>
      </c>
      <c r="V11" s="32">
        <f>IF(AND(Builder!E2="Insurance / Org Tariff",IFERROR(INDEX(Reference!$EZ$2:$EZ$1000, MATCH(F11, Reference!$EX$2:$EX$1000, 0)), "No")="Yes"),0,J11*M11)</f>
        <v>460</v>
      </c>
      <c r="W11" s="32">
        <f>IF(Builder!B5="Low",N11,IF(Builder!B5="Typical",O11,P11))</f>
        <v>380</v>
      </c>
      <c r="X11" s="32">
        <f>IF(Builder!B5="Low",Q11,IF(Builder!B5="Typical",R11,S11))</f>
        <v>420</v>
      </c>
      <c r="Y11" s="32">
        <f>IF(Builder!B5="Low",T11,IF(Builder!B5="Typical",U11,V11))</f>
        <v>460</v>
      </c>
    </row>
    <row r="12" ht="15" customHeight="1" spans="1:25" x14ac:dyDescent="0.25">
      <c r="A12" s="14" t="s">
        <v>328</v>
      </c>
      <c r="B12" s="40" t="s">
        <v>81</v>
      </c>
      <c r="C12" s="14" t="s">
        <v>81</v>
      </c>
      <c r="D12" s="14" t="s">
        <v>549</v>
      </c>
      <c r="E12" s="14" t="s">
        <v>550</v>
      </c>
      <c r="F12" s="40" t="s">
        <v>327</v>
      </c>
      <c r="G12" s="32">
        <f>IF(Builder!B5="Low",H12,IF(Builder!B5="Typical",I12,J12))</f>
        <v>1</v>
      </c>
      <c r="H12" s="32">
        <f>IFERROR(INDEX(Reference!$CX$2:$CX$4000, MATCH(Builder!G6&amp;"|"&amp;F12, Reference!$CQ$2:$CQ$4000, 0)), 1)</f>
        <v>1</v>
      </c>
      <c r="I12" s="32">
        <f>IFERROR(INDEX(Reference!$CY$2:$CY$4000, MATCH(Builder!G6&amp;"|"&amp;F12, Reference!$CQ$2:$CQ$4000, 0)), 1)</f>
        <v>1</v>
      </c>
      <c r="J12" s="32">
        <f>IFERROR(INDEX(Reference!$CZ$2:$CZ$4000, MATCH(Builder!G6&amp;"|"&amp;F12, Reference!$CQ$2:$CQ$4000, 0)), 1)</f>
        <v>1</v>
      </c>
      <c r="K12" s="32">
        <f>0+IFERROR(INDEX(Reference!$EG$2:$EG$8000, MATCH(Builder!E5&amp;"|"&amp;F12, Reference!$EB$2:$EB$8000, 0)), 1050)</f>
        <v>1050</v>
      </c>
      <c r="L12" s="32">
        <f>0+IFERROR(INDEX(Reference!$EH$2:$EH$8000, MATCH(Builder!E5&amp;"|"&amp;F12, Reference!$EB$2:$EB$8000, 0)), 1160)</f>
        <v>1160</v>
      </c>
      <c r="M12" s="32">
        <f>0+IFERROR(INDEX(Reference!$EI$2:$EI$8000, MATCH(Builder!E5&amp;"|"&amp;F12, Reference!$EB$2:$EB$8000, 0)), 1250)</f>
        <v>1250</v>
      </c>
      <c r="N12" s="32">
        <f>IF(AND(Builder!E2="Insurance / Org Tariff",IFERROR(INDEX(Reference!$EZ$2:$EZ$1000, MATCH(F12, Reference!$EX$2:$EX$1000, 0)), "No")="Yes"),0,H12*K12)</f>
        <v>1050</v>
      </c>
      <c r="O12" s="32">
        <f>IF(AND(Builder!E2="Insurance / Org Tariff",IFERROR(INDEX(Reference!$EZ$2:$EZ$1000, MATCH(F12, Reference!$EX$2:$EX$1000, 0)), "No")="Yes"),0,I12*K12)</f>
        <v>1050</v>
      </c>
      <c r="P12" s="32">
        <f>IF(AND(Builder!E2="Insurance / Org Tariff",IFERROR(INDEX(Reference!$EZ$2:$EZ$1000, MATCH(F12, Reference!$EX$2:$EX$1000, 0)), "No")="Yes"),0,J12*K12)</f>
        <v>1050</v>
      </c>
      <c r="Q12" s="32">
        <f>IF(AND(Builder!E2="Insurance / Org Tariff",IFERROR(INDEX(Reference!$EZ$2:$EZ$1000, MATCH(F12, Reference!$EX$2:$EX$1000, 0)), "No")="Yes"),0,H12*L12)</f>
        <v>1160</v>
      </c>
      <c r="R12" s="32">
        <f>IF(AND(Builder!E2="Insurance / Org Tariff",IFERROR(INDEX(Reference!$EZ$2:$EZ$1000, MATCH(F12, Reference!$EX$2:$EX$1000, 0)), "No")="Yes"),0,I12*L12)</f>
        <v>1160</v>
      </c>
      <c r="S12" s="32">
        <f>IF(AND(Builder!E2="Insurance / Org Tariff",IFERROR(INDEX(Reference!$EZ$2:$EZ$1000, MATCH(F12, Reference!$EX$2:$EX$1000, 0)), "No")="Yes"),0,J12*L12)</f>
        <v>1160</v>
      </c>
      <c r="T12" s="32">
        <f>IF(AND(Builder!E2="Insurance / Org Tariff",IFERROR(INDEX(Reference!$EZ$2:$EZ$1000, MATCH(F12, Reference!$EX$2:$EX$1000, 0)), "No")="Yes"),0,H12*M12)</f>
        <v>1250</v>
      </c>
      <c r="U12" s="32">
        <f>IF(AND(Builder!E2="Insurance / Org Tariff",IFERROR(INDEX(Reference!$EZ$2:$EZ$1000, MATCH(F12, Reference!$EX$2:$EX$1000, 0)), "No")="Yes"),0,I12*M12)</f>
        <v>1250</v>
      </c>
      <c r="V12" s="32">
        <f>IF(AND(Builder!E2="Insurance / Org Tariff",IFERROR(INDEX(Reference!$EZ$2:$EZ$1000, MATCH(F12, Reference!$EX$2:$EX$1000, 0)), "No")="Yes"),0,J12*M12)</f>
        <v>1250</v>
      </c>
      <c r="W12" s="32">
        <f>IF(Builder!B5="Low",N12,IF(Builder!B5="Typical",O12,P12))</f>
        <v>1050</v>
      </c>
      <c r="X12" s="32">
        <f>IF(Builder!B5="Low",Q12,IF(Builder!B5="Typical",R12,S12))</f>
        <v>1160</v>
      </c>
      <c r="Y12" s="32">
        <f>IF(Builder!B5="Low",T12,IF(Builder!B5="Typical",U12,V12))</f>
        <v>1250</v>
      </c>
    </row>
    <row r="13" ht="26.85" customHeight="1" spans="1:25" x14ac:dyDescent="0.25">
      <c r="A13" s="14" t="s">
        <v>577</v>
      </c>
      <c r="B13" s="40" t="s">
        <v>88</v>
      </c>
      <c r="C13" s="14" t="s">
        <v>568</v>
      </c>
      <c r="D13" s="14" t="s">
        <v>549</v>
      </c>
      <c r="E13" s="14" t="s">
        <v>550</v>
      </c>
      <c r="F13" s="40" t="s">
        <v>578</v>
      </c>
      <c r="G13" s="32">
        <f>IF(Builder!B5="Low",H13,IF(Builder!B5="Typical",I13,J13))</f>
        <v>1</v>
      </c>
      <c r="H13" s="32">
        <f>IFERROR(INDEX(Reference!$CX$2:$CX$4000, MATCH(Builder!G6&amp;"|"&amp;F13, Reference!$CQ$2:$CQ$4000, 0)), 1)</f>
        <v>1</v>
      </c>
      <c r="I13" s="32">
        <f>IFERROR(INDEX(Reference!$CY$2:$CY$4000, MATCH(Builder!G6&amp;"|"&amp;F13, Reference!$CQ$2:$CQ$4000, 0)), 1)</f>
        <v>1</v>
      </c>
      <c r="J13" s="32">
        <f>IFERROR(INDEX(Reference!$CZ$2:$CZ$4000, MATCH(Builder!G6&amp;"|"&amp;F13, Reference!$CQ$2:$CQ$4000, 0)), 1)</f>
        <v>1</v>
      </c>
      <c r="K13" s="32">
        <f>0+IFERROR(INDEX(Reference!$EG$2:$EG$8000, MATCH(Builder!E5&amp;"|"&amp;F13, Reference!$EB$2:$EB$8000, 0)), 100000)</f>
        <v>100000</v>
      </c>
      <c r="L13" s="32">
        <f>0+IFERROR(INDEX(Reference!$EH$2:$EH$8000, MATCH(Builder!E5&amp;"|"&amp;F13, Reference!$EB$2:$EB$8000, 0)), 100000)</f>
        <v>100000</v>
      </c>
      <c r="M13" s="32">
        <f>0+IFERROR(INDEX(Reference!$EI$2:$EI$8000, MATCH(Builder!E5&amp;"|"&amp;F13, Reference!$EB$2:$EB$8000, 0)), 100000)</f>
        <v>100000</v>
      </c>
      <c r="N13" s="32">
        <f>IF(AND(Builder!E2="Insurance / Org Tariff",IFERROR(INDEX(Reference!$EZ$2:$EZ$1000, MATCH(F13, Reference!$EX$2:$EX$1000, 0)), "No")="Yes"),0,IF(Builder!B8="Yes",H13*K13,0))</f>
        <v>100000</v>
      </c>
      <c r="O13" s="32">
        <f>IF(AND(Builder!E2="Insurance / Org Tariff",IFERROR(INDEX(Reference!$EZ$2:$EZ$1000, MATCH(F13, Reference!$EX$2:$EX$1000, 0)), "No")="Yes"),0,IF(Builder!B8="Yes",I13*K13,0))</f>
        <v>100000</v>
      </c>
      <c r="P13" s="32">
        <f>IF(AND(Builder!E2="Insurance / Org Tariff",IFERROR(INDEX(Reference!$EZ$2:$EZ$1000, MATCH(F13, Reference!$EX$2:$EX$1000, 0)), "No")="Yes"),0,IF(Builder!B8="Yes",J13*K13,0))</f>
        <v>100000</v>
      </c>
      <c r="Q13" s="32">
        <f>IF(AND(Builder!E2="Insurance / Org Tariff",IFERROR(INDEX(Reference!$EZ$2:$EZ$1000, MATCH(F13, Reference!$EX$2:$EX$1000, 0)), "No")="Yes"),0,IF(Builder!B8="Yes",H13*L13,0))</f>
        <v>100000</v>
      </c>
      <c r="R13" s="32">
        <f>IF(AND(Builder!E2="Insurance / Org Tariff",IFERROR(INDEX(Reference!$EZ$2:$EZ$1000, MATCH(F13, Reference!$EX$2:$EX$1000, 0)), "No")="Yes"),0,IF(Builder!B8="Yes",I13*L13,0))</f>
        <v>100000</v>
      </c>
      <c r="S13" s="32">
        <f>IF(AND(Builder!E2="Insurance / Org Tariff",IFERROR(INDEX(Reference!$EZ$2:$EZ$1000, MATCH(F13, Reference!$EX$2:$EX$1000, 0)), "No")="Yes"),0,IF(Builder!B8="Yes",J13*L13,0))</f>
        <v>100000</v>
      </c>
      <c r="T13" s="32">
        <f>IF(AND(Builder!E2="Insurance / Org Tariff",IFERROR(INDEX(Reference!$EZ$2:$EZ$1000, MATCH(F13, Reference!$EX$2:$EX$1000, 0)), "No")="Yes"),0,IF(Builder!B8="Yes",H13*M13,0))</f>
        <v>100000</v>
      </c>
      <c r="U13" s="32">
        <f>IF(AND(Builder!E2="Insurance / Org Tariff",IFERROR(INDEX(Reference!$EZ$2:$EZ$1000, MATCH(F13, Reference!$EX$2:$EX$1000, 0)), "No")="Yes"),0,IF(Builder!B8="Yes",I13*M13,0))</f>
        <v>100000</v>
      </c>
      <c r="V13" s="32">
        <f>IF(AND(Builder!E2="Insurance / Org Tariff",IFERROR(INDEX(Reference!$EZ$2:$EZ$1000, MATCH(F13, Reference!$EX$2:$EX$1000, 0)), "No")="Yes"),0,IF(Builder!B8="Yes",J13*M13,0))</f>
        <v>100000</v>
      </c>
      <c r="W13" s="32">
        <f>IF(Builder!B5="Low",N13,IF(Builder!B5="Typical",O13,P13))</f>
        <v>100000</v>
      </c>
      <c r="X13" s="32">
        <f>IF(Builder!B5="Low",Q13,IF(Builder!B5="Typical",R13,S13))</f>
        <v>100000</v>
      </c>
      <c r="Y13" s="32">
        <f>IF(Builder!B5="Low",T13,IF(Builder!B5="Typical",U13,V13))</f>
        <v>100000</v>
      </c>
    </row>
    <row r="14" ht="26.85" customHeight="1" spans="1:25" x14ac:dyDescent="0.25">
      <c r="A14" s="14" t="s">
        <v>579</v>
      </c>
      <c r="B14" s="40" t="s">
        <v>88</v>
      </c>
      <c r="C14" s="14" t="s">
        <v>568</v>
      </c>
      <c r="D14" s="14" t="s">
        <v>554</v>
      </c>
      <c r="E14" s="14" t="s">
        <v>572</v>
      </c>
      <c r="F14" s="40" t="s">
        <v>580</v>
      </c>
      <c r="G14" s="32">
        <v>1</v>
      </c>
      <c r="H14" s="32">
        <v>1</v>
      </c>
      <c r="I14" s="32">
        <v>1</v>
      </c>
      <c r="J14" s="32">
        <v>1</v>
      </c>
      <c r="K14" s="32">
        <f>0+IFERROR(INDEX(Reference!$EG$2:$EG$8000, MATCH(Builder!E5&amp;"|"&amp;F14, Reference!$EB$2:$EB$8000, 0)), 10480)</f>
        <v>10480</v>
      </c>
      <c r="L14" s="32">
        <f>0+IFERROR(INDEX(Reference!$EH$2:$EH$8000, MATCH(Builder!E5&amp;"|"&amp;F14, Reference!$EB$2:$EB$8000, 0)), 10480)</f>
        <v>10480</v>
      </c>
      <c r="M14" s="32">
        <f>0+IFERROR(INDEX(Reference!$EI$2:$EI$8000, MATCH(Builder!E5&amp;"|"&amp;F14, Reference!$EB$2:$EB$8000, 0)), 10480)</f>
        <v>10480</v>
      </c>
      <c r="N14" s="32">
        <f>IF(AND(Builder!E2="Insurance / Org Tariff",IFERROR(INDEX(Reference!$EZ$2:$EZ$1000, MATCH(F14, Reference!$EX$2:$EX$1000, 0)), "No")="Yes"),0,K14)</f>
        <v>10480</v>
      </c>
      <c r="O14" s="32">
        <f>IF(AND(Builder!E2="Insurance / Org Tariff",IFERROR(INDEX(Reference!$EZ$2:$EZ$1000, MATCH(F14, Reference!$EX$2:$EX$1000, 0)), "No")="Yes"),0,K14)</f>
        <v>10480</v>
      </c>
      <c r="P14" s="32">
        <f>IF(AND(Builder!E2="Insurance / Org Tariff",IFERROR(INDEX(Reference!$EZ$2:$EZ$1000, MATCH(F14, Reference!$EX$2:$EX$1000, 0)), "No")="Yes"),0,K14)</f>
        <v>10480</v>
      </c>
      <c r="Q14" s="32">
        <f>IF(AND(Builder!E2="Insurance / Org Tariff",IFERROR(INDEX(Reference!$EZ$2:$EZ$1000, MATCH(F14, Reference!$EX$2:$EX$1000, 0)), "No")="Yes"),0,L14)</f>
        <v>10480</v>
      </c>
      <c r="R14" s="32">
        <f>IF(AND(Builder!E2="Insurance / Org Tariff",IFERROR(INDEX(Reference!$EZ$2:$EZ$1000, MATCH(F14, Reference!$EX$2:$EX$1000, 0)), "No")="Yes"),0,L14)</f>
        <v>10480</v>
      </c>
      <c r="S14" s="32">
        <f>IF(AND(Builder!E2="Insurance / Org Tariff",IFERROR(INDEX(Reference!$EZ$2:$EZ$1000, MATCH(F14, Reference!$EX$2:$EX$1000, 0)), "No")="Yes"),0,L14)</f>
        <v>10480</v>
      </c>
      <c r="T14" s="32">
        <f>IF(AND(Builder!E2="Insurance / Org Tariff",IFERROR(INDEX(Reference!$EZ$2:$EZ$1000, MATCH(F14, Reference!$EX$2:$EX$1000, 0)), "No")="Yes"),0,M14)</f>
        <v>10480</v>
      </c>
      <c r="U14" s="32">
        <f>IF(AND(Builder!E2="Insurance / Org Tariff",IFERROR(INDEX(Reference!$EZ$2:$EZ$1000, MATCH(F14, Reference!$EX$2:$EX$1000, 0)), "No")="Yes"),0,M14)</f>
        <v>10480</v>
      </c>
      <c r="V14" s="32">
        <f>IF(AND(Builder!E2="Insurance / Org Tariff",IFERROR(INDEX(Reference!$EZ$2:$EZ$1000, MATCH(F14, Reference!$EX$2:$EX$1000, 0)), "No")="Yes"),0,M14)</f>
        <v>10480</v>
      </c>
      <c r="W14" s="32">
        <f>IF(AND(Builder!E2="Insurance / Org Tariff",IFERROR(INDEX(Reference!$EZ$2:$EZ$1000, MATCH(F14, Reference!$EX$2:$EX$1000, 0)), "No")="Yes"),0,K14)</f>
        <v>10480</v>
      </c>
      <c r="X14" s="32">
        <f>IF(AND(Builder!E2="Insurance / Org Tariff",IFERROR(INDEX(Reference!$EZ$2:$EZ$1000, MATCH(F14, Reference!$EX$2:$EX$1000, 0)), "No")="Yes"),0,L14)</f>
        <v>10480</v>
      </c>
      <c r="Y14" s="32">
        <f>IF(AND(Builder!E2="Insurance / Org Tariff",IFERROR(INDEX(Reference!$EZ$2:$EZ$1000, MATCH(F14, Reference!$EX$2:$EX$1000, 0)), "No")="Yes"),0,M14)</f>
        <v>10480</v>
      </c>
    </row>
    <row r="15" ht="26.85" customHeight="1" spans="1:25" x14ac:dyDescent="0.25">
      <c r="A15" s="14" t="s">
        <v>581</v>
      </c>
      <c r="B15" s="40" t="s">
        <v>88</v>
      </c>
      <c r="C15" s="14" t="s">
        <v>568</v>
      </c>
      <c r="D15" s="14" t="s">
        <v>554</v>
      </c>
      <c r="E15" s="14" t="s">
        <v>572</v>
      </c>
      <c r="F15" s="40" t="s">
        <v>582</v>
      </c>
      <c r="G15" s="32">
        <v>1</v>
      </c>
      <c r="H15" s="32">
        <v>1</v>
      </c>
      <c r="I15" s="32">
        <v>1</v>
      </c>
      <c r="J15" s="32">
        <v>1</v>
      </c>
      <c r="K15" s="32">
        <f>0+IFERROR(INDEX(Reference!$EG$2:$EG$8000, MATCH(Builder!E5&amp;"|"&amp;F15, Reference!$EB$2:$EB$8000, 0)), 2470)</f>
        <v>2470</v>
      </c>
      <c r="L15" s="32">
        <f>0+IFERROR(INDEX(Reference!$EH$2:$EH$8000, MATCH(Builder!E5&amp;"|"&amp;F15, Reference!$EB$2:$EB$8000, 0)), 2470)</f>
        <v>2470</v>
      </c>
      <c r="M15" s="32">
        <f>0+IFERROR(INDEX(Reference!$EI$2:$EI$8000, MATCH(Builder!E5&amp;"|"&amp;F15, Reference!$EB$2:$EB$8000, 0)), 2470)</f>
        <v>2470</v>
      </c>
      <c r="N15" s="32">
        <f>IF(AND(Builder!E2="Insurance / Org Tariff",IFERROR(INDEX(Reference!$EZ$2:$EZ$1000, MATCH(F15, Reference!$EX$2:$EX$1000, 0)), "No")="Yes"),0,K15)</f>
        <v>2470</v>
      </c>
      <c r="O15" s="32">
        <f>IF(AND(Builder!E2="Insurance / Org Tariff",IFERROR(INDEX(Reference!$EZ$2:$EZ$1000, MATCH(F15, Reference!$EX$2:$EX$1000, 0)), "No")="Yes"),0,K15)</f>
        <v>2470</v>
      </c>
      <c r="P15" s="32">
        <f>IF(AND(Builder!E2="Insurance / Org Tariff",IFERROR(INDEX(Reference!$EZ$2:$EZ$1000, MATCH(F15, Reference!$EX$2:$EX$1000, 0)), "No")="Yes"),0,K15)</f>
        <v>2470</v>
      </c>
      <c r="Q15" s="32">
        <f>IF(AND(Builder!E2="Insurance / Org Tariff",IFERROR(INDEX(Reference!$EZ$2:$EZ$1000, MATCH(F15, Reference!$EX$2:$EX$1000, 0)), "No")="Yes"),0,L15)</f>
        <v>2470</v>
      </c>
      <c r="R15" s="32">
        <f>IF(AND(Builder!E2="Insurance / Org Tariff",IFERROR(INDEX(Reference!$EZ$2:$EZ$1000, MATCH(F15, Reference!$EX$2:$EX$1000, 0)), "No")="Yes"),0,L15)</f>
        <v>2470</v>
      </c>
      <c r="S15" s="32">
        <f>IF(AND(Builder!E2="Insurance / Org Tariff",IFERROR(INDEX(Reference!$EZ$2:$EZ$1000, MATCH(F15, Reference!$EX$2:$EX$1000, 0)), "No")="Yes"),0,L15)</f>
        <v>2470</v>
      </c>
      <c r="T15" s="32">
        <f>IF(AND(Builder!E2="Insurance / Org Tariff",IFERROR(INDEX(Reference!$EZ$2:$EZ$1000, MATCH(F15, Reference!$EX$2:$EX$1000, 0)), "No")="Yes"),0,M15)</f>
        <v>2470</v>
      </c>
      <c r="U15" s="32">
        <f>IF(AND(Builder!E2="Insurance / Org Tariff",IFERROR(INDEX(Reference!$EZ$2:$EZ$1000, MATCH(F15, Reference!$EX$2:$EX$1000, 0)), "No")="Yes"),0,M15)</f>
        <v>2470</v>
      </c>
      <c r="V15" s="32">
        <f>IF(AND(Builder!E2="Insurance / Org Tariff",IFERROR(INDEX(Reference!$EZ$2:$EZ$1000, MATCH(F15, Reference!$EX$2:$EX$1000, 0)), "No")="Yes"),0,M15)</f>
        <v>2470</v>
      </c>
      <c r="W15" s="32">
        <f>IF(AND(Builder!E2="Insurance / Org Tariff",IFERROR(INDEX(Reference!$EZ$2:$EZ$1000, MATCH(F15, Reference!$EX$2:$EX$1000, 0)), "No")="Yes"),0,K15)</f>
        <v>2470</v>
      </c>
      <c r="X15" s="32">
        <f>IF(AND(Builder!E2="Insurance / Org Tariff",IFERROR(INDEX(Reference!$EZ$2:$EZ$1000, MATCH(F15, Reference!$EX$2:$EX$1000, 0)), "No")="Yes"),0,L15)</f>
        <v>2470</v>
      </c>
      <c r="Y15" s="32">
        <f>IF(AND(Builder!E2="Insurance / Org Tariff",IFERROR(INDEX(Reference!$EZ$2:$EZ$1000, MATCH(F15, Reference!$EX$2:$EX$1000, 0)), "No")="Yes"),0,M15)</f>
        <v>2470</v>
      </c>
    </row>
    <row r="16" ht="26.85" customHeight="1" spans="1:25" x14ac:dyDescent="0.25">
      <c r="A16" s="14" t="s">
        <v>583</v>
      </c>
      <c r="B16" s="40" t="s">
        <v>88</v>
      </c>
      <c r="C16" s="14" t="s">
        <v>568</v>
      </c>
      <c r="D16" s="14" t="s">
        <v>554</v>
      </c>
      <c r="E16" s="14" t="s">
        <v>572</v>
      </c>
      <c r="F16" s="40" t="s">
        <v>584</v>
      </c>
      <c r="G16" s="32">
        <v>1</v>
      </c>
      <c r="H16" s="32">
        <v>1</v>
      </c>
      <c r="I16" s="32">
        <v>1</v>
      </c>
      <c r="J16" s="32">
        <v>1</v>
      </c>
      <c r="K16" s="32">
        <f>0+IFERROR(INDEX(Reference!$EG$2:$EG$8000, MATCH(Builder!E5&amp;"|"&amp;F16, Reference!$EB$2:$EB$8000, 0)), 3020)</f>
        <v>3020</v>
      </c>
      <c r="L16" s="32">
        <f>0+IFERROR(INDEX(Reference!$EH$2:$EH$8000, MATCH(Builder!E5&amp;"|"&amp;F16, Reference!$EB$2:$EB$8000, 0)), 3020)</f>
        <v>3020</v>
      </c>
      <c r="M16" s="32">
        <f>0+IFERROR(INDEX(Reference!$EI$2:$EI$8000, MATCH(Builder!E5&amp;"|"&amp;F16, Reference!$EB$2:$EB$8000, 0)), 3020)</f>
        <v>3020</v>
      </c>
      <c r="N16" s="32">
        <f>IF(AND(Builder!E2="Insurance / Org Tariff",IFERROR(INDEX(Reference!$EZ$2:$EZ$1000, MATCH(F16, Reference!$EX$2:$EX$1000, 0)), "No")="Yes"),0,K16)</f>
        <v>3020</v>
      </c>
      <c r="O16" s="32">
        <f>IF(AND(Builder!E2="Insurance / Org Tariff",IFERROR(INDEX(Reference!$EZ$2:$EZ$1000, MATCH(F16, Reference!$EX$2:$EX$1000, 0)), "No")="Yes"),0,K16)</f>
        <v>3020</v>
      </c>
      <c r="P16" s="32">
        <f>IF(AND(Builder!E2="Insurance / Org Tariff",IFERROR(INDEX(Reference!$EZ$2:$EZ$1000, MATCH(F16, Reference!$EX$2:$EX$1000, 0)), "No")="Yes"),0,K16)</f>
        <v>3020</v>
      </c>
      <c r="Q16" s="32">
        <f>IF(AND(Builder!E2="Insurance / Org Tariff",IFERROR(INDEX(Reference!$EZ$2:$EZ$1000, MATCH(F16, Reference!$EX$2:$EX$1000, 0)), "No")="Yes"),0,L16)</f>
        <v>3020</v>
      </c>
      <c r="R16" s="32">
        <f>IF(AND(Builder!E2="Insurance / Org Tariff",IFERROR(INDEX(Reference!$EZ$2:$EZ$1000, MATCH(F16, Reference!$EX$2:$EX$1000, 0)), "No")="Yes"),0,L16)</f>
        <v>3020</v>
      </c>
      <c r="S16" s="32">
        <f>IF(AND(Builder!E2="Insurance / Org Tariff",IFERROR(INDEX(Reference!$EZ$2:$EZ$1000, MATCH(F16, Reference!$EX$2:$EX$1000, 0)), "No")="Yes"),0,L16)</f>
        <v>3020</v>
      </c>
      <c r="T16" s="32">
        <f>IF(AND(Builder!E2="Insurance / Org Tariff",IFERROR(INDEX(Reference!$EZ$2:$EZ$1000, MATCH(F16, Reference!$EX$2:$EX$1000, 0)), "No")="Yes"),0,M16)</f>
        <v>3020</v>
      </c>
      <c r="U16" s="32">
        <f>IF(AND(Builder!E2="Insurance / Org Tariff",IFERROR(INDEX(Reference!$EZ$2:$EZ$1000, MATCH(F16, Reference!$EX$2:$EX$1000, 0)), "No")="Yes"),0,M16)</f>
        <v>3020</v>
      </c>
      <c r="V16" s="32">
        <f>IF(AND(Builder!E2="Insurance / Org Tariff",IFERROR(INDEX(Reference!$EZ$2:$EZ$1000, MATCH(F16, Reference!$EX$2:$EX$1000, 0)), "No")="Yes"),0,M16)</f>
        <v>3020</v>
      </c>
      <c r="W16" s="32">
        <f>IF(AND(Builder!E2="Insurance / Org Tariff",IFERROR(INDEX(Reference!$EZ$2:$EZ$1000, MATCH(F16, Reference!$EX$2:$EX$1000, 0)), "No")="Yes"),0,K16)</f>
        <v>3020</v>
      </c>
      <c r="X16" s="32">
        <f>IF(AND(Builder!E2="Insurance / Org Tariff",IFERROR(INDEX(Reference!$EZ$2:$EZ$1000, MATCH(F16, Reference!$EX$2:$EX$1000, 0)), "No")="Yes"),0,L16)</f>
        <v>3020</v>
      </c>
      <c r="Y16" s="32">
        <f>IF(AND(Builder!E2="Insurance / Org Tariff",IFERROR(INDEX(Reference!$EZ$2:$EZ$1000, MATCH(F16, Reference!$EX$2:$EX$1000, 0)), "No")="Yes"),0,M16)</f>
        <v>3020</v>
      </c>
    </row>
    <row r="17" ht="64.9" customHeight="1" spans="1:25" x14ac:dyDescent="0.25">
      <c r="A17" s="14" t="s">
        <v>568</v>
      </c>
      <c r="B17" s="40" t="s">
        <v>88</v>
      </c>
      <c r="C17" s="14" t="s">
        <v>568</v>
      </c>
      <c r="D17" s="14" t="s">
        <v>554</v>
      </c>
      <c r="E17" s="14" t="s">
        <v>585</v>
      </c>
      <c r="F17" s="40" t="str">
        <f>Builder!B15</f>
        <v>OTC0010</v>
      </c>
      <c r="G17" s="32">
        <f>Builder!G13</f>
        <v>3</v>
      </c>
      <c r="H17" s="32">
        <f>Builder!G13</f>
        <v>2.5</v>
      </c>
      <c r="I17" s="32">
        <f>Builder!G13</f>
        <v>3</v>
      </c>
      <c r="J17" s="32">
        <f>Builder!G13</f>
        <v>3</v>
      </c>
      <c r="K17" s="32">
        <f>0+IFERROR(INDEX(Reference!$EG$2:$EG$8000, MATCH(Builder!E5&amp;"|"&amp;Builder!B15, Reference!$EB$2:$EB$8000, 0)), 0)</f>
        <v>32090</v>
      </c>
      <c r="L17" s="32">
        <f>0+IFERROR(INDEX(Reference!$EH$2:$EH$8000, MATCH(Builder!E5&amp;"|"&amp;Builder!B15, Reference!$EB$2:$EB$8000, 0)), 0)</f>
        <v>35440</v>
      </c>
      <c r="M17" s="32">
        <f>0+IFERROR(INDEX(Reference!$EI$2:$EI$8000, MATCH(Builder!E5&amp;"|"&amp;Builder!B15, Reference!$EB$2:$EB$8000, 0)), 0)</f>
        <v>38310</v>
      </c>
      <c r="N17" s="32">
        <f>K17</f>
        <v>32090</v>
      </c>
      <c r="O17" s="32">
        <f>K17</f>
        <v>32090</v>
      </c>
      <c r="P17" s="32">
        <f>K17</f>
        <v>32090</v>
      </c>
      <c r="Q17" s="32">
        <f>L17</f>
        <v>35440</v>
      </c>
      <c r="R17" s="32">
        <f>L17</f>
        <v>35440</v>
      </c>
      <c r="S17" s="32">
        <f>L17</f>
        <v>35440</v>
      </c>
      <c r="T17" s="32">
        <f>M17</f>
        <v>38310</v>
      </c>
      <c r="U17" s="32">
        <f>M17</f>
        <v>38310</v>
      </c>
      <c r="V17" s="32">
        <f>M17</f>
        <v>38310</v>
      </c>
      <c r="W17" s="32">
        <f>K17</f>
        <v>32090</v>
      </c>
      <c r="X17" s="32">
        <f>L17</f>
        <v>35440</v>
      </c>
      <c r="Y17" s="32">
        <f>M17</f>
        <v>38310</v>
      </c>
    </row>
    <row r="18" ht="52.2" customHeight="1" spans="1:25" x14ac:dyDescent="0.25">
      <c r="A18" s="14" t="s">
        <v>586</v>
      </c>
      <c r="B18" s="40" t="s">
        <v>88</v>
      </c>
      <c r="C18" s="14" t="s">
        <v>587</v>
      </c>
      <c r="D18" s="14" t="s">
        <v>588</v>
      </c>
      <c r="E18" s="14" t="s">
        <v>589</v>
      </c>
      <c r="F18" s="40"/>
      <c r="G18" s="32">
        <v>1</v>
      </c>
      <c r="H18" s="32">
        <v>1</v>
      </c>
      <c r="I18" s="32">
        <v>1</v>
      </c>
      <c r="J18" s="32">
        <v>1</v>
      </c>
      <c r="K18" s="32"/>
      <c r="L18" s="32"/>
      <c r="M18" s="32"/>
      <c r="N18" s="32">
        <f>Reference!T4</f>
        <v>0</v>
      </c>
      <c r="O18" s="32">
        <f>Reference!U4</f>
        <v>0</v>
      </c>
      <c r="P18" s="32">
        <f>Reference!V4</f>
        <v>0</v>
      </c>
      <c r="Q18" s="32">
        <f>N18</f>
        <v>0</v>
      </c>
      <c r="R18" s="32">
        <f>O18</f>
        <v>0</v>
      </c>
      <c r="S18" s="32">
        <f>P18</f>
        <v>0</v>
      </c>
      <c r="T18" s="32">
        <f>N18</f>
        <v>0</v>
      </c>
      <c r="U18" s="32">
        <f>O18</f>
        <v>0</v>
      </c>
      <c r="V18" s="32">
        <f>P18</f>
        <v>0</v>
      </c>
      <c r="W18" s="32">
        <f>IF(Builder!B5="Low",N18,IF(Builder!B5="Typical",O18,P18))</f>
        <v>0</v>
      </c>
      <c r="X18" s="32">
        <f>W18</f>
        <v>0</v>
      </c>
      <c r="Y18" s="32">
        <f>W18</f>
        <v>0</v>
      </c>
    </row>
    <row r="19" ht="15" customHeight="1" spans="1:25" x14ac:dyDescent="0.25">
      <c r="A19" s="14" t="s">
        <v>590</v>
      </c>
      <c r="B19" s="40" t="s">
        <v>79</v>
      </c>
      <c r="C19" s="14" t="s">
        <v>558</v>
      </c>
      <c r="D19" s="14" t="s">
        <v>554</v>
      </c>
      <c r="E19" s="14" t="s">
        <v>559</v>
      </c>
      <c r="F19" s="40" t="s">
        <v>591</v>
      </c>
      <c r="G19" s="32">
        <f>Builder!G11</f>
        <v>2</v>
      </c>
      <c r="H19" s="32">
        <f>Builder!B11</f>
        <v>2</v>
      </c>
      <c r="I19" s="32">
        <f>Builder!C11</f>
        <v>2</v>
      </c>
      <c r="J19" s="32">
        <f>Builder!D11</f>
        <v>3</v>
      </c>
      <c r="K19" s="32">
        <f>0+IFERROR(INDEX(Reference!$EJ$2:$EJ$8000, MATCH(Builder!E5&amp;"|"&amp;F19, Reference!$EB$2:$EB$8000, 0)), 3000)</f>
        <v>3000</v>
      </c>
      <c r="L19" s="32">
        <f>0+IFERROR(INDEX(Reference!$EJ$2:$EJ$8000, MATCH(Builder!E5&amp;"|"&amp;F19, Reference!$EB$2:$EB$8000, 0)), 3000)</f>
        <v>3000</v>
      </c>
      <c r="M19" s="32">
        <f>0+IFERROR(INDEX(Reference!$EJ$2:$EJ$8000, MATCH(Builder!E5&amp;"|"&amp;F19, Reference!$EB$2:$EB$8000, 0)), 3000)</f>
        <v>3000</v>
      </c>
      <c r="N19" s="32">
        <f>IF(AND(Builder!E2="Insurance / Org Tariff",IFERROR(INDEX(Reference!$EZ$2:$EZ$1000, MATCH(F19, Reference!$EX$2:$EX$1000, 0)), "No")="Yes"),0,H19*K19)</f>
        <v>6000</v>
      </c>
      <c r="O19" s="32">
        <f>IF(AND(Builder!E2="Insurance / Org Tariff",IFERROR(INDEX(Reference!$EZ$2:$EZ$1000, MATCH(F19, Reference!$EX$2:$EX$1000, 0)), "No")="Yes"),0,I19*K19)</f>
        <v>6000</v>
      </c>
      <c r="P19" s="32">
        <f>IF(AND(Builder!E2="Insurance / Org Tariff",IFERROR(INDEX(Reference!$EZ$2:$EZ$1000, MATCH(F19, Reference!$EX$2:$EX$1000, 0)), "No")="Yes"),0,J19*K19)</f>
        <v>9000</v>
      </c>
      <c r="Q19" s="32">
        <f>IF(AND(Builder!E2="Insurance / Org Tariff",IFERROR(INDEX(Reference!$EZ$2:$EZ$1000, MATCH(F19, Reference!$EX$2:$EX$1000, 0)), "No")="Yes"),0,H19*L19)</f>
        <v>6000</v>
      </c>
      <c r="R19" s="32">
        <f>IF(AND(Builder!E2="Insurance / Org Tariff",IFERROR(INDEX(Reference!$EZ$2:$EZ$1000, MATCH(F19, Reference!$EX$2:$EX$1000, 0)), "No")="Yes"),0,I19*L19)</f>
        <v>6000</v>
      </c>
      <c r="S19" s="32">
        <f>IF(AND(Builder!E2="Insurance / Org Tariff",IFERROR(INDEX(Reference!$EZ$2:$EZ$1000, MATCH(F19, Reference!$EX$2:$EX$1000, 0)), "No")="Yes"),0,J19*L19)</f>
        <v>9000</v>
      </c>
      <c r="T19" s="32">
        <f>IF(AND(Builder!E2="Insurance / Org Tariff",IFERROR(INDEX(Reference!$EZ$2:$EZ$1000, MATCH(F19, Reference!$EX$2:$EX$1000, 0)), "No")="Yes"),0,H19*M19)</f>
        <v>6000</v>
      </c>
      <c r="U19" s="32">
        <f>IF(AND(Builder!E2="Insurance / Org Tariff",IFERROR(INDEX(Reference!$EZ$2:$EZ$1000, MATCH(F19, Reference!$EX$2:$EX$1000, 0)), "No")="Yes"),0,I19*M19)</f>
        <v>6000</v>
      </c>
      <c r="V19" s="32">
        <f>IF(AND(Builder!E2="Insurance / Org Tariff",IFERROR(INDEX(Reference!$EZ$2:$EZ$1000, MATCH(F19, Reference!$EX$2:$EX$1000, 0)), "No")="Yes"),0,J19*M19)</f>
        <v>9000</v>
      </c>
      <c r="W19" s="32">
        <f>IF(AND(Builder!E2="Insurance / Org Tariff",IFERROR(INDEX(Reference!$EZ$2:$EZ$1000, MATCH(F19, Reference!$EX$2:$EX$1000, 0)), "No")="Yes"),0,G19*K19)</f>
        <v>6000</v>
      </c>
      <c r="X19" s="32">
        <f>IF(AND(Builder!E2="Insurance / Org Tariff",IFERROR(INDEX(Reference!$EZ$2:$EZ$1000, MATCH(F19, Reference!$EX$2:$EX$1000, 0)), "No")="Yes"),0,G19*L19)</f>
        <v>6000</v>
      </c>
      <c r="Y19" s="32">
        <f>IF(AND(Builder!E2="Insurance / Org Tariff",IFERROR(INDEX(Reference!$EZ$2:$EZ$1000, MATCH(F19, Reference!$EX$2:$EX$1000, 0)), "No")="Yes"),0,G19*M19)</f>
        <v>6000</v>
      </c>
    </row>
    <row r="20" ht="15" customHeight="1" spans="1:25" x14ac:dyDescent="0.25">
      <c r="A20" s="14" t="s">
        <v>592</v>
      </c>
      <c r="B20" s="40" t="s">
        <v>79</v>
      </c>
      <c r="C20" s="14" t="s">
        <v>558</v>
      </c>
      <c r="D20" s="14" t="s">
        <v>554</v>
      </c>
      <c r="E20" s="14" t="s">
        <v>559</v>
      </c>
      <c r="F20" s="40" t="s">
        <v>593</v>
      </c>
      <c r="G20" s="32">
        <f>Builder!G11</f>
        <v>2</v>
      </c>
      <c r="H20" s="32">
        <f>Builder!B11</f>
        <v>2</v>
      </c>
      <c r="I20" s="32">
        <f>Builder!C11</f>
        <v>2</v>
      </c>
      <c r="J20" s="32">
        <f>Builder!D11</f>
        <v>3</v>
      </c>
      <c r="K20" s="32">
        <f>0+IFERROR(INDEX(Reference!$EJ$2:$EJ$8000, MATCH(Builder!E5&amp;"|"&amp;F20, Reference!$EB$2:$EB$8000, 0)), 1500)</f>
        <v>1500</v>
      </c>
      <c r="L20" s="32">
        <f>0+IFERROR(INDEX(Reference!$EJ$2:$EJ$8000, MATCH(Builder!E5&amp;"|"&amp;F20, Reference!$EB$2:$EB$8000, 0)), 1500)</f>
        <v>1500</v>
      </c>
      <c r="M20" s="32">
        <f>0+IFERROR(INDEX(Reference!$EJ$2:$EJ$8000, MATCH(Builder!E5&amp;"|"&amp;F20, Reference!$EB$2:$EB$8000, 0)), 1500)</f>
        <v>1500</v>
      </c>
      <c r="N20" s="32">
        <f>IF(AND(Builder!E2="Insurance / Org Tariff",IFERROR(INDEX(Reference!$EZ$2:$EZ$1000, MATCH(F20, Reference!$EX$2:$EX$1000, 0)), "No")="Yes"),0,H20*K20)</f>
        <v>3000</v>
      </c>
      <c r="O20" s="32">
        <f>IF(AND(Builder!E2="Insurance / Org Tariff",IFERROR(INDEX(Reference!$EZ$2:$EZ$1000, MATCH(F20, Reference!$EX$2:$EX$1000, 0)), "No")="Yes"),0,I20*K20)</f>
        <v>3000</v>
      </c>
      <c r="P20" s="32">
        <f>IF(AND(Builder!E2="Insurance / Org Tariff",IFERROR(INDEX(Reference!$EZ$2:$EZ$1000, MATCH(F20, Reference!$EX$2:$EX$1000, 0)), "No")="Yes"),0,J20*K20)</f>
        <v>4500</v>
      </c>
      <c r="Q20" s="32">
        <f>IF(AND(Builder!E2="Insurance / Org Tariff",IFERROR(INDEX(Reference!$EZ$2:$EZ$1000, MATCH(F20, Reference!$EX$2:$EX$1000, 0)), "No")="Yes"),0,H20*L20)</f>
        <v>3000</v>
      </c>
      <c r="R20" s="32">
        <f>IF(AND(Builder!E2="Insurance / Org Tariff",IFERROR(INDEX(Reference!$EZ$2:$EZ$1000, MATCH(F20, Reference!$EX$2:$EX$1000, 0)), "No")="Yes"),0,I20*L20)</f>
        <v>3000</v>
      </c>
      <c r="S20" s="32">
        <f>IF(AND(Builder!E2="Insurance / Org Tariff",IFERROR(INDEX(Reference!$EZ$2:$EZ$1000, MATCH(F20, Reference!$EX$2:$EX$1000, 0)), "No")="Yes"),0,J20*L20)</f>
        <v>4500</v>
      </c>
      <c r="T20" s="32">
        <f>IF(AND(Builder!E2="Insurance / Org Tariff",IFERROR(INDEX(Reference!$EZ$2:$EZ$1000, MATCH(F20, Reference!$EX$2:$EX$1000, 0)), "No")="Yes"),0,H20*M20)</f>
        <v>3000</v>
      </c>
      <c r="U20" s="32">
        <f>IF(AND(Builder!E2="Insurance / Org Tariff",IFERROR(INDEX(Reference!$EZ$2:$EZ$1000, MATCH(F20, Reference!$EX$2:$EX$1000, 0)), "No")="Yes"),0,I20*M20)</f>
        <v>3000</v>
      </c>
      <c r="V20" s="32">
        <f>IF(AND(Builder!E2="Insurance / Org Tariff",IFERROR(INDEX(Reference!$EZ$2:$EZ$1000, MATCH(F20, Reference!$EX$2:$EX$1000, 0)), "No")="Yes"),0,J20*M20)</f>
        <v>4500</v>
      </c>
      <c r="W20" s="32">
        <f>IF(AND(Builder!E2="Insurance / Org Tariff",IFERROR(INDEX(Reference!$EZ$2:$EZ$1000, MATCH(F20, Reference!$EX$2:$EX$1000, 0)), "No")="Yes"),0,G20*K20)</f>
        <v>3000</v>
      </c>
      <c r="X20" s="32">
        <f>IF(AND(Builder!E2="Insurance / Org Tariff",IFERROR(INDEX(Reference!$EZ$2:$EZ$1000, MATCH(F20, Reference!$EX$2:$EX$1000, 0)), "No")="Yes"),0,G20*L20)</f>
        <v>3000</v>
      </c>
      <c r="Y20" s="32">
        <f>IF(AND(Builder!E2="Insurance / Org Tariff",IFERROR(INDEX(Reference!$EZ$2:$EZ$1000, MATCH(F20, Reference!$EX$2:$EX$1000, 0)), "No")="Yes"),0,G20*M20)</f>
        <v>3000</v>
      </c>
    </row>
    <row r="21" ht="15" customHeight="1" spans="1:25" x14ac:dyDescent="0.25">
      <c r="A21" s="14" t="s">
        <v>594</v>
      </c>
      <c r="B21" s="40" t="s">
        <v>79</v>
      </c>
      <c r="C21" s="14" t="s">
        <v>553</v>
      </c>
      <c r="D21" s="14" t="s">
        <v>554</v>
      </c>
      <c r="E21" s="14" t="s">
        <v>595</v>
      </c>
      <c r="F21" s="40" t="s">
        <v>596</v>
      </c>
      <c r="G21" s="32">
        <f>Builder!G10</f>
        <v>3</v>
      </c>
      <c r="H21" s="32">
        <f>Builder!B10</f>
        <v>2</v>
      </c>
      <c r="I21" s="32">
        <f>Builder!C10</f>
        <v>3</v>
      </c>
      <c r="J21" s="32">
        <f>Builder!D10</f>
        <v>5</v>
      </c>
      <c r="K21" s="32">
        <f>0+IFERROR(INDEX(Reference!$EG$2:$EG$8000, MATCH(Builder!E5&amp;"|"&amp;F21, Reference!$EB$2:$EB$8000, 0)), 350)</f>
        <v>350</v>
      </c>
      <c r="L21" s="32">
        <f>0+IFERROR(INDEX(Reference!$EH$2:$EH$8000, MATCH(Builder!E5&amp;"|"&amp;F21, Reference!$EB$2:$EB$8000, 0)), 350)</f>
        <v>350</v>
      </c>
      <c r="M21" s="32">
        <f>0+IFERROR(INDEX(Reference!$EI$2:$EI$8000, MATCH(Builder!E5&amp;"|"&amp;F21, Reference!$EB$2:$EB$8000, 0)), 350)</f>
        <v>350</v>
      </c>
      <c r="N21" s="32">
        <f>IF(AND(Builder!E2="Insurance / Org Tariff",IFERROR(INDEX(Reference!$EZ$2:$EZ$1000, MATCH(F21, Reference!$EX$2:$EX$1000, 0)), "No")="Yes"),0,H21*K21)</f>
        <v>700</v>
      </c>
      <c r="O21" s="32">
        <f>IF(AND(Builder!E2="Insurance / Org Tariff",IFERROR(INDEX(Reference!$EZ$2:$EZ$1000, MATCH(F21, Reference!$EX$2:$EX$1000, 0)), "No")="Yes"),0,I21*K21)</f>
        <v>1050</v>
      </c>
      <c r="P21" s="32">
        <f>IF(AND(Builder!E2="Insurance / Org Tariff",IFERROR(INDEX(Reference!$EZ$2:$EZ$1000, MATCH(F21, Reference!$EX$2:$EX$1000, 0)), "No")="Yes"),0,J21*K21)</f>
        <v>1750</v>
      </c>
      <c r="Q21" s="32">
        <f>IF(AND(Builder!E2="Insurance / Org Tariff",IFERROR(INDEX(Reference!$EZ$2:$EZ$1000, MATCH(F21, Reference!$EX$2:$EX$1000, 0)), "No")="Yes"),0,H21*L21)</f>
        <v>700</v>
      </c>
      <c r="R21" s="32">
        <f>IF(AND(Builder!E2="Insurance / Org Tariff",IFERROR(INDEX(Reference!$EZ$2:$EZ$1000, MATCH(F21, Reference!$EX$2:$EX$1000, 0)), "No")="Yes"),0,I21*L21)</f>
        <v>1050</v>
      </c>
      <c r="S21" s="32">
        <f>IF(AND(Builder!E2="Insurance / Org Tariff",IFERROR(INDEX(Reference!$EZ$2:$EZ$1000, MATCH(F21, Reference!$EX$2:$EX$1000, 0)), "No")="Yes"),0,J21*L21)</f>
        <v>1750</v>
      </c>
      <c r="T21" s="32">
        <f>IF(AND(Builder!E2="Insurance / Org Tariff",IFERROR(INDEX(Reference!$EZ$2:$EZ$1000, MATCH(F21, Reference!$EX$2:$EX$1000, 0)), "No")="Yes"),0,H21*M21)</f>
        <v>700</v>
      </c>
      <c r="U21" s="32">
        <f>IF(AND(Builder!E2="Insurance / Org Tariff",IFERROR(INDEX(Reference!$EZ$2:$EZ$1000, MATCH(F21, Reference!$EX$2:$EX$1000, 0)), "No")="Yes"),0,I21*M21)</f>
        <v>1050</v>
      </c>
      <c r="V21" s="32">
        <f>IF(AND(Builder!E2="Insurance / Org Tariff",IFERROR(INDEX(Reference!$EZ$2:$EZ$1000, MATCH(F21, Reference!$EX$2:$EX$1000, 0)), "No")="Yes"),0,J21*M21)</f>
        <v>1750</v>
      </c>
      <c r="W21" s="32">
        <f>IF(AND(Builder!E2="Insurance / Org Tariff",IFERROR(INDEX(Reference!$EZ$2:$EZ$1000, MATCH(F21, Reference!$EX$2:$EX$1000, 0)), "No")="Yes"),0,G21*K21)</f>
        <v>1050</v>
      </c>
      <c r="X21" s="32">
        <f>IF(AND(Builder!E2="Insurance / Org Tariff",IFERROR(INDEX(Reference!$EZ$2:$EZ$1000, MATCH(F21, Reference!$EX$2:$EX$1000, 0)), "No")="Yes"),0,G21*L21)</f>
        <v>1050</v>
      </c>
      <c r="Y21" s="32">
        <f>IF(AND(Builder!E2="Insurance / Org Tariff",IFERROR(INDEX(Reference!$EZ$2:$EZ$1000, MATCH(F21, Reference!$EX$2:$EX$1000, 0)), "No")="Yes"),0,G21*M21)</f>
        <v>1050</v>
      </c>
    </row>
    <row r="22" ht="15" customHeight="1" spans="1:25" x14ac:dyDescent="0.25">
      <c r="A22" s="14" t="s">
        <v>597</v>
      </c>
      <c r="B22" s="40" t="s">
        <v>90</v>
      </c>
      <c r="C22" s="14" t="s">
        <v>598</v>
      </c>
      <c r="D22" s="14" t="s">
        <v>549</v>
      </c>
      <c r="E22" s="14" t="s">
        <v>550</v>
      </c>
      <c r="F22" s="40" t="s">
        <v>599</v>
      </c>
      <c r="G22" s="32">
        <f>IF(Builder!B5="Low",H22,IF(Builder!B5="Typical",I22,J22))</f>
        <v>1</v>
      </c>
      <c r="H22" s="32">
        <f>IFERROR(INDEX(Reference!$CX$2:$CX$4000, MATCH(Builder!G6&amp;"|"&amp;F22, Reference!$CQ$2:$CQ$4000, 0)), 1)</f>
        <v>1</v>
      </c>
      <c r="I22" s="32">
        <f>IFERROR(INDEX(Reference!$CY$2:$CY$4000, MATCH(Builder!G6&amp;"|"&amp;F22, Reference!$CQ$2:$CQ$4000, 0)), 1)</f>
        <v>1</v>
      </c>
      <c r="J22" s="32">
        <f>IFERROR(INDEX(Reference!$CZ$2:$CZ$4000, MATCH(Builder!G6&amp;"|"&amp;F22, Reference!$CQ$2:$CQ$4000, 0)), 1)</f>
        <v>1</v>
      </c>
      <c r="K22" s="32">
        <f>0+IFERROR(INDEX(Reference!$EG$2:$EG$8000, MATCH(Builder!E5&amp;"|"&amp;F22, Reference!$EB$2:$EB$8000, 0)), 930)</f>
        <v>930</v>
      </c>
      <c r="L22" s="32">
        <f>0+IFERROR(INDEX(Reference!$EH$2:$EH$8000, MATCH(Builder!E5&amp;"|"&amp;F22, Reference!$EB$2:$EB$8000, 0)), 930)</f>
        <v>930</v>
      </c>
      <c r="M22" s="32">
        <f>0+IFERROR(INDEX(Reference!$EI$2:$EI$8000, MATCH(Builder!E5&amp;"|"&amp;F22, Reference!$EB$2:$EB$8000, 0)), 930)</f>
        <v>930</v>
      </c>
      <c r="N22" s="32">
        <f>IF(AND(Builder!E2="Insurance / Org Tariff",IFERROR(INDEX(Reference!$EZ$2:$EZ$1000, MATCH(F22, Reference!$EX$2:$EX$1000, 0)), "No")="Yes"),0,H22*K22)</f>
        <v>930</v>
      </c>
      <c r="O22" s="32">
        <f>IF(AND(Builder!E2="Insurance / Org Tariff",IFERROR(INDEX(Reference!$EZ$2:$EZ$1000, MATCH(F22, Reference!$EX$2:$EX$1000, 0)), "No")="Yes"),0,I22*K22)</f>
        <v>930</v>
      </c>
      <c r="P22" s="32">
        <f>IF(AND(Builder!E2="Insurance / Org Tariff",IFERROR(INDEX(Reference!$EZ$2:$EZ$1000, MATCH(F22, Reference!$EX$2:$EX$1000, 0)), "No")="Yes"),0,J22*K22)</f>
        <v>930</v>
      </c>
      <c r="Q22" s="32">
        <f>IF(AND(Builder!E2="Insurance / Org Tariff",IFERROR(INDEX(Reference!$EZ$2:$EZ$1000, MATCH(F22, Reference!$EX$2:$EX$1000, 0)), "No")="Yes"),0,H22*L22)</f>
        <v>930</v>
      </c>
      <c r="R22" s="32">
        <f>IF(AND(Builder!E2="Insurance / Org Tariff",IFERROR(INDEX(Reference!$EZ$2:$EZ$1000, MATCH(F22, Reference!$EX$2:$EX$1000, 0)), "No")="Yes"),0,I22*L22)</f>
        <v>930</v>
      </c>
      <c r="S22" s="32">
        <f>IF(AND(Builder!E2="Insurance / Org Tariff",IFERROR(INDEX(Reference!$EZ$2:$EZ$1000, MATCH(F22, Reference!$EX$2:$EX$1000, 0)), "No")="Yes"),0,J22*L22)</f>
        <v>930</v>
      </c>
      <c r="T22" s="32">
        <f>IF(AND(Builder!E2="Insurance / Org Tariff",IFERROR(INDEX(Reference!$EZ$2:$EZ$1000, MATCH(F22, Reference!$EX$2:$EX$1000, 0)), "No")="Yes"),0,H22*M22)</f>
        <v>930</v>
      </c>
      <c r="U22" s="32">
        <f>IF(AND(Builder!E2="Insurance / Org Tariff",IFERROR(INDEX(Reference!$EZ$2:$EZ$1000, MATCH(F22, Reference!$EX$2:$EX$1000, 0)), "No")="Yes"),0,I22*M22)</f>
        <v>930</v>
      </c>
      <c r="V22" s="32">
        <f>IF(AND(Builder!E2="Insurance / Org Tariff",IFERROR(INDEX(Reference!$EZ$2:$EZ$1000, MATCH(F22, Reference!$EX$2:$EX$1000, 0)), "No")="Yes"),0,J22*M22)</f>
        <v>930</v>
      </c>
      <c r="W22" s="32">
        <f>IF(Builder!B5="Low",N22,IF(Builder!B5="Typical",O22,P22))</f>
        <v>930</v>
      </c>
      <c r="X22" s="32">
        <f>IF(Builder!B5="Low",Q22,IF(Builder!B5="Typical",R22,S22))</f>
        <v>930</v>
      </c>
      <c r="Y22" s="32">
        <f>IF(Builder!B5="Low",T22,IF(Builder!B5="Typical",U22,V22))</f>
        <v>930</v>
      </c>
    </row>
    <row r="23" ht="15" customHeight="1" spans="1:25" x14ac:dyDescent="0.25">
      <c r="A23" s="14" t="s">
        <v>600</v>
      </c>
      <c r="B23" s="40" t="s">
        <v>79</v>
      </c>
      <c r="C23" s="14" t="s">
        <v>558</v>
      </c>
      <c r="D23" s="14" t="s">
        <v>554</v>
      </c>
      <c r="E23" s="14" t="s">
        <v>559</v>
      </c>
      <c r="F23" s="40" t="s">
        <v>601</v>
      </c>
      <c r="G23" s="32">
        <f>Builder!G11</f>
        <v>2</v>
      </c>
      <c r="H23" s="32">
        <f>Builder!B11</f>
        <v>2</v>
      </c>
      <c r="I23" s="32">
        <f>Builder!C11</f>
        <v>2</v>
      </c>
      <c r="J23" s="32">
        <f>Builder!D11</f>
        <v>3</v>
      </c>
      <c r="K23" s="32">
        <f>0+IFERROR(INDEX(Reference!$EJ$2:$EJ$8000, MATCH(Builder!E5&amp;"|"&amp;F23, Reference!$EB$2:$EB$8000, 0)), 850)</f>
        <v>850</v>
      </c>
      <c r="L23" s="32">
        <f>0+IFERROR(INDEX(Reference!$EJ$2:$EJ$8000, MATCH(Builder!E5&amp;"|"&amp;F23, Reference!$EB$2:$EB$8000, 0)), 850)</f>
        <v>850</v>
      </c>
      <c r="M23" s="32">
        <f>0+IFERROR(INDEX(Reference!$EJ$2:$EJ$8000, MATCH(Builder!E5&amp;"|"&amp;F23, Reference!$EB$2:$EB$8000, 0)), 850)</f>
        <v>850</v>
      </c>
      <c r="N23" s="32">
        <f>IF(AND(Builder!E2="Insurance / Org Tariff",IFERROR(INDEX(Reference!$EZ$2:$EZ$1000, MATCH(F23, Reference!$EX$2:$EX$1000, 0)), "No")="Yes"),0,H23*K23)</f>
        <v>1700</v>
      </c>
      <c r="O23" s="32">
        <f>IF(AND(Builder!E2="Insurance / Org Tariff",IFERROR(INDEX(Reference!$EZ$2:$EZ$1000, MATCH(F23, Reference!$EX$2:$EX$1000, 0)), "No")="Yes"),0,I23*K23)</f>
        <v>1700</v>
      </c>
      <c r="P23" s="32">
        <f>IF(AND(Builder!E2="Insurance / Org Tariff",IFERROR(INDEX(Reference!$EZ$2:$EZ$1000, MATCH(F23, Reference!$EX$2:$EX$1000, 0)), "No")="Yes"),0,J23*K23)</f>
        <v>2550</v>
      </c>
      <c r="Q23" s="32">
        <f>IF(AND(Builder!E2="Insurance / Org Tariff",IFERROR(INDEX(Reference!$EZ$2:$EZ$1000, MATCH(F23, Reference!$EX$2:$EX$1000, 0)), "No")="Yes"),0,H23*L23)</f>
        <v>1700</v>
      </c>
      <c r="R23" s="32">
        <f>IF(AND(Builder!E2="Insurance / Org Tariff",IFERROR(INDEX(Reference!$EZ$2:$EZ$1000, MATCH(F23, Reference!$EX$2:$EX$1000, 0)), "No")="Yes"),0,I23*L23)</f>
        <v>1700</v>
      </c>
      <c r="S23" s="32">
        <f>IF(AND(Builder!E2="Insurance / Org Tariff",IFERROR(INDEX(Reference!$EZ$2:$EZ$1000, MATCH(F23, Reference!$EX$2:$EX$1000, 0)), "No")="Yes"),0,J23*L23)</f>
        <v>2550</v>
      </c>
      <c r="T23" s="32">
        <f>IF(AND(Builder!E2="Insurance / Org Tariff",IFERROR(INDEX(Reference!$EZ$2:$EZ$1000, MATCH(F23, Reference!$EX$2:$EX$1000, 0)), "No")="Yes"),0,H23*M23)</f>
        <v>1700</v>
      </c>
      <c r="U23" s="32">
        <f>IF(AND(Builder!E2="Insurance / Org Tariff",IFERROR(INDEX(Reference!$EZ$2:$EZ$1000, MATCH(F23, Reference!$EX$2:$EX$1000, 0)), "No")="Yes"),0,I23*M23)</f>
        <v>1700</v>
      </c>
      <c r="V23" s="32">
        <f>IF(AND(Builder!E2="Insurance / Org Tariff",IFERROR(INDEX(Reference!$EZ$2:$EZ$1000, MATCH(F23, Reference!$EX$2:$EX$1000, 0)), "No")="Yes"),0,J23*M23)</f>
        <v>2550</v>
      </c>
      <c r="W23" s="32">
        <f>IF(AND(Builder!E2="Insurance / Org Tariff",IFERROR(INDEX(Reference!$EZ$2:$EZ$1000, MATCH(F23, Reference!$EX$2:$EX$1000, 0)), "No")="Yes"),0,G23*K23)</f>
        <v>1700</v>
      </c>
      <c r="X23" s="32">
        <f>IF(AND(Builder!E2="Insurance / Org Tariff",IFERROR(INDEX(Reference!$EZ$2:$EZ$1000, MATCH(F23, Reference!$EX$2:$EX$1000, 0)), "No")="Yes"),0,G23*L23)</f>
        <v>1700</v>
      </c>
      <c r="Y23" s="32">
        <f>IF(AND(Builder!E2="Insurance / Org Tariff",IFERROR(INDEX(Reference!$EZ$2:$EZ$1000, MATCH(F23, Reference!$EX$2:$EX$1000, 0)), "No")="Yes"),0,G23*M23)</f>
        <v>1700</v>
      </c>
    </row>
    <row r="24" ht="15" customHeight="1" spans="1:25" x14ac:dyDescent="0.25">
      <c r="A24" s="14" t="s">
        <v>602</v>
      </c>
      <c r="B24" s="40" t="s">
        <v>90</v>
      </c>
      <c r="C24" s="14" t="s">
        <v>598</v>
      </c>
      <c r="D24" s="14" t="s">
        <v>549</v>
      </c>
      <c r="E24" s="14" t="s">
        <v>550</v>
      </c>
      <c r="F24" s="40" t="s">
        <v>603</v>
      </c>
      <c r="G24" s="32">
        <f>IF(Builder!B5="Low",H24,IF(Builder!B5="Typical",I24,J24))</f>
        <v>1</v>
      </c>
      <c r="H24" s="32">
        <f>IFERROR(INDEX(Reference!$CX$2:$CX$4000, MATCH(Builder!G6&amp;"|"&amp;F24, Reference!$CQ$2:$CQ$4000, 0)), 1)</f>
        <v>1</v>
      </c>
      <c r="I24" s="32">
        <f>IFERROR(INDEX(Reference!$CY$2:$CY$4000, MATCH(Builder!G6&amp;"|"&amp;F24, Reference!$CQ$2:$CQ$4000, 0)), 1)</f>
        <v>1</v>
      </c>
      <c r="J24" s="32">
        <f>IFERROR(INDEX(Reference!$CZ$2:$CZ$4000, MATCH(Builder!G6&amp;"|"&amp;F24, Reference!$CQ$2:$CQ$4000, 0)), 1)</f>
        <v>1</v>
      </c>
      <c r="K24" s="32">
        <f>0+IFERROR(INDEX(Reference!$EG$2:$EG$8000, MATCH(Builder!E5&amp;"|"&amp;F24, Reference!$EB$2:$EB$8000, 0)), 350)</f>
        <v>350</v>
      </c>
      <c r="L24" s="32">
        <f>0+IFERROR(INDEX(Reference!$EH$2:$EH$8000, MATCH(Builder!E5&amp;"|"&amp;F24, Reference!$EB$2:$EB$8000, 0)), 350)</f>
        <v>350</v>
      </c>
      <c r="M24" s="32">
        <f>0+IFERROR(INDEX(Reference!$EI$2:$EI$8000, MATCH(Builder!E5&amp;"|"&amp;F24, Reference!$EB$2:$EB$8000, 0)), 350)</f>
        <v>350</v>
      </c>
      <c r="N24" s="32">
        <f>IF(AND(Builder!E2="Insurance / Org Tariff",IFERROR(INDEX(Reference!$EZ$2:$EZ$1000, MATCH(F24, Reference!$EX$2:$EX$1000, 0)), "No")="Yes"),0,H24*K24)</f>
        <v>350</v>
      </c>
      <c r="O24" s="32">
        <f>IF(AND(Builder!E2="Insurance / Org Tariff",IFERROR(INDEX(Reference!$EZ$2:$EZ$1000, MATCH(F24, Reference!$EX$2:$EX$1000, 0)), "No")="Yes"),0,I24*K24)</f>
        <v>350</v>
      </c>
      <c r="P24" s="32">
        <f>IF(AND(Builder!E2="Insurance / Org Tariff",IFERROR(INDEX(Reference!$EZ$2:$EZ$1000, MATCH(F24, Reference!$EX$2:$EX$1000, 0)), "No")="Yes"),0,J24*K24)</f>
        <v>350</v>
      </c>
      <c r="Q24" s="32">
        <f>IF(AND(Builder!E2="Insurance / Org Tariff",IFERROR(INDEX(Reference!$EZ$2:$EZ$1000, MATCH(F24, Reference!$EX$2:$EX$1000, 0)), "No")="Yes"),0,H24*L24)</f>
        <v>350</v>
      </c>
      <c r="R24" s="32">
        <f>IF(AND(Builder!E2="Insurance / Org Tariff",IFERROR(INDEX(Reference!$EZ$2:$EZ$1000, MATCH(F24, Reference!$EX$2:$EX$1000, 0)), "No")="Yes"),0,I24*L24)</f>
        <v>350</v>
      </c>
      <c r="S24" s="32">
        <f>IF(AND(Builder!E2="Insurance / Org Tariff",IFERROR(INDEX(Reference!$EZ$2:$EZ$1000, MATCH(F24, Reference!$EX$2:$EX$1000, 0)), "No")="Yes"),0,J24*L24)</f>
        <v>350</v>
      </c>
      <c r="T24" s="32">
        <f>IF(AND(Builder!E2="Insurance / Org Tariff",IFERROR(INDEX(Reference!$EZ$2:$EZ$1000, MATCH(F24, Reference!$EX$2:$EX$1000, 0)), "No")="Yes"),0,H24*M24)</f>
        <v>350</v>
      </c>
      <c r="U24" s="32">
        <f>IF(AND(Builder!E2="Insurance / Org Tariff",IFERROR(INDEX(Reference!$EZ$2:$EZ$1000, MATCH(F24, Reference!$EX$2:$EX$1000, 0)), "No")="Yes"),0,I24*M24)</f>
        <v>350</v>
      </c>
      <c r="V24" s="32">
        <f>IF(AND(Builder!E2="Insurance / Org Tariff",IFERROR(INDEX(Reference!$EZ$2:$EZ$1000, MATCH(F24, Reference!$EX$2:$EX$1000, 0)), "No")="Yes"),0,J24*M24)</f>
        <v>350</v>
      </c>
      <c r="W24" s="32">
        <f>IF(Builder!B5="Low",N24,IF(Builder!B5="Typical",O24,P24))</f>
        <v>350</v>
      </c>
      <c r="X24" s="32">
        <f>IF(Builder!B5="Low",Q24,IF(Builder!B5="Typical",R24,S24))</f>
        <v>350</v>
      </c>
      <c r="Y24" s="32">
        <f>IF(Builder!B5="Low",T24,IF(Builder!B5="Typical",U24,V24))</f>
        <v>350</v>
      </c>
    </row>
    <row r="25" ht="15" customHeight="1" spans="1:25" x14ac:dyDescent="0.25">
      <c r="A25" s="14" t="s">
        <v>604</v>
      </c>
      <c r="B25" s="40" t="s">
        <v>90</v>
      </c>
      <c r="C25" s="14" t="s">
        <v>605</v>
      </c>
      <c r="D25" s="14" t="s">
        <v>549</v>
      </c>
      <c r="E25" s="14" t="s">
        <v>550</v>
      </c>
      <c r="F25" s="40" t="s">
        <v>606</v>
      </c>
      <c r="G25" s="32">
        <f>IF(Builder!B5="Low",H25,IF(Builder!B5="Typical",I25,J25))</f>
        <v>1</v>
      </c>
      <c r="H25" s="32">
        <f>IFERROR(INDEX(Reference!$CX$2:$CX$4000, MATCH(Builder!G6&amp;"|"&amp;F25, Reference!$CQ$2:$CQ$4000, 0)), 1)</f>
        <v>1</v>
      </c>
      <c r="I25" s="32">
        <f>IFERROR(INDEX(Reference!$CY$2:$CY$4000, MATCH(Builder!G6&amp;"|"&amp;F25, Reference!$CQ$2:$CQ$4000, 0)), 1)</f>
        <v>1</v>
      </c>
      <c r="J25" s="32">
        <f>IFERROR(INDEX(Reference!$CZ$2:$CZ$4000, MATCH(Builder!G6&amp;"|"&amp;F25, Reference!$CQ$2:$CQ$4000, 0)), 1)</f>
        <v>1</v>
      </c>
      <c r="K25" s="32">
        <f>0+IFERROR(INDEX(Reference!$EG$2:$EG$8000, MATCH(Builder!E5&amp;"|"&amp;F25, Reference!$EB$2:$EB$8000, 0)), 740)</f>
        <v>740</v>
      </c>
      <c r="L25" s="32">
        <f>0+IFERROR(INDEX(Reference!$EH$2:$EH$8000, MATCH(Builder!E5&amp;"|"&amp;F25, Reference!$EB$2:$EB$8000, 0)), 820)</f>
        <v>820</v>
      </c>
      <c r="M25" s="32">
        <f>0+IFERROR(INDEX(Reference!$EI$2:$EI$8000, MATCH(Builder!E5&amp;"|"&amp;F25, Reference!$EB$2:$EB$8000, 0)), 880)</f>
        <v>880</v>
      </c>
      <c r="N25" s="32">
        <f>IF(AND(Builder!E2="Insurance / Org Tariff",IFERROR(INDEX(Reference!$EZ$2:$EZ$1000, MATCH(F25, Reference!$EX$2:$EX$1000, 0)), "No")="Yes"),0,H25*K25)</f>
        <v>740</v>
      </c>
      <c r="O25" s="32">
        <f>IF(AND(Builder!E2="Insurance / Org Tariff",IFERROR(INDEX(Reference!$EZ$2:$EZ$1000, MATCH(F25, Reference!$EX$2:$EX$1000, 0)), "No")="Yes"),0,I25*K25)</f>
        <v>740</v>
      </c>
      <c r="P25" s="32">
        <f>IF(AND(Builder!E2="Insurance / Org Tariff",IFERROR(INDEX(Reference!$EZ$2:$EZ$1000, MATCH(F25, Reference!$EX$2:$EX$1000, 0)), "No")="Yes"),0,J25*K25)</f>
        <v>740</v>
      </c>
      <c r="Q25" s="32">
        <f>IF(AND(Builder!E2="Insurance / Org Tariff",IFERROR(INDEX(Reference!$EZ$2:$EZ$1000, MATCH(F25, Reference!$EX$2:$EX$1000, 0)), "No")="Yes"),0,H25*L25)</f>
        <v>820</v>
      </c>
      <c r="R25" s="32">
        <f>IF(AND(Builder!E2="Insurance / Org Tariff",IFERROR(INDEX(Reference!$EZ$2:$EZ$1000, MATCH(F25, Reference!$EX$2:$EX$1000, 0)), "No")="Yes"),0,I25*L25)</f>
        <v>820</v>
      </c>
      <c r="S25" s="32">
        <f>IF(AND(Builder!E2="Insurance / Org Tariff",IFERROR(INDEX(Reference!$EZ$2:$EZ$1000, MATCH(F25, Reference!$EX$2:$EX$1000, 0)), "No")="Yes"),0,J25*L25)</f>
        <v>820</v>
      </c>
      <c r="T25" s="32">
        <f>IF(AND(Builder!E2="Insurance / Org Tariff",IFERROR(INDEX(Reference!$EZ$2:$EZ$1000, MATCH(F25, Reference!$EX$2:$EX$1000, 0)), "No")="Yes"),0,H25*M25)</f>
        <v>880</v>
      </c>
      <c r="U25" s="32">
        <f>IF(AND(Builder!E2="Insurance / Org Tariff",IFERROR(INDEX(Reference!$EZ$2:$EZ$1000, MATCH(F25, Reference!$EX$2:$EX$1000, 0)), "No")="Yes"),0,I25*M25)</f>
        <v>880</v>
      </c>
      <c r="V25" s="32">
        <f>IF(AND(Builder!E2="Insurance / Org Tariff",IFERROR(INDEX(Reference!$EZ$2:$EZ$1000, MATCH(F25, Reference!$EX$2:$EX$1000, 0)), "No")="Yes"),0,J25*M25)</f>
        <v>880</v>
      </c>
      <c r="W25" s="32">
        <f>IF(Builder!B5="Low",N25,IF(Builder!B5="Typical",O25,P25))</f>
        <v>740</v>
      </c>
      <c r="X25" s="32">
        <f>IF(Builder!B5="Low",Q25,IF(Builder!B5="Typical",R25,S25))</f>
        <v>820</v>
      </c>
      <c r="Y25" s="32">
        <f>IF(Builder!B5="Low",T25,IF(Builder!B5="Typical",U25,V25))</f>
        <v>880</v>
      </c>
    </row>
    <row r="26" ht="15" customHeight="1" spans="1:25" x14ac:dyDescent="0.25">
      <c r="A26" s="14" t="s">
        <v>607</v>
      </c>
      <c r="B26" s="40" t="s">
        <v>90</v>
      </c>
      <c r="C26" s="14" t="s">
        <v>598</v>
      </c>
      <c r="D26" s="14" t="s">
        <v>549</v>
      </c>
      <c r="E26" s="14" t="s">
        <v>550</v>
      </c>
      <c r="F26" s="40" t="s">
        <v>608</v>
      </c>
      <c r="G26" s="32">
        <f>IF(Builder!B5="Low",H26,IF(Builder!B5="Typical",I26,J26))</f>
        <v>1</v>
      </c>
      <c r="H26" s="32">
        <f>IFERROR(INDEX(Reference!$CX$2:$CX$4000, MATCH(Builder!G6&amp;"|"&amp;F26, Reference!$CQ$2:$CQ$4000, 0)), 1)</f>
        <v>1</v>
      </c>
      <c r="I26" s="32">
        <f>IFERROR(INDEX(Reference!$CY$2:$CY$4000, MATCH(Builder!G6&amp;"|"&amp;F26, Reference!$CQ$2:$CQ$4000, 0)), 1)</f>
        <v>1</v>
      </c>
      <c r="J26" s="32">
        <f>IFERROR(INDEX(Reference!$CZ$2:$CZ$4000, MATCH(Builder!G6&amp;"|"&amp;F26, Reference!$CQ$2:$CQ$4000, 0)), 1)</f>
        <v>1</v>
      </c>
      <c r="K26" s="32">
        <f>0+IFERROR(INDEX(Reference!$EG$2:$EG$8000, MATCH(Builder!E5&amp;"|"&amp;F26, Reference!$EB$2:$EB$8000, 0)), 980)</f>
        <v>980</v>
      </c>
      <c r="L26" s="32">
        <f>0+IFERROR(INDEX(Reference!$EH$2:$EH$8000, MATCH(Builder!E5&amp;"|"&amp;F26, Reference!$EB$2:$EB$8000, 0)), 1080)</f>
        <v>1080</v>
      </c>
      <c r="M26" s="32">
        <f>0+IFERROR(INDEX(Reference!$EI$2:$EI$8000, MATCH(Builder!E5&amp;"|"&amp;F26, Reference!$EB$2:$EB$8000, 0)), 1170)</f>
        <v>1170</v>
      </c>
      <c r="N26" s="32">
        <f>IF(AND(Builder!E2="Insurance / Org Tariff",IFERROR(INDEX(Reference!$EZ$2:$EZ$1000, MATCH(F26, Reference!$EX$2:$EX$1000, 0)), "No")="Yes"),0,H26*K26)</f>
        <v>980</v>
      </c>
      <c r="O26" s="32">
        <f>IF(AND(Builder!E2="Insurance / Org Tariff",IFERROR(INDEX(Reference!$EZ$2:$EZ$1000, MATCH(F26, Reference!$EX$2:$EX$1000, 0)), "No")="Yes"),0,I26*K26)</f>
        <v>980</v>
      </c>
      <c r="P26" s="32">
        <f>IF(AND(Builder!E2="Insurance / Org Tariff",IFERROR(INDEX(Reference!$EZ$2:$EZ$1000, MATCH(F26, Reference!$EX$2:$EX$1000, 0)), "No")="Yes"),0,J26*K26)</f>
        <v>980</v>
      </c>
      <c r="Q26" s="32">
        <f>IF(AND(Builder!E2="Insurance / Org Tariff",IFERROR(INDEX(Reference!$EZ$2:$EZ$1000, MATCH(F26, Reference!$EX$2:$EX$1000, 0)), "No")="Yes"),0,H26*L26)</f>
        <v>1080</v>
      </c>
      <c r="R26" s="32">
        <f>IF(AND(Builder!E2="Insurance / Org Tariff",IFERROR(INDEX(Reference!$EZ$2:$EZ$1000, MATCH(F26, Reference!$EX$2:$EX$1000, 0)), "No")="Yes"),0,I26*L26)</f>
        <v>1080</v>
      </c>
      <c r="S26" s="32">
        <f>IF(AND(Builder!E2="Insurance / Org Tariff",IFERROR(INDEX(Reference!$EZ$2:$EZ$1000, MATCH(F26, Reference!$EX$2:$EX$1000, 0)), "No")="Yes"),0,J26*L26)</f>
        <v>1080</v>
      </c>
      <c r="T26" s="32">
        <f>IF(AND(Builder!E2="Insurance / Org Tariff",IFERROR(INDEX(Reference!$EZ$2:$EZ$1000, MATCH(F26, Reference!$EX$2:$EX$1000, 0)), "No")="Yes"),0,H26*M26)</f>
        <v>1170</v>
      </c>
      <c r="U26" s="32">
        <f>IF(AND(Builder!E2="Insurance / Org Tariff",IFERROR(INDEX(Reference!$EZ$2:$EZ$1000, MATCH(F26, Reference!$EX$2:$EX$1000, 0)), "No")="Yes"),0,I26*M26)</f>
        <v>1170</v>
      </c>
      <c r="V26" s="32">
        <f>IF(AND(Builder!E2="Insurance / Org Tariff",IFERROR(INDEX(Reference!$EZ$2:$EZ$1000, MATCH(F26, Reference!$EX$2:$EX$1000, 0)), "No")="Yes"),0,J26*M26)</f>
        <v>1170</v>
      </c>
      <c r="W26" s="32">
        <f>IF(Builder!B5="Low",N26,IF(Builder!B5="Typical",O26,P26))</f>
        <v>980</v>
      </c>
      <c r="X26" s="32">
        <f>IF(Builder!B5="Low",Q26,IF(Builder!B5="Typical",R26,S26))</f>
        <v>1080</v>
      </c>
      <c r="Y26" s="32">
        <f>IF(Builder!B5="Low",T26,IF(Builder!B5="Typical",U26,V26))</f>
        <v>1170</v>
      </c>
    </row>
    <row r="27" ht="15" customHeight="1" spans="1:25" x14ac:dyDescent="0.25">
      <c r="A27" s="14" t="s">
        <v>609</v>
      </c>
      <c r="B27" s="40" t="s">
        <v>90</v>
      </c>
      <c r="C27" s="14" t="s">
        <v>598</v>
      </c>
      <c r="D27" s="14" t="s">
        <v>549</v>
      </c>
      <c r="E27" s="14" t="s">
        <v>550</v>
      </c>
      <c r="F27" s="40" t="s">
        <v>610</v>
      </c>
      <c r="G27" s="32">
        <f>IF(Builder!B5="Low",H27,IF(Builder!B5="Typical",I27,J27))</f>
        <v>1</v>
      </c>
      <c r="H27" s="32">
        <f>IFERROR(INDEX(Reference!$CX$2:$CX$4000, MATCH(Builder!G6&amp;"|"&amp;F27, Reference!$CQ$2:$CQ$4000, 0)), 1)</f>
        <v>1</v>
      </c>
      <c r="I27" s="32">
        <f>IFERROR(INDEX(Reference!$CY$2:$CY$4000, MATCH(Builder!G6&amp;"|"&amp;F27, Reference!$CQ$2:$CQ$4000, 0)), 1)</f>
        <v>1</v>
      </c>
      <c r="J27" s="32">
        <f>IFERROR(INDEX(Reference!$CZ$2:$CZ$4000, MATCH(Builder!G6&amp;"|"&amp;F27, Reference!$CQ$2:$CQ$4000, 0)), 1)</f>
        <v>1</v>
      </c>
      <c r="K27" s="32">
        <f>0+IFERROR(INDEX(Reference!$EG$2:$EG$8000, MATCH(Builder!E5&amp;"|"&amp;F27, Reference!$EB$2:$EB$8000, 0)), 480)</f>
        <v>480</v>
      </c>
      <c r="L27" s="32">
        <f>0+IFERROR(INDEX(Reference!$EH$2:$EH$8000, MATCH(Builder!E5&amp;"|"&amp;F27, Reference!$EB$2:$EB$8000, 0)), 530)</f>
        <v>530</v>
      </c>
      <c r="M27" s="32">
        <f>0+IFERROR(INDEX(Reference!$EI$2:$EI$8000, MATCH(Builder!E5&amp;"|"&amp;F27, Reference!$EB$2:$EB$8000, 0)), 570)</f>
        <v>570</v>
      </c>
      <c r="N27" s="32">
        <f>IF(AND(Builder!E2="Insurance / Org Tariff",IFERROR(INDEX(Reference!$EZ$2:$EZ$1000, MATCH(F27, Reference!$EX$2:$EX$1000, 0)), "No")="Yes"),0,H27*K27)</f>
        <v>480</v>
      </c>
      <c r="O27" s="32">
        <f>IF(AND(Builder!E2="Insurance / Org Tariff",IFERROR(INDEX(Reference!$EZ$2:$EZ$1000, MATCH(F27, Reference!$EX$2:$EX$1000, 0)), "No")="Yes"),0,I27*K27)</f>
        <v>480</v>
      </c>
      <c r="P27" s="32">
        <f>IF(AND(Builder!E2="Insurance / Org Tariff",IFERROR(INDEX(Reference!$EZ$2:$EZ$1000, MATCH(F27, Reference!$EX$2:$EX$1000, 0)), "No")="Yes"),0,J27*K27)</f>
        <v>480</v>
      </c>
      <c r="Q27" s="32">
        <f>IF(AND(Builder!E2="Insurance / Org Tariff",IFERROR(INDEX(Reference!$EZ$2:$EZ$1000, MATCH(F27, Reference!$EX$2:$EX$1000, 0)), "No")="Yes"),0,H27*L27)</f>
        <v>530</v>
      </c>
      <c r="R27" s="32">
        <f>IF(AND(Builder!E2="Insurance / Org Tariff",IFERROR(INDEX(Reference!$EZ$2:$EZ$1000, MATCH(F27, Reference!$EX$2:$EX$1000, 0)), "No")="Yes"),0,I27*L27)</f>
        <v>530</v>
      </c>
      <c r="S27" s="32">
        <f>IF(AND(Builder!E2="Insurance / Org Tariff",IFERROR(INDEX(Reference!$EZ$2:$EZ$1000, MATCH(F27, Reference!$EX$2:$EX$1000, 0)), "No")="Yes"),0,J27*L27)</f>
        <v>530</v>
      </c>
      <c r="T27" s="32">
        <f>IF(AND(Builder!E2="Insurance / Org Tariff",IFERROR(INDEX(Reference!$EZ$2:$EZ$1000, MATCH(F27, Reference!$EX$2:$EX$1000, 0)), "No")="Yes"),0,H27*M27)</f>
        <v>570</v>
      </c>
      <c r="U27" s="32">
        <f>IF(AND(Builder!E2="Insurance / Org Tariff",IFERROR(INDEX(Reference!$EZ$2:$EZ$1000, MATCH(F27, Reference!$EX$2:$EX$1000, 0)), "No")="Yes"),0,I27*M27)</f>
        <v>570</v>
      </c>
      <c r="V27" s="32">
        <f>IF(AND(Builder!E2="Insurance / Org Tariff",IFERROR(INDEX(Reference!$EZ$2:$EZ$1000, MATCH(F27, Reference!$EX$2:$EX$1000, 0)), "No")="Yes"),0,J27*M27)</f>
        <v>570</v>
      </c>
      <c r="W27" s="32">
        <f>IF(Builder!B5="Low",N27,IF(Builder!B5="Typical",O27,P27))</f>
        <v>480</v>
      </c>
      <c r="X27" s="32">
        <f>IF(Builder!B5="Low",Q27,IF(Builder!B5="Typical",R27,S27))</f>
        <v>530</v>
      </c>
      <c r="Y27" s="32">
        <f>IF(Builder!B5="Low",T27,IF(Builder!B5="Typical",U27,V27))</f>
        <v>570</v>
      </c>
    </row>
    <row r="28" ht="15" customHeight="1" spans="1:25" x14ac:dyDescent="0.25">
      <c r="A28" s="14" t="s">
        <v>611</v>
      </c>
      <c r="B28" s="40" t="s">
        <v>81</v>
      </c>
      <c r="C28" s="14" t="s">
        <v>81</v>
      </c>
      <c r="D28" s="14" t="s">
        <v>549</v>
      </c>
      <c r="E28" s="14" t="s">
        <v>550</v>
      </c>
      <c r="F28" s="40" t="s">
        <v>612</v>
      </c>
      <c r="G28" s="32">
        <f>IF(Builder!B5="Low",H28,IF(Builder!B5="Typical",I28,J28))</f>
        <v>1</v>
      </c>
      <c r="H28" s="32">
        <f>IFERROR(INDEX(Reference!$CX$2:$CX$4000, MATCH(Builder!G6&amp;"|"&amp;F28, Reference!$CQ$2:$CQ$4000, 0)), 1)</f>
        <v>1</v>
      </c>
      <c r="I28" s="32">
        <f>IFERROR(INDEX(Reference!$CY$2:$CY$4000, MATCH(Builder!G6&amp;"|"&amp;F28, Reference!$CQ$2:$CQ$4000, 0)), 1)</f>
        <v>1</v>
      </c>
      <c r="J28" s="32">
        <f>IFERROR(INDEX(Reference!$CZ$2:$CZ$4000, MATCH(Builder!G6&amp;"|"&amp;F28, Reference!$CQ$2:$CQ$4000, 0)), 1)</f>
        <v>1</v>
      </c>
      <c r="K28" s="32">
        <f>0+IFERROR(INDEX(Reference!$EG$2:$EG$8000, MATCH(Builder!E5&amp;"|"&amp;F28, Reference!$EB$2:$EB$8000, 0)), 360)</f>
        <v>360</v>
      </c>
      <c r="L28" s="32">
        <f>0+IFERROR(INDEX(Reference!$EH$2:$EH$8000, MATCH(Builder!E5&amp;"|"&amp;F28, Reference!$EB$2:$EB$8000, 0)), 400)</f>
        <v>400</v>
      </c>
      <c r="M28" s="32">
        <f>0+IFERROR(INDEX(Reference!$EI$2:$EI$8000, MATCH(Builder!E5&amp;"|"&amp;F28, Reference!$EB$2:$EB$8000, 0)), 430)</f>
        <v>430</v>
      </c>
      <c r="N28" s="32">
        <f>IF(AND(Builder!E2="Insurance / Org Tariff",IFERROR(INDEX(Reference!$EZ$2:$EZ$1000, MATCH(F28, Reference!$EX$2:$EX$1000, 0)), "No")="Yes"),0,H28*K28)</f>
        <v>360</v>
      </c>
      <c r="O28" s="32">
        <f>IF(AND(Builder!E2="Insurance / Org Tariff",IFERROR(INDEX(Reference!$EZ$2:$EZ$1000, MATCH(F28, Reference!$EX$2:$EX$1000, 0)), "No")="Yes"),0,I28*K28)</f>
        <v>360</v>
      </c>
      <c r="P28" s="32">
        <f>IF(AND(Builder!E2="Insurance / Org Tariff",IFERROR(INDEX(Reference!$EZ$2:$EZ$1000, MATCH(F28, Reference!$EX$2:$EX$1000, 0)), "No")="Yes"),0,J28*K28)</f>
        <v>360</v>
      </c>
      <c r="Q28" s="32">
        <f>IF(AND(Builder!E2="Insurance / Org Tariff",IFERROR(INDEX(Reference!$EZ$2:$EZ$1000, MATCH(F28, Reference!$EX$2:$EX$1000, 0)), "No")="Yes"),0,H28*L28)</f>
        <v>400</v>
      </c>
      <c r="R28" s="32">
        <f>IF(AND(Builder!E2="Insurance / Org Tariff",IFERROR(INDEX(Reference!$EZ$2:$EZ$1000, MATCH(F28, Reference!$EX$2:$EX$1000, 0)), "No")="Yes"),0,I28*L28)</f>
        <v>400</v>
      </c>
      <c r="S28" s="32">
        <f>IF(AND(Builder!E2="Insurance / Org Tariff",IFERROR(INDEX(Reference!$EZ$2:$EZ$1000, MATCH(F28, Reference!$EX$2:$EX$1000, 0)), "No")="Yes"),0,J28*L28)</f>
        <v>400</v>
      </c>
      <c r="T28" s="32">
        <f>IF(AND(Builder!E2="Insurance / Org Tariff",IFERROR(INDEX(Reference!$EZ$2:$EZ$1000, MATCH(F28, Reference!$EX$2:$EX$1000, 0)), "No")="Yes"),0,H28*M28)</f>
        <v>430</v>
      </c>
      <c r="U28" s="32">
        <f>IF(AND(Builder!E2="Insurance / Org Tariff",IFERROR(INDEX(Reference!$EZ$2:$EZ$1000, MATCH(F28, Reference!$EX$2:$EX$1000, 0)), "No")="Yes"),0,I28*M28)</f>
        <v>430</v>
      </c>
      <c r="V28" s="32">
        <f>IF(AND(Builder!E2="Insurance / Org Tariff",IFERROR(INDEX(Reference!$EZ$2:$EZ$1000, MATCH(F28, Reference!$EX$2:$EX$1000, 0)), "No")="Yes"),0,J28*M28)</f>
        <v>430</v>
      </c>
      <c r="W28" s="32">
        <f>IF(Builder!B5="Low",N28,IF(Builder!B5="Typical",O28,P28))</f>
        <v>360</v>
      </c>
      <c r="X28" s="32">
        <f>IF(Builder!B5="Low",Q28,IF(Builder!B5="Typical",R28,S28))</f>
        <v>400</v>
      </c>
      <c r="Y28" s="32">
        <f>IF(Builder!B5="Low",T28,IF(Builder!B5="Typical",U28,V28))</f>
        <v>430</v>
      </c>
    </row>
    <row r="29" ht="15" customHeight="1" spans="1:25" x14ac:dyDescent="0.25">
      <c r="A29" s="14" t="s">
        <v>613</v>
      </c>
      <c r="B29" s="40" t="s">
        <v>81</v>
      </c>
      <c r="C29" s="14" t="s">
        <v>81</v>
      </c>
      <c r="D29" s="14" t="s">
        <v>549</v>
      </c>
      <c r="E29" s="14" t="s">
        <v>550</v>
      </c>
      <c r="F29" s="40" t="s">
        <v>614</v>
      </c>
      <c r="G29" s="32">
        <f>IF(Builder!B5="Low",H29,IF(Builder!B5="Typical",I29,J29))</f>
        <v>1</v>
      </c>
      <c r="H29" s="32">
        <f>IFERROR(INDEX(Reference!$CX$2:$CX$4000, MATCH(Builder!G6&amp;"|"&amp;F29, Reference!$CQ$2:$CQ$4000, 0)), 1)</f>
        <v>1</v>
      </c>
      <c r="I29" s="32">
        <f>IFERROR(INDEX(Reference!$CY$2:$CY$4000, MATCH(Builder!G6&amp;"|"&amp;F29, Reference!$CQ$2:$CQ$4000, 0)), 1)</f>
        <v>1</v>
      </c>
      <c r="J29" s="32">
        <f>IFERROR(INDEX(Reference!$CZ$2:$CZ$4000, MATCH(Builder!G6&amp;"|"&amp;F29, Reference!$CQ$2:$CQ$4000, 0)), 1)</f>
        <v>1</v>
      </c>
      <c r="K29" s="32">
        <f>0+IFERROR(INDEX(Reference!$EG$2:$EG$8000, MATCH(Builder!E5&amp;"|"&amp;F29, Reference!$EB$2:$EB$8000, 0)), 730)</f>
        <v>730</v>
      </c>
      <c r="L29" s="32">
        <f>0+IFERROR(INDEX(Reference!$EH$2:$EH$8000, MATCH(Builder!E5&amp;"|"&amp;F29, Reference!$EB$2:$EB$8000, 0)), 800)</f>
        <v>800</v>
      </c>
      <c r="M29" s="32">
        <f>0+IFERROR(INDEX(Reference!$EI$2:$EI$8000, MATCH(Builder!E5&amp;"|"&amp;F29, Reference!$EB$2:$EB$8000, 0)), 870)</f>
        <v>870</v>
      </c>
      <c r="N29" s="32">
        <f>IF(AND(Builder!E2="Insurance / Org Tariff",IFERROR(INDEX(Reference!$EZ$2:$EZ$1000, MATCH(F29, Reference!$EX$2:$EX$1000, 0)), "No")="Yes"),0,H29*K29)</f>
        <v>730</v>
      </c>
      <c r="O29" s="32">
        <f>IF(AND(Builder!E2="Insurance / Org Tariff",IFERROR(INDEX(Reference!$EZ$2:$EZ$1000, MATCH(F29, Reference!$EX$2:$EX$1000, 0)), "No")="Yes"),0,I29*K29)</f>
        <v>730</v>
      </c>
      <c r="P29" s="32">
        <f>IF(AND(Builder!E2="Insurance / Org Tariff",IFERROR(INDEX(Reference!$EZ$2:$EZ$1000, MATCH(F29, Reference!$EX$2:$EX$1000, 0)), "No")="Yes"),0,J29*K29)</f>
        <v>730</v>
      </c>
      <c r="Q29" s="32">
        <f>IF(AND(Builder!E2="Insurance / Org Tariff",IFERROR(INDEX(Reference!$EZ$2:$EZ$1000, MATCH(F29, Reference!$EX$2:$EX$1000, 0)), "No")="Yes"),0,H29*L29)</f>
        <v>800</v>
      </c>
      <c r="R29" s="32">
        <f>IF(AND(Builder!E2="Insurance / Org Tariff",IFERROR(INDEX(Reference!$EZ$2:$EZ$1000, MATCH(F29, Reference!$EX$2:$EX$1000, 0)), "No")="Yes"),0,I29*L29)</f>
        <v>800</v>
      </c>
      <c r="S29" s="32">
        <f>IF(AND(Builder!E2="Insurance / Org Tariff",IFERROR(INDEX(Reference!$EZ$2:$EZ$1000, MATCH(F29, Reference!$EX$2:$EX$1000, 0)), "No")="Yes"),0,J29*L29)</f>
        <v>800</v>
      </c>
      <c r="T29" s="32">
        <f>IF(AND(Builder!E2="Insurance / Org Tariff",IFERROR(INDEX(Reference!$EZ$2:$EZ$1000, MATCH(F29, Reference!$EX$2:$EX$1000, 0)), "No")="Yes"),0,H29*M29)</f>
        <v>870</v>
      </c>
      <c r="U29" s="32">
        <f>IF(AND(Builder!E2="Insurance / Org Tariff",IFERROR(INDEX(Reference!$EZ$2:$EZ$1000, MATCH(F29, Reference!$EX$2:$EX$1000, 0)), "No")="Yes"),0,I29*M29)</f>
        <v>870</v>
      </c>
      <c r="V29" s="32">
        <f>IF(AND(Builder!E2="Insurance / Org Tariff",IFERROR(INDEX(Reference!$EZ$2:$EZ$1000, MATCH(F29, Reference!$EX$2:$EX$1000, 0)), "No")="Yes"),0,J29*M29)</f>
        <v>870</v>
      </c>
      <c r="W29" s="32">
        <f>IF(Builder!B5="Low",N29,IF(Builder!B5="Typical",O29,P29))</f>
        <v>730</v>
      </c>
      <c r="X29" s="32">
        <f>IF(Builder!B5="Low",Q29,IF(Builder!B5="Typical",R29,S29))</f>
        <v>800</v>
      </c>
      <c r="Y29" s="32">
        <f>IF(Builder!B5="Low",T29,IF(Builder!B5="Typical",U29,V29))</f>
        <v>870</v>
      </c>
    </row>
    <row r="30" ht="15" customHeight="1" spans="1:25" x14ac:dyDescent="0.25">
      <c r="A30" s="14" t="s">
        <v>615</v>
      </c>
      <c r="B30" s="40" t="s">
        <v>81</v>
      </c>
      <c r="C30" s="14" t="s">
        <v>81</v>
      </c>
      <c r="D30" s="14" t="s">
        <v>549</v>
      </c>
      <c r="E30" s="14" t="s">
        <v>550</v>
      </c>
      <c r="F30" s="40" t="s">
        <v>616</v>
      </c>
      <c r="G30" s="32">
        <f>IF(Builder!B5="Low",H30,IF(Builder!B5="Typical",I30,J30))</f>
        <v>1</v>
      </c>
      <c r="H30" s="32">
        <f>IFERROR(INDEX(Reference!$CX$2:$CX$4000, MATCH(Builder!G6&amp;"|"&amp;F30, Reference!$CQ$2:$CQ$4000, 0)), 1)</f>
        <v>1</v>
      </c>
      <c r="I30" s="32">
        <f>IFERROR(INDEX(Reference!$CY$2:$CY$4000, MATCH(Builder!G6&amp;"|"&amp;F30, Reference!$CQ$2:$CQ$4000, 0)), 1)</f>
        <v>1</v>
      </c>
      <c r="J30" s="32">
        <f>IFERROR(INDEX(Reference!$CZ$2:$CZ$4000, MATCH(Builder!G6&amp;"|"&amp;F30, Reference!$CQ$2:$CQ$4000, 0)), 1)</f>
        <v>1</v>
      </c>
      <c r="K30" s="32">
        <f>0+IFERROR(INDEX(Reference!$EG$2:$EG$8000, MATCH(Builder!E5&amp;"|"&amp;F30, Reference!$EB$2:$EB$8000, 0)), 1230)</f>
        <v>1230</v>
      </c>
      <c r="L30" s="32">
        <f>0+IFERROR(INDEX(Reference!$EH$2:$EH$8000, MATCH(Builder!E5&amp;"|"&amp;F30, Reference!$EB$2:$EB$8000, 0)), 1360)</f>
        <v>1360</v>
      </c>
      <c r="M30" s="32">
        <f>0+IFERROR(INDEX(Reference!$EI$2:$EI$8000, MATCH(Builder!E5&amp;"|"&amp;F30, Reference!$EB$2:$EB$8000, 0)), 1470)</f>
        <v>1470</v>
      </c>
      <c r="N30" s="32">
        <f>IF(AND(Builder!E2="Insurance / Org Tariff",IFERROR(INDEX(Reference!$EZ$2:$EZ$1000, MATCH(F30, Reference!$EX$2:$EX$1000, 0)), "No")="Yes"),0,H30*K30)</f>
        <v>1230</v>
      </c>
      <c r="O30" s="32">
        <f>IF(AND(Builder!E2="Insurance / Org Tariff",IFERROR(INDEX(Reference!$EZ$2:$EZ$1000, MATCH(F30, Reference!$EX$2:$EX$1000, 0)), "No")="Yes"),0,I30*K30)</f>
        <v>1230</v>
      </c>
      <c r="P30" s="32">
        <f>IF(AND(Builder!E2="Insurance / Org Tariff",IFERROR(INDEX(Reference!$EZ$2:$EZ$1000, MATCH(F30, Reference!$EX$2:$EX$1000, 0)), "No")="Yes"),0,J30*K30)</f>
        <v>1230</v>
      </c>
      <c r="Q30" s="32">
        <f>IF(AND(Builder!E2="Insurance / Org Tariff",IFERROR(INDEX(Reference!$EZ$2:$EZ$1000, MATCH(F30, Reference!$EX$2:$EX$1000, 0)), "No")="Yes"),0,H30*L30)</f>
        <v>1360</v>
      </c>
      <c r="R30" s="32">
        <f>IF(AND(Builder!E2="Insurance / Org Tariff",IFERROR(INDEX(Reference!$EZ$2:$EZ$1000, MATCH(F30, Reference!$EX$2:$EX$1000, 0)), "No")="Yes"),0,I30*L30)</f>
        <v>1360</v>
      </c>
      <c r="S30" s="32">
        <f>IF(AND(Builder!E2="Insurance / Org Tariff",IFERROR(INDEX(Reference!$EZ$2:$EZ$1000, MATCH(F30, Reference!$EX$2:$EX$1000, 0)), "No")="Yes"),0,J30*L30)</f>
        <v>1360</v>
      </c>
      <c r="T30" s="32">
        <f>IF(AND(Builder!E2="Insurance / Org Tariff",IFERROR(INDEX(Reference!$EZ$2:$EZ$1000, MATCH(F30, Reference!$EX$2:$EX$1000, 0)), "No")="Yes"),0,H30*M30)</f>
        <v>1470</v>
      </c>
      <c r="U30" s="32">
        <f>IF(AND(Builder!E2="Insurance / Org Tariff",IFERROR(INDEX(Reference!$EZ$2:$EZ$1000, MATCH(F30, Reference!$EX$2:$EX$1000, 0)), "No")="Yes"),0,I30*M30)</f>
        <v>1470</v>
      </c>
      <c r="V30" s="32">
        <f>IF(AND(Builder!E2="Insurance / Org Tariff",IFERROR(INDEX(Reference!$EZ$2:$EZ$1000, MATCH(F30, Reference!$EX$2:$EX$1000, 0)), "No")="Yes"),0,J30*M30)</f>
        <v>1470</v>
      </c>
      <c r="W30" s="32">
        <f>IF(Builder!B5="Low",N30,IF(Builder!B5="Typical",O30,P30))</f>
        <v>1230</v>
      </c>
      <c r="X30" s="32">
        <f>IF(Builder!B5="Low",Q30,IF(Builder!B5="Typical",R30,S30))</f>
        <v>1360</v>
      </c>
      <c r="Y30" s="32">
        <f>IF(Builder!B5="Low",T30,IF(Builder!B5="Typical",U30,V30))</f>
        <v>1470</v>
      </c>
    </row>
    <row r="31" ht="15" customHeight="1" spans="1:25" x14ac:dyDescent="0.25">
      <c r="A31" s="14" t="s">
        <v>617</v>
      </c>
      <c r="B31" s="40" t="s">
        <v>81</v>
      </c>
      <c r="C31" s="14" t="s">
        <v>81</v>
      </c>
      <c r="D31" s="14" t="s">
        <v>549</v>
      </c>
      <c r="E31" s="14" t="s">
        <v>550</v>
      </c>
      <c r="F31" s="40" t="s">
        <v>618</v>
      </c>
      <c r="G31" s="32">
        <f>IF(Builder!B5="Low",H31,IF(Builder!B5="Typical",I31,J31))</f>
        <v>1</v>
      </c>
      <c r="H31" s="32">
        <f>IFERROR(INDEX(Reference!$CX$2:$CX$4000, MATCH(Builder!G6&amp;"|"&amp;F31, Reference!$CQ$2:$CQ$4000, 0)), 1)</f>
        <v>1</v>
      </c>
      <c r="I31" s="32">
        <f>IFERROR(INDEX(Reference!$CY$2:$CY$4000, MATCH(Builder!G6&amp;"|"&amp;F31, Reference!$CQ$2:$CQ$4000, 0)), 1)</f>
        <v>1</v>
      </c>
      <c r="J31" s="32">
        <f>IFERROR(INDEX(Reference!$CZ$2:$CZ$4000, MATCH(Builder!G6&amp;"|"&amp;F31, Reference!$CQ$2:$CQ$4000, 0)), 1)</f>
        <v>1</v>
      </c>
      <c r="K31" s="32">
        <f>0+IFERROR(INDEX(Reference!$EG$2:$EG$8000, MATCH(Builder!E5&amp;"|"&amp;F31, Reference!$EB$2:$EB$8000, 0)), 580)</f>
        <v>580</v>
      </c>
      <c r="L31" s="32">
        <f>0+IFERROR(INDEX(Reference!$EH$2:$EH$8000, MATCH(Builder!E5&amp;"|"&amp;F31, Reference!$EB$2:$EB$8000, 0)), 660)</f>
        <v>660</v>
      </c>
      <c r="M31" s="32">
        <f>0+IFERROR(INDEX(Reference!$EI$2:$EI$8000, MATCH(Builder!E5&amp;"|"&amp;F31, Reference!$EB$2:$EB$8000, 0)), 760)</f>
        <v>760</v>
      </c>
      <c r="N31" s="32">
        <f>IF(AND(Builder!E2="Insurance / Org Tariff",IFERROR(INDEX(Reference!$EZ$2:$EZ$1000, MATCH(F31, Reference!$EX$2:$EX$1000, 0)), "No")="Yes"),0,H31*K31)</f>
        <v>580</v>
      </c>
      <c r="O31" s="32">
        <f>IF(AND(Builder!E2="Insurance / Org Tariff",IFERROR(INDEX(Reference!$EZ$2:$EZ$1000, MATCH(F31, Reference!$EX$2:$EX$1000, 0)), "No")="Yes"),0,I31*K31)</f>
        <v>580</v>
      </c>
      <c r="P31" s="32">
        <f>IF(AND(Builder!E2="Insurance / Org Tariff",IFERROR(INDEX(Reference!$EZ$2:$EZ$1000, MATCH(F31, Reference!$EX$2:$EX$1000, 0)), "No")="Yes"),0,J31*K31)</f>
        <v>580</v>
      </c>
      <c r="Q31" s="32">
        <f>IF(AND(Builder!E2="Insurance / Org Tariff",IFERROR(INDEX(Reference!$EZ$2:$EZ$1000, MATCH(F31, Reference!$EX$2:$EX$1000, 0)), "No")="Yes"),0,H31*L31)</f>
        <v>660</v>
      </c>
      <c r="R31" s="32">
        <f>IF(AND(Builder!E2="Insurance / Org Tariff",IFERROR(INDEX(Reference!$EZ$2:$EZ$1000, MATCH(F31, Reference!$EX$2:$EX$1000, 0)), "No")="Yes"),0,I31*L31)</f>
        <v>660</v>
      </c>
      <c r="S31" s="32">
        <f>IF(AND(Builder!E2="Insurance / Org Tariff",IFERROR(INDEX(Reference!$EZ$2:$EZ$1000, MATCH(F31, Reference!$EX$2:$EX$1000, 0)), "No")="Yes"),0,J31*L31)</f>
        <v>660</v>
      </c>
      <c r="T31" s="32">
        <f>IF(AND(Builder!E2="Insurance / Org Tariff",IFERROR(INDEX(Reference!$EZ$2:$EZ$1000, MATCH(F31, Reference!$EX$2:$EX$1000, 0)), "No")="Yes"),0,H31*M31)</f>
        <v>760</v>
      </c>
      <c r="U31" s="32">
        <f>IF(AND(Builder!E2="Insurance / Org Tariff",IFERROR(INDEX(Reference!$EZ$2:$EZ$1000, MATCH(F31, Reference!$EX$2:$EX$1000, 0)), "No")="Yes"),0,I31*M31)</f>
        <v>760</v>
      </c>
      <c r="V31" s="32">
        <f>IF(AND(Builder!E2="Insurance / Org Tariff",IFERROR(INDEX(Reference!$EZ$2:$EZ$1000, MATCH(F31, Reference!$EX$2:$EX$1000, 0)), "No")="Yes"),0,J31*M31)</f>
        <v>760</v>
      </c>
      <c r="W31" s="32">
        <f>IF(Builder!B5="Low",N31,IF(Builder!B5="Typical",O31,P31))</f>
        <v>580</v>
      </c>
      <c r="X31" s="32">
        <f>IF(Builder!B5="Low",Q31,IF(Builder!B5="Typical",R31,S31))</f>
        <v>660</v>
      </c>
      <c r="Y31" s="32">
        <f>IF(Builder!B5="Low",T31,IF(Builder!B5="Typical",U31,V31))</f>
        <v>760</v>
      </c>
    </row>
    <row r="32" ht="15" customHeight="1" spans="1:25" x14ac:dyDescent="0.25">
      <c r="A32" s="14" t="s">
        <v>619</v>
      </c>
      <c r="B32" s="40" t="s">
        <v>81</v>
      </c>
      <c r="C32" s="14" t="s">
        <v>81</v>
      </c>
      <c r="D32" s="14" t="s">
        <v>549</v>
      </c>
      <c r="E32" s="14" t="s">
        <v>550</v>
      </c>
      <c r="F32" s="40" t="s">
        <v>620</v>
      </c>
      <c r="G32" s="32">
        <f>IF(Builder!B5="Low",H32,IF(Builder!B5="Typical",I32,J32))</f>
        <v>1</v>
      </c>
      <c r="H32" s="32">
        <f>IFERROR(INDEX(Reference!$CX$2:$CX$4000, MATCH(Builder!G6&amp;"|"&amp;F32, Reference!$CQ$2:$CQ$4000, 0)), 1)</f>
        <v>1</v>
      </c>
      <c r="I32" s="32">
        <f>IFERROR(INDEX(Reference!$CY$2:$CY$4000, MATCH(Builder!G6&amp;"|"&amp;F32, Reference!$CQ$2:$CQ$4000, 0)), 1)</f>
        <v>1</v>
      </c>
      <c r="J32" s="32">
        <f>IFERROR(INDEX(Reference!$CZ$2:$CZ$4000, MATCH(Builder!G6&amp;"|"&amp;F32, Reference!$CQ$2:$CQ$4000, 0)), 1)</f>
        <v>1</v>
      </c>
      <c r="K32" s="32">
        <f>0+IFERROR(INDEX(Reference!$EG$2:$EG$8000, MATCH(Builder!E5&amp;"|"&amp;F32, Reference!$EB$2:$EB$8000, 0)), 360)</f>
        <v>360</v>
      </c>
      <c r="L32" s="32">
        <f>0+IFERROR(INDEX(Reference!$EH$2:$EH$8000, MATCH(Builder!E5&amp;"|"&amp;F32, Reference!$EB$2:$EB$8000, 0)), 400)</f>
        <v>400</v>
      </c>
      <c r="M32" s="32">
        <f>0+IFERROR(INDEX(Reference!$EI$2:$EI$8000, MATCH(Builder!E5&amp;"|"&amp;F32, Reference!$EB$2:$EB$8000, 0)), 430)</f>
        <v>430</v>
      </c>
      <c r="N32" s="32">
        <f>IF(AND(Builder!E2="Insurance / Org Tariff",IFERROR(INDEX(Reference!$EZ$2:$EZ$1000, MATCH(F32, Reference!$EX$2:$EX$1000, 0)), "No")="Yes"),0,H32*K32)</f>
        <v>360</v>
      </c>
      <c r="O32" s="32">
        <f>IF(AND(Builder!E2="Insurance / Org Tariff",IFERROR(INDEX(Reference!$EZ$2:$EZ$1000, MATCH(F32, Reference!$EX$2:$EX$1000, 0)), "No")="Yes"),0,I32*K32)</f>
        <v>360</v>
      </c>
      <c r="P32" s="32">
        <f>IF(AND(Builder!E2="Insurance / Org Tariff",IFERROR(INDEX(Reference!$EZ$2:$EZ$1000, MATCH(F32, Reference!$EX$2:$EX$1000, 0)), "No")="Yes"),0,J32*K32)</f>
        <v>360</v>
      </c>
      <c r="Q32" s="32">
        <f>IF(AND(Builder!E2="Insurance / Org Tariff",IFERROR(INDEX(Reference!$EZ$2:$EZ$1000, MATCH(F32, Reference!$EX$2:$EX$1000, 0)), "No")="Yes"),0,H32*L32)</f>
        <v>400</v>
      </c>
      <c r="R32" s="32">
        <f>IF(AND(Builder!E2="Insurance / Org Tariff",IFERROR(INDEX(Reference!$EZ$2:$EZ$1000, MATCH(F32, Reference!$EX$2:$EX$1000, 0)), "No")="Yes"),0,I32*L32)</f>
        <v>400</v>
      </c>
      <c r="S32" s="32">
        <f>IF(AND(Builder!E2="Insurance / Org Tariff",IFERROR(INDEX(Reference!$EZ$2:$EZ$1000, MATCH(F32, Reference!$EX$2:$EX$1000, 0)), "No")="Yes"),0,J32*L32)</f>
        <v>400</v>
      </c>
      <c r="T32" s="32">
        <f>IF(AND(Builder!E2="Insurance / Org Tariff",IFERROR(INDEX(Reference!$EZ$2:$EZ$1000, MATCH(F32, Reference!$EX$2:$EX$1000, 0)), "No")="Yes"),0,H32*M32)</f>
        <v>430</v>
      </c>
      <c r="U32" s="32">
        <f>IF(AND(Builder!E2="Insurance / Org Tariff",IFERROR(INDEX(Reference!$EZ$2:$EZ$1000, MATCH(F32, Reference!$EX$2:$EX$1000, 0)), "No")="Yes"),0,I32*M32)</f>
        <v>430</v>
      </c>
      <c r="V32" s="32">
        <f>IF(AND(Builder!E2="Insurance / Org Tariff",IFERROR(INDEX(Reference!$EZ$2:$EZ$1000, MATCH(F32, Reference!$EX$2:$EX$1000, 0)), "No")="Yes"),0,J32*M32)</f>
        <v>430</v>
      </c>
      <c r="W32" s="32">
        <f>IF(Builder!B5="Low",N32,IF(Builder!B5="Typical",O32,P32))</f>
        <v>360</v>
      </c>
      <c r="X32" s="32">
        <f>IF(Builder!B5="Low",Q32,IF(Builder!B5="Typical",R32,S32))</f>
        <v>400</v>
      </c>
      <c r="Y32" s="32">
        <f>IF(Builder!B5="Low",T32,IF(Builder!B5="Typical",U32,V32))</f>
        <v>430</v>
      </c>
    </row>
    <row r="33" ht="26.85" customHeight="1" spans="1:25" x14ac:dyDescent="0.25">
      <c r="A33" s="14" t="s">
        <v>621</v>
      </c>
      <c r="B33" s="40" t="s">
        <v>90</v>
      </c>
      <c r="C33" s="14" t="s">
        <v>571</v>
      </c>
      <c r="D33" s="14" t="s">
        <v>554</v>
      </c>
      <c r="E33" s="14" t="s">
        <v>622</v>
      </c>
      <c r="F33" s="40" t="s">
        <v>623</v>
      </c>
      <c r="G33" s="32">
        <f>IF(Builder!E6="Yes",1,0)</f>
        <v>0</v>
      </c>
      <c r="H33" s="32">
        <f>IF(Builder!E6="Yes",1,0)</f>
        <v>0</v>
      </c>
      <c r="I33" s="32">
        <f>IF(Builder!E6="Yes",1,0)</f>
        <v>0</v>
      </c>
      <c r="J33" s="32">
        <f>IF(Builder!E6="Yes",1,0)</f>
        <v>0</v>
      </c>
      <c r="K33" s="32">
        <f>0+IFERROR(INDEX(Reference!$EG$2:$EG$8000, MATCH(Builder!E5&amp;"|"&amp;F33, Reference!$EB$2:$EB$8000, 0)), 1200)</f>
        <v>1200</v>
      </c>
      <c r="L33" s="32">
        <f>0+IFERROR(INDEX(Reference!$EH$2:$EH$8000, MATCH(Builder!E5&amp;"|"&amp;F33, Reference!$EB$2:$EB$8000, 0)), 1200)</f>
        <v>1200</v>
      </c>
      <c r="M33" s="32">
        <f>0+IFERROR(INDEX(Reference!$EI$2:$EI$8000, MATCH(Builder!E5&amp;"|"&amp;F33, Reference!$EB$2:$EB$8000, 0)), 1200)</f>
        <v>1200</v>
      </c>
      <c r="N33" s="32">
        <f>IF(AND(Builder!E2="Insurance / Org Tariff",IFERROR(INDEX(Reference!$EZ$2:$EZ$1000, MATCH(F33, Reference!$EX$2:$EX$1000, 0)), "No")="Yes"),0,H33*K33)</f>
        <v>0</v>
      </c>
      <c r="O33" s="32">
        <f>IF(AND(Builder!E2="Insurance / Org Tariff",IFERROR(INDEX(Reference!$EZ$2:$EZ$1000, MATCH(F33, Reference!$EX$2:$EX$1000, 0)), "No")="Yes"),0,I33*K33)</f>
        <v>0</v>
      </c>
      <c r="P33" s="32">
        <f>IF(AND(Builder!E2="Insurance / Org Tariff",IFERROR(INDEX(Reference!$EZ$2:$EZ$1000, MATCH(F33, Reference!$EX$2:$EX$1000, 0)), "No")="Yes"),0,J33*K33)</f>
        <v>0</v>
      </c>
      <c r="Q33" s="32">
        <f>IF(AND(Builder!E2="Insurance / Org Tariff",IFERROR(INDEX(Reference!$EZ$2:$EZ$1000, MATCH(F33, Reference!$EX$2:$EX$1000, 0)), "No")="Yes"),0,H33*L33)</f>
        <v>0</v>
      </c>
      <c r="R33" s="32">
        <f>IF(AND(Builder!E2="Insurance / Org Tariff",IFERROR(INDEX(Reference!$EZ$2:$EZ$1000, MATCH(F33, Reference!$EX$2:$EX$1000, 0)), "No")="Yes"),0,I33*L33)</f>
        <v>0</v>
      </c>
      <c r="S33" s="32">
        <f>IF(AND(Builder!E2="Insurance / Org Tariff",IFERROR(INDEX(Reference!$EZ$2:$EZ$1000, MATCH(F33, Reference!$EX$2:$EX$1000, 0)), "No")="Yes"),0,J33*L33)</f>
        <v>0</v>
      </c>
      <c r="T33" s="32">
        <f>IF(AND(Builder!E2="Insurance / Org Tariff",IFERROR(INDEX(Reference!$EZ$2:$EZ$1000, MATCH(F33, Reference!$EX$2:$EX$1000, 0)), "No")="Yes"),0,H33*M33)</f>
        <v>0</v>
      </c>
      <c r="U33" s="32">
        <f>IF(AND(Builder!E2="Insurance / Org Tariff",IFERROR(INDEX(Reference!$EZ$2:$EZ$1000, MATCH(F33, Reference!$EX$2:$EX$1000, 0)), "No")="Yes"),0,I33*M33)</f>
        <v>0</v>
      </c>
      <c r="V33" s="32">
        <f>IF(AND(Builder!E2="Insurance / Org Tariff",IFERROR(INDEX(Reference!$EZ$2:$EZ$1000, MATCH(F33, Reference!$EX$2:$EX$1000, 0)), "No")="Yes"),0,J33*M33)</f>
        <v>0</v>
      </c>
      <c r="W33" s="32">
        <f>IF(AND(Builder!E2="Insurance / Org Tariff",IFERROR(INDEX(Reference!$EZ$2:$EZ$1000, MATCH(F33, Reference!$EX$2:$EX$1000, 0)), "No")="Yes"),0,G33*K33)</f>
        <v>0</v>
      </c>
      <c r="X33" s="32">
        <f>IF(AND(Builder!E2="Insurance / Org Tariff",IFERROR(INDEX(Reference!$EZ$2:$EZ$1000, MATCH(F33, Reference!$EX$2:$EX$1000, 0)), "No")="Yes"),0,G33*L33)</f>
        <v>0</v>
      </c>
      <c r="Y33" s="32">
        <f>IF(AND(Builder!E2="Insurance / Org Tariff",IFERROR(INDEX(Reference!$EZ$2:$EZ$1000, MATCH(F33, Reference!$EX$2:$EX$1000, 0)), "No")="Yes"),0,G33*M33)</f>
        <v>0</v>
      </c>
    </row>
    <row r="34" ht="26.85" customHeight="1" spans="1:25" x14ac:dyDescent="0.25">
      <c r="A34" s="14" t="s">
        <v>96</v>
      </c>
      <c r="B34" s="40" t="s">
        <v>96</v>
      </c>
      <c r="C34" s="14" t="s">
        <v>624</v>
      </c>
      <c r="D34" s="14" t="s">
        <v>554</v>
      </c>
      <c r="E34" s="14" t="s">
        <v>625</v>
      </c>
      <c r="F34" s="40"/>
      <c r="G34" s="32"/>
      <c r="H34" s="32"/>
      <c r="I34" s="32"/>
      <c r="J34" s="32"/>
      <c r="K34" s="32"/>
      <c r="L34" s="32"/>
      <c r="M34" s="32"/>
      <c r="N34" s="32">
        <f>IF(Builder!E2="Insurance / Org Tariff",0,0.125*SUM(N39,N40,N41,N42,N43))</f>
        <v>22495.212578125</v>
      </c>
      <c r="O34" s="32">
        <f>IF(Builder!E2="Insurance / Org Tariff",0,0.125*SUM(O39,O40,O41,O42,O43))</f>
        <v>23725.62953125</v>
      </c>
      <c r="P34" s="32">
        <f>IF(Builder!E2="Insurance / Org Tariff",0,0.125*SUM(P39,P40,P41,P42,P43))</f>
        <v>29749.160499999998</v>
      </c>
      <c r="Q34" s="32">
        <f>IF(Builder!E2="Insurance / Org Tariff",0,0.125*SUM(Q39,Q40,Q41,Q42,Q43))</f>
        <v>22495.212578125</v>
      </c>
      <c r="R34" s="32">
        <f>IF(Builder!E2="Insurance / Org Tariff",0,0.125*SUM(R39,R40,R41,R42,R43))</f>
        <v>23725.62953125</v>
      </c>
      <c r="S34" s="32">
        <f>IF(Builder!E2="Insurance / Org Tariff",0,0.125*SUM(S39,S40,S41,S42,S43))</f>
        <v>29749.160499999998</v>
      </c>
      <c r="T34" s="32">
        <f>IF(Builder!E2="Insurance / Org Tariff",0,0.125*SUM(T39,T40,T41,T42,T43))</f>
        <v>22495.212578125</v>
      </c>
      <c r="U34" s="32">
        <f>IF(Builder!E2="Insurance / Org Tariff",0,0.125*SUM(U39,U40,U41,U42,U43))</f>
        <v>23725.62953125</v>
      </c>
      <c r="V34" s="32">
        <f>IF(Builder!E2="Insurance / Org Tariff",0,0.125*SUM(V39,V40,V41,V42,V43))</f>
        <v>29749.160499999998</v>
      </c>
      <c r="W34" s="32">
        <f>IF(Builder!E2="Insurance / Org Tariff",0,0.125*SUM(W39,W40,W41,W42,W43))</f>
        <v>23725.62953125</v>
      </c>
      <c r="X34" s="32">
        <f>IF(Builder!E2="Insurance / Org Tariff",0,0.125*SUM(X39,X40,X41,X42,X43))</f>
        <v>23725.62953125</v>
      </c>
      <c r="Y34" s="32">
        <f>IF(Builder!E2="Insurance / Org Tariff",0,0.125*SUM(Y39,Y40,Y41,Y42,Y43))</f>
        <v>23725.62953125</v>
      </c>
    </row>
    <row r="35" ht="26.85" customHeight="1" spans="1:25" x14ac:dyDescent="0.25">
      <c r="A35" s="14" t="s">
        <v>626</v>
      </c>
      <c r="B35" s="40" t="s">
        <v>99</v>
      </c>
      <c r="C35" s="14" t="s">
        <v>99</v>
      </c>
      <c r="D35" s="14" t="s">
        <v>554</v>
      </c>
      <c r="E35" s="14" t="s">
        <v>627</v>
      </c>
      <c r="F35" s="40"/>
      <c r="G35" s="32"/>
      <c r="H35" s="32"/>
      <c r="I35" s="32"/>
      <c r="J35" s="32"/>
      <c r="K35" s="32"/>
      <c r="L35" s="32"/>
      <c r="M35" s="32"/>
      <c r="N35" s="32">
        <f>IF(Builder!E2="Insurance / Org Tariff",0,0.25*N74)</f>
        <v>101632.35330078125</v>
      </c>
      <c r="O35" s="32">
        <f>IF(Builder!E2="Insurance / Org Tariff",0,0.25*O74)</f>
        <v>106077.6664453125</v>
      </c>
      <c r="P35" s="32">
        <f>IF(Builder!E2="Insurance / Org Tariff",0,0.25*P74)</f>
        <v>125485.611125</v>
      </c>
      <c r="Q35" s="32">
        <f>IF(Builder!E2="Insurance / Org Tariff",0,0.25*Q74)</f>
        <v>102744.85330078125</v>
      </c>
      <c r="R35" s="32">
        <f>IF(Builder!E2="Insurance / Org Tariff",0,0.25*R74)</f>
        <v>107600.1664453125</v>
      </c>
      <c r="S35" s="32">
        <f>IF(Builder!E2="Insurance / Org Tariff",0,0.25*S74)</f>
        <v>127418.111125</v>
      </c>
      <c r="T35" s="32">
        <f>IF(Builder!E2="Insurance / Org Tariff",0,0.25*T74)</f>
        <v>103704.85330078125</v>
      </c>
      <c r="U35" s="32">
        <f>IF(Builder!E2="Insurance / Org Tariff",0,0.25*U74)</f>
        <v>109402.6664453125</v>
      </c>
      <c r="V35" s="32">
        <f>IF(Builder!E2="Insurance / Org Tariff",0,0.25*V74)</f>
        <v>130063.111125</v>
      </c>
      <c r="W35" s="32">
        <f>IF(Builder!E2="Insurance / Org Tariff",0,0.25*W74)</f>
        <v>106077.6664453125</v>
      </c>
      <c r="X35" s="32">
        <f>IF(Builder!E2="Insurance / Org Tariff",0,0.25*X74)</f>
        <v>107600.1664453125</v>
      </c>
      <c r="Y35" s="32">
        <f>IF(Builder!E2="Insurance / Org Tariff",0,0.25*Y74)</f>
        <v>109402.6664453125</v>
      </c>
    </row>
    <row r="36" ht="15" customHeight="1" spans="1:25" x14ac:dyDescent="0.25">
      <c r="A36" s="14" t="s">
        <v>628</v>
      </c>
      <c r="B36" s="40" t="s">
        <v>99</v>
      </c>
      <c r="C36" s="14" t="s">
        <v>99</v>
      </c>
      <c r="D36" s="14" t="s">
        <v>554</v>
      </c>
      <c r="E36" s="14" t="s">
        <v>629</v>
      </c>
      <c r="F36" s="40"/>
      <c r="G36" s="32"/>
      <c r="H36" s="32"/>
      <c r="I36" s="32"/>
      <c r="J36" s="32"/>
      <c r="K36" s="32"/>
      <c r="L36" s="32"/>
      <c r="M36" s="32"/>
      <c r="N36" s="32">
        <f>IF(Builder!E2="Insurance / Org Tariff",0,0.15*N35)</f>
        <v>15244.852995117188</v>
      </c>
      <c r="O36" s="32">
        <f>IF(Builder!E2="Insurance / Org Tariff",0,0.15*O35)</f>
        <v>15911.649966796875</v>
      </c>
      <c r="P36" s="32">
        <f>IF(Builder!E2="Insurance / Org Tariff",0,0.15*P35)</f>
        <v>18822.84166875</v>
      </c>
      <c r="Q36" s="32">
        <f>IF(Builder!E2="Insurance / Org Tariff",0,0.15*Q35)</f>
        <v>15411.727995117188</v>
      </c>
      <c r="R36" s="32">
        <f>IF(Builder!E2="Insurance / Org Tariff",0,0.15*R35)</f>
        <v>16140.024966796875</v>
      </c>
      <c r="S36" s="32">
        <f>IF(Builder!E2="Insurance / Org Tariff",0,0.15*S35)</f>
        <v>19112.71666875</v>
      </c>
      <c r="T36" s="32">
        <f>IF(Builder!E2="Insurance / Org Tariff",0,0.15*T35)</f>
        <v>15555.727995117188</v>
      </c>
      <c r="U36" s="32">
        <f>IF(Builder!E2="Insurance / Org Tariff",0,0.15*U35)</f>
        <v>16410.399966796875</v>
      </c>
      <c r="V36" s="32">
        <f>IF(Builder!E2="Insurance / Org Tariff",0,0.15*V35)</f>
        <v>19509.46666875</v>
      </c>
      <c r="W36" s="32">
        <f>IF(Builder!E2="Insurance / Org Tariff",0,0.15*W35)</f>
        <v>15911.649966796875</v>
      </c>
      <c r="X36" s="32">
        <f>IF(Builder!E2="Insurance / Org Tariff",0,0.15*X35)</f>
        <v>16140.024966796875</v>
      </c>
      <c r="Y36" s="32">
        <f>IF(Builder!E2="Insurance / Org Tariff",0,0.15*Y35)</f>
        <v>16410.399966796875</v>
      </c>
    </row>
    <row r="37" ht="15" customHeight="1" spans="1:25" x14ac:dyDescent="0.25">
      <c r="A37" s="14" t="s">
        <v>630</v>
      </c>
      <c r="B37" s="40" t="s">
        <v>99</v>
      </c>
      <c r="C37" s="14" t="s">
        <v>99</v>
      </c>
      <c r="D37" s="14" t="s">
        <v>554</v>
      </c>
      <c r="E37" s="14" t="s">
        <v>629</v>
      </c>
      <c r="F37" s="40"/>
      <c r="G37" s="32"/>
      <c r="H37" s="32"/>
      <c r="I37" s="32"/>
      <c r="J37" s="32"/>
      <c r="K37" s="32"/>
      <c r="L37" s="32"/>
      <c r="M37" s="32"/>
      <c r="N37" s="32">
        <f>IF(Builder!E2="Insurance / Org Tariff",0,0.25*N35)</f>
        <v>25408.088325195313</v>
      </c>
      <c r="O37" s="32">
        <f>IF(Builder!E2="Insurance / Org Tariff",0,0.25*O35)</f>
        <v>26519.416611328124</v>
      </c>
      <c r="P37" s="32">
        <f>IF(Builder!E2="Insurance / Org Tariff",0,0.25*P35)</f>
        <v>31371.40278125</v>
      </c>
      <c r="Q37" s="32">
        <f>IF(Builder!E2="Insurance / Org Tariff",0,0.25*Q35)</f>
        <v>25686.213325195313</v>
      </c>
      <c r="R37" s="32">
        <f>IF(Builder!E2="Insurance / Org Tariff",0,0.25*R35)</f>
        <v>26900.041611328124</v>
      </c>
      <c r="S37" s="32">
        <f>IF(Builder!E2="Insurance / Org Tariff",0,0.25*S35)</f>
        <v>31854.52778125</v>
      </c>
      <c r="T37" s="32">
        <f>IF(Builder!E2="Insurance / Org Tariff",0,0.25*T35)</f>
        <v>25926.213325195313</v>
      </c>
      <c r="U37" s="32">
        <f>IF(Builder!E2="Insurance / Org Tariff",0,0.25*U35)</f>
        <v>27350.666611328124</v>
      </c>
      <c r="V37" s="32">
        <f>IF(Builder!E2="Insurance / Org Tariff",0,0.25*V35)</f>
        <v>32515.77778125</v>
      </c>
      <c r="W37" s="32">
        <f>IF(Builder!E2="Insurance / Org Tariff",0,0.25*W35)</f>
        <v>26519.416611328124</v>
      </c>
      <c r="X37" s="32">
        <f>IF(Builder!E2="Insurance / Org Tariff",0,0.25*X35)</f>
        <v>26900.041611328124</v>
      </c>
      <c r="Y37" s="32">
        <f>IF(Builder!E2="Insurance / Org Tariff",0,0.25*Y35)</f>
        <v>27350.666611328124</v>
      </c>
    </row>
    <row r="38" ht="26.85" customHeight="1" spans="1:25" x14ac:dyDescent="0.25">
      <c r="A38" s="14" t="s">
        <v>631</v>
      </c>
      <c r="B38" s="40" t="s">
        <v>99</v>
      </c>
      <c r="C38" s="14" t="s">
        <v>99</v>
      </c>
      <c r="D38" s="14" t="s">
        <v>554</v>
      </c>
      <c r="E38" s="14" t="s">
        <v>632</v>
      </c>
      <c r="F38" s="40"/>
      <c r="G38" s="32"/>
      <c r="H38" s="32"/>
      <c r="I38" s="32"/>
      <c r="J38" s="32"/>
      <c r="K38" s="32"/>
      <c r="L38" s="32"/>
      <c r="M38" s="32"/>
      <c r="N38" s="32">
        <f>IF(Builder!E2="Insurance / Org Tariff",0,0.25*N37)</f>
        <v>6352.022081298828</v>
      </c>
      <c r="O38" s="32">
        <f>IF(Builder!E2="Insurance / Org Tariff",0,0.25*O37)</f>
        <v>6629.854152832031</v>
      </c>
      <c r="P38" s="32">
        <f>IF(Builder!E2="Insurance / Org Tariff",0,0.25*P37)</f>
        <v>7842.8506953125</v>
      </c>
      <c r="Q38" s="32">
        <f>IF(Builder!E2="Insurance / Org Tariff",0,0.25*Q37)</f>
        <v>6421.553331298828</v>
      </c>
      <c r="R38" s="32">
        <f>IF(Builder!E2="Insurance / Org Tariff",0,0.25*R37)</f>
        <v>6725.010402832031</v>
      </c>
      <c r="S38" s="32">
        <f>IF(Builder!E2="Insurance / Org Tariff",0,0.25*S37)</f>
        <v>7963.6319453125</v>
      </c>
      <c r="T38" s="32">
        <f>IF(Builder!E2="Insurance / Org Tariff",0,0.25*T37)</f>
        <v>6481.553331298828</v>
      </c>
      <c r="U38" s="32">
        <f>IF(Builder!E2="Insurance / Org Tariff",0,0.25*U37)</f>
        <v>6837.666652832031</v>
      </c>
      <c r="V38" s="32">
        <f>IF(Builder!E2="Insurance / Org Tariff",0,0.25*V37)</f>
        <v>8128.9444453125</v>
      </c>
      <c r="W38" s="32">
        <f>IF(Builder!E2="Insurance / Org Tariff",0,0.25*W37)</f>
        <v>6629.854152832031</v>
      </c>
      <c r="X38" s="32">
        <f>IF(Builder!E2="Insurance / Org Tariff",0,0.25*X37)</f>
        <v>6725.010402832031</v>
      </c>
      <c r="Y38" s="32">
        <f>IF(Builder!E2="Insurance / Org Tariff",0,0.25*Y37)</f>
        <v>6837.666652832031</v>
      </c>
    </row>
    <row r="39" ht="26.85" customHeight="1" spans="1:25" x14ac:dyDescent="0.25">
      <c r="A39" s="14" t="s">
        <v>633</v>
      </c>
      <c r="B39" s="40" t="s">
        <v>93</v>
      </c>
      <c r="C39" s="14" t="s">
        <v>634</v>
      </c>
      <c r="D39" s="14" t="s">
        <v>635</v>
      </c>
      <c r="E39" s="14" t="s">
        <v>636</v>
      </c>
      <c r="F39" s="40"/>
      <c r="G39" s="32">
        <f>Builder!G10</f>
        <v>3</v>
      </c>
      <c r="H39" s="32">
        <f>Builder!B10</f>
        <v>2</v>
      </c>
      <c r="I39" s="32">
        <f>Builder!C10</f>
        <v>3</v>
      </c>
      <c r="J39" s="32">
        <f>Builder!D10</f>
        <v>5</v>
      </c>
      <c r="K39" s="32">
        <f>IFERROR(INDEX(Reference!$CK$2:$CK$500, MATCH(Builder!G5, Reference!$AZ$2:$AZ$500, 0)), 0)</f>
        <v>2855.3187500000004</v>
      </c>
      <c r="L39" s="32">
        <f>IFERROR(INDEX(Reference!$CK$2:$CK$500, MATCH(Builder!G5, Reference!$AZ$2:$AZ$500, 0)), 0)</f>
        <v>2855.3187500000004</v>
      </c>
      <c r="M39" s="32">
        <f>IFERROR(INDEX(Reference!$CK$2:$CK$500, MATCH(Builder!G5, Reference!$AZ$2:$AZ$500, 0)), 0)</f>
        <v>2855.3187500000004</v>
      </c>
      <c r="N39" s="32">
        <f>G39*IFERROR(INDEX(Reference!$CJ$2:$CJ$500, MATCH(Builder!G5, Reference!$AZ$2:$AZ$500, 0)), 0)</f>
        <v>7142.830625</v>
      </c>
      <c r="O39" s="32">
        <f>G39*IFERROR(INDEX(Reference!$CK$2:$CK$500, MATCH(Builder!G5, Reference!$AZ$2:$AZ$500, 0)), 0)</f>
        <v>8565.956250000001</v>
      </c>
      <c r="P39" s="32">
        <f>G39*IFERROR(INDEX(Reference!$CL$2:$CL$500, MATCH(Builder!G5, Reference!$AZ$2:$AZ$500, 0)), 0)</f>
        <v>9594.774</v>
      </c>
      <c r="Q39" s="32">
        <f>N39</f>
        <v>7142.830625</v>
      </c>
      <c r="R39" s="32">
        <f>O39</f>
        <v>8565.956250000001</v>
      </c>
      <c r="S39" s="32">
        <f>P39</f>
        <v>9594.774</v>
      </c>
      <c r="T39" s="32">
        <f>N39</f>
        <v>7142.830625</v>
      </c>
      <c r="U39" s="32">
        <f>O39</f>
        <v>8565.956250000001</v>
      </c>
      <c r="V39" s="32">
        <f>P39</f>
        <v>9594.774</v>
      </c>
      <c r="W39" s="32">
        <f>IF(Builder!B5="Low",N39,IF(Builder!B5="Typical",O39,P39))</f>
        <v>8565.956250000001</v>
      </c>
      <c r="X39" s="32">
        <f>IF(Builder!B5="Low",Q39,IF(Builder!B5="Typical",R39,S39))</f>
        <v>8565.956250000001</v>
      </c>
      <c r="Y39" s="32">
        <f>IF(Builder!B5="Low",T39,IF(Builder!B5="Typical",U39,V39))</f>
        <v>8565.956250000001</v>
      </c>
    </row>
    <row r="40" ht="26.85" customHeight="1" spans="1:25" x14ac:dyDescent="0.25">
      <c r="A40" s="14" t="s">
        <v>146</v>
      </c>
      <c r="B40" s="40" t="s">
        <v>93</v>
      </c>
      <c r="C40" s="14" t="s">
        <v>634</v>
      </c>
      <c r="D40" s="14" t="s">
        <v>635</v>
      </c>
      <c r="E40" s="14" t="s">
        <v>636</v>
      </c>
      <c r="F40" s="40"/>
      <c r="G40" s="32">
        <f>Builder!G10</f>
        <v>3</v>
      </c>
      <c r="H40" s="32">
        <f>Builder!B10</f>
        <v>2</v>
      </c>
      <c r="I40" s="32">
        <f>Builder!C10</f>
        <v>3</v>
      </c>
      <c r="J40" s="32">
        <f>Builder!D10</f>
        <v>5</v>
      </c>
      <c r="K40" s="32">
        <f>IFERROR(INDEX(Reference!$CN$2:$CN$500, MATCH(Builder!G5, Reference!$AZ$2:$AZ$500, 0)), 0)</f>
        <v>3428.828333333333</v>
      </c>
      <c r="L40" s="32">
        <f>IFERROR(INDEX(Reference!$CN$2:$CN$500, MATCH(Builder!G5, Reference!$AZ$2:$AZ$500, 0)), 0)</f>
        <v>3428.828333333333</v>
      </c>
      <c r="M40" s="32">
        <f>IFERROR(INDEX(Reference!$CN$2:$CN$500, MATCH(Builder!G5, Reference!$AZ$2:$AZ$500, 0)), 0)</f>
        <v>3428.828333333333</v>
      </c>
      <c r="N40" s="32">
        <f>G40*IFERROR(INDEX(Reference!$CM$2:$CM$500, MATCH(Builder!G5, Reference!$AZ$2:$AZ$500, 0)), 0)</f>
        <v>9179.400000000001</v>
      </c>
      <c r="O40" s="32">
        <f>G40*IFERROR(INDEX(Reference!$CN$2:$CN$500, MATCH(Builder!G5, Reference!$AZ$2:$AZ$500, 0)), 0)</f>
        <v>10286.484999999999</v>
      </c>
      <c r="P40" s="32">
        <f>G40*IFERROR(INDEX(Reference!$CO$2:$CO$500, MATCH(Builder!G5, Reference!$AZ$2:$AZ$500, 0)), 0)</f>
        <v>10853.130000000001</v>
      </c>
      <c r="Q40" s="32">
        <f>N40</f>
        <v>9179.400000000001</v>
      </c>
      <c r="R40" s="32">
        <f>O40</f>
        <v>10286.484999999999</v>
      </c>
      <c r="S40" s="32">
        <f>P40</f>
        <v>10853.130000000001</v>
      </c>
      <c r="T40" s="32">
        <f>N40</f>
        <v>9179.400000000001</v>
      </c>
      <c r="U40" s="32">
        <f>O40</f>
        <v>10286.484999999999</v>
      </c>
      <c r="V40" s="32">
        <f>P40</f>
        <v>10853.130000000001</v>
      </c>
      <c r="W40" s="32">
        <f>IF(Builder!B5="Low",N40,IF(Builder!B5="Typical",O40,P40))</f>
        <v>10286.484999999999</v>
      </c>
      <c r="X40" s="32">
        <f>IF(Builder!B5="Low",Q40,IF(Builder!B5="Typical",R40,S40))</f>
        <v>10286.484999999999</v>
      </c>
      <c r="Y40" s="32">
        <f>IF(Builder!B5="Low",T40,IF(Builder!B5="Typical",U40,V40))</f>
        <v>10286.484999999999</v>
      </c>
    </row>
    <row r="41" ht="15" customHeight="1" spans="1:25" x14ac:dyDescent="0.25">
      <c r="A41" s="14" t="s">
        <v>637</v>
      </c>
      <c r="B41" s="40" t="s">
        <v>93</v>
      </c>
      <c r="C41" s="14" t="s">
        <v>638</v>
      </c>
      <c r="D41" s="14" t="s">
        <v>635</v>
      </c>
      <c r="E41" s="14" t="s">
        <v>639</v>
      </c>
      <c r="F41" s="40"/>
      <c r="G41" s="32"/>
      <c r="H41" s="32"/>
      <c r="I41" s="32"/>
      <c r="J41" s="32"/>
      <c r="K41" s="32"/>
      <c r="L41" s="32"/>
      <c r="M41" s="32"/>
      <c r="N41" s="32">
        <f>IFERROR(INDEX(Reference!$CA$2:$CA$500, MATCH(Builder!G5, Reference!$AZ$2:$AZ$500, 0)), 0)</f>
        <v>8468.852499999999</v>
      </c>
      <c r="O41" s="32">
        <f>IFERROR(INDEX(Reference!$CB$2:$CB$500, MATCH(Builder!G5, Reference!$AZ$2:$AZ$500, 0)), 0)</f>
        <v>9439.535</v>
      </c>
      <c r="P41" s="32">
        <f>IFERROR(INDEX(Reference!$CC$2:$CC$500, MATCH(Builder!G5, Reference!$AZ$2:$AZ$500, 0)), 0)</f>
        <v>11143.7</v>
      </c>
      <c r="Q41" s="32">
        <f>N41</f>
        <v>8468.852499999999</v>
      </c>
      <c r="R41" s="32">
        <f>O41</f>
        <v>9439.535</v>
      </c>
      <c r="S41" s="32">
        <f>P41</f>
        <v>11143.7</v>
      </c>
      <c r="T41" s="32">
        <f>N41</f>
        <v>8468.852499999999</v>
      </c>
      <c r="U41" s="32">
        <f>O41</f>
        <v>9439.535</v>
      </c>
      <c r="V41" s="32">
        <f>P41</f>
        <v>11143.7</v>
      </c>
      <c r="W41" s="32">
        <f>IF(Builder!B5="Low",N41,IF(Builder!B5="Typical",O41,P41))</f>
        <v>9439.535</v>
      </c>
      <c r="X41" s="32">
        <f>IF(Builder!B5="Low",Q41,IF(Builder!B5="Typical",R41,S41))</f>
        <v>9439.535</v>
      </c>
      <c r="Y41" s="32">
        <f>IF(Builder!B5="Low",T41,IF(Builder!B5="Typical",U41,V41))</f>
        <v>9439.535</v>
      </c>
    </row>
    <row r="42" ht="26.85" customHeight="1" spans="1:25" x14ac:dyDescent="0.25">
      <c r="A42" s="14" t="s">
        <v>98</v>
      </c>
      <c r="B42" s="40" t="s">
        <v>93</v>
      </c>
      <c r="C42" s="14" t="s">
        <v>638</v>
      </c>
      <c r="D42" s="14" t="s">
        <v>640</v>
      </c>
      <c r="E42" s="14" t="s">
        <v>641</v>
      </c>
      <c r="F42" s="40"/>
      <c r="G42" s="32"/>
      <c r="H42" s="32"/>
      <c r="I42" s="32"/>
      <c r="J42" s="32"/>
      <c r="K42" s="32"/>
      <c r="L42" s="32"/>
      <c r="M42" s="32"/>
      <c r="N42" s="32">
        <f>IFERROR(INDEX(Reference!$CD$2:$CD$500, MATCH(Builder!G5, Reference!$AZ$2:$AZ$500, 0)), 0)</f>
        <v>66040.54</v>
      </c>
      <c r="O42" s="32">
        <f>'Advanced Controls'!C6</f>
        <v>72382.9</v>
      </c>
      <c r="P42" s="32">
        <f>IFERROR(INDEX(Reference!$CF$2:$CF$500, MATCH(Builder!G5, Reference!$AZ$2:$AZ$500, 0)), 0)</f>
        <v>107563.63</v>
      </c>
      <c r="Q42" s="32">
        <f>N42</f>
        <v>66040.54</v>
      </c>
      <c r="R42" s="32">
        <f>'Advanced Controls'!C6</f>
        <v>72382.9</v>
      </c>
      <c r="S42" s="32">
        <f>P42</f>
        <v>107563.63</v>
      </c>
      <c r="T42" s="32">
        <f>N42</f>
        <v>66040.54</v>
      </c>
      <c r="U42" s="32">
        <f>'Advanced Controls'!C6</f>
        <v>72382.9</v>
      </c>
      <c r="V42" s="32">
        <f>P42</f>
        <v>107563.63</v>
      </c>
      <c r="W42" s="32">
        <f>IF(Builder!B5="Low",N42,IF(Builder!B5="Typical",O42,P42))</f>
        <v>72382.9</v>
      </c>
      <c r="X42" s="32">
        <f>IF(Builder!B5="Low",Q42,IF(Builder!B5="Typical",R42,S42))</f>
        <v>72382.9</v>
      </c>
      <c r="Y42" s="32">
        <f>IF(Builder!B5="Low",T42,IF(Builder!B5="Typical",U42,V42))</f>
        <v>72382.9</v>
      </c>
    </row>
    <row r="43" ht="15" customHeight="1" spans="1:25" x14ac:dyDescent="0.25">
      <c r="A43" s="14" t="s">
        <v>101</v>
      </c>
      <c r="B43" s="40" t="s">
        <v>93</v>
      </c>
      <c r="C43" s="14" t="s">
        <v>101</v>
      </c>
      <c r="D43" s="14" t="s">
        <v>640</v>
      </c>
      <c r="E43" s="14" t="s">
        <v>642</v>
      </c>
      <c r="F43" s="40"/>
      <c r="G43" s="32"/>
      <c r="H43" s="32"/>
      <c r="I43" s="32"/>
      <c r="J43" s="32"/>
      <c r="K43" s="32"/>
      <c r="L43" s="32"/>
      <c r="M43" s="32"/>
      <c r="N43" s="32">
        <f>IFERROR(INDEX(Reference!$CG$2:$CG$500, MATCH(Builder!G5, Reference!$AZ$2:$AZ$500, 0)), 0)</f>
        <v>89130.07750000001</v>
      </c>
      <c r="O43" s="32">
        <f>'Implant Selection'!F6</f>
        <v>89130.16</v>
      </c>
      <c r="P43" s="32">
        <f>IFERROR(INDEX(Reference!$CI$2:$CI$500, MATCH(Builder!G5, Reference!$AZ$2:$AZ$500, 0)), 0)</f>
        <v>98838.05</v>
      </c>
      <c r="Q43" s="32">
        <f>N43</f>
        <v>89130.07750000001</v>
      </c>
      <c r="R43" s="32">
        <f>'Implant Selection'!F6</f>
        <v>89130.16</v>
      </c>
      <c r="S43" s="32">
        <f>P43</f>
        <v>98838.05</v>
      </c>
      <c r="T43" s="32">
        <f>N43</f>
        <v>89130.07750000001</v>
      </c>
      <c r="U43" s="32">
        <f>'Implant Selection'!F6</f>
        <v>89130.16</v>
      </c>
      <c r="V43" s="32">
        <f>P43</f>
        <v>98838.05</v>
      </c>
      <c r="W43" s="32">
        <f>IF(Builder!B5="Low",N43,IF(Builder!B5="Typical",O43,P43))</f>
        <v>89130.16</v>
      </c>
      <c r="X43" s="32">
        <f>IF(Builder!B5="Low",Q43,IF(Builder!B5="Typical",R43,S43))</f>
        <v>89130.16</v>
      </c>
      <c r="Y43" s="32">
        <f>IF(Builder!B5="Low",T43,IF(Builder!B5="Typical",U43,V43))</f>
        <v>89130.16</v>
      </c>
    </row>
    <row r="44" ht="26.85" customHeight="1" spans="1:25" x14ac:dyDescent="0.25">
      <c r="A44" s="14" t="s">
        <v>220</v>
      </c>
      <c r="B44" s="40" t="s">
        <v>102</v>
      </c>
      <c r="C44" s="14" t="s">
        <v>221</v>
      </c>
      <c r="D44" s="14" t="s">
        <v>640</v>
      </c>
      <c r="E44" s="14" t="s">
        <v>643</v>
      </c>
      <c r="F44" s="40" t="s">
        <v>222</v>
      </c>
      <c r="G44" s="32">
        <f>IF(Builder!B5="Low",H44,IF(Builder!B5="Typical",I44,J44))</f>
        <v>2</v>
      </c>
      <c r="H44" s="32">
        <f>IFERROR(INDEX(Reference!$CX$2:$CX$4000, MATCH(Builder!G6&amp;"|"&amp;F44, Reference!$CQ$2:$CQ$4000, 0)), 1.75)</f>
        <v>1.75</v>
      </c>
      <c r="I44" s="32">
        <f>IFERROR(INDEX(Reference!$CY$2:$CY$4000, MATCH(Builder!G6&amp;"|"&amp;F44, Reference!$CQ$2:$CQ$4000, 0)), 2)</f>
        <v>2</v>
      </c>
      <c r="J44" s="32">
        <f>IFERROR(INDEX(Reference!$CZ$2:$CZ$4000, MATCH(Builder!G6&amp;"|"&amp;F44, Reference!$CQ$2:$CQ$4000, 0)), 2)</f>
        <v>2</v>
      </c>
      <c r="K44" s="32">
        <f>0+IFERROR(INDEX(Reference!$EG$2:$EG$8000, MATCH(Builder!E5&amp;"|"&amp;F44, Reference!$EB$2:$EB$8000, 0)), 2430)</f>
        <v>2430</v>
      </c>
      <c r="L44" s="32">
        <f>0+IFERROR(INDEX(Reference!$EH$2:$EH$8000, MATCH(Builder!E5&amp;"|"&amp;F44, Reference!$EB$2:$EB$8000, 0)), 2690)</f>
        <v>2690</v>
      </c>
      <c r="M44" s="32">
        <f>0+IFERROR(INDEX(Reference!$EI$2:$EI$8000, MATCH(Builder!E5&amp;"|"&amp;F44, Reference!$EB$2:$EB$8000, 0)), 2900)</f>
        <v>2900</v>
      </c>
      <c r="N44" s="32">
        <f>IF(AND(Builder!E2="Insurance / Org Tariff",IFERROR(INDEX(Reference!$EZ$2:$EZ$1000, MATCH(F44, Reference!$EX$2:$EX$1000, 0)), "No")="Yes"),0,IF('Service Add-Ons'!I7="Include",H44*K44,0))</f>
        <v>0</v>
      </c>
      <c r="O44" s="32">
        <f>IF(AND(Builder!E2="Insurance / Org Tariff",IFERROR(INDEX(Reference!$EZ$2:$EZ$1000, MATCH(F44, Reference!$EX$2:$EX$1000, 0)), "No")="Yes"),0,IF('Service Add-Ons'!I7="Include",I44*K44,0))</f>
        <v>0</v>
      </c>
      <c r="P44" s="32">
        <f>IF(AND(Builder!E2="Insurance / Org Tariff",IFERROR(INDEX(Reference!$EZ$2:$EZ$1000, MATCH(F44, Reference!$EX$2:$EX$1000, 0)), "No")="Yes"),0,IF('Service Add-Ons'!I7="Include",J44*K44,0))</f>
        <v>0</v>
      </c>
      <c r="Q44" s="32">
        <f>IF(AND(Builder!E2="Insurance / Org Tariff",IFERROR(INDEX(Reference!$EZ$2:$EZ$1000, MATCH(F44, Reference!$EX$2:$EX$1000, 0)), "No")="Yes"),0,IF('Service Add-Ons'!I7="Include",H44*L44,0))</f>
        <v>0</v>
      </c>
      <c r="R44" s="32">
        <f>IF(AND(Builder!E2="Insurance / Org Tariff",IFERROR(INDEX(Reference!$EZ$2:$EZ$1000, MATCH(F44, Reference!$EX$2:$EX$1000, 0)), "No")="Yes"),0,IF('Service Add-Ons'!I7="Include",I44*L44,0))</f>
        <v>0</v>
      </c>
      <c r="S44" s="32">
        <f>IF(AND(Builder!E2="Insurance / Org Tariff",IFERROR(INDEX(Reference!$EZ$2:$EZ$1000, MATCH(F44, Reference!$EX$2:$EX$1000, 0)), "No")="Yes"),0,IF('Service Add-Ons'!I7="Include",J44*L44,0))</f>
        <v>0</v>
      </c>
      <c r="T44" s="32">
        <f>IF(AND(Builder!E2="Insurance / Org Tariff",IFERROR(INDEX(Reference!$EZ$2:$EZ$1000, MATCH(F44, Reference!$EX$2:$EX$1000, 0)), "No")="Yes"),0,IF('Service Add-Ons'!I7="Include",H44*M44,0))</f>
        <v>0</v>
      </c>
      <c r="U44" s="32">
        <f>IF(AND(Builder!E2="Insurance / Org Tariff",IFERROR(INDEX(Reference!$EZ$2:$EZ$1000, MATCH(F44, Reference!$EX$2:$EX$1000, 0)), "No")="Yes"),0,IF('Service Add-Ons'!I7="Include",I44*M44,0))</f>
        <v>0</v>
      </c>
      <c r="V44" s="32">
        <f>IF(AND(Builder!E2="Insurance / Org Tariff",IFERROR(INDEX(Reference!$EZ$2:$EZ$1000, MATCH(F44, Reference!$EX$2:$EX$1000, 0)), "No")="Yes"),0,IF('Service Add-Ons'!I7="Include",J44*M44,0))</f>
        <v>0</v>
      </c>
      <c r="W44" s="32">
        <f>IF(Builder!B5="Low",N44,IF(Builder!B5="Typical",O44,P44))</f>
        <v>0</v>
      </c>
      <c r="X44" s="32">
        <f>IF(Builder!B5="Low",Q44,IF(Builder!B5="Typical",R44,S44))</f>
        <v>0</v>
      </c>
      <c r="Y44" s="32">
        <f>IF(Builder!B5="Low",T44,IF(Builder!B5="Typical",U44,V44))</f>
        <v>0</v>
      </c>
    </row>
    <row r="45" ht="26.85" customHeight="1" spans="1:25" x14ac:dyDescent="0.25">
      <c r="A45" s="14" t="s">
        <v>223</v>
      </c>
      <c r="B45" s="40" t="s">
        <v>102</v>
      </c>
      <c r="C45" s="14" t="s">
        <v>224</v>
      </c>
      <c r="D45" s="14" t="s">
        <v>640</v>
      </c>
      <c r="E45" s="14" t="s">
        <v>643</v>
      </c>
      <c r="F45" s="40" t="s">
        <v>225</v>
      </c>
      <c r="G45" s="32">
        <f>IF(Builder!B5="Low",H45,IF(Builder!B5="Typical",I45,J45))</f>
        <v>1</v>
      </c>
      <c r="H45" s="32">
        <f>IFERROR(INDEX(Reference!$CX$2:$CX$4000, MATCH(Builder!G6&amp;"|"&amp;F45, Reference!$CQ$2:$CQ$4000, 0)), 1)</f>
        <v>1</v>
      </c>
      <c r="I45" s="32">
        <f>IFERROR(INDEX(Reference!$CY$2:$CY$4000, MATCH(Builder!G6&amp;"|"&amp;F45, Reference!$CQ$2:$CQ$4000, 0)), 1)</f>
        <v>1</v>
      </c>
      <c r="J45" s="32">
        <f>IFERROR(INDEX(Reference!$CZ$2:$CZ$4000, MATCH(Builder!G6&amp;"|"&amp;F45, Reference!$CQ$2:$CQ$4000, 0)), 2.75)</f>
        <v>2.75</v>
      </c>
      <c r="K45" s="32">
        <f>0+IFERROR(INDEX(Reference!$EG$2:$EG$8000, MATCH(Builder!E5&amp;"|"&amp;F45, Reference!$EB$2:$EB$8000, 0)), 2730)</f>
        <v>2730</v>
      </c>
      <c r="L45" s="32">
        <f>0+IFERROR(INDEX(Reference!$EH$2:$EH$8000, MATCH(Builder!E5&amp;"|"&amp;F45, Reference!$EB$2:$EB$8000, 0)), 3020)</f>
        <v>3020</v>
      </c>
      <c r="M45" s="32">
        <f>0+IFERROR(INDEX(Reference!$EI$2:$EI$8000, MATCH(Builder!E5&amp;"|"&amp;F45, Reference!$EB$2:$EB$8000, 0)), 3260)</f>
        <v>3260</v>
      </c>
      <c r="N45" s="32">
        <f>IF(AND(Builder!E2="Insurance / Org Tariff",IFERROR(INDEX(Reference!$EZ$2:$EZ$1000, MATCH(F45, Reference!$EX$2:$EX$1000, 0)), "No")="Yes"),0,IF('Service Add-Ons'!I8="Include",H45*K45,0))</f>
        <v>0</v>
      </c>
      <c r="O45" s="32">
        <f>IF(AND(Builder!E2="Insurance / Org Tariff",IFERROR(INDEX(Reference!$EZ$2:$EZ$1000, MATCH(F45, Reference!$EX$2:$EX$1000, 0)), "No")="Yes"),0,IF('Service Add-Ons'!I8="Include",I45*K45,0))</f>
        <v>0</v>
      </c>
      <c r="P45" s="32">
        <f>IF(AND(Builder!E2="Insurance / Org Tariff",IFERROR(INDEX(Reference!$EZ$2:$EZ$1000, MATCH(F45, Reference!$EX$2:$EX$1000, 0)), "No")="Yes"),0,IF('Service Add-Ons'!I8="Include",J45*K45,0))</f>
        <v>0</v>
      </c>
      <c r="Q45" s="32">
        <f>IF(AND(Builder!E2="Insurance / Org Tariff",IFERROR(INDEX(Reference!$EZ$2:$EZ$1000, MATCH(F45, Reference!$EX$2:$EX$1000, 0)), "No")="Yes"),0,IF('Service Add-Ons'!I8="Include",H45*L45,0))</f>
        <v>0</v>
      </c>
      <c r="R45" s="32">
        <f>IF(AND(Builder!E2="Insurance / Org Tariff",IFERROR(INDEX(Reference!$EZ$2:$EZ$1000, MATCH(F45, Reference!$EX$2:$EX$1000, 0)), "No")="Yes"),0,IF('Service Add-Ons'!I8="Include",I45*L45,0))</f>
        <v>0</v>
      </c>
      <c r="S45" s="32">
        <f>IF(AND(Builder!E2="Insurance / Org Tariff",IFERROR(INDEX(Reference!$EZ$2:$EZ$1000, MATCH(F45, Reference!$EX$2:$EX$1000, 0)), "No")="Yes"),0,IF('Service Add-Ons'!I8="Include",J45*L45,0))</f>
        <v>0</v>
      </c>
      <c r="T45" s="32">
        <f>IF(AND(Builder!E2="Insurance / Org Tariff",IFERROR(INDEX(Reference!$EZ$2:$EZ$1000, MATCH(F45, Reference!$EX$2:$EX$1000, 0)), "No")="Yes"),0,IF('Service Add-Ons'!I8="Include",H45*M45,0))</f>
        <v>0</v>
      </c>
      <c r="U45" s="32">
        <f>IF(AND(Builder!E2="Insurance / Org Tariff",IFERROR(INDEX(Reference!$EZ$2:$EZ$1000, MATCH(F45, Reference!$EX$2:$EX$1000, 0)), "No")="Yes"),0,IF('Service Add-Ons'!I8="Include",I45*M45,0))</f>
        <v>0</v>
      </c>
      <c r="V45" s="32">
        <f>IF(AND(Builder!E2="Insurance / Org Tariff",IFERROR(INDEX(Reference!$EZ$2:$EZ$1000, MATCH(F45, Reference!$EX$2:$EX$1000, 0)), "No")="Yes"),0,IF('Service Add-Ons'!I8="Include",J45*M45,0))</f>
        <v>0</v>
      </c>
      <c r="W45" s="32">
        <f>IF(Builder!B5="Low",N45,IF(Builder!B5="Typical",O45,P45))</f>
        <v>0</v>
      </c>
      <c r="X45" s="32">
        <f>IF(Builder!B5="Low",Q45,IF(Builder!B5="Typical",R45,S45))</f>
        <v>0</v>
      </c>
      <c r="Y45" s="32">
        <f>IF(Builder!B5="Low",T45,IF(Builder!B5="Typical",U45,V45))</f>
        <v>0</v>
      </c>
    </row>
    <row r="46" ht="26.85" customHeight="1" spans="1:25" x14ac:dyDescent="0.25">
      <c r="A46" s="14" t="s">
        <v>227</v>
      </c>
      <c r="B46" s="40" t="s">
        <v>102</v>
      </c>
      <c r="C46" s="14" t="s">
        <v>228</v>
      </c>
      <c r="D46" s="14" t="s">
        <v>640</v>
      </c>
      <c r="E46" s="14" t="s">
        <v>643</v>
      </c>
      <c r="F46" s="40" t="s">
        <v>229</v>
      </c>
      <c r="G46" s="32">
        <f>IF(Builder!B5="Low",H46,IF(Builder!B5="Typical",I46,J46))</f>
        <v>5</v>
      </c>
      <c r="H46" s="32">
        <f>IFERROR(INDEX(Reference!$CX$2:$CX$4000, MATCH(Builder!G6&amp;"|"&amp;F46, Reference!$CQ$2:$CQ$4000, 0)), 5)</f>
        <v>5</v>
      </c>
      <c r="I46" s="32">
        <f>IFERROR(INDEX(Reference!$CY$2:$CY$4000, MATCH(Builder!G6&amp;"|"&amp;F46, Reference!$CQ$2:$CQ$4000, 0)), 5)</f>
        <v>5</v>
      </c>
      <c r="J46" s="32">
        <f>IFERROR(INDEX(Reference!$CZ$2:$CZ$4000, MATCH(Builder!G6&amp;"|"&amp;F46, Reference!$CQ$2:$CQ$4000, 0)), 7)</f>
        <v>7</v>
      </c>
      <c r="K46" s="32">
        <f>0+IFERROR(INDEX(Reference!$EG$2:$EG$8000, MATCH(Builder!E5&amp;"|"&amp;F46, Reference!$EB$2:$EB$8000, 0)), 270)</f>
        <v>270</v>
      </c>
      <c r="L46" s="32">
        <f>0+IFERROR(INDEX(Reference!$EH$2:$EH$8000, MATCH(Builder!E5&amp;"|"&amp;F46, Reference!$EB$2:$EB$8000, 0)), 300)</f>
        <v>300</v>
      </c>
      <c r="M46" s="32">
        <f>0+IFERROR(INDEX(Reference!$EI$2:$EI$8000, MATCH(Builder!E5&amp;"|"&amp;F46, Reference!$EB$2:$EB$8000, 0)), 330)</f>
        <v>330</v>
      </c>
      <c r="N46" s="32">
        <f>IF(AND(Builder!E2="Insurance / Org Tariff",IFERROR(INDEX(Reference!$EZ$2:$EZ$1000, MATCH(F46, Reference!$EX$2:$EX$1000, 0)), "No")="Yes"),0,IF('Service Add-Ons'!I9="Include",H46*K46,0))</f>
        <v>0</v>
      </c>
      <c r="O46" s="32">
        <f>IF(AND(Builder!E2="Insurance / Org Tariff",IFERROR(INDEX(Reference!$EZ$2:$EZ$1000, MATCH(F46, Reference!$EX$2:$EX$1000, 0)), "No")="Yes"),0,IF('Service Add-Ons'!I9="Include",I46*K46,0))</f>
        <v>0</v>
      </c>
      <c r="P46" s="32">
        <f>IF(AND(Builder!E2="Insurance / Org Tariff",IFERROR(INDEX(Reference!$EZ$2:$EZ$1000, MATCH(F46, Reference!$EX$2:$EX$1000, 0)), "No")="Yes"),0,IF('Service Add-Ons'!I9="Include",J46*K46,0))</f>
        <v>0</v>
      </c>
      <c r="Q46" s="32">
        <f>IF(AND(Builder!E2="Insurance / Org Tariff",IFERROR(INDEX(Reference!$EZ$2:$EZ$1000, MATCH(F46, Reference!$EX$2:$EX$1000, 0)), "No")="Yes"),0,IF('Service Add-Ons'!I9="Include",H46*L46,0))</f>
        <v>0</v>
      </c>
      <c r="R46" s="32">
        <f>IF(AND(Builder!E2="Insurance / Org Tariff",IFERROR(INDEX(Reference!$EZ$2:$EZ$1000, MATCH(F46, Reference!$EX$2:$EX$1000, 0)), "No")="Yes"),0,IF('Service Add-Ons'!I9="Include",I46*L46,0))</f>
        <v>0</v>
      </c>
      <c r="S46" s="32">
        <f>IF(AND(Builder!E2="Insurance / Org Tariff",IFERROR(INDEX(Reference!$EZ$2:$EZ$1000, MATCH(F46, Reference!$EX$2:$EX$1000, 0)), "No")="Yes"),0,IF('Service Add-Ons'!I9="Include",J46*L46,0))</f>
        <v>0</v>
      </c>
      <c r="T46" s="32">
        <f>IF(AND(Builder!E2="Insurance / Org Tariff",IFERROR(INDEX(Reference!$EZ$2:$EZ$1000, MATCH(F46, Reference!$EX$2:$EX$1000, 0)), "No")="Yes"),0,IF('Service Add-Ons'!I9="Include",H46*M46,0))</f>
        <v>0</v>
      </c>
      <c r="U46" s="32">
        <f>IF(AND(Builder!E2="Insurance / Org Tariff",IFERROR(INDEX(Reference!$EZ$2:$EZ$1000, MATCH(F46, Reference!$EX$2:$EX$1000, 0)), "No")="Yes"),0,IF('Service Add-Ons'!I9="Include",I46*M46,0))</f>
        <v>0</v>
      </c>
      <c r="V46" s="32">
        <f>IF(AND(Builder!E2="Insurance / Org Tariff",IFERROR(INDEX(Reference!$EZ$2:$EZ$1000, MATCH(F46, Reference!$EX$2:$EX$1000, 0)), "No")="Yes"),0,IF('Service Add-Ons'!I9="Include",J46*M46,0))</f>
        <v>0</v>
      </c>
      <c r="W46" s="32">
        <f>IF(Builder!B5="Low",N46,IF(Builder!B5="Typical",O46,P46))</f>
        <v>0</v>
      </c>
      <c r="X46" s="32">
        <f>IF(Builder!B5="Low",Q46,IF(Builder!B5="Typical",R46,S46))</f>
        <v>0</v>
      </c>
      <c r="Y46" s="32">
        <f>IF(Builder!B5="Low",T46,IF(Builder!B5="Typical",U46,V46))</f>
        <v>0</v>
      </c>
    </row>
    <row r="47" ht="26.85" customHeight="1" spans="1:25" x14ac:dyDescent="0.25">
      <c r="A47" s="14" t="s">
        <v>231</v>
      </c>
      <c r="B47" s="40" t="s">
        <v>102</v>
      </c>
      <c r="C47" s="14" t="s">
        <v>232</v>
      </c>
      <c r="D47" s="14" t="s">
        <v>640</v>
      </c>
      <c r="E47" s="14" t="s">
        <v>643</v>
      </c>
      <c r="F47" s="40" t="s">
        <v>233</v>
      </c>
      <c r="G47" s="32">
        <f>IF(Builder!B5="Low",H47,IF(Builder!B5="Typical",I47,J47))</f>
        <v>1</v>
      </c>
      <c r="H47" s="32">
        <f>IFERROR(INDEX(Reference!$CX$2:$CX$4000, MATCH(Builder!G6&amp;"|"&amp;F47, Reference!$CQ$2:$CQ$4000, 0)), 1)</f>
        <v>1</v>
      </c>
      <c r="I47" s="32">
        <f>IFERROR(INDEX(Reference!$CY$2:$CY$4000, MATCH(Builder!G6&amp;"|"&amp;F47, Reference!$CQ$2:$CQ$4000, 0)), 1)</f>
        <v>1</v>
      </c>
      <c r="J47" s="32">
        <f>IFERROR(INDEX(Reference!$CZ$2:$CZ$4000, MATCH(Builder!G6&amp;"|"&amp;F47, Reference!$CQ$2:$CQ$4000, 0)), 1)</f>
        <v>1</v>
      </c>
      <c r="K47" s="32">
        <f>0+IFERROR(INDEX(Reference!$EG$2:$EG$8000, MATCH(Builder!E5&amp;"|"&amp;F47, Reference!$EB$2:$EB$8000, 0)), 1110)</f>
        <v>1110</v>
      </c>
      <c r="L47" s="32">
        <f>0+IFERROR(INDEX(Reference!$EH$2:$EH$8000, MATCH(Builder!E5&amp;"|"&amp;F47, Reference!$EB$2:$EB$8000, 0)), 1220)</f>
        <v>1220</v>
      </c>
      <c r="M47" s="32">
        <f>0+IFERROR(INDEX(Reference!$EI$2:$EI$8000, MATCH(Builder!E5&amp;"|"&amp;F47, Reference!$EB$2:$EB$8000, 0)), 1320)</f>
        <v>1320</v>
      </c>
      <c r="N47" s="32">
        <f>IF(AND(Builder!E2="Insurance / Org Tariff",IFERROR(INDEX(Reference!$EZ$2:$EZ$1000, MATCH(F47, Reference!$EX$2:$EX$1000, 0)), "No")="Yes"),0,IF('Service Add-Ons'!I10="Include",H47*K47,0))</f>
        <v>0</v>
      </c>
      <c r="O47" s="32">
        <f>IF(AND(Builder!E2="Insurance / Org Tariff",IFERROR(INDEX(Reference!$EZ$2:$EZ$1000, MATCH(F47, Reference!$EX$2:$EX$1000, 0)), "No")="Yes"),0,IF('Service Add-Ons'!I10="Include",I47*K47,0))</f>
        <v>0</v>
      </c>
      <c r="P47" s="32">
        <f>IF(AND(Builder!E2="Insurance / Org Tariff",IFERROR(INDEX(Reference!$EZ$2:$EZ$1000, MATCH(F47, Reference!$EX$2:$EX$1000, 0)), "No")="Yes"),0,IF('Service Add-Ons'!I10="Include",J47*K47,0))</f>
        <v>0</v>
      </c>
      <c r="Q47" s="32">
        <f>IF(AND(Builder!E2="Insurance / Org Tariff",IFERROR(INDEX(Reference!$EZ$2:$EZ$1000, MATCH(F47, Reference!$EX$2:$EX$1000, 0)), "No")="Yes"),0,IF('Service Add-Ons'!I10="Include",H47*L47,0))</f>
        <v>0</v>
      </c>
      <c r="R47" s="32">
        <f>IF(AND(Builder!E2="Insurance / Org Tariff",IFERROR(INDEX(Reference!$EZ$2:$EZ$1000, MATCH(F47, Reference!$EX$2:$EX$1000, 0)), "No")="Yes"),0,IF('Service Add-Ons'!I10="Include",I47*L47,0))</f>
        <v>0</v>
      </c>
      <c r="S47" s="32">
        <f>IF(AND(Builder!E2="Insurance / Org Tariff",IFERROR(INDEX(Reference!$EZ$2:$EZ$1000, MATCH(F47, Reference!$EX$2:$EX$1000, 0)), "No")="Yes"),0,IF('Service Add-Ons'!I10="Include",J47*L47,0))</f>
        <v>0</v>
      </c>
      <c r="T47" s="32">
        <f>IF(AND(Builder!E2="Insurance / Org Tariff",IFERROR(INDEX(Reference!$EZ$2:$EZ$1000, MATCH(F47, Reference!$EX$2:$EX$1000, 0)), "No")="Yes"),0,IF('Service Add-Ons'!I10="Include",H47*M47,0))</f>
        <v>0</v>
      </c>
      <c r="U47" s="32">
        <f>IF(AND(Builder!E2="Insurance / Org Tariff",IFERROR(INDEX(Reference!$EZ$2:$EZ$1000, MATCH(F47, Reference!$EX$2:$EX$1000, 0)), "No")="Yes"),0,IF('Service Add-Ons'!I10="Include",I47*M47,0))</f>
        <v>0</v>
      </c>
      <c r="V47" s="32">
        <f>IF(AND(Builder!E2="Insurance / Org Tariff",IFERROR(INDEX(Reference!$EZ$2:$EZ$1000, MATCH(F47, Reference!$EX$2:$EX$1000, 0)), "No")="Yes"),0,IF('Service Add-Ons'!I10="Include",J47*M47,0))</f>
        <v>0</v>
      </c>
      <c r="W47" s="32">
        <f>IF(Builder!B5="Low",N47,IF(Builder!B5="Typical",O47,P47))</f>
        <v>0</v>
      </c>
      <c r="X47" s="32">
        <f>IF(Builder!B5="Low",Q47,IF(Builder!B5="Typical",R47,S47))</f>
        <v>0</v>
      </c>
      <c r="Y47" s="32">
        <f>IF(Builder!B5="Low",T47,IF(Builder!B5="Typical",U47,V47))</f>
        <v>0</v>
      </c>
    </row>
    <row r="48" ht="26.85" customHeight="1" spans="1:25" x14ac:dyDescent="0.25">
      <c r="A48" s="14" t="s">
        <v>235</v>
      </c>
      <c r="B48" s="40" t="s">
        <v>102</v>
      </c>
      <c r="C48" s="14" t="s">
        <v>236</v>
      </c>
      <c r="D48" s="14" t="s">
        <v>640</v>
      </c>
      <c r="E48" s="14" t="s">
        <v>643</v>
      </c>
      <c r="F48" s="40" t="s">
        <v>237</v>
      </c>
      <c r="G48" s="32">
        <f>IF(Builder!B5="Low",H48,IF(Builder!B5="Typical",I48,J48))</f>
        <v>1</v>
      </c>
      <c r="H48" s="32">
        <f>IFERROR(INDEX(Reference!$CX$2:$CX$4000, MATCH(Builder!G6&amp;"|"&amp;F48, Reference!$CQ$2:$CQ$4000, 0)), 1)</f>
        <v>1</v>
      </c>
      <c r="I48" s="32">
        <f>IFERROR(INDEX(Reference!$CY$2:$CY$4000, MATCH(Builder!G6&amp;"|"&amp;F48, Reference!$CQ$2:$CQ$4000, 0)), 1)</f>
        <v>1</v>
      </c>
      <c r="J48" s="32">
        <f>IFERROR(INDEX(Reference!$CZ$2:$CZ$4000, MATCH(Builder!G6&amp;"|"&amp;F48, Reference!$CQ$2:$CQ$4000, 0)), 1)</f>
        <v>1</v>
      </c>
      <c r="K48" s="32">
        <f>0+IFERROR(INDEX(Reference!$EG$2:$EG$8000, MATCH(Builder!E5&amp;"|"&amp;F48, Reference!$EB$2:$EB$8000, 0)), 2650)</f>
        <v>2650</v>
      </c>
      <c r="L48" s="32">
        <f>0+IFERROR(INDEX(Reference!$EH$2:$EH$8000, MATCH(Builder!E5&amp;"|"&amp;F48, Reference!$EB$2:$EB$8000, 0)), 2650)</f>
        <v>2650</v>
      </c>
      <c r="M48" s="32">
        <f>0+IFERROR(INDEX(Reference!$EI$2:$EI$8000, MATCH(Builder!E5&amp;"|"&amp;F48, Reference!$EB$2:$EB$8000, 0)), 2650)</f>
        <v>2650</v>
      </c>
      <c r="N48" s="32">
        <f>IF(AND(Builder!E2="Insurance / Org Tariff",IFERROR(INDEX(Reference!$EZ$2:$EZ$1000, MATCH(F48, Reference!$EX$2:$EX$1000, 0)), "No")="Yes"),0,IF('Service Add-Ons'!I11="Include",H48*K48,0))</f>
        <v>0</v>
      </c>
      <c r="O48" s="32">
        <f>IF(AND(Builder!E2="Insurance / Org Tariff",IFERROR(INDEX(Reference!$EZ$2:$EZ$1000, MATCH(F48, Reference!$EX$2:$EX$1000, 0)), "No")="Yes"),0,IF('Service Add-Ons'!I11="Include",I48*K48,0))</f>
        <v>0</v>
      </c>
      <c r="P48" s="32">
        <f>IF(AND(Builder!E2="Insurance / Org Tariff",IFERROR(INDEX(Reference!$EZ$2:$EZ$1000, MATCH(F48, Reference!$EX$2:$EX$1000, 0)), "No")="Yes"),0,IF('Service Add-Ons'!I11="Include",J48*K48,0))</f>
        <v>0</v>
      </c>
      <c r="Q48" s="32">
        <f>IF(AND(Builder!E2="Insurance / Org Tariff",IFERROR(INDEX(Reference!$EZ$2:$EZ$1000, MATCH(F48, Reference!$EX$2:$EX$1000, 0)), "No")="Yes"),0,IF('Service Add-Ons'!I11="Include",H48*L48,0))</f>
        <v>0</v>
      </c>
      <c r="R48" s="32">
        <f>IF(AND(Builder!E2="Insurance / Org Tariff",IFERROR(INDEX(Reference!$EZ$2:$EZ$1000, MATCH(F48, Reference!$EX$2:$EX$1000, 0)), "No")="Yes"),0,IF('Service Add-Ons'!I11="Include",I48*L48,0))</f>
        <v>0</v>
      </c>
      <c r="S48" s="32">
        <f>IF(AND(Builder!E2="Insurance / Org Tariff",IFERROR(INDEX(Reference!$EZ$2:$EZ$1000, MATCH(F48, Reference!$EX$2:$EX$1000, 0)), "No")="Yes"),0,IF('Service Add-Ons'!I11="Include",J48*L48,0))</f>
        <v>0</v>
      </c>
      <c r="T48" s="32">
        <f>IF(AND(Builder!E2="Insurance / Org Tariff",IFERROR(INDEX(Reference!$EZ$2:$EZ$1000, MATCH(F48, Reference!$EX$2:$EX$1000, 0)), "No")="Yes"),0,IF('Service Add-Ons'!I11="Include",H48*M48,0))</f>
        <v>0</v>
      </c>
      <c r="U48" s="32">
        <f>IF(AND(Builder!E2="Insurance / Org Tariff",IFERROR(INDEX(Reference!$EZ$2:$EZ$1000, MATCH(F48, Reference!$EX$2:$EX$1000, 0)), "No")="Yes"),0,IF('Service Add-Ons'!I11="Include",I48*M48,0))</f>
        <v>0</v>
      </c>
      <c r="V48" s="32">
        <f>IF(AND(Builder!E2="Insurance / Org Tariff",IFERROR(INDEX(Reference!$EZ$2:$EZ$1000, MATCH(F48, Reference!$EX$2:$EX$1000, 0)), "No")="Yes"),0,IF('Service Add-Ons'!I11="Include",J48*M48,0))</f>
        <v>0</v>
      </c>
      <c r="W48" s="32">
        <f>IF(Builder!B5="Low",N48,IF(Builder!B5="Typical",O48,P48))</f>
        <v>0</v>
      </c>
      <c r="X48" s="32">
        <f>IF(Builder!B5="Low",Q48,IF(Builder!B5="Typical",R48,S48))</f>
        <v>0</v>
      </c>
      <c r="Y48" s="32">
        <f>IF(Builder!B5="Low",T48,IF(Builder!B5="Typical",U48,V48))</f>
        <v>0</v>
      </c>
    </row>
    <row r="49" ht="26.85" customHeight="1" spans="1:25" x14ac:dyDescent="0.25">
      <c r="A49" s="14" t="s">
        <v>238</v>
      </c>
      <c r="B49" s="40" t="s">
        <v>102</v>
      </c>
      <c r="C49" s="14" t="s">
        <v>239</v>
      </c>
      <c r="D49" s="14" t="s">
        <v>640</v>
      </c>
      <c r="E49" s="14" t="s">
        <v>643</v>
      </c>
      <c r="F49" s="40" t="s">
        <v>240</v>
      </c>
      <c r="G49" s="32">
        <f>IF(Builder!B5="Low",H49,IF(Builder!B5="Typical",I49,J49))</f>
        <v>2</v>
      </c>
      <c r="H49" s="32">
        <f>IFERROR(INDEX(Reference!$CX$2:$CX$4000, MATCH(Builder!G6&amp;"|"&amp;F49, Reference!$CQ$2:$CQ$4000, 0)), 2)</f>
        <v>2</v>
      </c>
      <c r="I49" s="32">
        <f>IFERROR(INDEX(Reference!$CY$2:$CY$4000, MATCH(Builder!G6&amp;"|"&amp;F49, Reference!$CQ$2:$CQ$4000, 0)), 2)</f>
        <v>2</v>
      </c>
      <c r="J49" s="32">
        <f>IFERROR(INDEX(Reference!$CZ$2:$CZ$4000, MATCH(Builder!G6&amp;"|"&amp;F49, Reference!$CQ$2:$CQ$4000, 0)), 2)</f>
        <v>2</v>
      </c>
      <c r="K49" s="32">
        <f>0+IFERROR(INDEX(Reference!$EG$2:$EG$8000, MATCH(Builder!E5&amp;"|"&amp;F49, Reference!$EB$2:$EB$8000, 0)), 3620)</f>
        <v>3620</v>
      </c>
      <c r="L49" s="32">
        <f>0+IFERROR(INDEX(Reference!$EH$2:$EH$8000, MATCH(Builder!E5&amp;"|"&amp;F49, Reference!$EB$2:$EB$8000, 0)), 3620)</f>
        <v>3620</v>
      </c>
      <c r="M49" s="32">
        <f>0+IFERROR(INDEX(Reference!$EI$2:$EI$8000, MATCH(Builder!E5&amp;"|"&amp;F49, Reference!$EB$2:$EB$8000, 0)), 3620)</f>
        <v>3620</v>
      </c>
      <c r="N49" s="32">
        <f>IF(AND(Builder!E2="Insurance / Org Tariff",IFERROR(INDEX(Reference!$EZ$2:$EZ$1000, MATCH(F49, Reference!$EX$2:$EX$1000, 0)), "No")="Yes"),0,IF('Service Add-Ons'!I12="Include",H49*K49,0))</f>
        <v>0</v>
      </c>
      <c r="O49" s="32">
        <f>IF(AND(Builder!E2="Insurance / Org Tariff",IFERROR(INDEX(Reference!$EZ$2:$EZ$1000, MATCH(F49, Reference!$EX$2:$EX$1000, 0)), "No")="Yes"),0,IF('Service Add-Ons'!I12="Include",I49*K49,0))</f>
        <v>0</v>
      </c>
      <c r="P49" s="32">
        <f>IF(AND(Builder!E2="Insurance / Org Tariff",IFERROR(INDEX(Reference!$EZ$2:$EZ$1000, MATCH(F49, Reference!$EX$2:$EX$1000, 0)), "No")="Yes"),0,IF('Service Add-Ons'!I12="Include",J49*K49,0))</f>
        <v>0</v>
      </c>
      <c r="Q49" s="32">
        <f>IF(AND(Builder!E2="Insurance / Org Tariff",IFERROR(INDEX(Reference!$EZ$2:$EZ$1000, MATCH(F49, Reference!$EX$2:$EX$1000, 0)), "No")="Yes"),0,IF('Service Add-Ons'!I12="Include",H49*L49,0))</f>
        <v>0</v>
      </c>
      <c r="R49" s="32">
        <f>IF(AND(Builder!E2="Insurance / Org Tariff",IFERROR(INDEX(Reference!$EZ$2:$EZ$1000, MATCH(F49, Reference!$EX$2:$EX$1000, 0)), "No")="Yes"),0,IF('Service Add-Ons'!I12="Include",I49*L49,0))</f>
        <v>0</v>
      </c>
      <c r="S49" s="32">
        <f>IF(AND(Builder!E2="Insurance / Org Tariff",IFERROR(INDEX(Reference!$EZ$2:$EZ$1000, MATCH(F49, Reference!$EX$2:$EX$1000, 0)), "No")="Yes"),0,IF('Service Add-Ons'!I12="Include",J49*L49,0))</f>
        <v>0</v>
      </c>
      <c r="T49" s="32">
        <f>IF(AND(Builder!E2="Insurance / Org Tariff",IFERROR(INDEX(Reference!$EZ$2:$EZ$1000, MATCH(F49, Reference!$EX$2:$EX$1000, 0)), "No")="Yes"),0,IF('Service Add-Ons'!I12="Include",H49*M49,0))</f>
        <v>0</v>
      </c>
      <c r="U49" s="32">
        <f>IF(AND(Builder!E2="Insurance / Org Tariff",IFERROR(INDEX(Reference!$EZ$2:$EZ$1000, MATCH(F49, Reference!$EX$2:$EX$1000, 0)), "No")="Yes"),0,IF('Service Add-Ons'!I12="Include",I49*M49,0))</f>
        <v>0</v>
      </c>
      <c r="V49" s="32">
        <f>IF(AND(Builder!E2="Insurance / Org Tariff",IFERROR(INDEX(Reference!$EZ$2:$EZ$1000, MATCH(F49, Reference!$EX$2:$EX$1000, 0)), "No")="Yes"),0,IF('Service Add-Ons'!I12="Include",J49*M49,0))</f>
        <v>0</v>
      </c>
      <c r="W49" s="32">
        <f>IF(Builder!B5="Low",N49,IF(Builder!B5="Typical",O49,P49))</f>
        <v>0</v>
      </c>
      <c r="X49" s="32">
        <f>IF(Builder!B5="Low",Q49,IF(Builder!B5="Typical",R49,S49))</f>
        <v>0</v>
      </c>
      <c r="Y49" s="32">
        <f>IF(Builder!B5="Low",T49,IF(Builder!B5="Typical",U49,V49))</f>
        <v>0</v>
      </c>
    </row>
    <row r="50" ht="26.85" customHeight="1" spans="1:25" x14ac:dyDescent="0.25">
      <c r="A50" s="14" t="s">
        <v>241</v>
      </c>
      <c r="B50" s="40" t="s">
        <v>102</v>
      </c>
      <c r="C50" s="14" t="s">
        <v>242</v>
      </c>
      <c r="D50" s="14" t="s">
        <v>640</v>
      </c>
      <c r="E50" s="14" t="s">
        <v>643</v>
      </c>
      <c r="F50" s="40" t="s">
        <v>243</v>
      </c>
      <c r="G50" s="32">
        <f>IF(Builder!B5="Low",H50,IF(Builder!B5="Typical",I50,J50))</f>
        <v>1</v>
      </c>
      <c r="H50" s="32">
        <f>IFERROR(INDEX(Reference!$CX$2:$CX$4000, MATCH(Builder!G6&amp;"|"&amp;F50, Reference!$CQ$2:$CQ$4000, 0)), 1)</f>
        <v>1</v>
      </c>
      <c r="I50" s="32">
        <f>IFERROR(INDEX(Reference!$CY$2:$CY$4000, MATCH(Builder!G6&amp;"|"&amp;F50, Reference!$CQ$2:$CQ$4000, 0)), 1)</f>
        <v>1</v>
      </c>
      <c r="J50" s="32">
        <f>IFERROR(INDEX(Reference!$CZ$2:$CZ$4000, MATCH(Builder!G6&amp;"|"&amp;F50, Reference!$CQ$2:$CQ$4000, 0)), 1)</f>
        <v>1</v>
      </c>
      <c r="K50" s="32">
        <f>0+IFERROR(INDEX(Reference!$EG$2:$EG$8000, MATCH(Builder!E5&amp;"|"&amp;F50, Reference!$EB$2:$EB$8000, 0)), 1250)</f>
        <v>1250</v>
      </c>
      <c r="L50" s="32">
        <f>0+IFERROR(INDEX(Reference!$EH$2:$EH$8000, MATCH(Builder!E5&amp;"|"&amp;F50, Reference!$EB$2:$EB$8000, 0)), 1250)</f>
        <v>1250</v>
      </c>
      <c r="M50" s="32">
        <f>0+IFERROR(INDEX(Reference!$EI$2:$EI$8000, MATCH(Builder!E5&amp;"|"&amp;F50, Reference!$EB$2:$EB$8000, 0)), 1250)</f>
        <v>1250</v>
      </c>
      <c r="N50" s="32">
        <f>IF(AND(Builder!E2="Insurance / Org Tariff",IFERROR(INDEX(Reference!$EZ$2:$EZ$1000, MATCH(F50, Reference!$EX$2:$EX$1000, 0)), "No")="Yes"),0,IF('Service Add-Ons'!I13="Include",H50*K50,0))</f>
        <v>0</v>
      </c>
      <c r="O50" s="32">
        <f>IF(AND(Builder!E2="Insurance / Org Tariff",IFERROR(INDEX(Reference!$EZ$2:$EZ$1000, MATCH(F50, Reference!$EX$2:$EX$1000, 0)), "No")="Yes"),0,IF('Service Add-Ons'!I13="Include",I50*K50,0))</f>
        <v>0</v>
      </c>
      <c r="P50" s="32">
        <f>IF(AND(Builder!E2="Insurance / Org Tariff",IFERROR(INDEX(Reference!$EZ$2:$EZ$1000, MATCH(F50, Reference!$EX$2:$EX$1000, 0)), "No")="Yes"),0,IF('Service Add-Ons'!I13="Include",J50*K50,0))</f>
        <v>0</v>
      </c>
      <c r="Q50" s="32">
        <f>IF(AND(Builder!E2="Insurance / Org Tariff",IFERROR(INDEX(Reference!$EZ$2:$EZ$1000, MATCH(F50, Reference!$EX$2:$EX$1000, 0)), "No")="Yes"),0,IF('Service Add-Ons'!I13="Include",H50*L50,0))</f>
        <v>0</v>
      </c>
      <c r="R50" s="32">
        <f>IF(AND(Builder!E2="Insurance / Org Tariff",IFERROR(INDEX(Reference!$EZ$2:$EZ$1000, MATCH(F50, Reference!$EX$2:$EX$1000, 0)), "No")="Yes"),0,IF('Service Add-Ons'!I13="Include",I50*L50,0))</f>
        <v>0</v>
      </c>
      <c r="S50" s="32">
        <f>IF(AND(Builder!E2="Insurance / Org Tariff",IFERROR(INDEX(Reference!$EZ$2:$EZ$1000, MATCH(F50, Reference!$EX$2:$EX$1000, 0)), "No")="Yes"),0,IF('Service Add-Ons'!I13="Include",J50*L50,0))</f>
        <v>0</v>
      </c>
      <c r="T50" s="32">
        <f>IF(AND(Builder!E2="Insurance / Org Tariff",IFERROR(INDEX(Reference!$EZ$2:$EZ$1000, MATCH(F50, Reference!$EX$2:$EX$1000, 0)), "No")="Yes"),0,IF('Service Add-Ons'!I13="Include",H50*M50,0))</f>
        <v>0</v>
      </c>
      <c r="U50" s="32">
        <f>IF(AND(Builder!E2="Insurance / Org Tariff",IFERROR(INDEX(Reference!$EZ$2:$EZ$1000, MATCH(F50, Reference!$EX$2:$EX$1000, 0)), "No")="Yes"),0,IF('Service Add-Ons'!I13="Include",I50*M50,0))</f>
        <v>0</v>
      </c>
      <c r="V50" s="32">
        <f>IF(AND(Builder!E2="Insurance / Org Tariff",IFERROR(INDEX(Reference!$EZ$2:$EZ$1000, MATCH(F50, Reference!$EX$2:$EX$1000, 0)), "No")="Yes"),0,IF('Service Add-Ons'!I13="Include",J50*M50,0))</f>
        <v>0</v>
      </c>
      <c r="W50" s="32">
        <f>IF(Builder!B5="Low",N50,IF(Builder!B5="Typical",O50,P50))</f>
        <v>0</v>
      </c>
      <c r="X50" s="32">
        <f>IF(Builder!B5="Low",Q50,IF(Builder!B5="Typical",R50,S50))</f>
        <v>0</v>
      </c>
      <c r="Y50" s="32">
        <f>IF(Builder!B5="Low",T50,IF(Builder!B5="Typical",U50,V50))</f>
        <v>0</v>
      </c>
    </row>
    <row r="51" ht="26.85" customHeight="1" spans="1:25" x14ac:dyDescent="0.25">
      <c r="A51" s="14" t="s">
        <v>244</v>
      </c>
      <c r="B51" s="40" t="s">
        <v>102</v>
      </c>
      <c r="C51" s="14" t="s">
        <v>245</v>
      </c>
      <c r="D51" s="14" t="s">
        <v>640</v>
      </c>
      <c r="E51" s="14" t="s">
        <v>643</v>
      </c>
      <c r="F51" s="40" t="s">
        <v>246</v>
      </c>
      <c r="G51" s="32">
        <f>IF(Builder!B5="Low",H51,IF(Builder!B5="Typical",I51,J51))</f>
        <v>1.5</v>
      </c>
      <c r="H51" s="32">
        <f>IFERROR(INDEX(Reference!$CX$2:$CX$4000, MATCH(Builder!G6&amp;"|"&amp;F51, Reference!$CQ$2:$CQ$4000, 0)), 1)</f>
        <v>1</v>
      </c>
      <c r="I51" s="32">
        <f>IFERROR(INDEX(Reference!$CY$2:$CY$4000, MATCH(Builder!G6&amp;"|"&amp;F51, Reference!$CQ$2:$CQ$4000, 0)), 1.5)</f>
        <v>1.5</v>
      </c>
      <c r="J51" s="32">
        <f>IFERROR(INDEX(Reference!$CZ$2:$CZ$4000, MATCH(Builder!G6&amp;"|"&amp;F51, Reference!$CQ$2:$CQ$4000, 0)), 2.25)</f>
        <v>2.25</v>
      </c>
      <c r="K51" s="32">
        <f>0+IFERROR(INDEX(Reference!$EG$2:$EG$8000, MATCH(Builder!E5&amp;"|"&amp;F51, Reference!$EB$2:$EB$8000, 0)), 730)</f>
        <v>730</v>
      </c>
      <c r="L51" s="32">
        <f>0+IFERROR(INDEX(Reference!$EH$2:$EH$8000, MATCH(Builder!E5&amp;"|"&amp;F51, Reference!$EB$2:$EB$8000, 0)), 800)</f>
        <v>800</v>
      </c>
      <c r="M51" s="32">
        <f>0+IFERROR(INDEX(Reference!$EI$2:$EI$8000, MATCH(Builder!E5&amp;"|"&amp;F51, Reference!$EB$2:$EB$8000, 0)), 870)</f>
        <v>870</v>
      </c>
      <c r="N51" s="32">
        <f>IF(AND(Builder!E2="Insurance / Org Tariff",IFERROR(INDEX(Reference!$EZ$2:$EZ$1000, MATCH(F51, Reference!$EX$2:$EX$1000, 0)), "No")="Yes"),0,IF('Service Add-Ons'!I14="Include",H51*K51,0))</f>
        <v>0</v>
      </c>
      <c r="O51" s="32">
        <f>IF(AND(Builder!E2="Insurance / Org Tariff",IFERROR(INDEX(Reference!$EZ$2:$EZ$1000, MATCH(F51, Reference!$EX$2:$EX$1000, 0)), "No")="Yes"),0,IF('Service Add-Ons'!I14="Include",I51*K51,0))</f>
        <v>0</v>
      </c>
      <c r="P51" s="32">
        <f>IF(AND(Builder!E2="Insurance / Org Tariff",IFERROR(INDEX(Reference!$EZ$2:$EZ$1000, MATCH(F51, Reference!$EX$2:$EX$1000, 0)), "No")="Yes"),0,IF('Service Add-Ons'!I14="Include",J51*K51,0))</f>
        <v>0</v>
      </c>
      <c r="Q51" s="32">
        <f>IF(AND(Builder!E2="Insurance / Org Tariff",IFERROR(INDEX(Reference!$EZ$2:$EZ$1000, MATCH(F51, Reference!$EX$2:$EX$1000, 0)), "No")="Yes"),0,IF('Service Add-Ons'!I14="Include",H51*L51,0))</f>
        <v>0</v>
      </c>
      <c r="R51" s="32">
        <f>IF(AND(Builder!E2="Insurance / Org Tariff",IFERROR(INDEX(Reference!$EZ$2:$EZ$1000, MATCH(F51, Reference!$EX$2:$EX$1000, 0)), "No")="Yes"),0,IF('Service Add-Ons'!I14="Include",I51*L51,0))</f>
        <v>0</v>
      </c>
      <c r="S51" s="32">
        <f>IF(AND(Builder!E2="Insurance / Org Tariff",IFERROR(INDEX(Reference!$EZ$2:$EZ$1000, MATCH(F51, Reference!$EX$2:$EX$1000, 0)), "No")="Yes"),0,IF('Service Add-Ons'!I14="Include",J51*L51,0))</f>
        <v>0</v>
      </c>
      <c r="T51" s="32">
        <f>IF(AND(Builder!E2="Insurance / Org Tariff",IFERROR(INDEX(Reference!$EZ$2:$EZ$1000, MATCH(F51, Reference!$EX$2:$EX$1000, 0)), "No")="Yes"),0,IF('Service Add-Ons'!I14="Include",H51*M51,0))</f>
        <v>0</v>
      </c>
      <c r="U51" s="32">
        <f>IF(AND(Builder!E2="Insurance / Org Tariff",IFERROR(INDEX(Reference!$EZ$2:$EZ$1000, MATCH(F51, Reference!$EX$2:$EX$1000, 0)), "No")="Yes"),0,IF('Service Add-Ons'!I14="Include",I51*M51,0))</f>
        <v>0</v>
      </c>
      <c r="V51" s="32">
        <f>IF(AND(Builder!E2="Insurance / Org Tariff",IFERROR(INDEX(Reference!$EZ$2:$EZ$1000, MATCH(F51, Reference!$EX$2:$EX$1000, 0)), "No")="Yes"),0,IF('Service Add-Ons'!I14="Include",J51*M51,0))</f>
        <v>0</v>
      </c>
      <c r="W51" s="32">
        <f>IF(Builder!B5="Low",N51,IF(Builder!B5="Typical",O51,P51))</f>
        <v>0</v>
      </c>
      <c r="X51" s="32">
        <f>IF(Builder!B5="Low",Q51,IF(Builder!B5="Typical",R51,S51))</f>
        <v>0</v>
      </c>
      <c r="Y51" s="32">
        <f>IF(Builder!B5="Low",T51,IF(Builder!B5="Typical",U51,V51))</f>
        <v>0</v>
      </c>
    </row>
    <row r="52" ht="26.85" customHeight="1" spans="1:25" x14ac:dyDescent="0.25">
      <c r="A52" s="14" t="s">
        <v>247</v>
      </c>
      <c r="B52" s="40" t="s">
        <v>102</v>
      </c>
      <c r="C52" s="14" t="s">
        <v>248</v>
      </c>
      <c r="D52" s="14" t="s">
        <v>640</v>
      </c>
      <c r="E52" s="14" t="s">
        <v>643</v>
      </c>
      <c r="F52" s="40" t="s">
        <v>249</v>
      </c>
      <c r="G52" s="32">
        <f>IF(Builder!B5="Low",H52,IF(Builder!B5="Typical",I52,J52))</f>
        <v>1</v>
      </c>
      <c r="H52" s="32">
        <f>IFERROR(INDEX(Reference!$CX$2:$CX$4000, MATCH(Builder!G6&amp;"|"&amp;F52, Reference!$CQ$2:$CQ$4000, 0)), 1)</f>
        <v>1</v>
      </c>
      <c r="I52" s="32">
        <f>IFERROR(INDEX(Reference!$CY$2:$CY$4000, MATCH(Builder!G6&amp;"|"&amp;F52, Reference!$CQ$2:$CQ$4000, 0)), 1)</f>
        <v>1</v>
      </c>
      <c r="J52" s="32">
        <f>IFERROR(INDEX(Reference!$CZ$2:$CZ$4000, MATCH(Builder!G6&amp;"|"&amp;F52, Reference!$CQ$2:$CQ$4000, 0)), 1)</f>
        <v>1</v>
      </c>
      <c r="K52" s="32">
        <f>0+IFERROR(INDEX(Reference!$EG$2:$EG$8000, MATCH(Builder!E5&amp;"|"&amp;F52, Reference!$EB$2:$EB$8000, 0)), 310)</f>
        <v>310</v>
      </c>
      <c r="L52" s="32">
        <f>0+IFERROR(INDEX(Reference!$EH$2:$EH$8000, MATCH(Builder!E5&amp;"|"&amp;F52, Reference!$EB$2:$EB$8000, 0)), 340)</f>
        <v>340</v>
      </c>
      <c r="M52" s="32">
        <f>0+IFERROR(INDEX(Reference!$EI$2:$EI$8000, MATCH(Builder!E5&amp;"|"&amp;F52, Reference!$EB$2:$EB$8000, 0)), 370)</f>
        <v>370</v>
      </c>
      <c r="N52" s="32">
        <f>IF(AND(Builder!E2="Insurance / Org Tariff",IFERROR(INDEX(Reference!$EZ$2:$EZ$1000, MATCH(F52, Reference!$EX$2:$EX$1000, 0)), "No")="Yes"),0,IF('Service Add-Ons'!I15="Include",H52*K52,0))</f>
        <v>0</v>
      </c>
      <c r="O52" s="32">
        <f>IF(AND(Builder!E2="Insurance / Org Tariff",IFERROR(INDEX(Reference!$EZ$2:$EZ$1000, MATCH(F52, Reference!$EX$2:$EX$1000, 0)), "No")="Yes"),0,IF('Service Add-Ons'!I15="Include",I52*K52,0))</f>
        <v>0</v>
      </c>
      <c r="P52" s="32">
        <f>IF(AND(Builder!E2="Insurance / Org Tariff",IFERROR(INDEX(Reference!$EZ$2:$EZ$1000, MATCH(F52, Reference!$EX$2:$EX$1000, 0)), "No")="Yes"),0,IF('Service Add-Ons'!I15="Include",J52*K52,0))</f>
        <v>0</v>
      </c>
      <c r="Q52" s="32">
        <f>IF(AND(Builder!E2="Insurance / Org Tariff",IFERROR(INDEX(Reference!$EZ$2:$EZ$1000, MATCH(F52, Reference!$EX$2:$EX$1000, 0)), "No")="Yes"),0,IF('Service Add-Ons'!I15="Include",H52*L52,0))</f>
        <v>0</v>
      </c>
      <c r="R52" s="32">
        <f>IF(AND(Builder!E2="Insurance / Org Tariff",IFERROR(INDEX(Reference!$EZ$2:$EZ$1000, MATCH(F52, Reference!$EX$2:$EX$1000, 0)), "No")="Yes"),0,IF('Service Add-Ons'!I15="Include",I52*L52,0))</f>
        <v>0</v>
      </c>
      <c r="S52" s="32">
        <f>IF(AND(Builder!E2="Insurance / Org Tariff",IFERROR(INDEX(Reference!$EZ$2:$EZ$1000, MATCH(F52, Reference!$EX$2:$EX$1000, 0)), "No")="Yes"),0,IF('Service Add-Ons'!I15="Include",J52*L52,0))</f>
        <v>0</v>
      </c>
      <c r="T52" s="32">
        <f>IF(AND(Builder!E2="Insurance / Org Tariff",IFERROR(INDEX(Reference!$EZ$2:$EZ$1000, MATCH(F52, Reference!$EX$2:$EX$1000, 0)), "No")="Yes"),0,IF('Service Add-Ons'!I15="Include",H52*M52,0))</f>
        <v>0</v>
      </c>
      <c r="U52" s="32">
        <f>IF(AND(Builder!E2="Insurance / Org Tariff",IFERROR(INDEX(Reference!$EZ$2:$EZ$1000, MATCH(F52, Reference!$EX$2:$EX$1000, 0)), "No")="Yes"),0,IF('Service Add-Ons'!I15="Include",I52*M52,0))</f>
        <v>0</v>
      </c>
      <c r="V52" s="32">
        <f>IF(AND(Builder!E2="Insurance / Org Tariff",IFERROR(INDEX(Reference!$EZ$2:$EZ$1000, MATCH(F52, Reference!$EX$2:$EX$1000, 0)), "No")="Yes"),0,IF('Service Add-Ons'!I15="Include",J52*M52,0))</f>
        <v>0</v>
      </c>
      <c r="W52" s="32">
        <f>IF(Builder!B5="Low",N52,IF(Builder!B5="Typical",O52,P52))</f>
        <v>0</v>
      </c>
      <c r="X52" s="32">
        <f>IF(Builder!B5="Low",Q52,IF(Builder!B5="Typical",R52,S52))</f>
        <v>0</v>
      </c>
      <c r="Y52" s="32">
        <f>IF(Builder!B5="Low",T52,IF(Builder!B5="Typical",U52,V52))</f>
        <v>0</v>
      </c>
    </row>
    <row r="53" ht="26.85" customHeight="1" spans="1:25" x14ac:dyDescent="0.25">
      <c r="A53" s="14" t="s">
        <v>250</v>
      </c>
      <c r="B53" s="40" t="s">
        <v>102</v>
      </c>
      <c r="C53" s="14" t="s">
        <v>251</v>
      </c>
      <c r="D53" s="14" t="s">
        <v>640</v>
      </c>
      <c r="E53" s="14" t="s">
        <v>643</v>
      </c>
      <c r="F53" s="40" t="s">
        <v>252</v>
      </c>
      <c r="G53" s="32">
        <f>IF(Builder!B5="Low",H53,IF(Builder!B5="Typical",I53,J53))</f>
        <v>1</v>
      </c>
      <c r="H53" s="32">
        <f>IFERROR(INDEX(Reference!$CX$2:$CX$4000, MATCH(Builder!G6&amp;"|"&amp;F53, Reference!$CQ$2:$CQ$4000, 0)), 1)</f>
        <v>1</v>
      </c>
      <c r="I53" s="32">
        <f>IFERROR(INDEX(Reference!$CY$2:$CY$4000, MATCH(Builder!G6&amp;"|"&amp;F53, Reference!$CQ$2:$CQ$4000, 0)), 1)</f>
        <v>1</v>
      </c>
      <c r="J53" s="32">
        <f>IFERROR(INDEX(Reference!$CZ$2:$CZ$4000, MATCH(Builder!G6&amp;"|"&amp;F53, Reference!$CQ$2:$CQ$4000, 0)), 1)</f>
        <v>1</v>
      </c>
      <c r="K53" s="32">
        <f>0+IFERROR(INDEX(Reference!$EG$2:$EG$8000, MATCH(Builder!E5&amp;"|"&amp;F53, Reference!$EB$2:$EB$8000, 0)), 890)</f>
        <v>890</v>
      </c>
      <c r="L53" s="32">
        <f>0+IFERROR(INDEX(Reference!$EH$2:$EH$8000, MATCH(Builder!E5&amp;"|"&amp;F53, Reference!$EB$2:$EB$8000, 0)), 890)</f>
        <v>890</v>
      </c>
      <c r="M53" s="32">
        <f>0+IFERROR(INDEX(Reference!$EI$2:$EI$8000, MATCH(Builder!E5&amp;"|"&amp;F53, Reference!$EB$2:$EB$8000, 0)), 890)</f>
        <v>890</v>
      </c>
      <c r="N53" s="32">
        <f>IF(AND(Builder!E2="Insurance / Org Tariff",IFERROR(INDEX(Reference!$EZ$2:$EZ$1000, MATCH(F53, Reference!$EX$2:$EX$1000, 0)), "No")="Yes"),0,IF('Service Add-Ons'!I16="Include",H53*K53,0))</f>
        <v>0</v>
      </c>
      <c r="O53" s="32">
        <f>IF(AND(Builder!E2="Insurance / Org Tariff",IFERROR(INDEX(Reference!$EZ$2:$EZ$1000, MATCH(F53, Reference!$EX$2:$EX$1000, 0)), "No")="Yes"),0,IF('Service Add-Ons'!I16="Include",I53*K53,0))</f>
        <v>0</v>
      </c>
      <c r="P53" s="32">
        <f>IF(AND(Builder!E2="Insurance / Org Tariff",IFERROR(INDEX(Reference!$EZ$2:$EZ$1000, MATCH(F53, Reference!$EX$2:$EX$1000, 0)), "No")="Yes"),0,IF('Service Add-Ons'!I16="Include",J53*K53,0))</f>
        <v>0</v>
      </c>
      <c r="Q53" s="32">
        <f>IF(AND(Builder!E2="Insurance / Org Tariff",IFERROR(INDEX(Reference!$EZ$2:$EZ$1000, MATCH(F53, Reference!$EX$2:$EX$1000, 0)), "No")="Yes"),0,IF('Service Add-Ons'!I16="Include",H53*L53,0))</f>
        <v>0</v>
      </c>
      <c r="R53" s="32">
        <f>IF(AND(Builder!E2="Insurance / Org Tariff",IFERROR(INDEX(Reference!$EZ$2:$EZ$1000, MATCH(F53, Reference!$EX$2:$EX$1000, 0)), "No")="Yes"),0,IF('Service Add-Ons'!I16="Include",I53*L53,0))</f>
        <v>0</v>
      </c>
      <c r="S53" s="32">
        <f>IF(AND(Builder!E2="Insurance / Org Tariff",IFERROR(INDEX(Reference!$EZ$2:$EZ$1000, MATCH(F53, Reference!$EX$2:$EX$1000, 0)), "No")="Yes"),0,IF('Service Add-Ons'!I16="Include",J53*L53,0))</f>
        <v>0</v>
      </c>
      <c r="T53" s="32">
        <f>IF(AND(Builder!E2="Insurance / Org Tariff",IFERROR(INDEX(Reference!$EZ$2:$EZ$1000, MATCH(F53, Reference!$EX$2:$EX$1000, 0)), "No")="Yes"),0,IF('Service Add-Ons'!I16="Include",H53*M53,0))</f>
        <v>0</v>
      </c>
      <c r="U53" s="32">
        <f>IF(AND(Builder!E2="Insurance / Org Tariff",IFERROR(INDEX(Reference!$EZ$2:$EZ$1000, MATCH(F53, Reference!$EX$2:$EX$1000, 0)), "No")="Yes"),0,IF('Service Add-Ons'!I16="Include",I53*M53,0))</f>
        <v>0</v>
      </c>
      <c r="V53" s="32">
        <f>IF(AND(Builder!E2="Insurance / Org Tariff",IFERROR(INDEX(Reference!$EZ$2:$EZ$1000, MATCH(F53, Reference!$EX$2:$EX$1000, 0)), "No")="Yes"),0,IF('Service Add-Ons'!I16="Include",J53*M53,0))</f>
        <v>0</v>
      </c>
      <c r="W53" s="32">
        <f>IF(Builder!B5="Low",N53,IF(Builder!B5="Typical",O53,P53))</f>
        <v>0</v>
      </c>
      <c r="X53" s="32">
        <f>IF(Builder!B5="Low",Q53,IF(Builder!B5="Typical",R53,S53))</f>
        <v>0</v>
      </c>
      <c r="Y53" s="32">
        <f>IF(Builder!B5="Low",T53,IF(Builder!B5="Typical",U53,V53))</f>
        <v>0</v>
      </c>
    </row>
    <row r="54" ht="26.85" customHeight="1" spans="1:25" x14ac:dyDescent="0.25">
      <c r="A54" s="14" t="s">
        <v>253</v>
      </c>
      <c r="B54" s="40" t="s">
        <v>102</v>
      </c>
      <c r="C54" s="14" t="s">
        <v>254</v>
      </c>
      <c r="D54" s="14" t="s">
        <v>640</v>
      </c>
      <c r="E54" s="14" t="s">
        <v>643</v>
      </c>
      <c r="F54" s="40" t="s">
        <v>255</v>
      </c>
      <c r="G54" s="32">
        <f>IF(Builder!B5="Low",H54,IF(Builder!B5="Typical",I54,J54))</f>
        <v>1</v>
      </c>
      <c r="H54" s="32">
        <f>IFERROR(INDEX(Reference!$CX$2:$CX$4000, MATCH(Builder!G6&amp;"|"&amp;F54, Reference!$CQ$2:$CQ$4000, 0)), 1)</f>
        <v>1</v>
      </c>
      <c r="I54" s="32">
        <f>IFERROR(INDEX(Reference!$CY$2:$CY$4000, MATCH(Builder!G6&amp;"|"&amp;F54, Reference!$CQ$2:$CQ$4000, 0)), 1)</f>
        <v>1</v>
      </c>
      <c r="J54" s="32">
        <f>IFERROR(INDEX(Reference!$CZ$2:$CZ$4000, MATCH(Builder!G6&amp;"|"&amp;F54, Reference!$CQ$2:$CQ$4000, 0)), 1)</f>
        <v>1</v>
      </c>
      <c r="K54" s="32">
        <f>0+IFERROR(INDEX(Reference!$EG$2:$EG$8000, MATCH(Builder!E5&amp;"|"&amp;F54, Reference!$EB$2:$EB$8000, 0)), 980)</f>
        <v>980</v>
      </c>
      <c r="L54" s="32">
        <f>0+IFERROR(INDEX(Reference!$EH$2:$EH$8000, MATCH(Builder!E5&amp;"|"&amp;F54, Reference!$EB$2:$EB$8000, 0)), 1080)</f>
        <v>1080</v>
      </c>
      <c r="M54" s="32">
        <f>0+IFERROR(INDEX(Reference!$EI$2:$EI$8000, MATCH(Builder!E5&amp;"|"&amp;F54, Reference!$EB$2:$EB$8000, 0)), 1170)</f>
        <v>1170</v>
      </c>
      <c r="N54" s="32">
        <f>IF(AND(Builder!E2="Insurance / Org Tariff",IFERROR(INDEX(Reference!$EZ$2:$EZ$1000, MATCH(F54, Reference!$EX$2:$EX$1000, 0)), "No")="Yes"),0,IF('Service Add-Ons'!I17="Include",H54*K54,0))</f>
        <v>0</v>
      </c>
      <c r="O54" s="32">
        <f>IF(AND(Builder!E2="Insurance / Org Tariff",IFERROR(INDEX(Reference!$EZ$2:$EZ$1000, MATCH(F54, Reference!$EX$2:$EX$1000, 0)), "No")="Yes"),0,IF('Service Add-Ons'!I17="Include",I54*K54,0))</f>
        <v>0</v>
      </c>
      <c r="P54" s="32">
        <f>IF(AND(Builder!E2="Insurance / Org Tariff",IFERROR(INDEX(Reference!$EZ$2:$EZ$1000, MATCH(F54, Reference!$EX$2:$EX$1000, 0)), "No")="Yes"),0,IF('Service Add-Ons'!I17="Include",J54*K54,0))</f>
        <v>0</v>
      </c>
      <c r="Q54" s="32">
        <f>IF(AND(Builder!E2="Insurance / Org Tariff",IFERROR(INDEX(Reference!$EZ$2:$EZ$1000, MATCH(F54, Reference!$EX$2:$EX$1000, 0)), "No")="Yes"),0,IF('Service Add-Ons'!I17="Include",H54*L54,0))</f>
        <v>0</v>
      </c>
      <c r="R54" s="32">
        <f>IF(AND(Builder!E2="Insurance / Org Tariff",IFERROR(INDEX(Reference!$EZ$2:$EZ$1000, MATCH(F54, Reference!$EX$2:$EX$1000, 0)), "No")="Yes"),0,IF('Service Add-Ons'!I17="Include",I54*L54,0))</f>
        <v>0</v>
      </c>
      <c r="S54" s="32">
        <f>IF(AND(Builder!E2="Insurance / Org Tariff",IFERROR(INDEX(Reference!$EZ$2:$EZ$1000, MATCH(F54, Reference!$EX$2:$EX$1000, 0)), "No")="Yes"),0,IF('Service Add-Ons'!I17="Include",J54*L54,0))</f>
        <v>0</v>
      </c>
      <c r="T54" s="32">
        <f>IF(AND(Builder!E2="Insurance / Org Tariff",IFERROR(INDEX(Reference!$EZ$2:$EZ$1000, MATCH(F54, Reference!$EX$2:$EX$1000, 0)), "No")="Yes"),0,IF('Service Add-Ons'!I17="Include",H54*M54,0))</f>
        <v>0</v>
      </c>
      <c r="U54" s="32">
        <f>IF(AND(Builder!E2="Insurance / Org Tariff",IFERROR(INDEX(Reference!$EZ$2:$EZ$1000, MATCH(F54, Reference!$EX$2:$EX$1000, 0)), "No")="Yes"),0,IF('Service Add-Ons'!I17="Include",I54*M54,0))</f>
        <v>0</v>
      </c>
      <c r="V54" s="32">
        <f>IF(AND(Builder!E2="Insurance / Org Tariff",IFERROR(INDEX(Reference!$EZ$2:$EZ$1000, MATCH(F54, Reference!$EX$2:$EX$1000, 0)), "No")="Yes"),0,IF('Service Add-Ons'!I17="Include",J54*M54,0))</f>
        <v>0</v>
      </c>
      <c r="W54" s="32">
        <f>IF(Builder!B5="Low",N54,IF(Builder!B5="Typical",O54,P54))</f>
        <v>0</v>
      </c>
      <c r="X54" s="32">
        <f>IF(Builder!B5="Low",Q54,IF(Builder!B5="Typical",R54,S54))</f>
        <v>0</v>
      </c>
      <c r="Y54" s="32">
        <f>IF(Builder!B5="Low",T54,IF(Builder!B5="Typical",U54,V54))</f>
        <v>0</v>
      </c>
    </row>
    <row r="55" ht="26.85" customHeight="1" spans="1:25" x14ac:dyDescent="0.25">
      <c r="A55" s="14" t="s">
        <v>256</v>
      </c>
      <c r="B55" s="40" t="s">
        <v>102</v>
      </c>
      <c r="C55" s="14" t="s">
        <v>257</v>
      </c>
      <c r="D55" s="14" t="s">
        <v>640</v>
      </c>
      <c r="E55" s="14" t="s">
        <v>643</v>
      </c>
      <c r="F55" s="40" t="s">
        <v>258</v>
      </c>
      <c r="G55" s="32">
        <f>IF(Builder!B5="Low",H55,IF(Builder!B5="Typical",I55,J55))</f>
        <v>1</v>
      </c>
      <c r="H55" s="32">
        <f>IFERROR(INDEX(Reference!$CX$2:$CX$4000, MATCH(Builder!G6&amp;"|"&amp;F55, Reference!$CQ$2:$CQ$4000, 0)), 1)</f>
        <v>1</v>
      </c>
      <c r="I55" s="32">
        <f>IFERROR(INDEX(Reference!$CY$2:$CY$4000, MATCH(Builder!G6&amp;"|"&amp;F55, Reference!$CQ$2:$CQ$4000, 0)), 1)</f>
        <v>1</v>
      </c>
      <c r="J55" s="32">
        <f>IFERROR(INDEX(Reference!$CZ$2:$CZ$4000, MATCH(Builder!G6&amp;"|"&amp;F55, Reference!$CQ$2:$CQ$4000, 0)), 1)</f>
        <v>1</v>
      </c>
      <c r="K55" s="32">
        <f>0+IFERROR(INDEX(Reference!$EG$2:$EG$8000, MATCH(Builder!E5&amp;"|"&amp;F55, Reference!$EB$2:$EB$8000, 0)), 2910)</f>
        <v>2910</v>
      </c>
      <c r="L55" s="32">
        <f>0+IFERROR(INDEX(Reference!$EH$2:$EH$8000, MATCH(Builder!E5&amp;"|"&amp;F55, Reference!$EB$2:$EB$8000, 0)), 3220)</f>
        <v>3220</v>
      </c>
      <c r="M55" s="32">
        <f>0+IFERROR(INDEX(Reference!$EI$2:$EI$8000, MATCH(Builder!E5&amp;"|"&amp;F55, Reference!$EB$2:$EB$8000, 0)), 3470)</f>
        <v>3470</v>
      </c>
      <c r="N55" s="32">
        <f>IF(AND(Builder!E2="Insurance / Org Tariff",IFERROR(INDEX(Reference!$EZ$2:$EZ$1000, MATCH(F55, Reference!$EX$2:$EX$1000, 0)), "No")="Yes"),0,IF('Service Add-Ons'!I18="Include",H55*K55,0))</f>
        <v>0</v>
      </c>
      <c r="O55" s="32">
        <f>IF(AND(Builder!E2="Insurance / Org Tariff",IFERROR(INDEX(Reference!$EZ$2:$EZ$1000, MATCH(F55, Reference!$EX$2:$EX$1000, 0)), "No")="Yes"),0,IF('Service Add-Ons'!I18="Include",I55*K55,0))</f>
        <v>0</v>
      </c>
      <c r="P55" s="32">
        <f>IF(AND(Builder!E2="Insurance / Org Tariff",IFERROR(INDEX(Reference!$EZ$2:$EZ$1000, MATCH(F55, Reference!$EX$2:$EX$1000, 0)), "No")="Yes"),0,IF('Service Add-Ons'!I18="Include",J55*K55,0))</f>
        <v>0</v>
      </c>
      <c r="Q55" s="32">
        <f>IF(AND(Builder!E2="Insurance / Org Tariff",IFERROR(INDEX(Reference!$EZ$2:$EZ$1000, MATCH(F55, Reference!$EX$2:$EX$1000, 0)), "No")="Yes"),0,IF('Service Add-Ons'!I18="Include",H55*L55,0))</f>
        <v>0</v>
      </c>
      <c r="R55" s="32">
        <f>IF(AND(Builder!E2="Insurance / Org Tariff",IFERROR(INDEX(Reference!$EZ$2:$EZ$1000, MATCH(F55, Reference!$EX$2:$EX$1000, 0)), "No")="Yes"),0,IF('Service Add-Ons'!I18="Include",I55*L55,0))</f>
        <v>0</v>
      </c>
      <c r="S55" s="32">
        <f>IF(AND(Builder!E2="Insurance / Org Tariff",IFERROR(INDEX(Reference!$EZ$2:$EZ$1000, MATCH(F55, Reference!$EX$2:$EX$1000, 0)), "No")="Yes"),0,IF('Service Add-Ons'!I18="Include",J55*L55,0))</f>
        <v>0</v>
      </c>
      <c r="T55" s="32">
        <f>IF(AND(Builder!E2="Insurance / Org Tariff",IFERROR(INDEX(Reference!$EZ$2:$EZ$1000, MATCH(F55, Reference!$EX$2:$EX$1000, 0)), "No")="Yes"),0,IF('Service Add-Ons'!I18="Include",H55*M55,0))</f>
        <v>0</v>
      </c>
      <c r="U55" s="32">
        <f>IF(AND(Builder!E2="Insurance / Org Tariff",IFERROR(INDEX(Reference!$EZ$2:$EZ$1000, MATCH(F55, Reference!$EX$2:$EX$1000, 0)), "No")="Yes"),0,IF('Service Add-Ons'!I18="Include",I55*M55,0))</f>
        <v>0</v>
      </c>
      <c r="V55" s="32">
        <f>IF(AND(Builder!E2="Insurance / Org Tariff",IFERROR(INDEX(Reference!$EZ$2:$EZ$1000, MATCH(F55, Reference!$EX$2:$EX$1000, 0)), "No")="Yes"),0,IF('Service Add-Ons'!I18="Include",J55*M55,0))</f>
        <v>0</v>
      </c>
      <c r="W55" s="32">
        <f>IF(Builder!B5="Low",N55,IF(Builder!B5="Typical",O55,P55))</f>
        <v>0</v>
      </c>
      <c r="X55" s="32">
        <f>IF(Builder!B5="Low",Q55,IF(Builder!B5="Typical",R55,S55))</f>
        <v>0</v>
      </c>
      <c r="Y55" s="32">
        <f>IF(Builder!B5="Low",T55,IF(Builder!B5="Typical",U55,V55))</f>
        <v>0</v>
      </c>
    </row>
    <row r="56" ht="26.85" customHeight="1" spans="1:25" x14ac:dyDescent="0.25">
      <c r="A56" s="14" t="s">
        <v>259</v>
      </c>
      <c r="B56" s="40" t="s">
        <v>102</v>
      </c>
      <c r="C56" s="14" t="s">
        <v>260</v>
      </c>
      <c r="D56" s="14" t="s">
        <v>640</v>
      </c>
      <c r="E56" s="14" t="s">
        <v>643</v>
      </c>
      <c r="F56" s="40" t="s">
        <v>261</v>
      </c>
      <c r="G56" s="32">
        <f>IF(Builder!B5="Low",H56,IF(Builder!B5="Typical",I56,J56))</f>
        <v>1</v>
      </c>
      <c r="H56" s="32">
        <f>IFERROR(INDEX(Reference!$CX$2:$CX$4000, MATCH(Builder!G6&amp;"|"&amp;F56, Reference!$CQ$2:$CQ$4000, 0)), 1)</f>
        <v>1</v>
      </c>
      <c r="I56" s="32">
        <f>IFERROR(INDEX(Reference!$CY$2:$CY$4000, MATCH(Builder!G6&amp;"|"&amp;F56, Reference!$CQ$2:$CQ$4000, 0)), 1)</f>
        <v>1</v>
      </c>
      <c r="J56" s="32">
        <f>IFERROR(INDEX(Reference!$CZ$2:$CZ$4000, MATCH(Builder!G6&amp;"|"&amp;F56, Reference!$CQ$2:$CQ$4000, 0)), 1)</f>
        <v>1</v>
      </c>
      <c r="K56" s="32">
        <f>0+IFERROR(INDEX(Reference!$EG$2:$EG$8000, MATCH(Builder!E5&amp;"|"&amp;F56, Reference!$EB$2:$EB$8000, 0)), 860)</f>
        <v>860</v>
      </c>
      <c r="L56" s="32">
        <f>0+IFERROR(INDEX(Reference!$EH$2:$EH$8000, MATCH(Builder!E5&amp;"|"&amp;F56, Reference!$EB$2:$EB$8000, 0)), 950)</f>
        <v>950</v>
      </c>
      <c r="M56" s="32">
        <f>0+IFERROR(INDEX(Reference!$EI$2:$EI$8000, MATCH(Builder!E5&amp;"|"&amp;F56, Reference!$EB$2:$EB$8000, 0)), 1020)</f>
        <v>1020</v>
      </c>
      <c r="N56" s="32">
        <f>IF(AND(Builder!E2="Insurance / Org Tariff",IFERROR(INDEX(Reference!$EZ$2:$EZ$1000, MATCH(F56, Reference!$EX$2:$EX$1000, 0)), "No")="Yes"),0,IF('Service Add-Ons'!I19="Include",H56*K56,0))</f>
        <v>0</v>
      </c>
      <c r="O56" s="32">
        <f>IF(AND(Builder!E2="Insurance / Org Tariff",IFERROR(INDEX(Reference!$EZ$2:$EZ$1000, MATCH(F56, Reference!$EX$2:$EX$1000, 0)), "No")="Yes"),0,IF('Service Add-Ons'!I19="Include",I56*K56,0))</f>
        <v>0</v>
      </c>
      <c r="P56" s="32">
        <f>IF(AND(Builder!E2="Insurance / Org Tariff",IFERROR(INDEX(Reference!$EZ$2:$EZ$1000, MATCH(F56, Reference!$EX$2:$EX$1000, 0)), "No")="Yes"),0,IF('Service Add-Ons'!I19="Include",J56*K56,0))</f>
        <v>0</v>
      </c>
      <c r="Q56" s="32">
        <f>IF(AND(Builder!E2="Insurance / Org Tariff",IFERROR(INDEX(Reference!$EZ$2:$EZ$1000, MATCH(F56, Reference!$EX$2:$EX$1000, 0)), "No")="Yes"),0,IF('Service Add-Ons'!I19="Include",H56*L56,0))</f>
        <v>0</v>
      </c>
      <c r="R56" s="32">
        <f>IF(AND(Builder!E2="Insurance / Org Tariff",IFERROR(INDEX(Reference!$EZ$2:$EZ$1000, MATCH(F56, Reference!$EX$2:$EX$1000, 0)), "No")="Yes"),0,IF('Service Add-Ons'!I19="Include",I56*L56,0))</f>
        <v>0</v>
      </c>
      <c r="S56" s="32">
        <f>IF(AND(Builder!E2="Insurance / Org Tariff",IFERROR(INDEX(Reference!$EZ$2:$EZ$1000, MATCH(F56, Reference!$EX$2:$EX$1000, 0)), "No")="Yes"),0,IF('Service Add-Ons'!I19="Include",J56*L56,0))</f>
        <v>0</v>
      </c>
      <c r="T56" s="32">
        <f>IF(AND(Builder!E2="Insurance / Org Tariff",IFERROR(INDEX(Reference!$EZ$2:$EZ$1000, MATCH(F56, Reference!$EX$2:$EX$1000, 0)), "No")="Yes"),0,IF('Service Add-Ons'!I19="Include",H56*M56,0))</f>
        <v>0</v>
      </c>
      <c r="U56" s="32">
        <f>IF(AND(Builder!E2="Insurance / Org Tariff",IFERROR(INDEX(Reference!$EZ$2:$EZ$1000, MATCH(F56, Reference!$EX$2:$EX$1000, 0)), "No")="Yes"),0,IF('Service Add-Ons'!I19="Include",I56*M56,0))</f>
        <v>0</v>
      </c>
      <c r="V56" s="32">
        <f>IF(AND(Builder!E2="Insurance / Org Tariff",IFERROR(INDEX(Reference!$EZ$2:$EZ$1000, MATCH(F56, Reference!$EX$2:$EX$1000, 0)), "No")="Yes"),0,IF('Service Add-Ons'!I19="Include",J56*M56,0))</f>
        <v>0</v>
      </c>
      <c r="W56" s="32">
        <f>IF(Builder!B5="Low",N56,IF(Builder!B5="Typical",O56,P56))</f>
        <v>0</v>
      </c>
      <c r="X56" s="32">
        <f>IF(Builder!B5="Low",Q56,IF(Builder!B5="Typical",R56,S56))</f>
        <v>0</v>
      </c>
      <c r="Y56" s="32">
        <f>IF(Builder!B5="Low",T56,IF(Builder!B5="Typical",U56,V56))</f>
        <v>0</v>
      </c>
    </row>
    <row r="57" ht="26.85" customHeight="1" spans="1:25" x14ac:dyDescent="0.25">
      <c r="A57" s="14" t="s">
        <v>262</v>
      </c>
      <c r="B57" s="40" t="s">
        <v>102</v>
      </c>
      <c r="C57" s="14" t="s">
        <v>263</v>
      </c>
      <c r="D57" s="14" t="s">
        <v>640</v>
      </c>
      <c r="E57" s="14" t="s">
        <v>643</v>
      </c>
      <c r="F57" s="40" t="s">
        <v>264</v>
      </c>
      <c r="G57" s="32">
        <f>IF(Builder!B5="Low",H57,IF(Builder!B5="Typical",I57,J57))</f>
        <v>1</v>
      </c>
      <c r="H57" s="32">
        <f>IFERROR(INDEX(Reference!$CX$2:$CX$4000, MATCH(Builder!G6&amp;"|"&amp;F57, Reference!$CQ$2:$CQ$4000, 0)), 1)</f>
        <v>1</v>
      </c>
      <c r="I57" s="32">
        <f>IFERROR(INDEX(Reference!$CY$2:$CY$4000, MATCH(Builder!G6&amp;"|"&amp;F57, Reference!$CQ$2:$CQ$4000, 0)), 1)</f>
        <v>1</v>
      </c>
      <c r="J57" s="32">
        <f>IFERROR(INDEX(Reference!$CZ$2:$CZ$4000, MATCH(Builder!G6&amp;"|"&amp;F57, Reference!$CQ$2:$CQ$4000, 0)), 1)</f>
        <v>1</v>
      </c>
      <c r="K57" s="32">
        <f>0+IFERROR(INDEX(Reference!$EG$2:$EG$8000, MATCH(Builder!E5&amp;"|"&amp;F57, Reference!$EB$2:$EB$8000, 0)), 680)</f>
        <v>680</v>
      </c>
      <c r="L57" s="32">
        <f>0+IFERROR(INDEX(Reference!$EH$2:$EH$8000, MATCH(Builder!E5&amp;"|"&amp;F57, Reference!$EB$2:$EB$8000, 0)), 750)</f>
        <v>750</v>
      </c>
      <c r="M57" s="32">
        <f>0+IFERROR(INDEX(Reference!$EI$2:$EI$8000, MATCH(Builder!E5&amp;"|"&amp;F57, Reference!$EB$2:$EB$8000, 0)), 810)</f>
        <v>810</v>
      </c>
      <c r="N57" s="32">
        <f>IF(AND(Builder!E2="Insurance / Org Tariff",IFERROR(INDEX(Reference!$EZ$2:$EZ$1000, MATCH(F57, Reference!$EX$2:$EX$1000, 0)), "No")="Yes"),0,IF('Service Add-Ons'!I20="Include",H57*K57,0))</f>
        <v>0</v>
      </c>
      <c r="O57" s="32">
        <f>IF(AND(Builder!E2="Insurance / Org Tariff",IFERROR(INDEX(Reference!$EZ$2:$EZ$1000, MATCH(F57, Reference!$EX$2:$EX$1000, 0)), "No")="Yes"),0,IF('Service Add-Ons'!I20="Include",I57*K57,0))</f>
        <v>0</v>
      </c>
      <c r="P57" s="32">
        <f>IF(AND(Builder!E2="Insurance / Org Tariff",IFERROR(INDEX(Reference!$EZ$2:$EZ$1000, MATCH(F57, Reference!$EX$2:$EX$1000, 0)), "No")="Yes"),0,IF('Service Add-Ons'!I20="Include",J57*K57,0))</f>
        <v>0</v>
      </c>
      <c r="Q57" s="32">
        <f>IF(AND(Builder!E2="Insurance / Org Tariff",IFERROR(INDEX(Reference!$EZ$2:$EZ$1000, MATCH(F57, Reference!$EX$2:$EX$1000, 0)), "No")="Yes"),0,IF('Service Add-Ons'!I20="Include",H57*L57,0))</f>
        <v>0</v>
      </c>
      <c r="R57" s="32">
        <f>IF(AND(Builder!E2="Insurance / Org Tariff",IFERROR(INDEX(Reference!$EZ$2:$EZ$1000, MATCH(F57, Reference!$EX$2:$EX$1000, 0)), "No")="Yes"),0,IF('Service Add-Ons'!I20="Include",I57*L57,0))</f>
        <v>0</v>
      </c>
      <c r="S57" s="32">
        <f>IF(AND(Builder!E2="Insurance / Org Tariff",IFERROR(INDEX(Reference!$EZ$2:$EZ$1000, MATCH(F57, Reference!$EX$2:$EX$1000, 0)), "No")="Yes"),0,IF('Service Add-Ons'!I20="Include",J57*L57,0))</f>
        <v>0</v>
      </c>
      <c r="T57" s="32">
        <f>IF(AND(Builder!E2="Insurance / Org Tariff",IFERROR(INDEX(Reference!$EZ$2:$EZ$1000, MATCH(F57, Reference!$EX$2:$EX$1000, 0)), "No")="Yes"),0,IF('Service Add-Ons'!I20="Include",H57*M57,0))</f>
        <v>0</v>
      </c>
      <c r="U57" s="32">
        <f>IF(AND(Builder!E2="Insurance / Org Tariff",IFERROR(INDEX(Reference!$EZ$2:$EZ$1000, MATCH(F57, Reference!$EX$2:$EX$1000, 0)), "No")="Yes"),0,IF('Service Add-Ons'!I20="Include",I57*M57,0))</f>
        <v>0</v>
      </c>
      <c r="V57" s="32">
        <f>IF(AND(Builder!E2="Insurance / Org Tariff",IFERROR(INDEX(Reference!$EZ$2:$EZ$1000, MATCH(F57, Reference!$EX$2:$EX$1000, 0)), "No")="Yes"),0,IF('Service Add-Ons'!I20="Include",J57*M57,0))</f>
        <v>0</v>
      </c>
      <c r="W57" s="32">
        <f>IF(Builder!B5="Low",N57,IF(Builder!B5="Typical",O57,P57))</f>
        <v>0</v>
      </c>
      <c r="X57" s="32">
        <f>IF(Builder!B5="Low",Q57,IF(Builder!B5="Typical",R57,S57))</f>
        <v>0</v>
      </c>
      <c r="Y57" s="32">
        <f>IF(Builder!B5="Low",T57,IF(Builder!B5="Typical",U57,V57))</f>
        <v>0</v>
      </c>
    </row>
    <row r="58" ht="26.85" customHeight="1" spans="1:25" x14ac:dyDescent="0.25">
      <c r="A58" s="14" t="s">
        <v>265</v>
      </c>
      <c r="B58" s="40" t="s">
        <v>102</v>
      </c>
      <c r="C58" s="14" t="s">
        <v>266</v>
      </c>
      <c r="D58" s="14" t="s">
        <v>640</v>
      </c>
      <c r="E58" s="14" t="s">
        <v>643</v>
      </c>
      <c r="F58" s="40" t="s">
        <v>267</v>
      </c>
      <c r="G58" s="32">
        <f>IF(Builder!B5="Low",H58,IF(Builder!B5="Typical",I58,J58))</f>
        <v>1</v>
      </c>
      <c r="H58" s="32">
        <f>IFERROR(INDEX(Reference!$CX$2:$CX$4000, MATCH(Builder!G6&amp;"|"&amp;F58, Reference!$CQ$2:$CQ$4000, 0)), 1)</f>
        <v>1</v>
      </c>
      <c r="I58" s="32">
        <f>IFERROR(INDEX(Reference!$CY$2:$CY$4000, MATCH(Builder!G6&amp;"|"&amp;F58, Reference!$CQ$2:$CQ$4000, 0)), 1)</f>
        <v>1</v>
      </c>
      <c r="J58" s="32">
        <f>IFERROR(INDEX(Reference!$CZ$2:$CZ$4000, MATCH(Builder!G6&amp;"|"&amp;F58, Reference!$CQ$2:$CQ$4000, 0)), 1)</f>
        <v>1</v>
      </c>
      <c r="K58" s="32">
        <f>0+IFERROR(INDEX(Reference!$EG$2:$EG$8000, MATCH(Builder!E5&amp;"|"&amp;F58, Reference!$EB$2:$EB$8000, 0)), 1920)</f>
        <v>1920</v>
      </c>
      <c r="L58" s="32">
        <f>0+IFERROR(INDEX(Reference!$EH$2:$EH$8000, MATCH(Builder!E5&amp;"|"&amp;F58, Reference!$EB$2:$EB$8000, 0)), 2120)</f>
        <v>2120</v>
      </c>
      <c r="M58" s="32">
        <f>0+IFERROR(INDEX(Reference!$EI$2:$EI$8000, MATCH(Builder!E5&amp;"|"&amp;F58, Reference!$EB$2:$EB$8000, 0)), 2290)</f>
        <v>2290</v>
      </c>
      <c r="N58" s="32">
        <f>IF(AND(Builder!E2="Insurance / Org Tariff",IFERROR(INDEX(Reference!$EZ$2:$EZ$1000, MATCH(F58, Reference!$EX$2:$EX$1000, 0)), "No")="Yes"),0,IF('Service Add-Ons'!I21="Include",H58*K58,0))</f>
        <v>0</v>
      </c>
      <c r="O58" s="32">
        <f>IF(AND(Builder!E2="Insurance / Org Tariff",IFERROR(INDEX(Reference!$EZ$2:$EZ$1000, MATCH(F58, Reference!$EX$2:$EX$1000, 0)), "No")="Yes"),0,IF('Service Add-Ons'!I21="Include",I58*K58,0))</f>
        <v>0</v>
      </c>
      <c r="P58" s="32">
        <f>IF(AND(Builder!E2="Insurance / Org Tariff",IFERROR(INDEX(Reference!$EZ$2:$EZ$1000, MATCH(F58, Reference!$EX$2:$EX$1000, 0)), "No")="Yes"),0,IF('Service Add-Ons'!I21="Include",J58*K58,0))</f>
        <v>0</v>
      </c>
      <c r="Q58" s="32">
        <f>IF(AND(Builder!E2="Insurance / Org Tariff",IFERROR(INDEX(Reference!$EZ$2:$EZ$1000, MATCH(F58, Reference!$EX$2:$EX$1000, 0)), "No")="Yes"),0,IF('Service Add-Ons'!I21="Include",H58*L58,0))</f>
        <v>0</v>
      </c>
      <c r="R58" s="32">
        <f>IF(AND(Builder!E2="Insurance / Org Tariff",IFERROR(INDEX(Reference!$EZ$2:$EZ$1000, MATCH(F58, Reference!$EX$2:$EX$1000, 0)), "No")="Yes"),0,IF('Service Add-Ons'!I21="Include",I58*L58,0))</f>
        <v>0</v>
      </c>
      <c r="S58" s="32">
        <f>IF(AND(Builder!E2="Insurance / Org Tariff",IFERROR(INDEX(Reference!$EZ$2:$EZ$1000, MATCH(F58, Reference!$EX$2:$EX$1000, 0)), "No")="Yes"),0,IF('Service Add-Ons'!I21="Include",J58*L58,0))</f>
        <v>0</v>
      </c>
      <c r="T58" s="32">
        <f>IF(AND(Builder!E2="Insurance / Org Tariff",IFERROR(INDEX(Reference!$EZ$2:$EZ$1000, MATCH(F58, Reference!$EX$2:$EX$1000, 0)), "No")="Yes"),0,IF('Service Add-Ons'!I21="Include",H58*M58,0))</f>
        <v>0</v>
      </c>
      <c r="U58" s="32">
        <f>IF(AND(Builder!E2="Insurance / Org Tariff",IFERROR(INDEX(Reference!$EZ$2:$EZ$1000, MATCH(F58, Reference!$EX$2:$EX$1000, 0)), "No")="Yes"),0,IF('Service Add-Ons'!I21="Include",I58*M58,0))</f>
        <v>0</v>
      </c>
      <c r="V58" s="32">
        <f>IF(AND(Builder!E2="Insurance / Org Tariff",IFERROR(INDEX(Reference!$EZ$2:$EZ$1000, MATCH(F58, Reference!$EX$2:$EX$1000, 0)), "No")="Yes"),0,IF('Service Add-Ons'!I21="Include",J58*M58,0))</f>
        <v>0</v>
      </c>
      <c r="W58" s="32">
        <f>IF(Builder!B5="Low",N58,IF(Builder!B5="Typical",O58,P58))</f>
        <v>0</v>
      </c>
      <c r="X58" s="32">
        <f>IF(Builder!B5="Low",Q58,IF(Builder!B5="Typical",R58,S58))</f>
        <v>0</v>
      </c>
      <c r="Y58" s="32">
        <f>IF(Builder!B5="Low",T58,IF(Builder!B5="Typical",U58,V58))</f>
        <v>0</v>
      </c>
    </row>
    <row r="59" ht="26.85" customHeight="1" spans="1:25" x14ac:dyDescent="0.25">
      <c r="A59" s="14" t="s">
        <v>268</v>
      </c>
      <c r="B59" s="40" t="s">
        <v>102</v>
      </c>
      <c r="C59" s="14" t="s">
        <v>236</v>
      </c>
      <c r="D59" s="14" t="s">
        <v>640</v>
      </c>
      <c r="E59" s="14" t="s">
        <v>643</v>
      </c>
      <c r="F59" s="40" t="s">
        <v>269</v>
      </c>
      <c r="G59" s="32">
        <f>IF(Builder!B5="Low",H59,IF(Builder!B5="Typical",I59,J59))</f>
        <v>1</v>
      </c>
      <c r="H59" s="32">
        <f>IFERROR(INDEX(Reference!$CX$2:$CX$4000, MATCH(Builder!G6&amp;"|"&amp;F59, Reference!$CQ$2:$CQ$4000, 0)), 1)</f>
        <v>1</v>
      </c>
      <c r="I59" s="32">
        <f>IFERROR(INDEX(Reference!$CY$2:$CY$4000, MATCH(Builder!G6&amp;"|"&amp;F59, Reference!$CQ$2:$CQ$4000, 0)), 1)</f>
        <v>1</v>
      </c>
      <c r="J59" s="32">
        <f>IFERROR(INDEX(Reference!$CZ$2:$CZ$4000, MATCH(Builder!G6&amp;"|"&amp;F59, Reference!$CQ$2:$CQ$4000, 0)), 1)</f>
        <v>1</v>
      </c>
      <c r="K59" s="32">
        <f>0+IFERROR(INDEX(Reference!$EG$2:$EG$8000, MATCH(Builder!E5&amp;"|"&amp;F59, Reference!$EB$2:$EB$8000, 0)), 280)</f>
        <v>280</v>
      </c>
      <c r="L59" s="32">
        <f>0+IFERROR(INDEX(Reference!$EH$2:$EH$8000, MATCH(Builder!E5&amp;"|"&amp;F59, Reference!$EB$2:$EB$8000, 0)), 280)</f>
        <v>280</v>
      </c>
      <c r="M59" s="32">
        <f>0+IFERROR(INDEX(Reference!$EI$2:$EI$8000, MATCH(Builder!E5&amp;"|"&amp;F59, Reference!$EB$2:$EB$8000, 0)), 280)</f>
        <v>280</v>
      </c>
      <c r="N59" s="32">
        <f>IF(AND(Builder!E2="Insurance / Org Tariff",IFERROR(INDEX(Reference!$EZ$2:$EZ$1000, MATCH(F59, Reference!$EX$2:$EX$1000, 0)), "No")="Yes"),0,IF('Service Add-Ons'!I22="Include",H59*K59,0))</f>
        <v>0</v>
      </c>
      <c r="O59" s="32">
        <f>IF(AND(Builder!E2="Insurance / Org Tariff",IFERROR(INDEX(Reference!$EZ$2:$EZ$1000, MATCH(F59, Reference!$EX$2:$EX$1000, 0)), "No")="Yes"),0,IF('Service Add-Ons'!I22="Include",I59*K59,0))</f>
        <v>0</v>
      </c>
      <c r="P59" s="32">
        <f>IF(AND(Builder!E2="Insurance / Org Tariff",IFERROR(INDEX(Reference!$EZ$2:$EZ$1000, MATCH(F59, Reference!$EX$2:$EX$1000, 0)), "No")="Yes"),0,IF('Service Add-Ons'!I22="Include",J59*K59,0))</f>
        <v>0</v>
      </c>
      <c r="Q59" s="32">
        <f>IF(AND(Builder!E2="Insurance / Org Tariff",IFERROR(INDEX(Reference!$EZ$2:$EZ$1000, MATCH(F59, Reference!$EX$2:$EX$1000, 0)), "No")="Yes"),0,IF('Service Add-Ons'!I22="Include",H59*L59,0))</f>
        <v>0</v>
      </c>
      <c r="R59" s="32">
        <f>IF(AND(Builder!E2="Insurance / Org Tariff",IFERROR(INDEX(Reference!$EZ$2:$EZ$1000, MATCH(F59, Reference!$EX$2:$EX$1000, 0)), "No")="Yes"),0,IF('Service Add-Ons'!I22="Include",I59*L59,0))</f>
        <v>0</v>
      </c>
      <c r="S59" s="32">
        <f>IF(AND(Builder!E2="Insurance / Org Tariff",IFERROR(INDEX(Reference!$EZ$2:$EZ$1000, MATCH(F59, Reference!$EX$2:$EX$1000, 0)), "No")="Yes"),0,IF('Service Add-Ons'!I22="Include",J59*L59,0))</f>
        <v>0</v>
      </c>
      <c r="T59" s="32">
        <f>IF(AND(Builder!E2="Insurance / Org Tariff",IFERROR(INDEX(Reference!$EZ$2:$EZ$1000, MATCH(F59, Reference!$EX$2:$EX$1000, 0)), "No")="Yes"),0,IF('Service Add-Ons'!I22="Include",H59*M59,0))</f>
        <v>0</v>
      </c>
      <c r="U59" s="32">
        <f>IF(AND(Builder!E2="Insurance / Org Tariff",IFERROR(INDEX(Reference!$EZ$2:$EZ$1000, MATCH(F59, Reference!$EX$2:$EX$1000, 0)), "No")="Yes"),0,IF('Service Add-Ons'!I22="Include",I59*M59,0))</f>
        <v>0</v>
      </c>
      <c r="V59" s="32">
        <f>IF(AND(Builder!E2="Insurance / Org Tariff",IFERROR(INDEX(Reference!$EZ$2:$EZ$1000, MATCH(F59, Reference!$EX$2:$EX$1000, 0)), "No")="Yes"),0,IF('Service Add-Ons'!I22="Include",J59*M59,0))</f>
        <v>0</v>
      </c>
      <c r="W59" s="32">
        <f>IF(Builder!B5="Low",N59,IF(Builder!B5="Typical",O59,P59))</f>
        <v>0</v>
      </c>
      <c r="X59" s="32">
        <f>IF(Builder!B5="Low",Q59,IF(Builder!B5="Typical",R59,S59))</f>
        <v>0</v>
      </c>
      <c r="Y59" s="32">
        <f>IF(Builder!B5="Low",T59,IF(Builder!B5="Typical",U59,V59))</f>
        <v>0</v>
      </c>
    </row>
    <row r="60" ht="26.85" customHeight="1" spans="1:25" x14ac:dyDescent="0.25">
      <c r="A60" s="14" t="s">
        <v>270</v>
      </c>
      <c r="B60" s="40" t="s">
        <v>102</v>
      </c>
      <c r="C60" s="14" t="s">
        <v>271</v>
      </c>
      <c r="D60" s="14" t="s">
        <v>640</v>
      </c>
      <c r="E60" s="14" t="s">
        <v>643</v>
      </c>
      <c r="F60" s="40" t="s">
        <v>272</v>
      </c>
      <c r="G60" s="32">
        <f>IF(Builder!B5="Low",H60,IF(Builder!B5="Typical",I60,J60))</f>
        <v>1</v>
      </c>
      <c r="H60" s="32">
        <f>IFERROR(INDEX(Reference!$CX$2:$CX$4000, MATCH(Builder!G6&amp;"|"&amp;F60, Reference!$CQ$2:$CQ$4000, 0)), 1)</f>
        <v>1</v>
      </c>
      <c r="I60" s="32">
        <f>IFERROR(INDEX(Reference!$CY$2:$CY$4000, MATCH(Builder!G6&amp;"|"&amp;F60, Reference!$CQ$2:$CQ$4000, 0)), 1)</f>
        <v>1</v>
      </c>
      <c r="J60" s="32">
        <f>IFERROR(INDEX(Reference!$CZ$2:$CZ$4000, MATCH(Builder!G6&amp;"|"&amp;F60, Reference!$CQ$2:$CQ$4000, 0)), 1)</f>
        <v>1</v>
      </c>
      <c r="K60" s="32">
        <f>0+IFERROR(INDEX(Reference!$EG$2:$EG$8000, MATCH(Builder!E5&amp;"|"&amp;F60, Reference!$EB$2:$EB$8000, 0)), 1430)</f>
        <v>1430</v>
      </c>
      <c r="L60" s="32">
        <f>0+IFERROR(INDEX(Reference!$EH$2:$EH$8000, MATCH(Builder!E5&amp;"|"&amp;F60, Reference!$EB$2:$EB$8000, 0)), 1580)</f>
        <v>1580</v>
      </c>
      <c r="M60" s="32">
        <f>0+IFERROR(INDEX(Reference!$EI$2:$EI$8000, MATCH(Builder!E5&amp;"|"&amp;F60, Reference!$EB$2:$EB$8000, 0)), 1710)</f>
        <v>1710</v>
      </c>
      <c r="N60" s="32">
        <f>IF(AND(Builder!E2="Insurance / Org Tariff",IFERROR(INDEX(Reference!$EZ$2:$EZ$1000, MATCH(F60, Reference!$EX$2:$EX$1000, 0)), "No")="Yes"),0,IF('Service Add-Ons'!I23="Include",H60*K60,0))</f>
        <v>0</v>
      </c>
      <c r="O60" s="32">
        <f>IF(AND(Builder!E2="Insurance / Org Tariff",IFERROR(INDEX(Reference!$EZ$2:$EZ$1000, MATCH(F60, Reference!$EX$2:$EX$1000, 0)), "No")="Yes"),0,IF('Service Add-Ons'!I23="Include",I60*K60,0))</f>
        <v>0</v>
      </c>
      <c r="P60" s="32">
        <f>IF(AND(Builder!E2="Insurance / Org Tariff",IFERROR(INDEX(Reference!$EZ$2:$EZ$1000, MATCH(F60, Reference!$EX$2:$EX$1000, 0)), "No")="Yes"),0,IF('Service Add-Ons'!I23="Include",J60*K60,0))</f>
        <v>0</v>
      </c>
      <c r="Q60" s="32">
        <f>IF(AND(Builder!E2="Insurance / Org Tariff",IFERROR(INDEX(Reference!$EZ$2:$EZ$1000, MATCH(F60, Reference!$EX$2:$EX$1000, 0)), "No")="Yes"),0,IF('Service Add-Ons'!I23="Include",H60*L60,0))</f>
        <v>0</v>
      </c>
      <c r="R60" s="32">
        <f>IF(AND(Builder!E2="Insurance / Org Tariff",IFERROR(INDEX(Reference!$EZ$2:$EZ$1000, MATCH(F60, Reference!$EX$2:$EX$1000, 0)), "No")="Yes"),0,IF('Service Add-Ons'!I23="Include",I60*L60,0))</f>
        <v>0</v>
      </c>
      <c r="S60" s="32">
        <f>IF(AND(Builder!E2="Insurance / Org Tariff",IFERROR(INDEX(Reference!$EZ$2:$EZ$1000, MATCH(F60, Reference!$EX$2:$EX$1000, 0)), "No")="Yes"),0,IF('Service Add-Ons'!I23="Include",J60*L60,0))</f>
        <v>0</v>
      </c>
      <c r="T60" s="32">
        <f>IF(AND(Builder!E2="Insurance / Org Tariff",IFERROR(INDEX(Reference!$EZ$2:$EZ$1000, MATCH(F60, Reference!$EX$2:$EX$1000, 0)), "No")="Yes"),0,IF('Service Add-Ons'!I23="Include",H60*M60,0))</f>
        <v>0</v>
      </c>
      <c r="U60" s="32">
        <f>IF(AND(Builder!E2="Insurance / Org Tariff",IFERROR(INDEX(Reference!$EZ$2:$EZ$1000, MATCH(F60, Reference!$EX$2:$EX$1000, 0)), "No")="Yes"),0,IF('Service Add-Ons'!I23="Include",I60*M60,0))</f>
        <v>0</v>
      </c>
      <c r="V60" s="32">
        <f>IF(AND(Builder!E2="Insurance / Org Tariff",IFERROR(INDEX(Reference!$EZ$2:$EZ$1000, MATCH(F60, Reference!$EX$2:$EX$1000, 0)), "No")="Yes"),0,IF('Service Add-Ons'!I23="Include",J60*M60,0))</f>
        <v>0</v>
      </c>
      <c r="W60" s="32">
        <f>IF(Builder!B5="Low",N60,IF(Builder!B5="Typical",O60,P60))</f>
        <v>0</v>
      </c>
      <c r="X60" s="32">
        <f>IF(Builder!B5="Low",Q60,IF(Builder!B5="Typical",R60,S60))</f>
        <v>0</v>
      </c>
      <c r="Y60" s="32">
        <f>IF(Builder!B5="Low",T60,IF(Builder!B5="Typical",U60,V60))</f>
        <v>0</v>
      </c>
    </row>
    <row r="61" ht="26.85" customHeight="1" spans="1:25" x14ac:dyDescent="0.25">
      <c r="A61" t="s">
        <v>273</v>
      </c>
      <c r="B61" t="s">
        <v>102</v>
      </c>
      <c r="C61" t="s">
        <v>274</v>
      </c>
      <c r="D61" t="s">
        <v>640</v>
      </c>
      <c r="E61" t="s">
        <v>643</v>
      </c>
      <c r="F61" t="s">
        <v>275</v>
      </c>
      <c r="G61">
        <f>IF(Builder!B5="Low",H61,IF(Builder!B5="Typical",I61,J61))</f>
        <v>1</v>
      </c>
      <c r="H61">
        <f>IFERROR(INDEX(Reference!$CX$2:$CX$4000, MATCH(Builder!G6&amp;"|"&amp;F61, Reference!$CQ$2:$CQ$4000, 0)), 1)</f>
        <v>1</v>
      </c>
      <c r="I61">
        <f>IFERROR(INDEX(Reference!$CY$2:$CY$4000, MATCH(Builder!G6&amp;"|"&amp;F61, Reference!$CQ$2:$CQ$4000, 0)), 1)</f>
        <v>1</v>
      </c>
      <c r="J61">
        <f>IFERROR(INDEX(Reference!$CZ$2:$CZ$4000, MATCH(Builder!G6&amp;"|"&amp;F61, Reference!$CQ$2:$CQ$4000, 0)), 1)</f>
        <v>1</v>
      </c>
      <c r="K61">
        <f>0+IFERROR(INDEX(Reference!$EG$2:$EG$8000, MATCH(Builder!E5&amp;"|"&amp;F61, Reference!$EB$2:$EB$8000, 0)), 1000)</f>
        <v>1000</v>
      </c>
      <c r="L61">
        <f>0+IFERROR(INDEX(Reference!$EH$2:$EH$8000, MATCH(Builder!E5&amp;"|"&amp;F61, Reference!$EB$2:$EB$8000, 0)), 1110)</f>
        <v>1110</v>
      </c>
      <c r="M61">
        <f>0+IFERROR(INDEX(Reference!$EI$2:$EI$8000, MATCH(Builder!E5&amp;"|"&amp;F61, Reference!$EB$2:$EB$8000, 0)), 1200)</f>
        <v>1200</v>
      </c>
      <c r="N61">
        <f>IF(AND(Builder!E2="Insurance / Org Tariff",IFERROR(INDEX(Reference!$EZ$2:$EZ$1000, MATCH(F61, Reference!$EX$2:$EX$1000, 0)), "No")="Yes"),0,IF('Service Add-Ons'!I24="Include",H61*K61,0))</f>
        <v>0</v>
      </c>
      <c r="O61">
        <f>IF(AND(Builder!E2="Insurance / Org Tariff",IFERROR(INDEX(Reference!$EZ$2:$EZ$1000, MATCH(F61, Reference!$EX$2:$EX$1000, 0)), "No")="Yes"),0,IF('Service Add-Ons'!I24="Include",I61*K61,0))</f>
        <v>0</v>
      </c>
      <c r="P61">
        <f>IF(AND(Builder!E2="Insurance / Org Tariff",IFERROR(INDEX(Reference!$EZ$2:$EZ$1000, MATCH(F61, Reference!$EX$2:$EX$1000, 0)), "No")="Yes"),0,IF('Service Add-Ons'!I24="Include",J61*K61,0))</f>
        <v>0</v>
      </c>
      <c r="Q61">
        <f>IF(AND(Builder!E2="Insurance / Org Tariff",IFERROR(INDEX(Reference!$EZ$2:$EZ$1000, MATCH(F61, Reference!$EX$2:$EX$1000, 0)), "No")="Yes"),0,IF('Service Add-Ons'!I24="Include",H61*L61,0))</f>
        <v>0</v>
      </c>
      <c r="R61">
        <f>IF(AND(Builder!E2="Insurance / Org Tariff",IFERROR(INDEX(Reference!$EZ$2:$EZ$1000, MATCH(F61, Reference!$EX$2:$EX$1000, 0)), "No")="Yes"),0,IF('Service Add-Ons'!I24="Include",I61*L61,0))</f>
        <v>0</v>
      </c>
      <c r="S61">
        <f>IF(AND(Builder!E2="Insurance / Org Tariff",IFERROR(INDEX(Reference!$EZ$2:$EZ$1000, MATCH(F61, Reference!$EX$2:$EX$1000, 0)), "No")="Yes"),0,IF('Service Add-Ons'!I24="Include",J61*L61,0))</f>
        <v>0</v>
      </c>
      <c r="T61">
        <f>IF(AND(Builder!E2="Insurance / Org Tariff",IFERROR(INDEX(Reference!$EZ$2:$EZ$1000, MATCH(F61, Reference!$EX$2:$EX$1000, 0)), "No")="Yes"),0,IF('Service Add-Ons'!I24="Include",H61*M61,0))</f>
        <v>0</v>
      </c>
      <c r="U61">
        <f>IF(AND(Builder!E2="Insurance / Org Tariff",IFERROR(INDEX(Reference!$EZ$2:$EZ$1000, MATCH(F61, Reference!$EX$2:$EX$1000, 0)), "No")="Yes"),0,IF('Service Add-Ons'!I24="Include",I61*M61,0))</f>
        <v>0</v>
      </c>
      <c r="V61">
        <f>IF(AND(Builder!E2="Insurance / Org Tariff",IFERROR(INDEX(Reference!$EZ$2:$EZ$1000, MATCH(F61, Reference!$EX$2:$EX$1000, 0)), "No")="Yes"),0,IF('Service Add-Ons'!I24="Include",J61*M61,0))</f>
        <v>0</v>
      </c>
      <c r="W61">
        <f>IF(Builder!B5="Low",N61,IF(Builder!B5="Typical",O61,P61))</f>
        <v>0</v>
      </c>
      <c r="X61">
        <f>IF(Builder!B5="Low",Q61,IF(Builder!B5="Typical",R61,S61))</f>
        <v>0</v>
      </c>
      <c r="Y61">
        <f>IF(Builder!B5="Low",T61,IF(Builder!B5="Typical",U61,V61))</f>
        <v>0</v>
      </c>
    </row>
    <row r="62" ht="26.85" customHeight="1" spans="1:25" x14ac:dyDescent="0.25">
      <c r="A62" t="s">
        <v>276</v>
      </c>
      <c r="B62" t="s">
        <v>102</v>
      </c>
      <c r="C62" t="s">
        <v>277</v>
      </c>
      <c r="D62" t="s">
        <v>640</v>
      </c>
      <c r="E62" t="s">
        <v>643</v>
      </c>
      <c r="F62" t="s">
        <v>278</v>
      </c>
      <c r="G62">
        <f>IF(Builder!B5="Low",H62,IF(Builder!B5="Typical",I62,J62))</f>
        <v>1</v>
      </c>
      <c r="H62">
        <f>IFERROR(INDEX(Reference!$CX$2:$CX$4000, MATCH(Builder!G6&amp;"|"&amp;F62, Reference!$CQ$2:$CQ$4000, 0)), 1)</f>
        <v>1</v>
      </c>
      <c r="I62">
        <f>IFERROR(INDEX(Reference!$CY$2:$CY$4000, MATCH(Builder!G6&amp;"|"&amp;F62, Reference!$CQ$2:$CQ$4000, 0)), 1)</f>
        <v>1</v>
      </c>
      <c r="J62">
        <f>IFERROR(INDEX(Reference!$CZ$2:$CZ$4000, MATCH(Builder!G6&amp;"|"&amp;F62, Reference!$CQ$2:$CQ$4000, 0)), 1)</f>
        <v>1</v>
      </c>
      <c r="K62">
        <f>0+IFERROR(INDEX(Reference!$EG$2:$EG$8000, MATCH(Builder!E5&amp;"|"&amp;F62, Reference!$EB$2:$EB$8000, 0)), 930)</f>
        <v>930</v>
      </c>
      <c r="L62">
        <f>0+IFERROR(INDEX(Reference!$EH$2:$EH$8000, MATCH(Builder!E5&amp;"|"&amp;F62, Reference!$EB$2:$EB$8000, 0)), 1030)</f>
        <v>1030</v>
      </c>
      <c r="M62">
        <f>0+IFERROR(INDEX(Reference!$EI$2:$EI$8000, MATCH(Builder!E5&amp;"|"&amp;F62, Reference!$EB$2:$EB$8000, 0)), 1110)</f>
        <v>1110</v>
      </c>
      <c r="N62">
        <f>IF(AND(Builder!E2="Insurance / Org Tariff",IFERROR(INDEX(Reference!$EZ$2:$EZ$1000, MATCH(F62, Reference!$EX$2:$EX$1000, 0)), "No")="Yes"),0,IF('Service Add-Ons'!I25="Include",H62*K62,0))</f>
        <v>0</v>
      </c>
      <c r="O62">
        <f>IF(AND(Builder!E2="Insurance / Org Tariff",IFERROR(INDEX(Reference!$EZ$2:$EZ$1000, MATCH(F62, Reference!$EX$2:$EX$1000, 0)), "No")="Yes"),0,IF('Service Add-Ons'!I25="Include",I62*K62,0))</f>
        <v>0</v>
      </c>
      <c r="P62">
        <f>IF(AND(Builder!E2="Insurance / Org Tariff",IFERROR(INDEX(Reference!$EZ$2:$EZ$1000, MATCH(F62, Reference!$EX$2:$EX$1000, 0)), "No")="Yes"),0,IF('Service Add-Ons'!I25="Include",J62*K62,0))</f>
        <v>0</v>
      </c>
      <c r="Q62">
        <f>IF(AND(Builder!E2="Insurance / Org Tariff",IFERROR(INDEX(Reference!$EZ$2:$EZ$1000, MATCH(F62, Reference!$EX$2:$EX$1000, 0)), "No")="Yes"),0,IF('Service Add-Ons'!I25="Include",H62*L62,0))</f>
        <v>0</v>
      </c>
      <c r="R62">
        <f>IF(AND(Builder!E2="Insurance / Org Tariff",IFERROR(INDEX(Reference!$EZ$2:$EZ$1000, MATCH(F62, Reference!$EX$2:$EX$1000, 0)), "No")="Yes"),0,IF('Service Add-Ons'!I25="Include",I62*L62,0))</f>
        <v>0</v>
      </c>
      <c r="S62">
        <f>IF(AND(Builder!E2="Insurance / Org Tariff",IFERROR(INDEX(Reference!$EZ$2:$EZ$1000, MATCH(F62, Reference!$EX$2:$EX$1000, 0)), "No")="Yes"),0,IF('Service Add-Ons'!I25="Include",J62*L62,0))</f>
        <v>0</v>
      </c>
      <c r="T62">
        <f>IF(AND(Builder!E2="Insurance / Org Tariff",IFERROR(INDEX(Reference!$EZ$2:$EZ$1000, MATCH(F62, Reference!$EX$2:$EX$1000, 0)), "No")="Yes"),0,IF('Service Add-Ons'!I25="Include",H62*M62,0))</f>
        <v>0</v>
      </c>
      <c r="U62">
        <f>IF(AND(Builder!E2="Insurance / Org Tariff",IFERROR(INDEX(Reference!$EZ$2:$EZ$1000, MATCH(F62, Reference!$EX$2:$EX$1000, 0)), "No")="Yes"),0,IF('Service Add-Ons'!I25="Include",I62*M62,0))</f>
        <v>0</v>
      </c>
      <c r="V62">
        <f>IF(AND(Builder!E2="Insurance / Org Tariff",IFERROR(INDEX(Reference!$EZ$2:$EZ$1000, MATCH(F62, Reference!$EX$2:$EX$1000, 0)), "No")="Yes"),0,IF('Service Add-Ons'!I25="Include",J62*M62,0))</f>
        <v>0</v>
      </c>
      <c r="W62">
        <f>IF(Builder!B5="Low",N62,IF(Builder!B5="Typical",O62,P62))</f>
        <v>0</v>
      </c>
      <c r="X62">
        <f>IF(Builder!B5="Low",Q62,IF(Builder!B5="Typical",R62,S62))</f>
        <v>0</v>
      </c>
      <c r="Y62">
        <f>IF(Builder!B5="Low",T62,IF(Builder!B5="Typical",U62,V62))</f>
        <v>0</v>
      </c>
    </row>
    <row r="63" ht="26.85" customHeight="1" spans="1:25" x14ac:dyDescent="0.25">
      <c r="A63" t="s">
        <v>279</v>
      </c>
      <c r="B63" t="s">
        <v>102</v>
      </c>
      <c r="C63" t="s">
        <v>248</v>
      </c>
      <c r="D63" t="s">
        <v>640</v>
      </c>
      <c r="E63" t="s">
        <v>643</v>
      </c>
      <c r="F63" t="s">
        <v>280</v>
      </c>
      <c r="G63">
        <f>IF(Builder!B5="Low",H63,IF(Builder!B5="Typical",I63,J63))</f>
        <v>1</v>
      </c>
      <c r="H63">
        <f>IFERROR(INDEX(Reference!$CX$2:$CX$4000, MATCH(Builder!G6&amp;"|"&amp;F63, Reference!$CQ$2:$CQ$4000, 0)), 1)</f>
        <v>1</v>
      </c>
      <c r="I63">
        <f>IFERROR(INDEX(Reference!$CY$2:$CY$4000, MATCH(Builder!G6&amp;"|"&amp;F63, Reference!$CQ$2:$CQ$4000, 0)), 1)</f>
        <v>1</v>
      </c>
      <c r="J63">
        <f>IFERROR(INDEX(Reference!$CZ$2:$CZ$4000, MATCH(Builder!G6&amp;"|"&amp;F63, Reference!$CQ$2:$CQ$4000, 0)), 1)</f>
        <v>1</v>
      </c>
      <c r="K63">
        <f>0+IFERROR(INDEX(Reference!$EG$2:$EG$8000, MATCH(Builder!E5&amp;"|"&amp;F63, Reference!$EB$2:$EB$8000, 0)), 860)</f>
        <v>860</v>
      </c>
      <c r="L63">
        <f>0+IFERROR(INDEX(Reference!$EH$2:$EH$8000, MATCH(Builder!E5&amp;"|"&amp;F63, Reference!$EB$2:$EB$8000, 0)), 950)</f>
        <v>950</v>
      </c>
      <c r="M63">
        <f>0+IFERROR(INDEX(Reference!$EI$2:$EI$8000, MATCH(Builder!E5&amp;"|"&amp;F63, Reference!$EB$2:$EB$8000, 0)), 1020)</f>
        <v>1020</v>
      </c>
      <c r="N63">
        <f>IF(AND(Builder!E2="Insurance / Org Tariff",IFERROR(INDEX(Reference!$EZ$2:$EZ$1000, MATCH(F63, Reference!$EX$2:$EX$1000, 0)), "No")="Yes"),0,IF('Service Add-Ons'!I26="Include",H63*K63,0))</f>
        <v>0</v>
      </c>
      <c r="O63">
        <f>IF(AND(Builder!E2="Insurance / Org Tariff",IFERROR(INDEX(Reference!$EZ$2:$EZ$1000, MATCH(F63, Reference!$EX$2:$EX$1000, 0)), "No")="Yes"),0,IF('Service Add-Ons'!I26="Include",I63*K63,0))</f>
        <v>0</v>
      </c>
      <c r="P63">
        <f>IF(AND(Builder!E2="Insurance / Org Tariff",IFERROR(INDEX(Reference!$EZ$2:$EZ$1000, MATCH(F63, Reference!$EX$2:$EX$1000, 0)), "No")="Yes"),0,IF('Service Add-Ons'!I26="Include",J63*K63,0))</f>
        <v>0</v>
      </c>
      <c r="Q63">
        <f>IF(AND(Builder!E2="Insurance / Org Tariff",IFERROR(INDEX(Reference!$EZ$2:$EZ$1000, MATCH(F63, Reference!$EX$2:$EX$1000, 0)), "No")="Yes"),0,IF('Service Add-Ons'!I26="Include",H63*L63,0))</f>
        <v>0</v>
      </c>
      <c r="R63">
        <f>IF(AND(Builder!E2="Insurance / Org Tariff",IFERROR(INDEX(Reference!$EZ$2:$EZ$1000, MATCH(F63, Reference!$EX$2:$EX$1000, 0)), "No")="Yes"),0,IF('Service Add-Ons'!I26="Include",I63*L63,0))</f>
        <v>0</v>
      </c>
      <c r="S63">
        <f>IF(AND(Builder!E2="Insurance / Org Tariff",IFERROR(INDEX(Reference!$EZ$2:$EZ$1000, MATCH(F63, Reference!$EX$2:$EX$1000, 0)), "No")="Yes"),0,IF('Service Add-Ons'!I26="Include",J63*L63,0))</f>
        <v>0</v>
      </c>
      <c r="T63">
        <f>IF(AND(Builder!E2="Insurance / Org Tariff",IFERROR(INDEX(Reference!$EZ$2:$EZ$1000, MATCH(F63, Reference!$EX$2:$EX$1000, 0)), "No")="Yes"),0,IF('Service Add-Ons'!I26="Include",H63*M63,0))</f>
        <v>0</v>
      </c>
      <c r="U63">
        <f>IF(AND(Builder!E2="Insurance / Org Tariff",IFERROR(INDEX(Reference!$EZ$2:$EZ$1000, MATCH(F63, Reference!$EX$2:$EX$1000, 0)), "No")="Yes"),0,IF('Service Add-Ons'!I26="Include",I63*M63,0))</f>
        <v>0</v>
      </c>
      <c r="V63">
        <f>IF(AND(Builder!E2="Insurance / Org Tariff",IFERROR(INDEX(Reference!$EZ$2:$EZ$1000, MATCH(F63, Reference!$EX$2:$EX$1000, 0)), "No")="Yes"),0,IF('Service Add-Ons'!I26="Include",J63*M63,0))</f>
        <v>0</v>
      </c>
      <c r="W63">
        <f>IF(Builder!B5="Low",N63,IF(Builder!B5="Typical",O63,P63))</f>
        <v>0</v>
      </c>
      <c r="X63">
        <f>IF(Builder!B5="Low",Q63,IF(Builder!B5="Typical",R63,S63))</f>
        <v>0</v>
      </c>
      <c r="Y63">
        <f>IF(Builder!B5="Low",T63,IF(Builder!B5="Typical",U63,V63))</f>
        <v>0</v>
      </c>
    </row>
    <row r="64" ht="26.85" customHeight="1" spans="1:25" x14ac:dyDescent="0.25">
      <c r="A64" t="s">
        <v>281</v>
      </c>
      <c r="B64" t="s">
        <v>102</v>
      </c>
      <c r="C64" t="s">
        <v>282</v>
      </c>
      <c r="D64" t="s">
        <v>640</v>
      </c>
      <c r="E64" t="s">
        <v>643</v>
      </c>
      <c r="F64" t="s">
        <v>283</v>
      </c>
      <c r="G64">
        <f>IF(Builder!B5="Low",H64,IF(Builder!B5="Typical",I64,J64))</f>
        <v>1</v>
      </c>
      <c r="H64">
        <f>IFERROR(INDEX(Reference!$CX$2:$CX$4000, MATCH(Builder!G6&amp;"|"&amp;F64, Reference!$CQ$2:$CQ$4000, 0)), 1)</f>
        <v>1</v>
      </c>
      <c r="I64">
        <f>IFERROR(INDEX(Reference!$CY$2:$CY$4000, MATCH(Builder!G6&amp;"|"&amp;F64, Reference!$CQ$2:$CQ$4000, 0)), 1)</f>
        <v>1</v>
      </c>
      <c r="J64">
        <f>IFERROR(INDEX(Reference!$CZ$2:$CZ$4000, MATCH(Builder!G6&amp;"|"&amp;F64, Reference!$CQ$2:$CQ$4000, 0)), 1)</f>
        <v>1</v>
      </c>
      <c r="K64">
        <f>0+IFERROR(INDEX(Reference!$EG$2:$EG$8000, MATCH(Builder!E5&amp;"|"&amp;F64, Reference!$EB$2:$EB$8000, 0)), 360)</f>
        <v>360</v>
      </c>
      <c r="L64">
        <f>0+IFERROR(INDEX(Reference!$EH$2:$EH$8000, MATCH(Builder!E5&amp;"|"&amp;F64, Reference!$EB$2:$EB$8000, 0)), 400)</f>
        <v>400</v>
      </c>
      <c r="M64">
        <f>0+IFERROR(INDEX(Reference!$EI$2:$EI$8000, MATCH(Builder!E5&amp;"|"&amp;F64, Reference!$EB$2:$EB$8000, 0)), 430)</f>
        <v>430</v>
      </c>
      <c r="N64">
        <f>IF(AND(Builder!E2="Insurance / Org Tariff",IFERROR(INDEX(Reference!$EZ$2:$EZ$1000, MATCH(F64, Reference!$EX$2:$EX$1000, 0)), "No")="Yes"),0,IF('Service Add-Ons'!I27="Include",H64*K64,0))</f>
        <v>0</v>
      </c>
      <c r="O64">
        <f>IF(AND(Builder!E2="Insurance / Org Tariff",IFERROR(INDEX(Reference!$EZ$2:$EZ$1000, MATCH(F64, Reference!$EX$2:$EX$1000, 0)), "No")="Yes"),0,IF('Service Add-Ons'!I27="Include",I64*K64,0))</f>
        <v>0</v>
      </c>
      <c r="P64">
        <f>IF(AND(Builder!E2="Insurance / Org Tariff",IFERROR(INDEX(Reference!$EZ$2:$EZ$1000, MATCH(F64, Reference!$EX$2:$EX$1000, 0)), "No")="Yes"),0,IF('Service Add-Ons'!I27="Include",J64*K64,0))</f>
        <v>0</v>
      </c>
      <c r="Q64">
        <f>IF(AND(Builder!E2="Insurance / Org Tariff",IFERROR(INDEX(Reference!$EZ$2:$EZ$1000, MATCH(F64, Reference!$EX$2:$EX$1000, 0)), "No")="Yes"),0,IF('Service Add-Ons'!I27="Include",H64*L64,0))</f>
        <v>0</v>
      </c>
      <c r="R64">
        <f>IF(AND(Builder!E2="Insurance / Org Tariff",IFERROR(INDEX(Reference!$EZ$2:$EZ$1000, MATCH(F64, Reference!$EX$2:$EX$1000, 0)), "No")="Yes"),0,IF('Service Add-Ons'!I27="Include",I64*L64,0))</f>
        <v>0</v>
      </c>
      <c r="S64">
        <f>IF(AND(Builder!E2="Insurance / Org Tariff",IFERROR(INDEX(Reference!$EZ$2:$EZ$1000, MATCH(F64, Reference!$EX$2:$EX$1000, 0)), "No")="Yes"),0,IF('Service Add-Ons'!I27="Include",J64*L64,0))</f>
        <v>0</v>
      </c>
      <c r="T64">
        <f>IF(AND(Builder!E2="Insurance / Org Tariff",IFERROR(INDEX(Reference!$EZ$2:$EZ$1000, MATCH(F64, Reference!$EX$2:$EX$1000, 0)), "No")="Yes"),0,IF('Service Add-Ons'!I27="Include",H64*M64,0))</f>
        <v>0</v>
      </c>
      <c r="U64">
        <f>IF(AND(Builder!E2="Insurance / Org Tariff",IFERROR(INDEX(Reference!$EZ$2:$EZ$1000, MATCH(F64, Reference!$EX$2:$EX$1000, 0)), "No")="Yes"),0,IF('Service Add-Ons'!I27="Include",I64*M64,0))</f>
        <v>0</v>
      </c>
      <c r="V64">
        <f>IF(AND(Builder!E2="Insurance / Org Tariff",IFERROR(INDEX(Reference!$EZ$2:$EZ$1000, MATCH(F64, Reference!$EX$2:$EX$1000, 0)), "No")="Yes"),0,IF('Service Add-Ons'!I27="Include",J64*M64,0))</f>
        <v>0</v>
      </c>
      <c r="W64">
        <f>IF(Builder!B5="Low",N64,IF(Builder!B5="Typical",O64,P64))</f>
        <v>0</v>
      </c>
      <c r="X64">
        <f>IF(Builder!B5="Low",Q64,IF(Builder!B5="Typical",R64,S64))</f>
        <v>0</v>
      </c>
      <c r="Y64">
        <f>IF(Builder!B5="Low",T64,IF(Builder!B5="Typical",U64,V64))</f>
        <v>0</v>
      </c>
    </row>
    <row r="65" ht="26.85" customHeight="1" spans="1:25" x14ac:dyDescent="0.25">
      <c r="A65" t="s">
        <v>284</v>
      </c>
      <c r="B65" t="s">
        <v>102</v>
      </c>
      <c r="C65" t="s">
        <v>285</v>
      </c>
      <c r="D65" t="s">
        <v>640</v>
      </c>
      <c r="E65" t="s">
        <v>643</v>
      </c>
      <c r="F65" t="s">
        <v>286</v>
      </c>
      <c r="G65">
        <f>IF(Builder!B5="Low",H65,IF(Builder!B5="Typical",I65,J65))</f>
        <v>1</v>
      </c>
      <c r="H65">
        <f>IFERROR(INDEX(Reference!$CX$2:$CX$4000, MATCH(Builder!G6&amp;"|"&amp;F65, Reference!$CQ$2:$CQ$4000, 0)), 1)</f>
        <v>1</v>
      </c>
      <c r="I65">
        <f>IFERROR(INDEX(Reference!$CY$2:$CY$4000, MATCH(Builder!G6&amp;"|"&amp;F65, Reference!$CQ$2:$CQ$4000, 0)), 1)</f>
        <v>1</v>
      </c>
      <c r="J65">
        <f>IFERROR(INDEX(Reference!$CZ$2:$CZ$4000, MATCH(Builder!G6&amp;"|"&amp;F65, Reference!$CQ$2:$CQ$4000, 0)), 1)</f>
        <v>1</v>
      </c>
      <c r="K65">
        <f>0+IFERROR(INDEX(Reference!$EG$2:$EG$8000, MATCH(Builder!E5&amp;"|"&amp;F65, Reference!$EB$2:$EB$8000, 0)), 680)</f>
        <v>680</v>
      </c>
      <c r="L65">
        <f>0+IFERROR(INDEX(Reference!$EH$2:$EH$8000, MATCH(Builder!E5&amp;"|"&amp;F65, Reference!$EB$2:$EB$8000, 0)), 750)</f>
        <v>750</v>
      </c>
      <c r="M65">
        <f>0+IFERROR(INDEX(Reference!$EI$2:$EI$8000, MATCH(Builder!E5&amp;"|"&amp;F65, Reference!$EB$2:$EB$8000, 0)), 810)</f>
        <v>810</v>
      </c>
      <c r="N65">
        <f>IF(AND(Builder!E2="Insurance / Org Tariff",IFERROR(INDEX(Reference!$EZ$2:$EZ$1000, MATCH(F65, Reference!$EX$2:$EX$1000, 0)), "No")="Yes"),0,IF('Service Add-Ons'!I28="Include",H65*K65,0))</f>
        <v>0</v>
      </c>
      <c r="O65">
        <f>IF(AND(Builder!E2="Insurance / Org Tariff",IFERROR(INDEX(Reference!$EZ$2:$EZ$1000, MATCH(F65, Reference!$EX$2:$EX$1000, 0)), "No")="Yes"),0,IF('Service Add-Ons'!I28="Include",I65*K65,0))</f>
        <v>0</v>
      </c>
      <c r="P65">
        <f>IF(AND(Builder!E2="Insurance / Org Tariff",IFERROR(INDEX(Reference!$EZ$2:$EZ$1000, MATCH(F65, Reference!$EX$2:$EX$1000, 0)), "No")="Yes"),0,IF('Service Add-Ons'!I28="Include",J65*K65,0))</f>
        <v>0</v>
      </c>
      <c r="Q65">
        <f>IF(AND(Builder!E2="Insurance / Org Tariff",IFERROR(INDEX(Reference!$EZ$2:$EZ$1000, MATCH(F65, Reference!$EX$2:$EX$1000, 0)), "No")="Yes"),0,IF('Service Add-Ons'!I28="Include",H65*L65,0))</f>
        <v>0</v>
      </c>
      <c r="R65">
        <f>IF(AND(Builder!E2="Insurance / Org Tariff",IFERROR(INDEX(Reference!$EZ$2:$EZ$1000, MATCH(F65, Reference!$EX$2:$EX$1000, 0)), "No")="Yes"),0,IF('Service Add-Ons'!I28="Include",I65*L65,0))</f>
        <v>0</v>
      </c>
      <c r="S65">
        <f>IF(AND(Builder!E2="Insurance / Org Tariff",IFERROR(INDEX(Reference!$EZ$2:$EZ$1000, MATCH(F65, Reference!$EX$2:$EX$1000, 0)), "No")="Yes"),0,IF('Service Add-Ons'!I28="Include",J65*L65,0))</f>
        <v>0</v>
      </c>
      <c r="T65">
        <f>IF(AND(Builder!E2="Insurance / Org Tariff",IFERROR(INDEX(Reference!$EZ$2:$EZ$1000, MATCH(F65, Reference!$EX$2:$EX$1000, 0)), "No")="Yes"),0,IF('Service Add-Ons'!I28="Include",H65*M65,0))</f>
        <v>0</v>
      </c>
      <c r="U65">
        <f>IF(AND(Builder!E2="Insurance / Org Tariff",IFERROR(INDEX(Reference!$EZ$2:$EZ$1000, MATCH(F65, Reference!$EX$2:$EX$1000, 0)), "No")="Yes"),0,IF('Service Add-Ons'!I28="Include",I65*M65,0))</f>
        <v>0</v>
      </c>
      <c r="V65">
        <f>IF(AND(Builder!E2="Insurance / Org Tariff",IFERROR(INDEX(Reference!$EZ$2:$EZ$1000, MATCH(F65, Reference!$EX$2:$EX$1000, 0)), "No")="Yes"),0,IF('Service Add-Ons'!I28="Include",J65*M65,0))</f>
        <v>0</v>
      </c>
      <c r="W65">
        <f>IF(Builder!B5="Low",N65,IF(Builder!B5="Typical",O65,P65))</f>
        <v>0</v>
      </c>
      <c r="X65">
        <f>IF(Builder!B5="Low",Q65,IF(Builder!B5="Typical",R65,S65))</f>
        <v>0</v>
      </c>
      <c r="Y65">
        <f>IF(Builder!B5="Low",T65,IF(Builder!B5="Typical",U65,V65))</f>
        <v>0</v>
      </c>
    </row>
    <row r="66" ht="26.85" customHeight="1" spans="1:25" x14ac:dyDescent="0.25">
      <c r="A66" t="s">
        <v>287</v>
      </c>
      <c r="B66" t="s">
        <v>102</v>
      </c>
      <c r="C66" t="s">
        <v>236</v>
      </c>
      <c r="D66" t="s">
        <v>640</v>
      </c>
      <c r="E66" t="s">
        <v>643</v>
      </c>
      <c r="F66" t="s">
        <v>288</v>
      </c>
      <c r="G66">
        <f>IF(Builder!B5="Low",H66,IF(Builder!B5="Typical",I66,J66))</f>
        <v>1</v>
      </c>
      <c r="H66">
        <f>IFERROR(INDEX(Reference!$CX$2:$CX$4000, MATCH(Builder!G6&amp;"|"&amp;F66, Reference!$CQ$2:$CQ$4000, 0)), 1)</f>
        <v>1</v>
      </c>
      <c r="I66">
        <f>IFERROR(INDEX(Reference!$CY$2:$CY$4000, MATCH(Builder!G6&amp;"|"&amp;F66, Reference!$CQ$2:$CQ$4000, 0)), 1)</f>
        <v>1</v>
      </c>
      <c r="J66">
        <f>IFERROR(INDEX(Reference!$CZ$2:$CZ$4000, MATCH(Builder!G6&amp;"|"&amp;F66, Reference!$CQ$2:$CQ$4000, 0)), 1)</f>
        <v>1</v>
      </c>
      <c r="K66">
        <f>0+IFERROR(INDEX(Reference!$EG$2:$EG$8000, MATCH(Builder!E5&amp;"|"&amp;F66, Reference!$EB$2:$EB$8000, 0)), 450)</f>
        <v>450</v>
      </c>
      <c r="L66">
        <f>0+IFERROR(INDEX(Reference!$EH$2:$EH$8000, MATCH(Builder!E5&amp;"|"&amp;F66, Reference!$EB$2:$EB$8000, 0)), 530)</f>
        <v>530</v>
      </c>
      <c r="M66">
        <f>0+IFERROR(INDEX(Reference!$EI$2:$EI$8000, MATCH(Builder!E5&amp;"|"&amp;F66, Reference!$EB$2:$EB$8000, 0)), 580)</f>
        <v>580</v>
      </c>
      <c r="N66">
        <f>IF(AND(Builder!E2="Insurance / Org Tariff",IFERROR(INDEX(Reference!$EZ$2:$EZ$1000, MATCH(F66, Reference!$EX$2:$EX$1000, 0)), "No")="Yes"),0,IF('Service Add-Ons'!I29="Include",H66*K66,0))</f>
        <v>0</v>
      </c>
      <c r="O66">
        <f>IF(AND(Builder!E2="Insurance / Org Tariff",IFERROR(INDEX(Reference!$EZ$2:$EZ$1000, MATCH(F66, Reference!$EX$2:$EX$1000, 0)), "No")="Yes"),0,IF('Service Add-Ons'!I29="Include",I66*K66,0))</f>
        <v>0</v>
      </c>
      <c r="P66">
        <f>IF(AND(Builder!E2="Insurance / Org Tariff",IFERROR(INDEX(Reference!$EZ$2:$EZ$1000, MATCH(F66, Reference!$EX$2:$EX$1000, 0)), "No")="Yes"),0,IF('Service Add-Ons'!I29="Include",J66*K66,0))</f>
        <v>0</v>
      </c>
      <c r="Q66">
        <f>IF(AND(Builder!E2="Insurance / Org Tariff",IFERROR(INDEX(Reference!$EZ$2:$EZ$1000, MATCH(F66, Reference!$EX$2:$EX$1000, 0)), "No")="Yes"),0,IF('Service Add-Ons'!I29="Include",H66*L66,0))</f>
        <v>0</v>
      </c>
      <c r="R66">
        <f>IF(AND(Builder!E2="Insurance / Org Tariff",IFERROR(INDEX(Reference!$EZ$2:$EZ$1000, MATCH(F66, Reference!$EX$2:$EX$1000, 0)), "No")="Yes"),0,IF('Service Add-Ons'!I29="Include",I66*L66,0))</f>
        <v>0</v>
      </c>
      <c r="S66">
        <f>IF(AND(Builder!E2="Insurance / Org Tariff",IFERROR(INDEX(Reference!$EZ$2:$EZ$1000, MATCH(F66, Reference!$EX$2:$EX$1000, 0)), "No")="Yes"),0,IF('Service Add-Ons'!I29="Include",J66*L66,0))</f>
        <v>0</v>
      </c>
      <c r="T66">
        <f>IF(AND(Builder!E2="Insurance / Org Tariff",IFERROR(INDEX(Reference!$EZ$2:$EZ$1000, MATCH(F66, Reference!$EX$2:$EX$1000, 0)), "No")="Yes"),0,IF('Service Add-Ons'!I29="Include",H66*M66,0))</f>
        <v>0</v>
      </c>
      <c r="U66">
        <f>IF(AND(Builder!E2="Insurance / Org Tariff",IFERROR(INDEX(Reference!$EZ$2:$EZ$1000, MATCH(F66, Reference!$EX$2:$EX$1000, 0)), "No")="Yes"),0,IF('Service Add-Ons'!I29="Include",I66*M66,0))</f>
        <v>0</v>
      </c>
      <c r="V66">
        <f>IF(AND(Builder!E2="Insurance / Org Tariff",IFERROR(INDEX(Reference!$EZ$2:$EZ$1000, MATCH(F66, Reference!$EX$2:$EX$1000, 0)), "No")="Yes"),0,IF('Service Add-Ons'!I29="Include",J66*M66,0))</f>
        <v>0</v>
      </c>
      <c r="W66">
        <f>IF(Builder!B5="Low",N66,IF(Builder!B5="Typical",O66,P66))</f>
        <v>0</v>
      </c>
      <c r="X66">
        <f>IF(Builder!B5="Low",Q66,IF(Builder!B5="Typical",R66,S66))</f>
        <v>0</v>
      </c>
      <c r="Y66">
        <f>IF(Builder!B5="Low",T66,IF(Builder!B5="Typical",U66,V66))</f>
        <v>0</v>
      </c>
    </row>
    <row r="67" ht="26.85" customHeight="1" spans="1:25" x14ac:dyDescent="0.25">
      <c r="A67" t="s">
        <v>289</v>
      </c>
      <c r="B67" t="s">
        <v>102</v>
      </c>
      <c r="C67" t="s">
        <v>289</v>
      </c>
      <c r="D67" t="s">
        <v>640</v>
      </c>
      <c r="E67" t="s">
        <v>643</v>
      </c>
      <c r="F67" t="s">
        <v>290</v>
      </c>
      <c r="G67">
        <f>IF(Builder!B5="Low",H67,IF(Builder!B5="Typical",I67,J67))</f>
        <v>1</v>
      </c>
      <c r="H67">
        <f>IFERROR(INDEX(Reference!$CX$2:$CX$4000, MATCH(Builder!G6&amp;"|"&amp;F67, Reference!$CQ$2:$CQ$4000, 0)), 1)</f>
        <v>1</v>
      </c>
      <c r="I67">
        <f>IFERROR(INDEX(Reference!$CY$2:$CY$4000, MATCH(Builder!G6&amp;"|"&amp;F67, Reference!$CQ$2:$CQ$4000, 0)), 1)</f>
        <v>1</v>
      </c>
      <c r="J67">
        <f>IFERROR(INDEX(Reference!$CZ$2:$CZ$4000, MATCH(Builder!G6&amp;"|"&amp;F67, Reference!$CQ$2:$CQ$4000, 0)), 1)</f>
        <v>1</v>
      </c>
      <c r="K67">
        <f>0+IFERROR(INDEX(Reference!$EG$2:$EG$8000, MATCH(Builder!E5&amp;"|"&amp;F67, Reference!$EB$2:$EB$8000, 0)), 420)</f>
        <v>420</v>
      </c>
      <c r="L67">
        <f>0+IFERROR(INDEX(Reference!$EH$2:$EH$8000, MATCH(Builder!E5&amp;"|"&amp;F67, Reference!$EB$2:$EB$8000, 0)), 460)</f>
        <v>460</v>
      </c>
      <c r="M67">
        <f>0+IFERROR(INDEX(Reference!$EI$2:$EI$8000, MATCH(Builder!E5&amp;"|"&amp;F67, Reference!$EB$2:$EB$8000, 0)), 500)</f>
        <v>500</v>
      </c>
      <c r="N67">
        <f>IF(AND(Builder!E2="Insurance / Org Tariff",IFERROR(INDEX(Reference!$EZ$2:$EZ$1000, MATCH(F67, Reference!$EX$2:$EX$1000, 0)), "No")="Yes"),0,IF('Service Add-Ons'!I30="Include",H67*K67,0))</f>
        <v>0</v>
      </c>
      <c r="O67">
        <f>IF(AND(Builder!E2="Insurance / Org Tariff",IFERROR(INDEX(Reference!$EZ$2:$EZ$1000, MATCH(F67, Reference!$EX$2:$EX$1000, 0)), "No")="Yes"),0,IF('Service Add-Ons'!I30="Include",I67*K67,0))</f>
        <v>0</v>
      </c>
      <c r="P67">
        <f>IF(AND(Builder!E2="Insurance / Org Tariff",IFERROR(INDEX(Reference!$EZ$2:$EZ$1000, MATCH(F67, Reference!$EX$2:$EX$1000, 0)), "No")="Yes"),0,IF('Service Add-Ons'!I30="Include",J67*K67,0))</f>
        <v>0</v>
      </c>
      <c r="Q67">
        <f>IF(AND(Builder!E2="Insurance / Org Tariff",IFERROR(INDEX(Reference!$EZ$2:$EZ$1000, MATCH(F67, Reference!$EX$2:$EX$1000, 0)), "No")="Yes"),0,IF('Service Add-Ons'!I30="Include",H67*L67,0))</f>
        <v>0</v>
      </c>
      <c r="R67">
        <f>IF(AND(Builder!E2="Insurance / Org Tariff",IFERROR(INDEX(Reference!$EZ$2:$EZ$1000, MATCH(F67, Reference!$EX$2:$EX$1000, 0)), "No")="Yes"),0,IF('Service Add-Ons'!I30="Include",I67*L67,0))</f>
        <v>0</v>
      </c>
      <c r="S67">
        <f>IF(AND(Builder!E2="Insurance / Org Tariff",IFERROR(INDEX(Reference!$EZ$2:$EZ$1000, MATCH(F67, Reference!$EX$2:$EX$1000, 0)), "No")="Yes"),0,IF('Service Add-Ons'!I30="Include",J67*L67,0))</f>
        <v>0</v>
      </c>
      <c r="T67">
        <f>IF(AND(Builder!E2="Insurance / Org Tariff",IFERROR(INDEX(Reference!$EZ$2:$EZ$1000, MATCH(F67, Reference!$EX$2:$EX$1000, 0)), "No")="Yes"),0,IF('Service Add-Ons'!I30="Include",H67*M67,0))</f>
        <v>0</v>
      </c>
      <c r="U67">
        <f>IF(AND(Builder!E2="Insurance / Org Tariff",IFERROR(INDEX(Reference!$EZ$2:$EZ$1000, MATCH(F67, Reference!$EX$2:$EX$1000, 0)), "No")="Yes"),0,IF('Service Add-Ons'!I30="Include",I67*M67,0))</f>
        <v>0</v>
      </c>
      <c r="V67">
        <f>IF(AND(Builder!E2="Insurance / Org Tariff",IFERROR(INDEX(Reference!$EZ$2:$EZ$1000, MATCH(F67, Reference!$EX$2:$EX$1000, 0)), "No")="Yes"),0,IF('Service Add-Ons'!I30="Include",J67*M67,0))</f>
        <v>0</v>
      </c>
      <c r="W67">
        <f>IF(Builder!B5="Low",N67,IF(Builder!B5="Typical",O67,P67))</f>
        <v>0</v>
      </c>
      <c r="X67">
        <f>IF(Builder!B5="Low",Q67,IF(Builder!B5="Typical",R67,S67))</f>
        <v>0</v>
      </c>
      <c r="Y67">
        <f>IF(Builder!B5="Low",T67,IF(Builder!B5="Typical",U67,V67))</f>
        <v>0</v>
      </c>
    </row>
    <row r="68" ht="26.85" customHeight="1" spans="1:25" x14ac:dyDescent="0.25">
      <c r="A68" t="s">
        <v>291</v>
      </c>
      <c r="B68" t="s">
        <v>102</v>
      </c>
      <c r="C68" t="s">
        <v>292</v>
      </c>
      <c r="D68" t="s">
        <v>640</v>
      </c>
      <c r="E68" t="s">
        <v>643</v>
      </c>
      <c r="F68" t="s">
        <v>293</v>
      </c>
      <c r="G68">
        <f>IF(Builder!B5="Low",H68,IF(Builder!B5="Typical",I68,J68))</f>
        <v>1</v>
      </c>
      <c r="H68">
        <f>IFERROR(INDEX(Reference!$CX$2:$CX$4000, MATCH(Builder!G6&amp;"|"&amp;F68, Reference!$CQ$2:$CQ$4000, 0)), 1)</f>
        <v>1</v>
      </c>
      <c r="I68">
        <f>IFERROR(INDEX(Reference!$CY$2:$CY$4000, MATCH(Builder!G6&amp;"|"&amp;F68, Reference!$CQ$2:$CQ$4000, 0)), 1)</f>
        <v>1</v>
      </c>
      <c r="J68">
        <f>IFERROR(INDEX(Reference!$CZ$2:$CZ$4000, MATCH(Builder!G6&amp;"|"&amp;F68, Reference!$CQ$2:$CQ$4000, 0)), 1)</f>
        <v>1</v>
      </c>
      <c r="K68">
        <f>0+IFERROR(INDEX(Reference!$EG$2:$EG$8000, MATCH(Builder!E5&amp;"|"&amp;F68, Reference!$EB$2:$EB$8000, 0)), 330)</f>
        <v>330</v>
      </c>
      <c r="L68">
        <f>0+IFERROR(INDEX(Reference!$EH$2:$EH$8000, MATCH(Builder!E5&amp;"|"&amp;F68, Reference!$EB$2:$EB$8000, 0)), 370)</f>
        <v>370</v>
      </c>
      <c r="M68">
        <f>0+IFERROR(INDEX(Reference!$EI$2:$EI$8000, MATCH(Builder!E5&amp;"|"&amp;F68, Reference!$EB$2:$EB$8000, 0)), 400)</f>
        <v>400</v>
      </c>
      <c r="N68">
        <f>IF(AND(Builder!E2="Insurance / Org Tariff",IFERROR(INDEX(Reference!$EZ$2:$EZ$1000, MATCH(F68, Reference!$EX$2:$EX$1000, 0)), "No")="Yes"),0,IF('Service Add-Ons'!I31="Include",H68*K68,0))</f>
        <v>0</v>
      </c>
      <c r="O68">
        <f>IF(AND(Builder!E2="Insurance / Org Tariff",IFERROR(INDEX(Reference!$EZ$2:$EZ$1000, MATCH(F68, Reference!$EX$2:$EX$1000, 0)), "No")="Yes"),0,IF('Service Add-Ons'!I31="Include",I68*K68,0))</f>
        <v>0</v>
      </c>
      <c r="P68">
        <f>IF(AND(Builder!E2="Insurance / Org Tariff",IFERROR(INDEX(Reference!$EZ$2:$EZ$1000, MATCH(F68, Reference!$EX$2:$EX$1000, 0)), "No")="Yes"),0,IF('Service Add-Ons'!I31="Include",J68*K68,0))</f>
        <v>0</v>
      </c>
      <c r="Q68">
        <f>IF(AND(Builder!E2="Insurance / Org Tariff",IFERROR(INDEX(Reference!$EZ$2:$EZ$1000, MATCH(F68, Reference!$EX$2:$EX$1000, 0)), "No")="Yes"),0,IF('Service Add-Ons'!I31="Include",H68*L68,0))</f>
        <v>0</v>
      </c>
      <c r="R68">
        <f>IF(AND(Builder!E2="Insurance / Org Tariff",IFERROR(INDEX(Reference!$EZ$2:$EZ$1000, MATCH(F68, Reference!$EX$2:$EX$1000, 0)), "No")="Yes"),0,IF('Service Add-Ons'!I31="Include",I68*L68,0))</f>
        <v>0</v>
      </c>
      <c r="S68">
        <f>IF(AND(Builder!E2="Insurance / Org Tariff",IFERROR(INDEX(Reference!$EZ$2:$EZ$1000, MATCH(F68, Reference!$EX$2:$EX$1000, 0)), "No")="Yes"),0,IF('Service Add-Ons'!I31="Include",J68*L68,0))</f>
        <v>0</v>
      </c>
      <c r="T68">
        <f>IF(AND(Builder!E2="Insurance / Org Tariff",IFERROR(INDEX(Reference!$EZ$2:$EZ$1000, MATCH(F68, Reference!$EX$2:$EX$1000, 0)), "No")="Yes"),0,IF('Service Add-Ons'!I31="Include",H68*M68,0))</f>
        <v>0</v>
      </c>
      <c r="U68">
        <f>IF(AND(Builder!E2="Insurance / Org Tariff",IFERROR(INDEX(Reference!$EZ$2:$EZ$1000, MATCH(F68, Reference!$EX$2:$EX$1000, 0)), "No")="Yes"),0,IF('Service Add-Ons'!I31="Include",I68*M68,0))</f>
        <v>0</v>
      </c>
      <c r="V68">
        <f>IF(AND(Builder!E2="Insurance / Org Tariff",IFERROR(INDEX(Reference!$EZ$2:$EZ$1000, MATCH(F68, Reference!$EX$2:$EX$1000, 0)), "No")="Yes"),0,IF('Service Add-Ons'!I31="Include",J68*M68,0))</f>
        <v>0</v>
      </c>
      <c r="W68">
        <f>IF(Builder!B5="Low",N68,IF(Builder!B5="Typical",O68,P68))</f>
        <v>0</v>
      </c>
      <c r="X68">
        <f>IF(Builder!B5="Low",Q68,IF(Builder!B5="Typical",R68,S68))</f>
        <v>0</v>
      </c>
      <c r="Y68">
        <f>IF(Builder!B5="Low",T68,IF(Builder!B5="Typical",U68,V68))</f>
        <v>0</v>
      </c>
    </row>
    <row r="69" ht="26.85" customHeight="1" spans="1:25" x14ac:dyDescent="0.25">
      <c r="A69" t="s">
        <v>294</v>
      </c>
      <c r="B69" t="s">
        <v>102</v>
      </c>
      <c r="C69" t="s">
        <v>295</v>
      </c>
      <c r="D69" t="s">
        <v>640</v>
      </c>
      <c r="E69" t="s">
        <v>643</v>
      </c>
      <c r="F69" t="s">
        <v>296</v>
      </c>
      <c r="G69">
        <f>IF(Builder!B5="Low",H69,IF(Builder!B5="Typical",I69,J69))</f>
        <v>1</v>
      </c>
      <c r="H69">
        <f>IFERROR(INDEX(Reference!$CX$2:$CX$4000, MATCH(Builder!G6&amp;"|"&amp;F69, Reference!$CQ$2:$CQ$4000, 0)), 1)</f>
        <v>1</v>
      </c>
      <c r="I69">
        <f>IFERROR(INDEX(Reference!$CY$2:$CY$4000, MATCH(Builder!G6&amp;"|"&amp;F69, Reference!$CQ$2:$CQ$4000, 0)), 1)</f>
        <v>1</v>
      </c>
      <c r="J69">
        <f>IFERROR(INDEX(Reference!$CZ$2:$CZ$4000, MATCH(Builder!G6&amp;"|"&amp;F69, Reference!$CQ$2:$CQ$4000, 0)), 1)</f>
        <v>1</v>
      </c>
      <c r="K69">
        <f>0+IFERROR(INDEX(Reference!$EG$2:$EG$8000, MATCH(Builder!E5&amp;"|"&amp;F69, Reference!$EB$2:$EB$8000, 0)), 150)</f>
        <v>150</v>
      </c>
      <c r="L69">
        <f>0+IFERROR(INDEX(Reference!$EH$2:$EH$8000, MATCH(Builder!E5&amp;"|"&amp;F69, Reference!$EB$2:$EB$8000, 0)), 150)</f>
        <v>150</v>
      </c>
      <c r="M69">
        <f>0+IFERROR(INDEX(Reference!$EI$2:$EI$8000, MATCH(Builder!E5&amp;"|"&amp;F69, Reference!$EB$2:$EB$8000, 0)), 150)</f>
        <v>150</v>
      </c>
      <c r="N69">
        <f>IF(AND(Builder!E2="Insurance / Org Tariff",IFERROR(INDEX(Reference!$EZ$2:$EZ$1000, MATCH(F69, Reference!$EX$2:$EX$1000, 0)), "No")="Yes"),0,IF('Service Add-Ons'!I32="Include",H69*K69,0))</f>
        <v>0</v>
      </c>
      <c r="O69">
        <f>IF(AND(Builder!E2="Insurance / Org Tariff",IFERROR(INDEX(Reference!$EZ$2:$EZ$1000, MATCH(F69, Reference!$EX$2:$EX$1000, 0)), "No")="Yes"),0,IF('Service Add-Ons'!I32="Include",I69*K69,0))</f>
        <v>0</v>
      </c>
      <c r="P69">
        <f>IF(AND(Builder!E2="Insurance / Org Tariff",IFERROR(INDEX(Reference!$EZ$2:$EZ$1000, MATCH(F69, Reference!$EX$2:$EX$1000, 0)), "No")="Yes"),0,IF('Service Add-Ons'!I32="Include",J69*K69,0))</f>
        <v>0</v>
      </c>
      <c r="Q69">
        <f>IF(AND(Builder!E2="Insurance / Org Tariff",IFERROR(INDEX(Reference!$EZ$2:$EZ$1000, MATCH(F69, Reference!$EX$2:$EX$1000, 0)), "No")="Yes"),0,IF('Service Add-Ons'!I32="Include",H69*L69,0))</f>
        <v>0</v>
      </c>
      <c r="R69">
        <f>IF(AND(Builder!E2="Insurance / Org Tariff",IFERROR(INDEX(Reference!$EZ$2:$EZ$1000, MATCH(F69, Reference!$EX$2:$EX$1000, 0)), "No")="Yes"),0,IF('Service Add-Ons'!I32="Include",I69*L69,0))</f>
        <v>0</v>
      </c>
      <c r="S69">
        <f>IF(AND(Builder!E2="Insurance / Org Tariff",IFERROR(INDEX(Reference!$EZ$2:$EZ$1000, MATCH(F69, Reference!$EX$2:$EX$1000, 0)), "No")="Yes"),0,IF('Service Add-Ons'!I32="Include",J69*L69,0))</f>
        <v>0</v>
      </c>
      <c r="T69">
        <f>IF(AND(Builder!E2="Insurance / Org Tariff",IFERROR(INDEX(Reference!$EZ$2:$EZ$1000, MATCH(F69, Reference!$EX$2:$EX$1000, 0)), "No")="Yes"),0,IF('Service Add-Ons'!I32="Include",H69*M69,0))</f>
        <v>0</v>
      </c>
      <c r="U69">
        <f>IF(AND(Builder!E2="Insurance / Org Tariff",IFERROR(INDEX(Reference!$EZ$2:$EZ$1000, MATCH(F69, Reference!$EX$2:$EX$1000, 0)), "No")="Yes"),0,IF('Service Add-Ons'!I32="Include",I69*M69,0))</f>
        <v>0</v>
      </c>
      <c r="V69">
        <f>IF(AND(Builder!E2="Insurance / Org Tariff",IFERROR(INDEX(Reference!$EZ$2:$EZ$1000, MATCH(F69, Reference!$EX$2:$EX$1000, 0)), "No")="Yes"),0,IF('Service Add-Ons'!I32="Include",J69*M69,0))</f>
        <v>0</v>
      </c>
      <c r="W69">
        <f>IF(Builder!B5="Low",N69,IF(Builder!B5="Typical",O69,P69))</f>
        <v>0</v>
      </c>
      <c r="X69">
        <f>IF(Builder!B5="Low",Q69,IF(Builder!B5="Typical",R69,S69))</f>
        <v>0</v>
      </c>
      <c r="Y69">
        <f>IF(Builder!B5="Low",T69,IF(Builder!B5="Typical",U69,V69))</f>
        <v>0</v>
      </c>
    </row>
    <row r="70" ht="26.85" customHeight="1" spans="1:25" x14ac:dyDescent="0.25">
      <c r="A70" t="s">
        <v>297</v>
      </c>
      <c r="B70" t="s">
        <v>102</v>
      </c>
      <c r="C70" t="s">
        <v>274</v>
      </c>
      <c r="D70" t="s">
        <v>640</v>
      </c>
      <c r="E70" t="s">
        <v>643</v>
      </c>
      <c r="F70" t="s">
        <v>298</v>
      </c>
      <c r="G70">
        <f>IF(Builder!B5="Low",H70,IF(Builder!B5="Typical",I70,J70))</f>
        <v>1</v>
      </c>
      <c r="H70">
        <f>IFERROR(INDEX(Reference!$CX$2:$CX$4000, MATCH(Builder!G6&amp;"|"&amp;F70, Reference!$CQ$2:$CQ$4000, 0)), 1)</f>
        <v>1</v>
      </c>
      <c r="I70">
        <f>IFERROR(INDEX(Reference!$CY$2:$CY$4000, MATCH(Builder!G6&amp;"|"&amp;F70, Reference!$CQ$2:$CQ$4000, 0)), 1)</f>
        <v>1</v>
      </c>
      <c r="J70">
        <f>IFERROR(INDEX(Reference!$CZ$2:$CZ$4000, MATCH(Builder!G6&amp;"|"&amp;F70, Reference!$CQ$2:$CQ$4000, 0)), 1)</f>
        <v>1</v>
      </c>
      <c r="K70">
        <f>0+IFERROR(INDEX(Reference!$EG$2:$EG$8000, MATCH(Builder!E5&amp;"|"&amp;F70, Reference!$EB$2:$EB$8000, 0)), 1)</f>
        <v>1</v>
      </c>
      <c r="L70">
        <f>0+IFERROR(INDEX(Reference!$EH$2:$EH$8000, MATCH(Builder!E5&amp;"|"&amp;F70, Reference!$EB$2:$EB$8000, 0)), 1)</f>
        <v>1</v>
      </c>
      <c r="M70">
        <f>0+IFERROR(INDEX(Reference!$EI$2:$EI$8000, MATCH(Builder!E5&amp;"|"&amp;F70, Reference!$EB$2:$EB$8000, 0)), 1)</f>
        <v>1</v>
      </c>
      <c r="N70">
        <f>IF(AND(Builder!E2="Insurance / Org Tariff",IFERROR(INDEX(Reference!$EZ$2:$EZ$1000, MATCH(F70, Reference!$EX$2:$EX$1000, 0)), "No")="Yes"),0,IF('Service Add-Ons'!I33="Include",H70*K70,0))</f>
        <v>0</v>
      </c>
      <c r="O70">
        <f>IF(AND(Builder!E2="Insurance / Org Tariff",IFERROR(INDEX(Reference!$EZ$2:$EZ$1000, MATCH(F70, Reference!$EX$2:$EX$1000, 0)), "No")="Yes"),0,IF('Service Add-Ons'!I33="Include",I70*K70,0))</f>
        <v>0</v>
      </c>
      <c r="P70">
        <f>IF(AND(Builder!E2="Insurance / Org Tariff",IFERROR(INDEX(Reference!$EZ$2:$EZ$1000, MATCH(F70, Reference!$EX$2:$EX$1000, 0)), "No")="Yes"),0,IF('Service Add-Ons'!I33="Include",J70*K70,0))</f>
        <v>0</v>
      </c>
      <c r="Q70">
        <f>IF(AND(Builder!E2="Insurance / Org Tariff",IFERROR(INDEX(Reference!$EZ$2:$EZ$1000, MATCH(F70, Reference!$EX$2:$EX$1000, 0)), "No")="Yes"),0,IF('Service Add-Ons'!I33="Include",H70*L70,0))</f>
        <v>0</v>
      </c>
      <c r="R70">
        <f>IF(AND(Builder!E2="Insurance / Org Tariff",IFERROR(INDEX(Reference!$EZ$2:$EZ$1000, MATCH(F70, Reference!$EX$2:$EX$1000, 0)), "No")="Yes"),0,IF('Service Add-Ons'!I33="Include",I70*L70,0))</f>
        <v>0</v>
      </c>
      <c r="S70">
        <f>IF(AND(Builder!E2="Insurance / Org Tariff",IFERROR(INDEX(Reference!$EZ$2:$EZ$1000, MATCH(F70, Reference!$EX$2:$EX$1000, 0)), "No")="Yes"),0,IF('Service Add-Ons'!I33="Include",J70*L70,0))</f>
        <v>0</v>
      </c>
      <c r="T70">
        <f>IF(AND(Builder!E2="Insurance / Org Tariff",IFERROR(INDEX(Reference!$EZ$2:$EZ$1000, MATCH(F70, Reference!$EX$2:$EX$1000, 0)), "No")="Yes"),0,IF('Service Add-Ons'!I33="Include",H70*M70,0))</f>
        <v>0</v>
      </c>
      <c r="U70">
        <f>IF(AND(Builder!E2="Insurance / Org Tariff",IFERROR(INDEX(Reference!$EZ$2:$EZ$1000, MATCH(F70, Reference!$EX$2:$EX$1000, 0)), "No")="Yes"),0,IF('Service Add-Ons'!I33="Include",I70*M70,0))</f>
        <v>0</v>
      </c>
      <c r="V70">
        <f>IF(AND(Builder!E2="Insurance / Org Tariff",IFERROR(INDEX(Reference!$EZ$2:$EZ$1000, MATCH(F70, Reference!$EX$2:$EX$1000, 0)), "No")="Yes"),0,IF('Service Add-Ons'!I33="Include",J70*M70,0))</f>
        <v>0</v>
      </c>
      <c r="W70">
        <f>IF(Builder!B5="Low",N70,IF(Builder!B5="Typical",O70,P70))</f>
        <v>0</v>
      </c>
      <c r="X70">
        <f>IF(Builder!B5="Low",Q70,IF(Builder!B5="Typical",R70,S70))</f>
        <v>0</v>
      </c>
      <c r="Y70">
        <f>IF(Builder!B5="Low",T70,IF(Builder!B5="Typical",U70,V70))</f>
        <v>0</v>
      </c>
    </row>
    <row r="71" ht="52.2" customHeight="1" spans="1:25" x14ac:dyDescent="0.25">
      <c r="A71" t="s">
        <v>644</v>
      </c>
      <c r="B71" t="s">
        <v>81</v>
      </c>
      <c r="C71" t="s">
        <v>221</v>
      </c>
      <c r="D71" t="s">
        <v>645</v>
      </c>
      <c r="E71" t="s">
        <v>646</v>
      </c>
      <c r="K71">
        <f>'Grouped Adjustments'!M7</f>
        <v>5590</v>
      </c>
      <c r="L71">
        <f>'Grouped Adjustments'!M7</f>
        <v>5590</v>
      </c>
      <c r="M71">
        <f>'Grouped Adjustments'!M7</f>
        <v>5590</v>
      </c>
      <c r="N71">
        <f>IF(AND(Builder!E2="Insurance / Org Tariff",ISNUMBER(SEARCH("excluded for insurance",LOWER('Grouped Adjustments'!N7)))),0,IF('Grouped Adjustments'!L7="Include",'Grouped Adjustments'!I7,0))</f>
        <v>4722.5</v>
      </c>
      <c r="O71">
        <f>IF(AND(Builder!E2="Insurance / Org Tariff",ISNUMBER(SEARCH("excluded for insurance",LOWER('Grouped Adjustments'!N7)))),0,IF('Grouped Adjustments'!L7="Include",'Grouped Adjustments'!J7,0))</f>
        <v>5590</v>
      </c>
      <c r="P71">
        <f>IF(AND(Builder!E2="Insurance / Org Tariff",ISNUMBER(SEARCH("excluded for insurance",LOWER('Grouped Adjustments'!N7)))),0,IF('Grouped Adjustments'!L7="Include",'Grouped Adjustments'!K7,0))</f>
        <v>5800</v>
      </c>
      <c r="Q71">
        <f>N71</f>
        <v>4722.5</v>
      </c>
      <c r="R71">
        <f>O71</f>
        <v>5590</v>
      </c>
      <c r="S71">
        <f>P71</f>
        <v>5800</v>
      </c>
      <c r="T71">
        <f>N71</f>
        <v>4722.5</v>
      </c>
      <c r="U71">
        <f>O71</f>
        <v>5590</v>
      </c>
      <c r="V71">
        <f>P71</f>
        <v>5800</v>
      </c>
      <c r="W71">
        <f>IF(Builder!B5="Low",N71,IF(Builder!B5="Typical",O71,P71))</f>
        <v>5590</v>
      </c>
      <c r="X71">
        <f>IF(Builder!B5="Low",Q71,IF(Builder!B5="Typical",R71,S71))</f>
        <v>5590</v>
      </c>
      <c r="Y71">
        <f>IF(Builder!B5="Low",T71,IF(Builder!B5="Typical",U71,V71))</f>
        <v>5590</v>
      </c>
    </row>
    <row r="72" ht="52.2" customHeight="1" spans="1:25" x14ac:dyDescent="0.25">
      <c r="A72" t="s">
        <v>647</v>
      </c>
      <c r="B72" t="s">
        <v>81</v>
      </c>
      <c r="C72" t="s">
        <v>232</v>
      </c>
      <c r="D72" t="s">
        <v>645</v>
      </c>
      <c r="E72" t="s">
        <v>646</v>
      </c>
      <c r="K72">
        <f>'Grouped Adjustments'!M8</f>
        <v>1320</v>
      </c>
      <c r="L72">
        <f>'Grouped Adjustments'!M8</f>
        <v>1320</v>
      </c>
      <c r="M72">
        <f>'Grouped Adjustments'!M8</f>
        <v>1320</v>
      </c>
      <c r="N72">
        <f>IF(AND(Builder!E2="Insurance / Org Tariff",ISNUMBER(SEARCH("excluded for insurance",LOWER('Grouped Adjustments'!N8)))),0,IF('Grouped Adjustments'!L8="Include",'Grouped Adjustments'!I8,0))</f>
        <v>1320</v>
      </c>
      <c r="O72">
        <f>IF(AND(Builder!E2="Insurance / Org Tariff",ISNUMBER(SEARCH("excluded for insurance",LOWER('Grouped Adjustments'!N8)))),0,IF('Grouped Adjustments'!L8="Include",'Grouped Adjustments'!J8,0))</f>
        <v>1320</v>
      </c>
      <c r="P72">
        <f>IF(AND(Builder!E2="Insurance / Org Tariff",ISNUMBER(SEARCH("excluded for insurance",LOWER('Grouped Adjustments'!N8)))),0,IF('Grouped Adjustments'!L8="Include",'Grouped Adjustments'!K8,0))</f>
        <v>1540</v>
      </c>
      <c r="Q72">
        <f>N72</f>
        <v>1320</v>
      </c>
      <c r="R72">
        <f>O72</f>
        <v>1320</v>
      </c>
      <c r="S72">
        <f>P72</f>
        <v>1540</v>
      </c>
      <c r="T72">
        <f>N72</f>
        <v>1320</v>
      </c>
      <c r="U72">
        <f>O72</f>
        <v>1320</v>
      </c>
      <c r="V72">
        <f>P72</f>
        <v>1540</v>
      </c>
      <c r="W72">
        <f>IF(Builder!B5="Low",N72,IF(Builder!B5="Typical",O72,P72))</f>
        <v>1320</v>
      </c>
      <c r="X72">
        <f>IF(Builder!B5="Low",Q72,IF(Builder!B5="Typical",R72,S72))</f>
        <v>1320</v>
      </c>
      <c r="Y72">
        <f>IF(Builder!B5="Low",T72,IF(Builder!B5="Typical",U72,V72))</f>
        <v>1320</v>
      </c>
    </row>
    <row r="73" ht="52.2" customHeight="1" spans="1:25" x14ac:dyDescent="0.25">
      <c r="A73" t="s">
        <v>648</v>
      </c>
      <c r="B73" t="s">
        <v>81</v>
      </c>
      <c r="C73" t="s">
        <v>248</v>
      </c>
      <c r="D73" t="s">
        <v>645</v>
      </c>
      <c r="E73" t="s">
        <v>646</v>
      </c>
      <c r="K73">
        <f>'Grouped Adjustments'!M9</f>
        <v>370</v>
      </c>
      <c r="L73">
        <f>'Grouped Adjustments'!M9</f>
        <v>370</v>
      </c>
      <c r="M73">
        <f>'Grouped Adjustments'!M9</f>
        <v>370</v>
      </c>
      <c r="N73">
        <f>IF(AND(Builder!E2="Insurance / Org Tariff",ISNUMBER(SEARCH("excluded for insurance",LOWER('Grouped Adjustments'!N9)))),0,IF('Grouped Adjustments'!L9="Include",'Grouped Adjustments'!I9,0))</f>
        <v>0</v>
      </c>
      <c r="O73">
        <f>IF(AND(Builder!E2="Insurance / Org Tariff",ISNUMBER(SEARCH("excluded for insurance",LOWER('Grouped Adjustments'!N9)))),0,IF('Grouped Adjustments'!L9="Include",'Grouped Adjustments'!J9,0))</f>
        <v>370</v>
      </c>
      <c r="P73">
        <f>IF(AND(Builder!E2="Insurance / Org Tariff",ISNUMBER(SEARCH("excluded for insurance",LOWER('Grouped Adjustments'!N9)))),0,IF('Grouped Adjustments'!L9="Include",'Grouped Adjustments'!K9,0))</f>
        <v>490</v>
      </c>
      <c r="Q73">
        <f>N73</f>
        <v>0</v>
      </c>
      <c r="R73">
        <f>O73</f>
        <v>370</v>
      </c>
      <c r="S73">
        <f>P73</f>
        <v>490</v>
      </c>
      <c r="T73">
        <f>N73</f>
        <v>0</v>
      </c>
      <c r="U73">
        <f>O73</f>
        <v>370</v>
      </c>
      <c r="V73">
        <f>P73</f>
        <v>490</v>
      </c>
      <c r="W73">
        <f>IF(Builder!B5="Low",N73,IF(Builder!B5="Typical",O73,P73))</f>
        <v>370</v>
      </c>
      <c r="X73">
        <f>IF(Builder!B5="Low",Q73,IF(Builder!B5="Typical",R73,S73))</f>
        <v>370</v>
      </c>
      <c r="Y73">
        <f>IF(Builder!B5="Low",T73,IF(Builder!B5="Typical",U73,V73))</f>
        <v>370</v>
      </c>
    </row>
    <row r="74" ht="15" customHeight="1" spans="1:25" x14ac:dyDescent="0.25">
      <c r="A74" t="s">
        <v>649</v>
      </c>
      <c r="B74" t="s">
        <v>104</v>
      </c>
      <c r="N74">
        <f>SUM(N2:N34,N39:N73)</f>
        <v>406529.413203125</v>
      </c>
      <c r="O74">
        <f>SUM(O2:O34,O39:O73)</f>
        <v>424310.66578125</v>
      </c>
      <c r="P74">
        <f>SUM(P2:P34,P39:P73)</f>
        <v>501942.4445</v>
      </c>
      <c r="Q74">
        <f>SUM(Q2:Q34,Q39:Q73)</f>
        <v>410979.413203125</v>
      </c>
      <c r="R74">
        <f>SUM(R2:R34,R39:R73)</f>
        <v>430400.66578125</v>
      </c>
      <c r="S74">
        <f>SUM(S2:S34,S39:S73)</f>
        <v>509672.4445</v>
      </c>
      <c r="T74">
        <f>SUM(T2:T34,T39:T73)</f>
        <v>414819.413203125</v>
      </c>
      <c r="U74">
        <f>SUM(U2:U34,U39:U73)</f>
        <v>437610.66578125</v>
      </c>
      <c r="V74">
        <f>SUM(V2:V34,V39:V73)</f>
        <v>520252.4445</v>
      </c>
      <c r="W74">
        <f>SUM(W2:W34,W39:W73)</f>
        <v>424310.66578125</v>
      </c>
      <c r="X74">
        <f>SUM(X2:X34,X39:X73)</f>
        <v>430400.66578125</v>
      </c>
      <c r="Y74">
        <f>SUM(Y2:Y34,Y39:Y73)</f>
        <v>437610.66578125</v>
      </c>
    </row>
    <row r="75" ht="15" customHeight="1" spans="1:25" x14ac:dyDescent="0.25">
      <c r="A75" t="s">
        <v>104</v>
      </c>
      <c r="B75" t="s">
        <v>104</v>
      </c>
      <c r="N75">
        <f>N74+SUM(N35:N38)</f>
        <v>555166.7299055175</v>
      </c>
      <c r="O75">
        <f>O74+SUM(O35:O38)</f>
        <v>579449.2529575195</v>
      </c>
      <c r="P75">
        <f>P74+SUM(P35:P38)</f>
        <v>685465.1507703124</v>
      </c>
      <c r="Q75">
        <f>Q74+SUM(Q35:Q38)</f>
        <v>561243.7611555175</v>
      </c>
      <c r="R75">
        <f>R74+SUM(R35:R38)</f>
        <v>587765.9092075195</v>
      </c>
      <c r="S75">
        <f>S74+SUM(S35:S38)</f>
        <v>696021.4320203124</v>
      </c>
      <c r="T75">
        <f>T74+SUM(T35:T38)</f>
        <v>566487.7611555175</v>
      </c>
      <c r="U75">
        <f>U74+SUM(U35:U38)</f>
        <v>597612.0654575195</v>
      </c>
      <c r="V75">
        <f>V74+SUM(V35:V38)</f>
        <v>710469.7445203124</v>
      </c>
      <c r="W75">
        <f>W74+SUM(W35:W38)</f>
        <v>579449.2529575195</v>
      </c>
      <c r="X75">
        <f>X74+SUM(X35:X38)</f>
        <v>587765.9092075195</v>
      </c>
      <c r="Y75">
        <f>Y74+SUM(Y35:Y38)</f>
        <v>597612.0654575195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0"/>
  <sheetViews>
    <sheetView workbookViewId="0" showGridLines="0" zoomScale="100"/>
  </sheetViews>
  <sheetFormatPr defaultRowHeight="15" outlineLevelRow="0" outlineLevelCol="0" x14ac:dyDescent="55"/>
  <cols>
    <col min="1" max="1" width="14" customWidth="1"/>
    <col min="2" max="2" width="38" customWidth="1"/>
    <col min="3" max="3" width="26" customWidth="1"/>
    <col min="4" max="4" width="10" customWidth="1"/>
    <col min="6" max="6" width="12" customWidth="1"/>
    <col min="7" max="7" width="10" customWidth="1"/>
    <col min="8" max="8" width="12" customWidth="1"/>
    <col min="9" max="9" width="14" customWidth="1"/>
    <col min="11" max="11" width="16" customWidth="1"/>
    <col min="14" max="14" width="18" customWidth="1"/>
    <col min="15" max="15" width="16" customWidth="1"/>
    <col min="16" max="16" width="14" customWidth="1"/>
    <col min="18" max="18" width="28" customWidth="1"/>
  </cols>
  <sheetData>
    <row r="1" ht="15" customHeight="1" spans="1:18" x14ac:dyDescent="0.25">
      <c r="A1" s="1" t="s">
        <v>650</v>
      </c>
      <c r="B1" s="1"/>
      <c r="C1" s="1"/>
      <c r="D1" s="1"/>
      <c r="E1" s="1"/>
      <c r="F1" s="1"/>
      <c r="G1" s="1"/>
      <c r="H1" s="1"/>
      <c r="I1" s="1"/>
      <c r="J1" s="1"/>
      <c r="K1" s="1"/>
      <c r="L1" s="1"/>
      <c r="M1" s="1"/>
      <c r="N1" s="1"/>
      <c r="O1" s="1"/>
      <c r="P1" s="1"/>
      <c r="Q1" s="1"/>
      <c r="R1" s="1"/>
    </row>
    <row r="3" ht="39.55" customHeight="1" spans="1:18" x14ac:dyDescent="0.25">
      <c r="A3" s="36" t="s">
        <v>323</v>
      </c>
      <c r="B3" s="36" t="s">
        <v>324</v>
      </c>
      <c r="C3" s="36" t="s">
        <v>651</v>
      </c>
      <c r="D3" s="36" t="s">
        <v>652</v>
      </c>
      <c r="E3" s="36" t="s">
        <v>653</v>
      </c>
      <c r="F3" s="36" t="s">
        <v>654</v>
      </c>
      <c r="G3" s="36" t="s">
        <v>655</v>
      </c>
      <c r="H3" s="36" t="s">
        <v>192</v>
      </c>
      <c r="I3" s="36" t="s">
        <v>656</v>
      </c>
      <c r="J3" s="36" t="s">
        <v>657</v>
      </c>
      <c r="K3" s="36" t="s">
        <v>658</v>
      </c>
      <c r="L3" s="36" t="s">
        <v>659</v>
      </c>
      <c r="M3" s="36" t="s">
        <v>660</v>
      </c>
      <c r="N3" s="36" t="s">
        <v>661</v>
      </c>
      <c r="O3" s="36" t="s">
        <v>662</v>
      </c>
      <c r="P3" s="36" t="s">
        <v>663</v>
      </c>
      <c r="Q3" s="36" t="s">
        <v>664</v>
      </c>
      <c r="R3" s="36" t="s">
        <v>665</v>
      </c>
    </row>
    <row r="4" ht="26.85" customHeight="1" spans="1:18" x14ac:dyDescent="0.25">
      <c r="A4" s="40" t="s">
        <v>666</v>
      </c>
      <c r="B4" s="40" t="s">
        <v>667</v>
      </c>
      <c r="C4" s="40" t="s">
        <v>668</v>
      </c>
      <c r="D4" s="40" t="s">
        <v>669</v>
      </c>
      <c r="E4" s="40" t="s">
        <v>670</v>
      </c>
      <c r="F4" s="40" t="s">
        <v>669</v>
      </c>
      <c r="G4" s="40">
        <v>26</v>
      </c>
      <c r="H4" s="43">
        <v>100</v>
      </c>
      <c r="I4" s="32">
        <v>0</v>
      </c>
      <c r="J4" s="32">
        <v>1</v>
      </c>
      <c r="K4" s="32">
        <v>1</v>
      </c>
      <c r="L4" s="32">
        <v>0</v>
      </c>
      <c r="M4" s="32">
        <v>270.7</v>
      </c>
      <c r="N4" s="32">
        <v>270.7</v>
      </c>
      <c r="O4" s="32" t="s">
        <v>671</v>
      </c>
      <c r="P4" s="32" t="s">
        <v>672</v>
      </c>
      <c r="Q4" s="32" t="s">
        <v>672</v>
      </c>
      <c r="R4" s="40" t="s">
        <v>672</v>
      </c>
    </row>
    <row r="5" ht="26.85" customHeight="1" spans="1:18" x14ac:dyDescent="0.25">
      <c r="A5" t="s">
        <v>673</v>
      </c>
      <c r="B5" t="s">
        <v>674</v>
      </c>
      <c r="C5" t="s">
        <v>668</v>
      </c>
      <c r="D5" t="s">
        <v>669</v>
      </c>
      <c r="E5" t="s">
        <v>670</v>
      </c>
      <c r="F5" t="s">
        <v>670</v>
      </c>
      <c r="G5">
        <v>26</v>
      </c>
      <c r="H5">
        <v>100</v>
      </c>
      <c r="I5">
        <v>0</v>
      </c>
      <c r="J5">
        <v>2</v>
      </c>
      <c r="K5">
        <v>2</v>
      </c>
      <c r="L5">
        <v>0</v>
      </c>
      <c r="M5">
        <v>957.1</v>
      </c>
      <c r="N5">
        <v>957.1</v>
      </c>
      <c r="O5" t="s">
        <v>671</v>
      </c>
      <c r="P5" t="s">
        <v>675</v>
      </c>
      <c r="Q5" t="s">
        <v>675</v>
      </c>
      <c r="R5" t="s">
        <v>675</v>
      </c>
    </row>
    <row r="6" ht="26.85" customHeight="1" spans="1:18" x14ac:dyDescent="0.25">
      <c r="A6" t="s">
        <v>676</v>
      </c>
      <c r="B6" t="s">
        <v>677</v>
      </c>
      <c r="C6" t="s">
        <v>668</v>
      </c>
      <c r="D6" t="s">
        <v>670</v>
      </c>
      <c r="E6" t="s">
        <v>670</v>
      </c>
      <c r="F6" t="s">
        <v>670</v>
      </c>
      <c r="G6">
        <v>26</v>
      </c>
      <c r="H6">
        <v>100</v>
      </c>
      <c r="I6">
        <v>0</v>
      </c>
      <c r="J6">
        <v>4</v>
      </c>
      <c r="K6">
        <v>4</v>
      </c>
      <c r="L6">
        <v>0</v>
      </c>
      <c r="M6">
        <v>215.56</v>
      </c>
      <c r="N6">
        <v>215.56</v>
      </c>
      <c r="O6" t="s">
        <v>671</v>
      </c>
      <c r="P6" t="s">
        <v>678</v>
      </c>
      <c r="Q6" t="s">
        <v>678</v>
      </c>
      <c r="R6" t="s">
        <v>678</v>
      </c>
    </row>
    <row r="7" ht="26.85" customHeight="1" spans="1:18" x14ac:dyDescent="0.25">
      <c r="A7" t="s">
        <v>679</v>
      </c>
      <c r="B7" t="s">
        <v>680</v>
      </c>
      <c r="C7" t="s">
        <v>668</v>
      </c>
      <c r="D7" t="s">
        <v>670</v>
      </c>
      <c r="E7" t="s">
        <v>670</v>
      </c>
      <c r="F7" t="s">
        <v>670</v>
      </c>
      <c r="G7">
        <v>26</v>
      </c>
      <c r="H7">
        <v>100</v>
      </c>
      <c r="I7">
        <v>4</v>
      </c>
      <c r="J7">
        <v>0</v>
      </c>
      <c r="K7">
        <v>4</v>
      </c>
      <c r="L7">
        <v>785.12</v>
      </c>
      <c r="M7">
        <v>0</v>
      </c>
      <c r="N7">
        <v>785.12</v>
      </c>
      <c r="O7" t="s">
        <v>681</v>
      </c>
      <c r="P7" t="s">
        <v>682</v>
      </c>
      <c r="Q7" t="s">
        <v>683</v>
      </c>
      <c r="R7" t="s">
        <v>684</v>
      </c>
    </row>
    <row r="8" ht="26.85" customHeight="1" spans="1:18" x14ac:dyDescent="0.25">
      <c r="A8" t="s">
        <v>685</v>
      </c>
      <c r="B8" t="s">
        <v>686</v>
      </c>
      <c r="C8" t="s">
        <v>668</v>
      </c>
      <c r="D8" t="s">
        <v>669</v>
      </c>
      <c r="E8" t="s">
        <v>670</v>
      </c>
      <c r="F8" t="s">
        <v>669</v>
      </c>
      <c r="G8">
        <v>26</v>
      </c>
      <c r="H8">
        <v>100</v>
      </c>
      <c r="I8">
        <v>0</v>
      </c>
      <c r="J8">
        <v>1</v>
      </c>
      <c r="K8">
        <v>1</v>
      </c>
      <c r="L8">
        <v>0</v>
      </c>
      <c r="M8">
        <v>44.75</v>
      </c>
      <c r="N8">
        <v>44.75</v>
      </c>
      <c r="O8" t="s">
        <v>681</v>
      </c>
      <c r="P8" t="s">
        <v>687</v>
      </c>
      <c r="Q8" t="s">
        <v>688</v>
      </c>
      <c r="R8" t="s">
        <v>689</v>
      </c>
    </row>
    <row r="9" ht="15" customHeight="1" spans="1:18" x14ac:dyDescent="0.25">
      <c r="A9" t="s">
        <v>690</v>
      </c>
      <c r="B9" t="s">
        <v>691</v>
      </c>
      <c r="C9" t="s">
        <v>692</v>
      </c>
      <c r="D9" t="s">
        <v>670</v>
      </c>
      <c r="E9" t="s">
        <v>669</v>
      </c>
      <c r="F9" t="s">
        <v>669</v>
      </c>
      <c r="G9">
        <v>26</v>
      </c>
      <c r="H9">
        <v>100</v>
      </c>
      <c r="I9">
        <v>1</v>
      </c>
      <c r="J9">
        <v>0</v>
      </c>
      <c r="K9">
        <v>1</v>
      </c>
      <c r="L9">
        <v>913</v>
      </c>
      <c r="M9">
        <v>0</v>
      </c>
      <c r="N9">
        <v>913</v>
      </c>
      <c r="O9" t="s">
        <v>681</v>
      </c>
      <c r="P9" t="s">
        <v>693</v>
      </c>
      <c r="Q9" t="s">
        <v>694</v>
      </c>
      <c r="R9" t="s">
        <v>695</v>
      </c>
    </row>
    <row r="10" ht="26.85" customHeight="1" spans="1:18" x14ac:dyDescent="0.25">
      <c r="A10" t="s">
        <v>696</v>
      </c>
      <c r="B10" t="s">
        <v>697</v>
      </c>
      <c r="C10" t="s">
        <v>692</v>
      </c>
      <c r="D10" t="s">
        <v>670</v>
      </c>
      <c r="E10" t="s">
        <v>669</v>
      </c>
      <c r="F10" t="s">
        <v>669</v>
      </c>
      <c r="G10">
        <v>26</v>
      </c>
      <c r="H10">
        <v>100</v>
      </c>
      <c r="I10">
        <v>1</v>
      </c>
      <c r="J10">
        <v>0</v>
      </c>
      <c r="K10">
        <v>1</v>
      </c>
      <c r="L10">
        <v>61.88</v>
      </c>
      <c r="M10">
        <v>0</v>
      </c>
      <c r="N10">
        <v>61.88</v>
      </c>
      <c r="O10" t="s">
        <v>671</v>
      </c>
      <c r="P10" t="s">
        <v>698</v>
      </c>
      <c r="Q10" t="s">
        <v>698</v>
      </c>
      <c r="R10" t="s">
        <v>698</v>
      </c>
    </row>
    <row r="11" ht="15" customHeight="1" spans="1:18" x14ac:dyDescent="0.25">
      <c r="A11" t="s">
        <v>699</v>
      </c>
      <c r="B11" t="s">
        <v>700</v>
      </c>
      <c r="C11" t="s">
        <v>692</v>
      </c>
      <c r="D11" t="s">
        <v>670</v>
      </c>
      <c r="E11" t="s">
        <v>670</v>
      </c>
      <c r="F11" t="s">
        <v>670</v>
      </c>
      <c r="G11">
        <v>26</v>
      </c>
      <c r="H11">
        <v>100</v>
      </c>
      <c r="I11">
        <v>3</v>
      </c>
      <c r="J11">
        <v>0</v>
      </c>
      <c r="K11">
        <v>3</v>
      </c>
      <c r="L11">
        <v>105</v>
      </c>
      <c r="M11">
        <v>0</v>
      </c>
      <c r="N11">
        <v>105</v>
      </c>
      <c r="O11" t="s">
        <v>671</v>
      </c>
      <c r="P11" t="s">
        <v>701</v>
      </c>
      <c r="Q11" t="s">
        <v>701</v>
      </c>
      <c r="R11" t="s">
        <v>701</v>
      </c>
    </row>
    <row r="12" ht="15" customHeight="1" spans="1:18" x14ac:dyDescent="0.25">
      <c r="A12" t="s">
        <v>702</v>
      </c>
      <c r="B12" t="s">
        <v>703</v>
      </c>
      <c r="C12" t="s">
        <v>692</v>
      </c>
      <c r="D12" t="s">
        <v>670</v>
      </c>
      <c r="E12" t="s">
        <v>669</v>
      </c>
      <c r="F12" t="s">
        <v>669</v>
      </c>
      <c r="G12">
        <v>26</v>
      </c>
      <c r="H12">
        <v>100</v>
      </c>
      <c r="I12">
        <v>1</v>
      </c>
      <c r="J12">
        <v>0</v>
      </c>
      <c r="K12">
        <v>1</v>
      </c>
      <c r="L12">
        <v>1903</v>
      </c>
      <c r="M12">
        <v>0</v>
      </c>
      <c r="N12">
        <v>1903</v>
      </c>
      <c r="O12" t="s">
        <v>671</v>
      </c>
      <c r="P12" t="s">
        <v>704</v>
      </c>
      <c r="Q12" t="s">
        <v>704</v>
      </c>
      <c r="R12" t="s">
        <v>704</v>
      </c>
    </row>
    <row r="13" ht="26.85" customHeight="1" spans="1:18" x14ac:dyDescent="0.25">
      <c r="A13" t="s">
        <v>705</v>
      </c>
      <c r="B13" t="s">
        <v>706</v>
      </c>
      <c r="C13" t="s">
        <v>692</v>
      </c>
      <c r="D13" t="s">
        <v>670</v>
      </c>
      <c r="E13" t="s">
        <v>670</v>
      </c>
      <c r="F13" t="s">
        <v>669</v>
      </c>
      <c r="G13">
        <v>26</v>
      </c>
      <c r="H13">
        <v>100</v>
      </c>
      <c r="I13">
        <v>0</v>
      </c>
      <c r="J13">
        <v>1</v>
      </c>
      <c r="K13">
        <v>1</v>
      </c>
      <c r="L13">
        <v>0</v>
      </c>
      <c r="M13">
        <v>1769</v>
      </c>
      <c r="N13">
        <v>1769</v>
      </c>
      <c r="O13" t="s">
        <v>681</v>
      </c>
      <c r="P13" t="s">
        <v>707</v>
      </c>
      <c r="Q13" t="s">
        <v>708</v>
      </c>
      <c r="R13" t="s">
        <v>709</v>
      </c>
    </row>
    <row r="14" ht="26.85" customHeight="1" spans="1:18" x14ac:dyDescent="0.25">
      <c r="A14" t="s">
        <v>710</v>
      </c>
      <c r="B14" t="s">
        <v>711</v>
      </c>
      <c r="C14" t="s">
        <v>692</v>
      </c>
      <c r="D14" t="s">
        <v>670</v>
      </c>
      <c r="E14" t="s">
        <v>670</v>
      </c>
      <c r="F14" t="s">
        <v>670</v>
      </c>
      <c r="G14">
        <v>26</v>
      </c>
      <c r="H14">
        <v>100</v>
      </c>
      <c r="I14">
        <v>5.5</v>
      </c>
      <c r="J14">
        <v>0</v>
      </c>
      <c r="K14">
        <v>5.5</v>
      </c>
      <c r="L14">
        <v>561</v>
      </c>
      <c r="M14">
        <v>0</v>
      </c>
      <c r="N14">
        <v>561</v>
      </c>
      <c r="O14" t="s">
        <v>671</v>
      </c>
      <c r="P14" t="s">
        <v>712</v>
      </c>
      <c r="Q14" t="s">
        <v>712</v>
      </c>
      <c r="R14" t="s">
        <v>712</v>
      </c>
    </row>
    <row r="15" ht="15" customHeight="1" spans="1:18" x14ac:dyDescent="0.25">
      <c r="A15" t="s">
        <v>713</v>
      </c>
      <c r="B15" t="s">
        <v>714</v>
      </c>
      <c r="C15" t="s">
        <v>692</v>
      </c>
      <c r="D15" t="s">
        <v>670</v>
      </c>
      <c r="E15" t="s">
        <v>669</v>
      </c>
      <c r="F15" t="s">
        <v>669</v>
      </c>
      <c r="G15">
        <v>26</v>
      </c>
      <c r="H15">
        <v>100</v>
      </c>
      <c r="I15">
        <v>1</v>
      </c>
      <c r="J15">
        <v>0</v>
      </c>
      <c r="K15">
        <v>1</v>
      </c>
      <c r="L15">
        <v>7.67</v>
      </c>
      <c r="M15">
        <v>0</v>
      </c>
      <c r="N15">
        <v>7.67</v>
      </c>
      <c r="O15" t="s">
        <v>681</v>
      </c>
      <c r="P15" t="s">
        <v>715</v>
      </c>
      <c r="Q15" t="s">
        <v>716</v>
      </c>
      <c r="R15" t="s">
        <v>717</v>
      </c>
    </row>
    <row r="16" ht="15" customHeight="1" spans="1:18" x14ac:dyDescent="0.25">
      <c r="A16" t="s">
        <v>718</v>
      </c>
      <c r="B16" t="s">
        <v>719</v>
      </c>
      <c r="C16" t="s">
        <v>692</v>
      </c>
      <c r="D16" t="s">
        <v>670</v>
      </c>
      <c r="E16" t="s">
        <v>669</v>
      </c>
      <c r="F16" t="s">
        <v>669</v>
      </c>
      <c r="G16">
        <v>26</v>
      </c>
      <c r="H16">
        <v>100</v>
      </c>
      <c r="I16">
        <v>2</v>
      </c>
      <c r="J16">
        <v>0</v>
      </c>
      <c r="K16">
        <v>2</v>
      </c>
      <c r="L16">
        <v>15.34</v>
      </c>
      <c r="M16">
        <v>0</v>
      </c>
      <c r="N16">
        <v>15.34</v>
      </c>
      <c r="O16" t="s">
        <v>671</v>
      </c>
      <c r="P16" t="s">
        <v>716</v>
      </c>
      <c r="Q16" t="s">
        <v>716</v>
      </c>
      <c r="R16" t="s">
        <v>716</v>
      </c>
    </row>
    <row r="17" ht="15" customHeight="1" spans="1:18" x14ac:dyDescent="0.25">
      <c r="A17" t="s">
        <v>720</v>
      </c>
      <c r="B17" t="s">
        <v>721</v>
      </c>
      <c r="C17" t="s">
        <v>692</v>
      </c>
      <c r="D17" t="s">
        <v>670</v>
      </c>
      <c r="E17" t="s">
        <v>670</v>
      </c>
      <c r="F17" t="s">
        <v>669</v>
      </c>
      <c r="G17">
        <v>26</v>
      </c>
      <c r="H17">
        <v>100</v>
      </c>
      <c r="I17">
        <v>3</v>
      </c>
      <c r="J17">
        <v>0</v>
      </c>
      <c r="K17">
        <v>3</v>
      </c>
      <c r="L17">
        <v>998.4</v>
      </c>
      <c r="M17">
        <v>0</v>
      </c>
      <c r="N17">
        <v>998.4</v>
      </c>
      <c r="O17" t="s">
        <v>671</v>
      </c>
      <c r="P17" t="s">
        <v>722</v>
      </c>
      <c r="Q17" t="s">
        <v>722</v>
      </c>
      <c r="R17" t="s">
        <v>722</v>
      </c>
    </row>
    <row r="18" ht="15" customHeight="1" spans="1:18" x14ac:dyDescent="0.25">
      <c r="A18" t="s">
        <v>723</v>
      </c>
      <c r="B18" t="s">
        <v>724</v>
      </c>
      <c r="C18" t="s">
        <v>692</v>
      </c>
      <c r="D18" t="s">
        <v>670</v>
      </c>
      <c r="E18" t="s">
        <v>670</v>
      </c>
      <c r="F18" t="s">
        <v>670</v>
      </c>
      <c r="G18">
        <v>26</v>
      </c>
      <c r="H18">
        <v>100</v>
      </c>
      <c r="I18">
        <v>2</v>
      </c>
      <c r="J18">
        <v>8</v>
      </c>
      <c r="K18">
        <v>10</v>
      </c>
      <c r="L18">
        <v>76.4</v>
      </c>
      <c r="M18">
        <v>305.6</v>
      </c>
      <c r="N18">
        <v>382</v>
      </c>
      <c r="O18" t="s">
        <v>671</v>
      </c>
      <c r="P18" t="s">
        <v>725</v>
      </c>
      <c r="Q18" t="s">
        <v>725</v>
      </c>
      <c r="R18" t="s">
        <v>725</v>
      </c>
    </row>
    <row r="19" ht="15" customHeight="1" spans="1:18" x14ac:dyDescent="0.25">
      <c r="A19" t="s">
        <v>726</v>
      </c>
      <c r="B19" t="s">
        <v>727</v>
      </c>
      <c r="C19" t="s">
        <v>692</v>
      </c>
      <c r="D19" t="s">
        <v>670</v>
      </c>
      <c r="E19" t="s">
        <v>670</v>
      </c>
      <c r="F19" t="s">
        <v>670</v>
      </c>
      <c r="G19">
        <v>26</v>
      </c>
      <c r="H19">
        <v>100</v>
      </c>
      <c r="I19">
        <v>3</v>
      </c>
      <c r="J19">
        <v>2.5</v>
      </c>
      <c r="K19">
        <v>5.5</v>
      </c>
      <c r="L19">
        <v>51.3</v>
      </c>
      <c r="M19">
        <v>42.75</v>
      </c>
      <c r="N19">
        <v>94.05</v>
      </c>
      <c r="O19" t="s">
        <v>671</v>
      </c>
      <c r="P19" t="s">
        <v>728</v>
      </c>
      <c r="Q19" t="s">
        <v>728</v>
      </c>
      <c r="R19" t="s">
        <v>728</v>
      </c>
    </row>
    <row r="20" ht="15" customHeight="1" spans="1:18" x14ac:dyDescent="0.25">
      <c r="A20" t="s">
        <v>729</v>
      </c>
      <c r="B20" t="s">
        <v>730</v>
      </c>
      <c r="C20" t="s">
        <v>692</v>
      </c>
      <c r="D20" t="s">
        <v>669</v>
      </c>
      <c r="E20" t="s">
        <v>670</v>
      </c>
      <c r="F20" t="s">
        <v>670</v>
      </c>
      <c r="G20">
        <v>26</v>
      </c>
      <c r="H20">
        <v>100</v>
      </c>
      <c r="I20">
        <v>0</v>
      </c>
      <c r="J20">
        <v>3</v>
      </c>
      <c r="K20">
        <v>3</v>
      </c>
      <c r="L20">
        <v>0</v>
      </c>
      <c r="M20">
        <v>646.9</v>
      </c>
      <c r="N20">
        <v>646.9</v>
      </c>
      <c r="O20" t="s">
        <v>731</v>
      </c>
      <c r="P20" t="s">
        <v>732</v>
      </c>
      <c r="Q20" t="s">
        <v>733</v>
      </c>
      <c r="R20" t="s">
        <v>734</v>
      </c>
    </row>
    <row r="21" ht="26.85" customHeight="1" spans="1:18" x14ac:dyDescent="0.25">
      <c r="A21" t="s">
        <v>735</v>
      </c>
      <c r="B21" t="s">
        <v>736</v>
      </c>
      <c r="C21" t="s">
        <v>668</v>
      </c>
      <c r="D21" t="s">
        <v>670</v>
      </c>
      <c r="E21" t="s">
        <v>669</v>
      </c>
      <c r="F21" t="s">
        <v>669</v>
      </c>
      <c r="G21">
        <v>25</v>
      </c>
      <c r="H21">
        <v>96.15</v>
      </c>
      <c r="I21">
        <v>10</v>
      </c>
      <c r="J21">
        <v>0</v>
      </c>
      <c r="K21">
        <v>10</v>
      </c>
      <c r="L21">
        <v>2006</v>
      </c>
      <c r="M21">
        <v>0</v>
      </c>
      <c r="N21">
        <v>2006</v>
      </c>
      <c r="O21" t="s">
        <v>681</v>
      </c>
      <c r="P21" t="s">
        <v>737</v>
      </c>
      <c r="Q21" t="s">
        <v>738</v>
      </c>
      <c r="R21" t="s">
        <v>739</v>
      </c>
    </row>
    <row r="22" ht="15" customHeight="1" spans="1:18" x14ac:dyDescent="0.25">
      <c r="A22" t="s">
        <v>740</v>
      </c>
      <c r="B22" t="s">
        <v>741</v>
      </c>
      <c r="C22" t="s">
        <v>692</v>
      </c>
      <c r="D22" t="s">
        <v>670</v>
      </c>
      <c r="E22" t="s">
        <v>669</v>
      </c>
      <c r="F22" t="s">
        <v>669</v>
      </c>
      <c r="G22">
        <v>25</v>
      </c>
      <c r="H22">
        <v>96.15</v>
      </c>
      <c r="I22">
        <v>1</v>
      </c>
      <c r="J22">
        <v>0</v>
      </c>
      <c r="K22">
        <v>1</v>
      </c>
      <c r="L22">
        <v>1004</v>
      </c>
      <c r="M22">
        <v>0</v>
      </c>
      <c r="N22">
        <v>1004</v>
      </c>
      <c r="O22" t="s">
        <v>681</v>
      </c>
      <c r="P22" t="s">
        <v>742</v>
      </c>
      <c r="Q22" t="s">
        <v>743</v>
      </c>
      <c r="R22" t="s">
        <v>744</v>
      </c>
    </row>
    <row r="23" ht="26.85" customHeight="1" spans="1:18" x14ac:dyDescent="0.25">
      <c r="A23" t="s">
        <v>745</v>
      </c>
      <c r="B23" t="s">
        <v>746</v>
      </c>
      <c r="C23" t="s">
        <v>692</v>
      </c>
      <c r="D23" t="s">
        <v>670</v>
      </c>
      <c r="E23" t="s">
        <v>669</v>
      </c>
      <c r="F23" t="s">
        <v>669</v>
      </c>
      <c r="G23">
        <v>25</v>
      </c>
      <c r="H23">
        <v>96.15</v>
      </c>
      <c r="I23">
        <v>2</v>
      </c>
      <c r="J23">
        <v>0</v>
      </c>
      <c r="K23">
        <v>2</v>
      </c>
      <c r="L23">
        <v>2592</v>
      </c>
      <c r="M23">
        <v>0</v>
      </c>
      <c r="N23">
        <v>2592</v>
      </c>
      <c r="O23" t="s">
        <v>731</v>
      </c>
      <c r="P23" t="s">
        <v>747</v>
      </c>
      <c r="Q23" t="s">
        <v>748</v>
      </c>
      <c r="R23" t="s">
        <v>749</v>
      </c>
    </row>
    <row r="24" ht="15" customHeight="1" spans="1:18" x14ac:dyDescent="0.25">
      <c r="A24" t="s">
        <v>750</v>
      </c>
      <c r="B24" t="s">
        <v>751</v>
      </c>
      <c r="C24" t="s">
        <v>692</v>
      </c>
      <c r="D24" t="s">
        <v>669</v>
      </c>
      <c r="E24" t="s">
        <v>670</v>
      </c>
      <c r="F24" t="s">
        <v>670</v>
      </c>
      <c r="G24">
        <v>25</v>
      </c>
      <c r="H24">
        <v>96.15</v>
      </c>
      <c r="I24">
        <v>0</v>
      </c>
      <c r="J24">
        <v>7</v>
      </c>
      <c r="K24">
        <v>7</v>
      </c>
      <c r="L24">
        <v>0</v>
      </c>
      <c r="M24">
        <v>245</v>
      </c>
      <c r="N24">
        <v>245</v>
      </c>
      <c r="O24" t="s">
        <v>671</v>
      </c>
      <c r="P24" t="s">
        <v>701</v>
      </c>
      <c r="Q24" t="s">
        <v>701</v>
      </c>
      <c r="R24" t="s">
        <v>701</v>
      </c>
    </row>
    <row r="25" ht="26.85" customHeight="1" spans="1:18" x14ac:dyDescent="0.25">
      <c r="A25" t="s">
        <v>752</v>
      </c>
      <c r="B25" t="s">
        <v>753</v>
      </c>
      <c r="C25" t="s">
        <v>692</v>
      </c>
      <c r="D25" t="s">
        <v>670</v>
      </c>
      <c r="E25" t="s">
        <v>670</v>
      </c>
      <c r="F25" t="s">
        <v>669</v>
      </c>
      <c r="G25">
        <v>25</v>
      </c>
      <c r="H25">
        <v>96.15</v>
      </c>
      <c r="I25">
        <v>1</v>
      </c>
      <c r="J25">
        <v>0</v>
      </c>
      <c r="K25">
        <v>1</v>
      </c>
      <c r="L25">
        <v>1416.94</v>
      </c>
      <c r="M25">
        <v>0</v>
      </c>
      <c r="N25">
        <v>1416.94</v>
      </c>
      <c r="O25" t="s">
        <v>681</v>
      </c>
      <c r="P25" t="s">
        <v>754</v>
      </c>
      <c r="Q25" t="s">
        <v>755</v>
      </c>
      <c r="R25" t="s">
        <v>756</v>
      </c>
    </row>
    <row r="26" ht="15" customHeight="1" spans="1:18" x14ac:dyDescent="0.25">
      <c r="A26" t="s">
        <v>757</v>
      </c>
      <c r="B26" t="s">
        <v>758</v>
      </c>
      <c r="C26" t="s">
        <v>692</v>
      </c>
      <c r="D26" t="s">
        <v>670</v>
      </c>
      <c r="E26" t="s">
        <v>670</v>
      </c>
      <c r="F26" t="s">
        <v>669</v>
      </c>
      <c r="G26">
        <v>25</v>
      </c>
      <c r="H26">
        <v>96.15</v>
      </c>
      <c r="I26">
        <v>0</v>
      </c>
      <c r="J26">
        <v>1</v>
      </c>
      <c r="K26">
        <v>1</v>
      </c>
      <c r="L26">
        <v>0</v>
      </c>
      <c r="M26">
        <v>871.5</v>
      </c>
      <c r="N26">
        <v>871.5</v>
      </c>
      <c r="O26" t="s">
        <v>671</v>
      </c>
      <c r="P26" t="s">
        <v>759</v>
      </c>
      <c r="Q26" t="s">
        <v>759</v>
      </c>
      <c r="R26" t="s">
        <v>759</v>
      </c>
    </row>
    <row r="27" ht="15" customHeight="1" spans="1:18" x14ac:dyDescent="0.25">
      <c r="A27" t="s">
        <v>760</v>
      </c>
      <c r="B27" t="s">
        <v>761</v>
      </c>
      <c r="C27" t="s">
        <v>692</v>
      </c>
      <c r="D27" t="s">
        <v>670</v>
      </c>
      <c r="E27" t="s">
        <v>670</v>
      </c>
      <c r="F27" t="s">
        <v>670</v>
      </c>
      <c r="G27">
        <v>25</v>
      </c>
      <c r="H27">
        <v>96.15</v>
      </c>
      <c r="I27">
        <v>3</v>
      </c>
      <c r="J27">
        <v>3</v>
      </c>
      <c r="K27">
        <v>5</v>
      </c>
      <c r="L27">
        <v>75.75</v>
      </c>
      <c r="M27">
        <v>75.75</v>
      </c>
      <c r="N27">
        <v>126.25</v>
      </c>
      <c r="O27" t="s">
        <v>681</v>
      </c>
      <c r="P27" t="s">
        <v>762</v>
      </c>
      <c r="Q27" t="s">
        <v>763</v>
      </c>
      <c r="R27" t="s">
        <v>764</v>
      </c>
    </row>
    <row r="28" ht="26.85" customHeight="1" spans="1:18" x14ac:dyDescent="0.25">
      <c r="A28" t="s">
        <v>765</v>
      </c>
      <c r="B28" t="s">
        <v>766</v>
      </c>
      <c r="C28" t="s">
        <v>668</v>
      </c>
      <c r="D28" t="s">
        <v>670</v>
      </c>
      <c r="E28" t="s">
        <v>670</v>
      </c>
      <c r="F28" t="s">
        <v>669</v>
      </c>
      <c r="G28">
        <v>24</v>
      </c>
      <c r="H28">
        <v>92.31</v>
      </c>
      <c r="I28">
        <v>1</v>
      </c>
      <c r="J28">
        <v>0</v>
      </c>
      <c r="K28">
        <v>1</v>
      </c>
      <c r="L28">
        <v>313.12</v>
      </c>
      <c r="M28">
        <v>0</v>
      </c>
      <c r="N28">
        <v>313.12</v>
      </c>
      <c r="O28" t="s">
        <v>671</v>
      </c>
      <c r="P28" t="s">
        <v>767</v>
      </c>
      <c r="Q28" t="s">
        <v>767</v>
      </c>
      <c r="R28" t="s">
        <v>767</v>
      </c>
    </row>
    <row r="29" ht="26.85" customHeight="1" spans="1:18" x14ac:dyDescent="0.25">
      <c r="A29" t="s">
        <v>768</v>
      </c>
      <c r="B29" t="s">
        <v>769</v>
      </c>
      <c r="C29" t="s">
        <v>668</v>
      </c>
      <c r="D29" t="s">
        <v>670</v>
      </c>
      <c r="E29" t="s">
        <v>669</v>
      </c>
      <c r="F29" t="s">
        <v>669</v>
      </c>
      <c r="G29">
        <v>24</v>
      </c>
      <c r="H29">
        <v>92.31</v>
      </c>
      <c r="I29">
        <v>1</v>
      </c>
      <c r="J29">
        <v>0</v>
      </c>
      <c r="K29">
        <v>1</v>
      </c>
      <c r="L29">
        <v>132.15</v>
      </c>
      <c r="M29">
        <v>0</v>
      </c>
      <c r="N29">
        <v>132.15</v>
      </c>
      <c r="O29" t="s">
        <v>770</v>
      </c>
      <c r="P29" t="s">
        <v>771</v>
      </c>
      <c r="Q29" t="s">
        <v>772</v>
      </c>
      <c r="R29" t="s">
        <v>773</v>
      </c>
    </row>
    <row r="30" ht="15" customHeight="1" spans="1:18" x14ac:dyDescent="0.25">
      <c r="A30" t="s">
        <v>774</v>
      </c>
      <c r="B30" t="s">
        <v>775</v>
      </c>
      <c r="C30" t="s">
        <v>692</v>
      </c>
      <c r="D30" t="s">
        <v>670</v>
      </c>
      <c r="E30" t="s">
        <v>669</v>
      </c>
      <c r="F30" t="s">
        <v>669</v>
      </c>
      <c r="G30">
        <v>24</v>
      </c>
      <c r="H30">
        <v>92.31</v>
      </c>
      <c r="I30">
        <v>1</v>
      </c>
      <c r="J30">
        <v>0</v>
      </c>
      <c r="K30">
        <v>1</v>
      </c>
      <c r="L30">
        <v>1130</v>
      </c>
      <c r="M30">
        <v>0</v>
      </c>
      <c r="N30">
        <v>1130</v>
      </c>
      <c r="O30" t="s">
        <v>681</v>
      </c>
      <c r="P30" t="s">
        <v>776</v>
      </c>
      <c r="Q30" t="s">
        <v>777</v>
      </c>
      <c r="R30" t="s">
        <v>778</v>
      </c>
    </row>
    <row r="31" ht="15" customHeight="1" spans="1:18" x14ac:dyDescent="0.25">
      <c r="A31" t="s">
        <v>779</v>
      </c>
      <c r="B31" t="s">
        <v>780</v>
      </c>
      <c r="C31" t="s">
        <v>692</v>
      </c>
      <c r="D31" t="s">
        <v>669</v>
      </c>
      <c r="E31" t="s">
        <v>670</v>
      </c>
      <c r="F31" t="s">
        <v>669</v>
      </c>
      <c r="G31">
        <v>24</v>
      </c>
      <c r="H31">
        <v>92.31</v>
      </c>
      <c r="I31">
        <v>0</v>
      </c>
      <c r="J31">
        <v>1</v>
      </c>
      <c r="K31">
        <v>1</v>
      </c>
      <c r="L31">
        <v>0</v>
      </c>
      <c r="M31">
        <v>595</v>
      </c>
      <c r="N31">
        <v>595</v>
      </c>
      <c r="O31" t="s">
        <v>671</v>
      </c>
      <c r="P31" t="s">
        <v>781</v>
      </c>
      <c r="Q31" t="s">
        <v>781</v>
      </c>
      <c r="R31" t="s">
        <v>781</v>
      </c>
    </row>
    <row r="32" ht="15" customHeight="1" spans="1:18" x14ac:dyDescent="0.25">
      <c r="A32" t="s">
        <v>782</v>
      </c>
      <c r="B32" t="s">
        <v>783</v>
      </c>
      <c r="C32" t="s">
        <v>692</v>
      </c>
      <c r="D32" t="s">
        <v>670</v>
      </c>
      <c r="E32" t="s">
        <v>669</v>
      </c>
      <c r="F32" t="s">
        <v>669</v>
      </c>
      <c r="G32">
        <v>24</v>
      </c>
      <c r="H32">
        <v>92.31</v>
      </c>
      <c r="I32">
        <v>1</v>
      </c>
      <c r="J32">
        <v>0</v>
      </c>
      <c r="K32">
        <v>1</v>
      </c>
      <c r="L32">
        <v>120.3</v>
      </c>
      <c r="M32">
        <v>0</v>
      </c>
      <c r="N32">
        <v>120.3</v>
      </c>
      <c r="O32" t="s">
        <v>731</v>
      </c>
      <c r="P32" t="s">
        <v>784</v>
      </c>
      <c r="Q32" t="s">
        <v>785</v>
      </c>
      <c r="R32" t="s">
        <v>786</v>
      </c>
    </row>
    <row r="33" ht="26.85" customHeight="1" spans="1:18" x14ac:dyDescent="0.25">
      <c r="A33" t="s">
        <v>787</v>
      </c>
      <c r="B33" t="s">
        <v>788</v>
      </c>
      <c r="C33" t="s">
        <v>668</v>
      </c>
      <c r="D33" t="s">
        <v>670</v>
      </c>
      <c r="E33" t="s">
        <v>669</v>
      </c>
      <c r="F33" t="s">
        <v>669</v>
      </c>
      <c r="G33">
        <v>23</v>
      </c>
      <c r="H33">
        <v>88.46</v>
      </c>
      <c r="I33">
        <v>5</v>
      </c>
      <c r="J33">
        <v>0</v>
      </c>
      <c r="K33">
        <v>5</v>
      </c>
      <c r="L33">
        <v>537</v>
      </c>
      <c r="M33">
        <v>0</v>
      </c>
      <c r="N33">
        <v>537</v>
      </c>
      <c r="O33" t="s">
        <v>770</v>
      </c>
      <c r="P33" t="s">
        <v>789</v>
      </c>
      <c r="Q33" t="s">
        <v>790</v>
      </c>
      <c r="R33" t="s">
        <v>791</v>
      </c>
    </row>
    <row r="34" ht="26.85" customHeight="1" spans="1:18" x14ac:dyDescent="0.25">
      <c r="A34" t="s">
        <v>792</v>
      </c>
      <c r="B34" t="s">
        <v>793</v>
      </c>
      <c r="C34" t="s">
        <v>668</v>
      </c>
      <c r="D34" t="s">
        <v>670</v>
      </c>
      <c r="E34" t="s">
        <v>669</v>
      </c>
      <c r="F34" t="s">
        <v>669</v>
      </c>
      <c r="G34">
        <v>23</v>
      </c>
      <c r="H34">
        <v>88.46</v>
      </c>
      <c r="I34">
        <v>1</v>
      </c>
      <c r="J34">
        <v>0</v>
      </c>
      <c r="K34">
        <v>1</v>
      </c>
      <c r="L34">
        <v>13.04</v>
      </c>
      <c r="M34">
        <v>0</v>
      </c>
      <c r="N34">
        <v>13.04</v>
      </c>
      <c r="O34" t="s">
        <v>671</v>
      </c>
      <c r="P34" t="s">
        <v>794</v>
      </c>
      <c r="Q34" t="s">
        <v>794</v>
      </c>
      <c r="R34" t="s">
        <v>794</v>
      </c>
    </row>
    <row r="35" ht="26.85" customHeight="1" spans="1:18" x14ac:dyDescent="0.25">
      <c r="A35" t="s">
        <v>795</v>
      </c>
      <c r="B35" t="s">
        <v>796</v>
      </c>
      <c r="C35" t="s">
        <v>668</v>
      </c>
      <c r="D35" t="s">
        <v>670</v>
      </c>
      <c r="E35" t="s">
        <v>669</v>
      </c>
      <c r="F35" t="s">
        <v>669</v>
      </c>
      <c r="G35">
        <v>22</v>
      </c>
      <c r="H35">
        <v>84.62</v>
      </c>
      <c r="I35">
        <v>1</v>
      </c>
      <c r="J35">
        <v>0</v>
      </c>
      <c r="K35">
        <v>1</v>
      </c>
      <c r="L35">
        <v>10.88</v>
      </c>
      <c r="M35">
        <v>0</v>
      </c>
      <c r="N35">
        <v>10.88</v>
      </c>
      <c r="O35" t="s">
        <v>671</v>
      </c>
      <c r="P35" t="s">
        <v>797</v>
      </c>
      <c r="Q35" t="s">
        <v>797</v>
      </c>
      <c r="R35" t="s">
        <v>797</v>
      </c>
    </row>
    <row r="36" ht="26.85" customHeight="1" spans="1:18" x14ac:dyDescent="0.25">
      <c r="A36" t="s">
        <v>798</v>
      </c>
      <c r="B36" t="s">
        <v>799</v>
      </c>
      <c r="C36" t="s">
        <v>668</v>
      </c>
      <c r="D36" t="s">
        <v>670</v>
      </c>
      <c r="E36" t="s">
        <v>669</v>
      </c>
      <c r="F36" t="s">
        <v>669</v>
      </c>
      <c r="G36">
        <v>22</v>
      </c>
      <c r="H36">
        <v>84.62</v>
      </c>
      <c r="I36">
        <v>2</v>
      </c>
      <c r="J36">
        <v>0</v>
      </c>
      <c r="K36">
        <v>2</v>
      </c>
      <c r="L36">
        <v>75.44</v>
      </c>
      <c r="M36">
        <v>0</v>
      </c>
      <c r="N36">
        <v>75.44</v>
      </c>
      <c r="O36" t="s">
        <v>671</v>
      </c>
      <c r="P36" t="s">
        <v>800</v>
      </c>
      <c r="Q36" t="s">
        <v>800</v>
      </c>
      <c r="R36" t="s">
        <v>800</v>
      </c>
    </row>
    <row r="37" ht="15" customHeight="1" spans="1:18" x14ac:dyDescent="0.25">
      <c r="A37" t="s">
        <v>801</v>
      </c>
      <c r="B37" t="s">
        <v>802</v>
      </c>
      <c r="C37" t="s">
        <v>692</v>
      </c>
      <c r="D37" t="s">
        <v>670</v>
      </c>
      <c r="E37" t="s">
        <v>669</v>
      </c>
      <c r="F37" t="s">
        <v>669</v>
      </c>
      <c r="G37">
        <v>22</v>
      </c>
      <c r="H37">
        <v>84.62</v>
      </c>
      <c r="I37">
        <v>2</v>
      </c>
      <c r="J37">
        <v>0</v>
      </c>
      <c r="K37">
        <v>2</v>
      </c>
      <c r="L37">
        <v>1369.7</v>
      </c>
      <c r="M37">
        <v>0</v>
      </c>
      <c r="N37">
        <v>1369.7</v>
      </c>
      <c r="O37" t="s">
        <v>731</v>
      </c>
      <c r="P37" t="s">
        <v>803</v>
      </c>
      <c r="Q37" t="s">
        <v>804</v>
      </c>
      <c r="R37" t="s">
        <v>805</v>
      </c>
    </row>
    <row r="38" ht="26.85" customHeight="1" spans="1:18" x14ac:dyDescent="0.25">
      <c r="A38" t="s">
        <v>806</v>
      </c>
      <c r="B38" t="s">
        <v>807</v>
      </c>
      <c r="C38" t="s">
        <v>668</v>
      </c>
      <c r="D38" t="s">
        <v>670</v>
      </c>
      <c r="E38" t="s">
        <v>669</v>
      </c>
      <c r="F38" t="s">
        <v>669</v>
      </c>
      <c r="G38">
        <v>21</v>
      </c>
      <c r="H38">
        <v>80.77</v>
      </c>
      <c r="I38">
        <v>5</v>
      </c>
      <c r="J38">
        <v>0</v>
      </c>
      <c r="K38">
        <v>5</v>
      </c>
      <c r="L38">
        <v>1078</v>
      </c>
      <c r="M38">
        <v>0</v>
      </c>
      <c r="N38">
        <v>1078</v>
      </c>
      <c r="O38" t="s">
        <v>671</v>
      </c>
      <c r="P38" t="s">
        <v>808</v>
      </c>
      <c r="Q38" t="s">
        <v>808</v>
      </c>
      <c r="R38" t="s">
        <v>808</v>
      </c>
    </row>
    <row r="39" ht="26.85" customHeight="1" spans="1:18" x14ac:dyDescent="0.25">
      <c r="A39" t="s">
        <v>809</v>
      </c>
      <c r="B39" t="s">
        <v>810</v>
      </c>
      <c r="C39" t="s">
        <v>668</v>
      </c>
      <c r="D39" t="s">
        <v>670</v>
      </c>
      <c r="E39" t="s">
        <v>670</v>
      </c>
      <c r="F39" t="s">
        <v>670</v>
      </c>
      <c r="G39">
        <v>21</v>
      </c>
      <c r="H39">
        <v>80.77</v>
      </c>
      <c r="I39">
        <v>1</v>
      </c>
      <c r="J39">
        <v>0</v>
      </c>
      <c r="K39">
        <v>1</v>
      </c>
      <c r="L39">
        <v>814.28</v>
      </c>
      <c r="M39">
        <v>0</v>
      </c>
      <c r="N39">
        <v>814.28</v>
      </c>
      <c r="O39" t="s">
        <v>681</v>
      </c>
      <c r="P39" t="s">
        <v>811</v>
      </c>
      <c r="Q39" t="s">
        <v>812</v>
      </c>
      <c r="R39" t="s">
        <v>813</v>
      </c>
    </row>
    <row r="40" ht="26.85" customHeight="1" spans="1:18" x14ac:dyDescent="0.25">
      <c r="A40" t="s">
        <v>814</v>
      </c>
      <c r="B40" t="s">
        <v>815</v>
      </c>
      <c r="C40" t="s">
        <v>692</v>
      </c>
      <c r="D40" t="s">
        <v>670</v>
      </c>
      <c r="E40" t="s">
        <v>670</v>
      </c>
      <c r="F40" t="s">
        <v>670</v>
      </c>
      <c r="G40">
        <v>21</v>
      </c>
      <c r="H40">
        <v>80.77</v>
      </c>
      <c r="I40">
        <v>0</v>
      </c>
      <c r="J40">
        <v>1</v>
      </c>
      <c r="K40">
        <v>1</v>
      </c>
      <c r="L40">
        <v>0</v>
      </c>
      <c r="M40">
        <v>91</v>
      </c>
      <c r="N40">
        <v>91</v>
      </c>
      <c r="O40" t="s">
        <v>681</v>
      </c>
      <c r="P40" t="s">
        <v>816</v>
      </c>
      <c r="Q40" t="s">
        <v>817</v>
      </c>
      <c r="R40" t="s">
        <v>818</v>
      </c>
    </row>
    <row r="41" ht="15" customHeight="1" spans="1:18" x14ac:dyDescent="0.25">
      <c r="A41" t="s">
        <v>819</v>
      </c>
      <c r="B41" t="s">
        <v>820</v>
      </c>
      <c r="C41" t="s">
        <v>692</v>
      </c>
      <c r="D41" t="s">
        <v>670</v>
      </c>
      <c r="E41" t="s">
        <v>670</v>
      </c>
      <c r="F41" t="s">
        <v>669</v>
      </c>
      <c r="G41">
        <v>21</v>
      </c>
      <c r="H41">
        <v>80.77</v>
      </c>
      <c r="I41">
        <v>1</v>
      </c>
      <c r="J41">
        <v>0</v>
      </c>
      <c r="K41">
        <v>1</v>
      </c>
      <c r="L41">
        <v>71.25</v>
      </c>
      <c r="M41">
        <v>0</v>
      </c>
      <c r="N41">
        <v>71.25</v>
      </c>
      <c r="O41" t="s">
        <v>681</v>
      </c>
      <c r="P41" t="s">
        <v>821</v>
      </c>
      <c r="Q41" t="s">
        <v>822</v>
      </c>
      <c r="R41" t="s">
        <v>823</v>
      </c>
    </row>
    <row r="42" ht="26.85" customHeight="1" spans="1:18" x14ac:dyDescent="0.25">
      <c r="A42" t="s">
        <v>824</v>
      </c>
      <c r="B42" t="s">
        <v>825</v>
      </c>
      <c r="C42" t="s">
        <v>668</v>
      </c>
      <c r="D42" t="s">
        <v>670</v>
      </c>
      <c r="E42" t="s">
        <v>670</v>
      </c>
      <c r="F42" t="s">
        <v>670</v>
      </c>
      <c r="G42">
        <v>20</v>
      </c>
      <c r="H42">
        <v>76.92</v>
      </c>
      <c r="I42">
        <v>0</v>
      </c>
      <c r="J42">
        <v>2.5</v>
      </c>
      <c r="K42">
        <v>2.5</v>
      </c>
      <c r="L42">
        <v>0</v>
      </c>
      <c r="M42">
        <v>180</v>
      </c>
      <c r="N42">
        <v>180</v>
      </c>
      <c r="O42" t="s">
        <v>671</v>
      </c>
      <c r="P42" t="s">
        <v>826</v>
      </c>
      <c r="Q42" t="s">
        <v>826</v>
      </c>
      <c r="R42" t="s">
        <v>826</v>
      </c>
    </row>
    <row r="43" ht="26.85" customHeight="1" spans="1:18" x14ac:dyDescent="0.25">
      <c r="A43" t="s">
        <v>827</v>
      </c>
      <c r="B43" t="s">
        <v>828</v>
      </c>
      <c r="C43" t="s">
        <v>668</v>
      </c>
      <c r="D43" t="s">
        <v>670</v>
      </c>
      <c r="E43" t="s">
        <v>670</v>
      </c>
      <c r="F43" t="s">
        <v>670</v>
      </c>
      <c r="G43">
        <v>20</v>
      </c>
      <c r="H43">
        <v>76.92</v>
      </c>
      <c r="I43">
        <v>0</v>
      </c>
      <c r="J43">
        <v>4</v>
      </c>
      <c r="K43">
        <v>4</v>
      </c>
      <c r="L43">
        <v>0</v>
      </c>
      <c r="M43">
        <v>375.8</v>
      </c>
      <c r="N43">
        <v>375.8</v>
      </c>
      <c r="O43" t="s">
        <v>681</v>
      </c>
      <c r="P43" t="s">
        <v>829</v>
      </c>
      <c r="Q43" t="s">
        <v>830</v>
      </c>
      <c r="R43" t="s">
        <v>831</v>
      </c>
    </row>
    <row r="44" ht="26.85" customHeight="1" spans="1:18" x14ac:dyDescent="0.25">
      <c r="A44" t="s">
        <v>832</v>
      </c>
      <c r="B44" t="s">
        <v>833</v>
      </c>
      <c r="C44" t="s">
        <v>692</v>
      </c>
      <c r="D44" t="s">
        <v>670</v>
      </c>
      <c r="E44" t="s">
        <v>669</v>
      </c>
      <c r="F44" t="s">
        <v>669</v>
      </c>
      <c r="G44">
        <v>20</v>
      </c>
      <c r="H44">
        <v>76.92</v>
      </c>
      <c r="I44">
        <v>2</v>
      </c>
      <c r="J44">
        <v>0</v>
      </c>
      <c r="K44">
        <v>2</v>
      </c>
      <c r="L44">
        <v>256</v>
      </c>
      <c r="M44">
        <v>0</v>
      </c>
      <c r="N44">
        <v>256</v>
      </c>
      <c r="O44" t="s">
        <v>681</v>
      </c>
      <c r="P44" t="s">
        <v>834</v>
      </c>
      <c r="Q44" t="s">
        <v>835</v>
      </c>
      <c r="R44" t="s">
        <v>836</v>
      </c>
    </row>
    <row r="45" ht="26.85" customHeight="1" spans="1:18" x14ac:dyDescent="0.25">
      <c r="A45" t="s">
        <v>837</v>
      </c>
      <c r="B45" t="s">
        <v>838</v>
      </c>
      <c r="C45" t="s">
        <v>692</v>
      </c>
      <c r="D45" t="s">
        <v>670</v>
      </c>
      <c r="E45" t="s">
        <v>669</v>
      </c>
      <c r="F45" t="s">
        <v>669</v>
      </c>
      <c r="G45">
        <v>20</v>
      </c>
      <c r="H45">
        <v>76.92</v>
      </c>
      <c r="I45">
        <v>25</v>
      </c>
      <c r="J45">
        <v>0</v>
      </c>
      <c r="K45">
        <v>25</v>
      </c>
      <c r="L45">
        <v>1160</v>
      </c>
      <c r="M45">
        <v>0</v>
      </c>
      <c r="N45">
        <v>1160</v>
      </c>
      <c r="O45" t="s">
        <v>671</v>
      </c>
      <c r="P45" t="s">
        <v>839</v>
      </c>
      <c r="Q45" t="s">
        <v>839</v>
      </c>
      <c r="R45" t="s">
        <v>839</v>
      </c>
    </row>
    <row r="46" ht="15" customHeight="1" spans="1:18" x14ac:dyDescent="0.25">
      <c r="A46" t="s">
        <v>840</v>
      </c>
      <c r="B46" t="s">
        <v>841</v>
      </c>
      <c r="C46" t="s">
        <v>692</v>
      </c>
      <c r="D46" t="s">
        <v>670</v>
      </c>
      <c r="E46" t="s">
        <v>670</v>
      </c>
      <c r="F46" t="s">
        <v>669</v>
      </c>
      <c r="G46">
        <v>20</v>
      </c>
      <c r="H46">
        <v>76.92</v>
      </c>
      <c r="I46">
        <v>0</v>
      </c>
      <c r="J46">
        <v>1</v>
      </c>
      <c r="K46">
        <v>1</v>
      </c>
      <c r="L46">
        <v>0</v>
      </c>
      <c r="M46">
        <v>321</v>
      </c>
      <c r="N46">
        <v>321.04</v>
      </c>
      <c r="O46" t="s">
        <v>681</v>
      </c>
      <c r="P46" t="s">
        <v>842</v>
      </c>
      <c r="Q46" t="s">
        <v>843</v>
      </c>
      <c r="R46" t="s">
        <v>844</v>
      </c>
    </row>
    <row r="47" ht="26.85" customHeight="1" spans="1:18" x14ac:dyDescent="0.25">
      <c r="A47" t="s">
        <v>845</v>
      </c>
      <c r="B47" t="s">
        <v>846</v>
      </c>
      <c r="C47" t="s">
        <v>668</v>
      </c>
      <c r="D47" t="s">
        <v>670</v>
      </c>
      <c r="E47" t="s">
        <v>670</v>
      </c>
      <c r="F47" t="s">
        <v>670</v>
      </c>
      <c r="G47">
        <v>19</v>
      </c>
      <c r="H47">
        <v>73.08</v>
      </c>
      <c r="I47">
        <v>0</v>
      </c>
      <c r="J47">
        <v>7</v>
      </c>
      <c r="K47">
        <v>7</v>
      </c>
      <c r="L47">
        <v>0</v>
      </c>
      <c r="M47">
        <v>314.51</v>
      </c>
      <c r="N47">
        <v>314.51</v>
      </c>
      <c r="O47" t="s">
        <v>681</v>
      </c>
      <c r="P47" t="s">
        <v>847</v>
      </c>
      <c r="Q47" t="s">
        <v>848</v>
      </c>
      <c r="R47" t="s">
        <v>849</v>
      </c>
    </row>
    <row r="48" ht="39.55" customHeight="1" spans="1:18" x14ac:dyDescent="0.25">
      <c r="A48" t="s">
        <v>850</v>
      </c>
      <c r="B48" t="s">
        <v>851</v>
      </c>
      <c r="C48" t="s">
        <v>692</v>
      </c>
      <c r="D48" t="s">
        <v>669</v>
      </c>
      <c r="E48" t="s">
        <v>670</v>
      </c>
      <c r="F48" t="s">
        <v>670</v>
      </c>
      <c r="G48">
        <v>19</v>
      </c>
      <c r="H48">
        <v>73.08</v>
      </c>
      <c r="I48">
        <v>0</v>
      </c>
      <c r="J48">
        <v>2</v>
      </c>
      <c r="K48">
        <v>2</v>
      </c>
      <c r="L48">
        <v>0</v>
      </c>
      <c r="M48">
        <v>1060</v>
      </c>
      <c r="N48">
        <v>1060</v>
      </c>
      <c r="O48" t="s">
        <v>681</v>
      </c>
      <c r="P48" t="s">
        <v>852</v>
      </c>
      <c r="Q48" t="s">
        <v>853</v>
      </c>
      <c r="R48" t="s">
        <v>854</v>
      </c>
    </row>
    <row r="49" ht="26.85" customHeight="1" spans="1:18" x14ac:dyDescent="0.25">
      <c r="A49" t="s">
        <v>855</v>
      </c>
      <c r="B49" t="s">
        <v>856</v>
      </c>
      <c r="C49" t="s">
        <v>692</v>
      </c>
      <c r="D49" t="s">
        <v>670</v>
      </c>
      <c r="E49" t="s">
        <v>669</v>
      </c>
      <c r="F49" t="s">
        <v>669</v>
      </c>
      <c r="G49">
        <v>19</v>
      </c>
      <c r="H49">
        <v>73.08</v>
      </c>
      <c r="I49">
        <v>2</v>
      </c>
      <c r="J49">
        <v>0</v>
      </c>
      <c r="K49">
        <v>2</v>
      </c>
      <c r="L49">
        <v>234</v>
      </c>
      <c r="M49">
        <v>0</v>
      </c>
      <c r="N49">
        <v>234</v>
      </c>
      <c r="O49" t="s">
        <v>681</v>
      </c>
      <c r="P49" t="s">
        <v>834</v>
      </c>
      <c r="Q49" t="s">
        <v>835</v>
      </c>
      <c r="R49" t="s">
        <v>836</v>
      </c>
    </row>
    <row r="50" ht="26.85" customHeight="1" spans="1:18" x14ac:dyDescent="0.25">
      <c r="A50" t="s">
        <v>857</v>
      </c>
      <c r="B50" t="s">
        <v>858</v>
      </c>
      <c r="C50" t="s">
        <v>692</v>
      </c>
      <c r="D50" t="s">
        <v>670</v>
      </c>
      <c r="E50" t="s">
        <v>669</v>
      </c>
      <c r="F50" t="s">
        <v>669</v>
      </c>
      <c r="G50">
        <v>19</v>
      </c>
      <c r="H50">
        <v>73.08</v>
      </c>
      <c r="I50">
        <v>10</v>
      </c>
      <c r="J50">
        <v>0</v>
      </c>
      <c r="K50">
        <v>10</v>
      </c>
      <c r="L50">
        <v>1020</v>
      </c>
      <c r="M50">
        <v>0</v>
      </c>
      <c r="N50">
        <v>1020</v>
      </c>
      <c r="O50" t="s">
        <v>671</v>
      </c>
      <c r="P50" t="s">
        <v>712</v>
      </c>
      <c r="Q50" t="s">
        <v>712</v>
      </c>
      <c r="R50" t="s">
        <v>712</v>
      </c>
    </row>
    <row r="51" ht="26.85" customHeight="1" spans="1:18" x14ac:dyDescent="0.25">
      <c r="A51" t="s">
        <v>859</v>
      </c>
      <c r="B51" t="s">
        <v>860</v>
      </c>
      <c r="C51" t="s">
        <v>668</v>
      </c>
      <c r="D51" t="s">
        <v>670</v>
      </c>
      <c r="E51" t="s">
        <v>669</v>
      </c>
      <c r="F51" t="s">
        <v>669</v>
      </c>
      <c r="G51">
        <v>18</v>
      </c>
      <c r="H51">
        <v>69.23</v>
      </c>
      <c r="I51">
        <v>1</v>
      </c>
      <c r="J51">
        <v>0</v>
      </c>
      <c r="K51">
        <v>1</v>
      </c>
      <c r="L51">
        <v>162.19</v>
      </c>
      <c r="M51">
        <v>0</v>
      </c>
      <c r="N51">
        <v>162.19</v>
      </c>
      <c r="O51" t="s">
        <v>681</v>
      </c>
      <c r="P51" t="s">
        <v>861</v>
      </c>
      <c r="Q51" t="s">
        <v>862</v>
      </c>
      <c r="R51" t="s">
        <v>863</v>
      </c>
    </row>
    <row r="52" ht="26.85" customHeight="1" spans="1:18" x14ac:dyDescent="0.25">
      <c r="A52" t="s">
        <v>864</v>
      </c>
      <c r="B52" t="s">
        <v>865</v>
      </c>
      <c r="C52" t="s">
        <v>668</v>
      </c>
      <c r="D52" t="s">
        <v>670</v>
      </c>
      <c r="E52" t="s">
        <v>670</v>
      </c>
      <c r="F52" t="s">
        <v>669</v>
      </c>
      <c r="G52">
        <v>18</v>
      </c>
      <c r="H52">
        <v>69.23</v>
      </c>
      <c r="I52">
        <v>0</v>
      </c>
      <c r="J52">
        <v>2</v>
      </c>
      <c r="K52">
        <v>2</v>
      </c>
      <c r="L52">
        <v>0</v>
      </c>
      <c r="M52">
        <v>11.4</v>
      </c>
      <c r="N52">
        <v>11.4</v>
      </c>
      <c r="O52" t="s">
        <v>681</v>
      </c>
      <c r="P52" t="s">
        <v>866</v>
      </c>
      <c r="Q52" t="s">
        <v>867</v>
      </c>
      <c r="R52" t="s">
        <v>868</v>
      </c>
    </row>
    <row r="53" ht="26.85" customHeight="1" spans="1:18" x14ac:dyDescent="0.25">
      <c r="A53" t="s">
        <v>869</v>
      </c>
      <c r="B53" t="s">
        <v>870</v>
      </c>
      <c r="C53" t="s">
        <v>692</v>
      </c>
      <c r="D53" t="s">
        <v>669</v>
      </c>
      <c r="E53" t="s">
        <v>670</v>
      </c>
      <c r="F53" t="s">
        <v>670</v>
      </c>
      <c r="G53">
        <v>18</v>
      </c>
      <c r="H53">
        <v>69.23</v>
      </c>
      <c r="I53">
        <v>0</v>
      </c>
      <c r="J53">
        <v>1</v>
      </c>
      <c r="K53">
        <v>1</v>
      </c>
      <c r="L53">
        <v>0</v>
      </c>
      <c r="M53">
        <v>993</v>
      </c>
      <c r="N53">
        <v>993</v>
      </c>
      <c r="O53" t="s">
        <v>681</v>
      </c>
      <c r="P53" t="s">
        <v>871</v>
      </c>
      <c r="Q53" t="s">
        <v>872</v>
      </c>
      <c r="R53" t="s">
        <v>873</v>
      </c>
    </row>
    <row r="54" ht="26.85" customHeight="1" spans="1:18" x14ac:dyDescent="0.25">
      <c r="A54" t="s">
        <v>874</v>
      </c>
      <c r="B54" t="s">
        <v>875</v>
      </c>
      <c r="C54" t="s">
        <v>692</v>
      </c>
      <c r="D54" t="s">
        <v>669</v>
      </c>
      <c r="E54" t="s">
        <v>670</v>
      </c>
      <c r="F54" t="s">
        <v>669</v>
      </c>
      <c r="G54">
        <v>18</v>
      </c>
      <c r="H54">
        <v>69.23</v>
      </c>
      <c r="I54">
        <v>0</v>
      </c>
      <c r="J54">
        <v>1</v>
      </c>
      <c r="K54">
        <v>1</v>
      </c>
      <c r="L54">
        <v>0</v>
      </c>
      <c r="M54">
        <v>69.71</v>
      </c>
      <c r="N54">
        <v>69.71</v>
      </c>
      <c r="O54" t="s">
        <v>681</v>
      </c>
      <c r="P54" t="s">
        <v>876</v>
      </c>
      <c r="Q54" t="s">
        <v>877</v>
      </c>
      <c r="R54" t="s">
        <v>878</v>
      </c>
    </row>
    <row r="55" ht="15" customHeight="1" spans="1:18" x14ac:dyDescent="0.25">
      <c r="A55" t="s">
        <v>879</v>
      </c>
      <c r="B55" t="s">
        <v>880</v>
      </c>
      <c r="C55" t="s">
        <v>692</v>
      </c>
      <c r="D55" t="s">
        <v>670</v>
      </c>
      <c r="E55" t="s">
        <v>670</v>
      </c>
      <c r="F55" t="s">
        <v>670</v>
      </c>
      <c r="G55">
        <v>18</v>
      </c>
      <c r="H55">
        <v>69.23</v>
      </c>
      <c r="I55">
        <v>0</v>
      </c>
      <c r="J55">
        <v>1</v>
      </c>
      <c r="K55">
        <v>1</v>
      </c>
      <c r="L55">
        <v>0</v>
      </c>
      <c r="M55">
        <v>210</v>
      </c>
      <c r="N55">
        <v>210</v>
      </c>
      <c r="O55" t="s">
        <v>671</v>
      </c>
      <c r="P55" t="s">
        <v>732</v>
      </c>
      <c r="Q55" t="s">
        <v>732</v>
      </c>
      <c r="R55" t="s">
        <v>732</v>
      </c>
    </row>
    <row r="56" ht="15" customHeight="1" spans="1:18" x14ac:dyDescent="0.25">
      <c r="A56" t="s">
        <v>881</v>
      </c>
      <c r="B56" t="s">
        <v>882</v>
      </c>
      <c r="C56" t="s">
        <v>692</v>
      </c>
      <c r="D56" t="s">
        <v>670</v>
      </c>
      <c r="E56" t="s">
        <v>670</v>
      </c>
      <c r="F56" t="s">
        <v>669</v>
      </c>
      <c r="G56">
        <v>18</v>
      </c>
      <c r="H56">
        <v>69.23</v>
      </c>
      <c r="I56">
        <v>0</v>
      </c>
      <c r="J56">
        <v>2</v>
      </c>
      <c r="K56">
        <v>2</v>
      </c>
      <c r="L56">
        <v>0</v>
      </c>
      <c r="M56">
        <v>150.4</v>
      </c>
      <c r="N56">
        <v>150.4</v>
      </c>
      <c r="O56" t="s">
        <v>681</v>
      </c>
      <c r="P56" t="s">
        <v>822</v>
      </c>
      <c r="Q56" t="s">
        <v>883</v>
      </c>
      <c r="R56" t="s">
        <v>884</v>
      </c>
    </row>
    <row r="57" ht="26.85" customHeight="1" spans="1:18" x14ac:dyDescent="0.25">
      <c r="A57" t="s">
        <v>885</v>
      </c>
      <c r="B57" t="s">
        <v>886</v>
      </c>
      <c r="C57" t="s">
        <v>668</v>
      </c>
      <c r="D57" t="s">
        <v>670</v>
      </c>
      <c r="E57" t="s">
        <v>670</v>
      </c>
      <c r="F57" t="s">
        <v>669</v>
      </c>
      <c r="G57">
        <v>17</v>
      </c>
      <c r="H57">
        <v>65.38</v>
      </c>
      <c r="I57">
        <v>0</v>
      </c>
      <c r="J57">
        <v>3</v>
      </c>
      <c r="K57">
        <v>3</v>
      </c>
      <c r="L57">
        <v>0</v>
      </c>
      <c r="M57">
        <v>1085.34</v>
      </c>
      <c r="N57">
        <v>1085.34</v>
      </c>
      <c r="O57" t="s">
        <v>671</v>
      </c>
      <c r="P57" t="s">
        <v>887</v>
      </c>
      <c r="Q57" t="s">
        <v>887</v>
      </c>
      <c r="R57" t="s">
        <v>887</v>
      </c>
    </row>
    <row r="58" ht="26.85" customHeight="1" spans="1:18" x14ac:dyDescent="0.25">
      <c r="A58" t="s">
        <v>888</v>
      </c>
      <c r="B58" t="s">
        <v>889</v>
      </c>
      <c r="C58" t="s">
        <v>668</v>
      </c>
      <c r="D58" t="s">
        <v>669</v>
      </c>
      <c r="E58" t="s">
        <v>670</v>
      </c>
      <c r="F58" t="s">
        <v>670</v>
      </c>
      <c r="G58">
        <v>17</v>
      </c>
      <c r="H58">
        <v>65.38</v>
      </c>
      <c r="I58">
        <v>0</v>
      </c>
      <c r="J58">
        <v>1</v>
      </c>
      <c r="K58">
        <v>1</v>
      </c>
      <c r="L58">
        <v>0</v>
      </c>
      <c r="M58">
        <v>196.88</v>
      </c>
      <c r="N58">
        <v>196.88</v>
      </c>
      <c r="O58" t="s">
        <v>671</v>
      </c>
      <c r="P58" t="s">
        <v>890</v>
      </c>
      <c r="Q58" t="s">
        <v>890</v>
      </c>
      <c r="R58" t="s">
        <v>890</v>
      </c>
    </row>
    <row r="59" ht="26.85" customHeight="1" spans="1:18" x14ac:dyDescent="0.25">
      <c r="A59" t="s">
        <v>891</v>
      </c>
      <c r="B59" t="s">
        <v>892</v>
      </c>
      <c r="C59" t="s">
        <v>692</v>
      </c>
      <c r="D59" t="s">
        <v>670</v>
      </c>
      <c r="E59" t="s">
        <v>669</v>
      </c>
      <c r="F59" t="s">
        <v>669</v>
      </c>
      <c r="G59">
        <v>17</v>
      </c>
      <c r="H59">
        <v>65.38</v>
      </c>
      <c r="I59">
        <v>1</v>
      </c>
      <c r="J59">
        <v>0</v>
      </c>
      <c r="K59">
        <v>1</v>
      </c>
      <c r="L59">
        <v>739</v>
      </c>
      <c r="M59">
        <v>0</v>
      </c>
      <c r="N59">
        <v>739</v>
      </c>
      <c r="O59" t="s">
        <v>681</v>
      </c>
      <c r="P59" t="s">
        <v>893</v>
      </c>
      <c r="Q59" t="s">
        <v>894</v>
      </c>
      <c r="R59" t="s">
        <v>895</v>
      </c>
    </row>
    <row r="60" ht="26.85" customHeight="1" spans="2:15" x14ac:dyDescent="0.25">
      <c r="B60" t="s">
        <v>846</v>
      </c>
      <c r="C60" t="s">
        <v>668</v>
      </c>
      <c r="D60" t="s">
        <v>669</v>
      </c>
      <c r="E60" t="s">
        <v>669</v>
      </c>
      <c r="F60" t="s">
        <v>670</v>
      </c>
      <c r="G60" t="s">
        <v>896</v>
      </c>
      <c r="H60" t="s">
        <v>897</v>
      </c>
      <c r="I60" t="s">
        <v>898</v>
      </c>
      <c r="J60" t="s">
        <v>898</v>
      </c>
      <c r="K60" t="s">
        <v>898</v>
      </c>
      <c r="L60" t="s">
        <v>898</v>
      </c>
      <c r="M60" t="s">
        <v>898</v>
      </c>
      <c r="N60" t="s">
        <v>898</v>
      </c>
      <c r="O60" t="s">
        <v>898</v>
      </c>
    </row>
    <row r="61" ht="26.85" customHeight="1" spans="1:18" x14ac:dyDescent="0.25">
      <c r="A61" t="s">
        <v>899</v>
      </c>
      <c r="B61" t="s">
        <v>900</v>
      </c>
      <c r="C61" t="s">
        <v>668</v>
      </c>
      <c r="D61" t="s">
        <v>670</v>
      </c>
      <c r="E61" t="s">
        <v>670</v>
      </c>
      <c r="F61" t="s">
        <v>670</v>
      </c>
      <c r="G61">
        <v>16</v>
      </c>
      <c r="H61">
        <v>61.54</v>
      </c>
      <c r="I61">
        <v>0</v>
      </c>
      <c r="J61">
        <v>4</v>
      </c>
      <c r="K61">
        <v>4</v>
      </c>
      <c r="L61">
        <v>0</v>
      </c>
      <c r="M61">
        <v>50.84</v>
      </c>
      <c r="N61">
        <v>50.84</v>
      </c>
      <c r="O61" t="s">
        <v>671</v>
      </c>
      <c r="P61" t="s">
        <v>901</v>
      </c>
      <c r="Q61" t="s">
        <v>901</v>
      </c>
      <c r="R61" t="s">
        <v>901</v>
      </c>
    </row>
    <row r="62" ht="15" customHeight="1" spans="1:18" x14ac:dyDescent="0.25">
      <c r="A62" t="s">
        <v>902</v>
      </c>
      <c r="B62" t="s">
        <v>903</v>
      </c>
      <c r="C62" t="s">
        <v>692</v>
      </c>
      <c r="D62" t="s">
        <v>670</v>
      </c>
      <c r="E62" t="s">
        <v>669</v>
      </c>
      <c r="F62" t="s">
        <v>669</v>
      </c>
      <c r="G62">
        <v>16</v>
      </c>
      <c r="H62">
        <v>61.54</v>
      </c>
      <c r="I62">
        <v>10</v>
      </c>
      <c r="J62">
        <v>0</v>
      </c>
      <c r="K62">
        <v>10</v>
      </c>
      <c r="L62">
        <v>160</v>
      </c>
      <c r="M62">
        <v>0</v>
      </c>
      <c r="N62">
        <v>160</v>
      </c>
      <c r="O62" t="s">
        <v>671</v>
      </c>
      <c r="P62" t="s">
        <v>896</v>
      </c>
      <c r="Q62" t="s">
        <v>896</v>
      </c>
      <c r="R62" t="s">
        <v>896</v>
      </c>
    </row>
    <row r="63" ht="15" customHeight="1" spans="1:18" x14ac:dyDescent="0.25">
      <c r="A63" t="s">
        <v>904</v>
      </c>
      <c r="B63" t="s">
        <v>905</v>
      </c>
      <c r="C63" t="s">
        <v>692</v>
      </c>
      <c r="D63" t="s">
        <v>670</v>
      </c>
      <c r="E63" t="s">
        <v>669</v>
      </c>
      <c r="F63" t="s">
        <v>669</v>
      </c>
      <c r="G63">
        <v>16</v>
      </c>
      <c r="H63">
        <v>61.54</v>
      </c>
      <c r="I63">
        <v>1</v>
      </c>
      <c r="J63">
        <v>0</v>
      </c>
      <c r="K63">
        <v>1</v>
      </c>
      <c r="L63">
        <v>1166</v>
      </c>
      <c r="M63">
        <v>0</v>
      </c>
      <c r="N63">
        <v>1166</v>
      </c>
      <c r="O63" t="s">
        <v>731</v>
      </c>
      <c r="P63" t="s">
        <v>906</v>
      </c>
      <c r="Q63" t="s">
        <v>907</v>
      </c>
      <c r="R63" t="s">
        <v>908</v>
      </c>
    </row>
    <row r="64" ht="15" customHeight="1" spans="1:18" x14ac:dyDescent="0.25">
      <c r="A64" t="s">
        <v>909</v>
      </c>
      <c r="B64" t="s">
        <v>910</v>
      </c>
      <c r="C64" t="s">
        <v>692</v>
      </c>
      <c r="D64" t="s">
        <v>669</v>
      </c>
      <c r="E64" t="s">
        <v>670</v>
      </c>
      <c r="F64" t="s">
        <v>669</v>
      </c>
      <c r="G64">
        <v>16</v>
      </c>
      <c r="H64">
        <v>61.54</v>
      </c>
      <c r="I64">
        <v>0</v>
      </c>
      <c r="J64">
        <v>3.5</v>
      </c>
      <c r="K64">
        <v>3.5</v>
      </c>
      <c r="L64">
        <v>0</v>
      </c>
      <c r="M64">
        <v>87.5</v>
      </c>
      <c r="N64">
        <v>87.5</v>
      </c>
      <c r="O64" t="s">
        <v>671</v>
      </c>
      <c r="P64" t="s">
        <v>911</v>
      </c>
      <c r="Q64" t="s">
        <v>911</v>
      </c>
      <c r="R64" t="s">
        <v>911</v>
      </c>
    </row>
    <row r="65" ht="15" customHeight="1" spans="1:18" x14ac:dyDescent="0.25">
      <c r="A65" t="s">
        <v>912</v>
      </c>
      <c r="B65" t="s">
        <v>197</v>
      </c>
      <c r="C65" t="s">
        <v>692</v>
      </c>
      <c r="D65" t="s">
        <v>670</v>
      </c>
      <c r="E65" t="s">
        <v>669</v>
      </c>
      <c r="F65" t="s">
        <v>669</v>
      </c>
      <c r="G65">
        <v>16</v>
      </c>
      <c r="H65">
        <v>61.54</v>
      </c>
      <c r="I65">
        <v>1</v>
      </c>
      <c r="J65">
        <v>0</v>
      </c>
      <c r="K65">
        <v>1</v>
      </c>
      <c r="L65">
        <v>21618.59</v>
      </c>
      <c r="M65">
        <v>0</v>
      </c>
      <c r="N65">
        <v>21618.59</v>
      </c>
      <c r="O65" t="s">
        <v>681</v>
      </c>
      <c r="P65" t="s">
        <v>913</v>
      </c>
      <c r="Q65" t="s">
        <v>914</v>
      </c>
      <c r="R65" t="s">
        <v>915</v>
      </c>
    </row>
    <row r="66" ht="15" customHeight="1" spans="1:18" x14ac:dyDescent="0.25">
      <c r="A66" t="s">
        <v>916</v>
      </c>
      <c r="B66" t="s">
        <v>917</v>
      </c>
      <c r="C66" t="s">
        <v>692</v>
      </c>
      <c r="D66" t="s">
        <v>670</v>
      </c>
      <c r="E66" t="s">
        <v>669</v>
      </c>
      <c r="F66" t="s">
        <v>669</v>
      </c>
      <c r="G66">
        <v>16</v>
      </c>
      <c r="H66">
        <v>61.54</v>
      </c>
      <c r="I66">
        <v>1</v>
      </c>
      <c r="J66">
        <v>0</v>
      </c>
      <c r="K66">
        <v>1</v>
      </c>
      <c r="L66">
        <v>221.5</v>
      </c>
      <c r="M66">
        <v>0</v>
      </c>
      <c r="N66">
        <v>221.5</v>
      </c>
      <c r="O66" t="s">
        <v>681</v>
      </c>
      <c r="P66" t="s">
        <v>918</v>
      </c>
      <c r="Q66" t="s">
        <v>919</v>
      </c>
      <c r="R66" t="s">
        <v>920</v>
      </c>
    </row>
    <row r="67" ht="15" customHeight="1" spans="1:18" x14ac:dyDescent="0.25">
      <c r="A67" t="s">
        <v>921</v>
      </c>
      <c r="B67" t="s">
        <v>202</v>
      </c>
      <c r="C67" t="s">
        <v>692</v>
      </c>
      <c r="D67" t="s">
        <v>670</v>
      </c>
      <c r="E67" t="s">
        <v>669</v>
      </c>
      <c r="F67" t="s">
        <v>669</v>
      </c>
      <c r="G67">
        <v>16</v>
      </c>
      <c r="H67">
        <v>61.54</v>
      </c>
      <c r="I67">
        <v>1</v>
      </c>
      <c r="J67">
        <v>0</v>
      </c>
      <c r="K67">
        <v>1</v>
      </c>
      <c r="L67">
        <v>3760</v>
      </c>
      <c r="M67">
        <v>0</v>
      </c>
      <c r="N67">
        <v>3760</v>
      </c>
      <c r="O67" t="s">
        <v>671</v>
      </c>
      <c r="P67" t="s">
        <v>922</v>
      </c>
      <c r="Q67" t="s">
        <v>922</v>
      </c>
      <c r="R67" t="s">
        <v>922</v>
      </c>
    </row>
    <row r="68" ht="26.85" customHeight="1" spans="1:18" x14ac:dyDescent="0.25">
      <c r="A68" t="s">
        <v>923</v>
      </c>
      <c r="B68" t="s">
        <v>924</v>
      </c>
      <c r="C68" t="s">
        <v>668</v>
      </c>
      <c r="D68" t="s">
        <v>669</v>
      </c>
      <c r="E68" t="s">
        <v>670</v>
      </c>
      <c r="F68" t="s">
        <v>670</v>
      </c>
      <c r="G68">
        <v>15</v>
      </c>
      <c r="H68">
        <v>57.69</v>
      </c>
      <c r="I68">
        <v>0</v>
      </c>
      <c r="J68">
        <v>4</v>
      </c>
      <c r="K68">
        <v>4</v>
      </c>
      <c r="L68">
        <v>0</v>
      </c>
      <c r="M68">
        <v>100.6</v>
      </c>
      <c r="N68">
        <v>100.6</v>
      </c>
      <c r="O68" t="s">
        <v>671</v>
      </c>
      <c r="P68" t="s">
        <v>925</v>
      </c>
      <c r="Q68" t="s">
        <v>925</v>
      </c>
      <c r="R68" t="s">
        <v>925</v>
      </c>
    </row>
    <row r="69" ht="26.85" customHeight="1" spans="1:18" x14ac:dyDescent="0.25">
      <c r="A69" t="s">
        <v>926</v>
      </c>
      <c r="B69" t="s">
        <v>927</v>
      </c>
      <c r="C69" t="s">
        <v>668</v>
      </c>
      <c r="D69" t="s">
        <v>670</v>
      </c>
      <c r="E69" t="s">
        <v>670</v>
      </c>
      <c r="F69" t="s">
        <v>669</v>
      </c>
      <c r="G69">
        <v>15</v>
      </c>
      <c r="H69">
        <v>57.69</v>
      </c>
      <c r="I69">
        <v>1</v>
      </c>
      <c r="J69">
        <v>0</v>
      </c>
      <c r="K69">
        <v>1</v>
      </c>
      <c r="L69">
        <v>7.3</v>
      </c>
      <c r="M69">
        <v>0</v>
      </c>
      <c r="N69">
        <v>7.3</v>
      </c>
      <c r="O69" t="s">
        <v>681</v>
      </c>
      <c r="P69" t="s">
        <v>928</v>
      </c>
      <c r="Q69" t="s">
        <v>929</v>
      </c>
      <c r="R69" t="s">
        <v>930</v>
      </c>
    </row>
    <row r="70" ht="26.85" customHeight="1" spans="1:18" x14ac:dyDescent="0.25">
      <c r="A70" t="s">
        <v>931</v>
      </c>
      <c r="B70" t="s">
        <v>932</v>
      </c>
      <c r="C70" t="s">
        <v>692</v>
      </c>
      <c r="D70" t="s">
        <v>669</v>
      </c>
      <c r="E70" t="s">
        <v>670</v>
      </c>
      <c r="F70" t="s">
        <v>669</v>
      </c>
      <c r="G70">
        <v>15</v>
      </c>
      <c r="H70">
        <v>57.69</v>
      </c>
      <c r="I70">
        <v>0</v>
      </c>
      <c r="J70">
        <v>1</v>
      </c>
      <c r="K70">
        <v>1</v>
      </c>
      <c r="L70">
        <v>0</v>
      </c>
      <c r="M70">
        <v>250</v>
      </c>
      <c r="N70">
        <v>250</v>
      </c>
      <c r="O70" t="s">
        <v>671</v>
      </c>
      <c r="P70" t="s">
        <v>933</v>
      </c>
      <c r="Q70" t="s">
        <v>933</v>
      </c>
      <c r="R70" t="s">
        <v>933</v>
      </c>
    </row>
    <row r="71" ht="15" customHeight="1" spans="1:18" x14ac:dyDescent="0.25">
      <c r="A71" t="s">
        <v>934</v>
      </c>
      <c r="B71" t="s">
        <v>935</v>
      </c>
      <c r="C71" t="s">
        <v>692</v>
      </c>
      <c r="D71" t="s">
        <v>670</v>
      </c>
      <c r="E71" t="s">
        <v>669</v>
      </c>
      <c r="F71" t="s">
        <v>669</v>
      </c>
      <c r="G71">
        <v>15</v>
      </c>
      <c r="H71">
        <v>57.69</v>
      </c>
      <c r="I71">
        <v>10</v>
      </c>
      <c r="J71">
        <v>0</v>
      </c>
      <c r="K71">
        <v>10</v>
      </c>
      <c r="L71">
        <v>180</v>
      </c>
      <c r="M71">
        <v>0</v>
      </c>
      <c r="N71">
        <v>180</v>
      </c>
      <c r="O71" t="s">
        <v>671</v>
      </c>
      <c r="P71" t="s">
        <v>936</v>
      </c>
      <c r="Q71" t="s">
        <v>936</v>
      </c>
      <c r="R71" t="s">
        <v>936</v>
      </c>
    </row>
    <row r="72" ht="26.85" customHeight="1" spans="1:18" x14ac:dyDescent="0.25">
      <c r="A72" t="s">
        <v>937</v>
      </c>
      <c r="B72" t="s">
        <v>938</v>
      </c>
      <c r="C72" t="s">
        <v>692</v>
      </c>
      <c r="D72" t="s">
        <v>670</v>
      </c>
      <c r="E72" t="s">
        <v>670</v>
      </c>
      <c r="F72" t="s">
        <v>669</v>
      </c>
      <c r="G72">
        <v>14</v>
      </c>
      <c r="H72">
        <v>53.85</v>
      </c>
      <c r="I72">
        <v>1</v>
      </c>
      <c r="J72">
        <v>0</v>
      </c>
      <c r="K72">
        <v>1</v>
      </c>
      <c r="L72">
        <v>510</v>
      </c>
      <c r="M72">
        <v>0</v>
      </c>
      <c r="N72">
        <v>510</v>
      </c>
      <c r="O72" t="s">
        <v>671</v>
      </c>
      <c r="P72" t="s">
        <v>939</v>
      </c>
      <c r="Q72" t="s">
        <v>939</v>
      </c>
      <c r="R72" t="s">
        <v>939</v>
      </c>
    </row>
    <row r="73" ht="26.85" customHeight="1" spans="1:18" x14ac:dyDescent="0.25">
      <c r="A73" t="s">
        <v>940</v>
      </c>
      <c r="B73" t="s">
        <v>941</v>
      </c>
      <c r="C73" t="s">
        <v>692</v>
      </c>
      <c r="D73" t="s">
        <v>669</v>
      </c>
      <c r="E73" t="s">
        <v>670</v>
      </c>
      <c r="F73" t="s">
        <v>670</v>
      </c>
      <c r="G73">
        <v>14</v>
      </c>
      <c r="H73">
        <v>53.85</v>
      </c>
      <c r="I73">
        <v>0</v>
      </c>
      <c r="J73">
        <v>3</v>
      </c>
      <c r="K73">
        <v>3</v>
      </c>
      <c r="L73">
        <v>0</v>
      </c>
      <c r="M73">
        <v>378.3</v>
      </c>
      <c r="N73">
        <v>378.3</v>
      </c>
      <c r="O73" t="s">
        <v>681</v>
      </c>
      <c r="P73" t="s">
        <v>942</v>
      </c>
      <c r="Q73" t="s">
        <v>943</v>
      </c>
      <c r="R73" t="s">
        <v>944</v>
      </c>
    </row>
    <row r="74" ht="15" customHeight="1" spans="1:18" x14ac:dyDescent="0.25">
      <c r="A74" t="s">
        <v>945</v>
      </c>
      <c r="B74" t="s">
        <v>946</v>
      </c>
      <c r="C74" t="s">
        <v>692</v>
      </c>
      <c r="D74" t="s">
        <v>670</v>
      </c>
      <c r="E74" t="s">
        <v>670</v>
      </c>
      <c r="F74" t="s">
        <v>669</v>
      </c>
      <c r="G74">
        <v>14</v>
      </c>
      <c r="H74">
        <v>53.85</v>
      </c>
      <c r="I74">
        <v>1</v>
      </c>
      <c r="J74">
        <v>0</v>
      </c>
      <c r="K74">
        <v>1</v>
      </c>
      <c r="L74">
        <v>287</v>
      </c>
      <c r="M74">
        <v>0</v>
      </c>
      <c r="N74">
        <v>287</v>
      </c>
      <c r="O74" t="s">
        <v>770</v>
      </c>
      <c r="P74" t="s">
        <v>947</v>
      </c>
      <c r="Q74" t="s">
        <v>948</v>
      </c>
      <c r="R74" t="s">
        <v>949</v>
      </c>
    </row>
    <row r="75" ht="26.85" customHeight="1" spans="1:18" x14ac:dyDescent="0.25">
      <c r="A75" t="s">
        <v>950</v>
      </c>
      <c r="B75" t="s">
        <v>951</v>
      </c>
      <c r="C75" t="s">
        <v>668</v>
      </c>
      <c r="D75" t="s">
        <v>670</v>
      </c>
      <c r="E75" t="s">
        <v>669</v>
      </c>
      <c r="F75" t="s">
        <v>669</v>
      </c>
      <c r="G75">
        <v>13</v>
      </c>
      <c r="H75">
        <v>50</v>
      </c>
      <c r="I75">
        <v>3</v>
      </c>
      <c r="J75">
        <v>0</v>
      </c>
      <c r="K75">
        <v>3</v>
      </c>
      <c r="L75">
        <v>1060.32</v>
      </c>
      <c r="M75">
        <v>0</v>
      </c>
      <c r="N75">
        <v>1060.32</v>
      </c>
      <c r="O75" t="s">
        <v>770</v>
      </c>
      <c r="P75" t="s">
        <v>952</v>
      </c>
      <c r="Q75" t="s">
        <v>953</v>
      </c>
      <c r="R75" t="s">
        <v>954</v>
      </c>
    </row>
    <row r="76" ht="26.85" customHeight="1" spans="1:18" x14ac:dyDescent="0.25">
      <c r="A76" t="s">
        <v>955</v>
      </c>
      <c r="B76" t="s">
        <v>956</v>
      </c>
      <c r="C76" t="s">
        <v>668</v>
      </c>
      <c r="D76" t="s">
        <v>670</v>
      </c>
      <c r="E76" t="s">
        <v>670</v>
      </c>
      <c r="F76" t="s">
        <v>669</v>
      </c>
      <c r="G76">
        <v>13</v>
      </c>
      <c r="H76">
        <v>50</v>
      </c>
      <c r="I76">
        <v>0</v>
      </c>
      <c r="J76">
        <v>1</v>
      </c>
      <c r="K76">
        <v>1</v>
      </c>
      <c r="L76">
        <v>0</v>
      </c>
      <c r="M76">
        <v>34.5</v>
      </c>
      <c r="N76">
        <v>34.5</v>
      </c>
      <c r="O76" t="s">
        <v>671</v>
      </c>
      <c r="P76" t="s">
        <v>957</v>
      </c>
      <c r="Q76" t="s">
        <v>957</v>
      </c>
      <c r="R76" t="s">
        <v>957</v>
      </c>
    </row>
    <row r="77" ht="26.85" customHeight="1" spans="1:18" x14ac:dyDescent="0.25">
      <c r="A77" t="s">
        <v>958</v>
      </c>
      <c r="B77" t="s">
        <v>959</v>
      </c>
      <c r="C77" t="s">
        <v>668</v>
      </c>
      <c r="D77" t="s">
        <v>670</v>
      </c>
      <c r="E77" t="s">
        <v>670</v>
      </c>
      <c r="F77" t="s">
        <v>669</v>
      </c>
      <c r="G77">
        <v>13</v>
      </c>
      <c r="H77">
        <v>50</v>
      </c>
      <c r="I77">
        <v>40</v>
      </c>
      <c r="J77">
        <v>0</v>
      </c>
      <c r="K77">
        <v>40</v>
      </c>
      <c r="L77">
        <v>1200</v>
      </c>
      <c r="M77">
        <v>0</v>
      </c>
      <c r="N77">
        <v>1200</v>
      </c>
      <c r="O77" t="s">
        <v>671</v>
      </c>
      <c r="P77" t="s">
        <v>960</v>
      </c>
      <c r="Q77" t="s">
        <v>960</v>
      </c>
      <c r="R77" t="s">
        <v>960</v>
      </c>
    </row>
    <row r="78" ht="26.85" customHeight="1" spans="1:18" x14ac:dyDescent="0.25">
      <c r="A78" t="s">
        <v>961</v>
      </c>
      <c r="B78" t="s">
        <v>962</v>
      </c>
      <c r="C78" t="s">
        <v>668</v>
      </c>
      <c r="D78" t="s">
        <v>670</v>
      </c>
      <c r="E78" t="s">
        <v>670</v>
      </c>
      <c r="F78" t="s">
        <v>670</v>
      </c>
      <c r="G78">
        <v>13</v>
      </c>
      <c r="H78">
        <v>50</v>
      </c>
      <c r="I78">
        <v>0</v>
      </c>
      <c r="J78">
        <v>6</v>
      </c>
      <c r="K78">
        <v>7</v>
      </c>
      <c r="L78">
        <v>0</v>
      </c>
      <c r="M78">
        <v>3819.84</v>
      </c>
      <c r="N78">
        <v>4456.48</v>
      </c>
      <c r="O78" t="s">
        <v>681</v>
      </c>
      <c r="P78" t="s">
        <v>963</v>
      </c>
      <c r="Q78" t="s">
        <v>964</v>
      </c>
      <c r="R78" t="s">
        <v>965</v>
      </c>
    </row>
    <row r="79" ht="26.85" customHeight="1" spans="1:18" x14ac:dyDescent="0.25">
      <c r="A79" t="s">
        <v>966</v>
      </c>
      <c r="B79" t="s">
        <v>967</v>
      </c>
      <c r="C79" t="s">
        <v>668</v>
      </c>
      <c r="D79" t="s">
        <v>670</v>
      </c>
      <c r="E79" t="s">
        <v>669</v>
      </c>
      <c r="F79" t="s">
        <v>669</v>
      </c>
      <c r="G79">
        <v>13</v>
      </c>
      <c r="H79">
        <v>50</v>
      </c>
      <c r="I79">
        <v>4</v>
      </c>
      <c r="J79">
        <v>0</v>
      </c>
      <c r="K79">
        <v>4</v>
      </c>
      <c r="L79">
        <v>1443.76</v>
      </c>
      <c r="M79">
        <v>0</v>
      </c>
      <c r="N79">
        <v>1443.76</v>
      </c>
      <c r="O79" t="s">
        <v>671</v>
      </c>
      <c r="P79" t="s">
        <v>968</v>
      </c>
      <c r="Q79" t="s">
        <v>968</v>
      </c>
      <c r="R79" t="s">
        <v>968</v>
      </c>
    </row>
    <row r="80" ht="26.85" customHeight="1" spans="1:18" x14ac:dyDescent="0.25">
      <c r="A80" t="s">
        <v>969</v>
      </c>
      <c r="B80" t="s">
        <v>970</v>
      </c>
      <c r="C80" t="s">
        <v>692</v>
      </c>
      <c r="D80" t="s">
        <v>669</v>
      </c>
      <c r="E80" t="s">
        <v>670</v>
      </c>
      <c r="F80" t="s">
        <v>670</v>
      </c>
      <c r="G80">
        <v>13</v>
      </c>
      <c r="H80">
        <v>50</v>
      </c>
      <c r="I80">
        <v>0</v>
      </c>
      <c r="J80">
        <v>2</v>
      </c>
      <c r="K80">
        <v>2</v>
      </c>
      <c r="L80">
        <v>0</v>
      </c>
      <c r="M80">
        <v>243</v>
      </c>
      <c r="N80">
        <v>243</v>
      </c>
      <c r="O80" t="s">
        <v>770</v>
      </c>
      <c r="P80" t="s">
        <v>971</v>
      </c>
      <c r="Q80" t="s">
        <v>972</v>
      </c>
      <c r="R80" t="s">
        <v>973</v>
      </c>
    </row>
    <row r="81" ht="26.85" customHeight="1" spans="1:18" x14ac:dyDescent="0.25">
      <c r="A81" t="s">
        <v>974</v>
      </c>
      <c r="B81" t="s">
        <v>975</v>
      </c>
      <c r="C81" t="s">
        <v>692</v>
      </c>
      <c r="D81" t="s">
        <v>670</v>
      </c>
      <c r="E81" t="s">
        <v>669</v>
      </c>
      <c r="F81" t="s">
        <v>669</v>
      </c>
      <c r="G81">
        <v>13</v>
      </c>
      <c r="H81">
        <v>50</v>
      </c>
      <c r="I81">
        <v>1</v>
      </c>
      <c r="J81">
        <v>0</v>
      </c>
      <c r="K81">
        <v>1</v>
      </c>
      <c r="L81">
        <v>117</v>
      </c>
      <c r="M81">
        <v>0</v>
      </c>
      <c r="N81">
        <v>117</v>
      </c>
      <c r="O81" t="s">
        <v>671</v>
      </c>
      <c r="P81" t="s">
        <v>834</v>
      </c>
      <c r="Q81" t="s">
        <v>834</v>
      </c>
      <c r="R81" t="s">
        <v>834</v>
      </c>
    </row>
    <row r="82" ht="15" customHeight="1" spans="1:18" x14ac:dyDescent="0.25">
      <c r="A82" t="s">
        <v>976</v>
      </c>
      <c r="B82" t="s">
        <v>977</v>
      </c>
      <c r="C82" t="s">
        <v>692</v>
      </c>
      <c r="D82" t="s">
        <v>670</v>
      </c>
      <c r="E82" t="s">
        <v>669</v>
      </c>
      <c r="F82" t="s">
        <v>669</v>
      </c>
      <c r="G82">
        <v>13</v>
      </c>
      <c r="H82">
        <v>50</v>
      </c>
      <c r="I82">
        <v>1</v>
      </c>
      <c r="J82">
        <v>0</v>
      </c>
      <c r="K82">
        <v>1</v>
      </c>
      <c r="L82">
        <v>421</v>
      </c>
      <c r="M82">
        <v>0</v>
      </c>
      <c r="N82">
        <v>421</v>
      </c>
      <c r="O82" t="s">
        <v>671</v>
      </c>
      <c r="P82" t="s">
        <v>978</v>
      </c>
      <c r="Q82" t="s">
        <v>978</v>
      </c>
      <c r="R82" t="s">
        <v>978</v>
      </c>
    </row>
    <row r="83" ht="26.85" customHeight="1" spans="1:18" x14ac:dyDescent="0.25">
      <c r="A83" t="s">
        <v>979</v>
      </c>
      <c r="B83" t="s">
        <v>980</v>
      </c>
      <c r="C83" t="s">
        <v>692</v>
      </c>
      <c r="D83" t="s">
        <v>670</v>
      </c>
      <c r="E83" t="s">
        <v>669</v>
      </c>
      <c r="F83" t="s">
        <v>669</v>
      </c>
      <c r="G83">
        <v>13</v>
      </c>
      <c r="H83">
        <v>50</v>
      </c>
      <c r="I83">
        <v>1</v>
      </c>
      <c r="J83">
        <v>0</v>
      </c>
      <c r="K83">
        <v>1</v>
      </c>
      <c r="L83">
        <v>220</v>
      </c>
      <c r="M83">
        <v>0</v>
      </c>
      <c r="N83">
        <v>220</v>
      </c>
      <c r="O83" t="s">
        <v>671</v>
      </c>
      <c r="P83" t="s">
        <v>981</v>
      </c>
      <c r="Q83" t="s">
        <v>981</v>
      </c>
      <c r="R83" t="s">
        <v>981</v>
      </c>
    </row>
    <row r="84" ht="26.85" customHeight="1" spans="1:18" x14ac:dyDescent="0.25">
      <c r="A84" t="s">
        <v>982</v>
      </c>
      <c r="B84" t="s">
        <v>983</v>
      </c>
      <c r="C84" t="s">
        <v>692</v>
      </c>
      <c r="D84" t="s">
        <v>669</v>
      </c>
      <c r="E84" t="s">
        <v>670</v>
      </c>
      <c r="F84" t="s">
        <v>670</v>
      </c>
      <c r="G84">
        <v>13</v>
      </c>
      <c r="H84">
        <v>50</v>
      </c>
      <c r="I84">
        <v>0</v>
      </c>
      <c r="J84">
        <v>3</v>
      </c>
      <c r="K84">
        <v>3</v>
      </c>
      <c r="L84">
        <v>0</v>
      </c>
      <c r="M84">
        <v>660</v>
      </c>
      <c r="N84">
        <v>660</v>
      </c>
      <c r="O84" t="s">
        <v>671</v>
      </c>
      <c r="P84" t="s">
        <v>981</v>
      </c>
      <c r="Q84" t="s">
        <v>981</v>
      </c>
      <c r="R84" t="s">
        <v>981</v>
      </c>
    </row>
    <row r="85" ht="26.85" customHeight="1" spans="1:18" x14ac:dyDescent="0.25">
      <c r="A85" t="s">
        <v>984</v>
      </c>
      <c r="B85" t="s">
        <v>985</v>
      </c>
      <c r="C85" t="s">
        <v>668</v>
      </c>
      <c r="D85" t="s">
        <v>670</v>
      </c>
      <c r="E85" t="s">
        <v>669</v>
      </c>
      <c r="F85" t="s">
        <v>669</v>
      </c>
      <c r="G85">
        <v>12</v>
      </c>
      <c r="H85">
        <v>46.15</v>
      </c>
      <c r="I85">
        <v>1</v>
      </c>
      <c r="J85">
        <v>0</v>
      </c>
      <c r="K85">
        <v>1</v>
      </c>
      <c r="L85">
        <v>847.05</v>
      </c>
      <c r="M85">
        <v>0</v>
      </c>
      <c r="N85">
        <v>847.05</v>
      </c>
      <c r="O85" t="s">
        <v>681</v>
      </c>
      <c r="P85" t="s">
        <v>986</v>
      </c>
      <c r="Q85" t="s">
        <v>987</v>
      </c>
      <c r="R85" t="s">
        <v>988</v>
      </c>
    </row>
    <row r="86" ht="15" customHeight="1" spans="1:18" x14ac:dyDescent="0.25">
      <c r="A86" t="s">
        <v>989</v>
      </c>
      <c r="B86" t="s">
        <v>990</v>
      </c>
      <c r="C86" t="s">
        <v>692</v>
      </c>
      <c r="D86" t="s">
        <v>670</v>
      </c>
      <c r="E86" t="s">
        <v>670</v>
      </c>
      <c r="F86" t="s">
        <v>669</v>
      </c>
      <c r="G86">
        <v>12</v>
      </c>
      <c r="H86">
        <v>46.15</v>
      </c>
      <c r="I86">
        <v>1</v>
      </c>
      <c r="J86">
        <v>0</v>
      </c>
      <c r="K86">
        <v>1</v>
      </c>
      <c r="L86">
        <v>327</v>
      </c>
      <c r="M86">
        <v>0</v>
      </c>
      <c r="N86">
        <v>327</v>
      </c>
      <c r="O86" t="s">
        <v>671</v>
      </c>
      <c r="P86" t="s">
        <v>991</v>
      </c>
      <c r="Q86" t="s">
        <v>991</v>
      </c>
      <c r="R86" t="s">
        <v>991</v>
      </c>
    </row>
    <row r="87" ht="26.85" customHeight="1" spans="1:18" x14ac:dyDescent="0.25">
      <c r="A87" t="s">
        <v>992</v>
      </c>
      <c r="B87" t="s">
        <v>993</v>
      </c>
      <c r="C87" t="s">
        <v>692</v>
      </c>
      <c r="D87" t="s">
        <v>670</v>
      </c>
      <c r="E87" t="s">
        <v>669</v>
      </c>
      <c r="F87" t="s">
        <v>669</v>
      </c>
      <c r="G87">
        <v>12</v>
      </c>
      <c r="H87">
        <v>46.15</v>
      </c>
      <c r="I87">
        <v>3.5</v>
      </c>
      <c r="J87">
        <v>0</v>
      </c>
      <c r="K87">
        <v>3.5</v>
      </c>
      <c r="L87">
        <v>357</v>
      </c>
      <c r="M87">
        <v>0</v>
      </c>
      <c r="N87">
        <v>357</v>
      </c>
      <c r="O87" t="s">
        <v>671</v>
      </c>
      <c r="P87" t="s">
        <v>712</v>
      </c>
      <c r="Q87" t="s">
        <v>712</v>
      </c>
      <c r="R87" t="s">
        <v>712</v>
      </c>
    </row>
    <row r="88" ht="26.85" customHeight="1" spans="1:18" x14ac:dyDescent="0.25">
      <c r="A88" t="s">
        <v>994</v>
      </c>
      <c r="B88" t="s">
        <v>995</v>
      </c>
      <c r="C88" t="s">
        <v>668</v>
      </c>
      <c r="D88" t="s">
        <v>669</v>
      </c>
      <c r="E88" t="s">
        <v>670</v>
      </c>
      <c r="F88" t="s">
        <v>669</v>
      </c>
      <c r="G88">
        <v>11</v>
      </c>
      <c r="H88">
        <v>42.31</v>
      </c>
      <c r="I88">
        <v>0</v>
      </c>
      <c r="J88">
        <v>1</v>
      </c>
      <c r="K88">
        <v>1</v>
      </c>
      <c r="L88">
        <v>0</v>
      </c>
      <c r="M88">
        <v>3.14</v>
      </c>
      <c r="N88">
        <v>3.14</v>
      </c>
      <c r="O88" t="s">
        <v>671</v>
      </c>
      <c r="P88" t="s">
        <v>996</v>
      </c>
      <c r="Q88" t="s">
        <v>996</v>
      </c>
      <c r="R88" t="s">
        <v>996</v>
      </c>
    </row>
    <row r="89" ht="26.85" customHeight="1" spans="1:18" x14ac:dyDescent="0.25">
      <c r="A89" t="s">
        <v>997</v>
      </c>
      <c r="B89" t="s">
        <v>998</v>
      </c>
      <c r="C89" t="s">
        <v>668</v>
      </c>
      <c r="D89" t="s">
        <v>669</v>
      </c>
      <c r="E89" t="s">
        <v>670</v>
      </c>
      <c r="F89" t="s">
        <v>669</v>
      </c>
      <c r="G89">
        <v>11</v>
      </c>
      <c r="H89">
        <v>42.31</v>
      </c>
      <c r="I89">
        <v>0</v>
      </c>
      <c r="J89">
        <v>1</v>
      </c>
      <c r="K89">
        <v>1</v>
      </c>
      <c r="L89">
        <v>0</v>
      </c>
      <c r="M89">
        <v>70</v>
      </c>
      <c r="N89">
        <v>70</v>
      </c>
      <c r="O89" t="s">
        <v>681</v>
      </c>
      <c r="P89" t="s">
        <v>999</v>
      </c>
      <c r="Q89" t="s">
        <v>1000</v>
      </c>
      <c r="R89" t="s">
        <v>1001</v>
      </c>
    </row>
    <row r="90" ht="15" customHeight="1" spans="2:15" x14ac:dyDescent="0.25">
      <c r="B90" t="s">
        <v>724</v>
      </c>
      <c r="C90" t="s">
        <v>692</v>
      </c>
      <c r="D90" t="s">
        <v>669</v>
      </c>
      <c r="E90" t="s">
        <v>669</v>
      </c>
      <c r="F90" t="s">
        <v>670</v>
      </c>
      <c r="G90" t="s">
        <v>1002</v>
      </c>
      <c r="H90" t="s">
        <v>1003</v>
      </c>
      <c r="I90" t="s">
        <v>898</v>
      </c>
      <c r="J90" t="s">
        <v>898</v>
      </c>
      <c r="K90" t="s">
        <v>898</v>
      </c>
      <c r="L90" t="s">
        <v>898</v>
      </c>
      <c r="M90" t="s">
        <v>898</v>
      </c>
      <c r="N90" t="s">
        <v>898</v>
      </c>
      <c r="O90" t="s">
        <v>898</v>
      </c>
    </row>
    <row r="91" ht="15" customHeight="1" spans="2:15" x14ac:dyDescent="0.25">
      <c r="B91" t="s">
        <v>761</v>
      </c>
      <c r="C91" t="s">
        <v>692</v>
      </c>
      <c r="D91" t="s">
        <v>669</v>
      </c>
      <c r="E91" t="s">
        <v>669</v>
      </c>
      <c r="F91" t="s">
        <v>670</v>
      </c>
      <c r="G91" t="s">
        <v>1002</v>
      </c>
      <c r="H91" t="s">
        <v>1003</v>
      </c>
      <c r="I91" t="s">
        <v>898</v>
      </c>
      <c r="J91" t="s">
        <v>898</v>
      </c>
      <c r="K91" t="s">
        <v>898</v>
      </c>
      <c r="L91" t="s">
        <v>898</v>
      </c>
      <c r="M91" t="s">
        <v>898</v>
      </c>
      <c r="N91" t="s">
        <v>898</v>
      </c>
      <c r="O91" t="s">
        <v>898</v>
      </c>
    </row>
    <row r="92" ht="15" customHeight="1" spans="1:18" x14ac:dyDescent="0.25">
      <c r="A92" t="s">
        <v>1004</v>
      </c>
      <c r="B92" t="s">
        <v>1005</v>
      </c>
      <c r="C92" t="s">
        <v>692</v>
      </c>
      <c r="D92" t="s">
        <v>669</v>
      </c>
      <c r="E92" t="s">
        <v>670</v>
      </c>
      <c r="F92" t="s">
        <v>669</v>
      </c>
      <c r="G92">
        <v>11</v>
      </c>
      <c r="H92">
        <v>42.31</v>
      </c>
      <c r="I92">
        <v>0</v>
      </c>
      <c r="J92">
        <v>1</v>
      </c>
      <c r="K92">
        <v>1</v>
      </c>
      <c r="L92">
        <v>0</v>
      </c>
      <c r="M92">
        <v>276</v>
      </c>
      <c r="N92">
        <v>276</v>
      </c>
      <c r="O92" t="s">
        <v>731</v>
      </c>
      <c r="P92" t="s">
        <v>1006</v>
      </c>
      <c r="Q92" t="s">
        <v>1007</v>
      </c>
      <c r="R92" t="s">
        <v>1008</v>
      </c>
    </row>
    <row r="93" ht="26.85" customHeight="1" spans="1:18" x14ac:dyDescent="0.25">
      <c r="A93" t="s">
        <v>1009</v>
      </c>
      <c r="B93" t="s">
        <v>1010</v>
      </c>
      <c r="C93" t="s">
        <v>692</v>
      </c>
      <c r="D93" t="s">
        <v>670</v>
      </c>
      <c r="E93" t="s">
        <v>669</v>
      </c>
      <c r="F93" t="s">
        <v>669</v>
      </c>
      <c r="G93">
        <v>11</v>
      </c>
      <c r="H93">
        <v>42.31</v>
      </c>
      <c r="I93">
        <v>1</v>
      </c>
      <c r="J93">
        <v>0</v>
      </c>
      <c r="K93">
        <v>1</v>
      </c>
      <c r="L93">
        <v>675</v>
      </c>
      <c r="M93">
        <v>0</v>
      </c>
      <c r="N93">
        <v>675</v>
      </c>
      <c r="O93" t="s">
        <v>671</v>
      </c>
      <c r="P93" t="s">
        <v>1011</v>
      </c>
      <c r="Q93" t="s">
        <v>1011</v>
      </c>
      <c r="R93" t="s">
        <v>1011</v>
      </c>
    </row>
    <row r="94" ht="26.85" customHeight="1" spans="1:18" x14ac:dyDescent="0.25">
      <c r="A94" t="s">
        <v>1012</v>
      </c>
      <c r="B94" t="s">
        <v>1013</v>
      </c>
      <c r="C94" t="s">
        <v>692</v>
      </c>
      <c r="D94" t="s">
        <v>669</v>
      </c>
      <c r="E94" t="s">
        <v>670</v>
      </c>
      <c r="F94" t="s">
        <v>669</v>
      </c>
      <c r="G94">
        <v>11</v>
      </c>
      <c r="H94">
        <v>42.31</v>
      </c>
      <c r="I94">
        <v>0</v>
      </c>
      <c r="J94">
        <v>1</v>
      </c>
      <c r="K94">
        <v>1</v>
      </c>
      <c r="L94">
        <v>0</v>
      </c>
      <c r="M94">
        <v>355</v>
      </c>
      <c r="N94">
        <v>355</v>
      </c>
      <c r="O94" t="s">
        <v>671</v>
      </c>
      <c r="P94" t="s">
        <v>1014</v>
      </c>
      <c r="Q94" t="s">
        <v>1014</v>
      </c>
      <c r="R94" t="s">
        <v>1014</v>
      </c>
    </row>
    <row r="95" ht="26.85" customHeight="1" spans="2:15" x14ac:dyDescent="0.25">
      <c r="B95" t="s">
        <v>924</v>
      </c>
      <c r="C95" t="s">
        <v>668</v>
      </c>
      <c r="D95" t="s">
        <v>669</v>
      </c>
      <c r="E95" t="s">
        <v>669</v>
      </c>
      <c r="F95" t="s">
        <v>670</v>
      </c>
      <c r="G95" t="s">
        <v>1015</v>
      </c>
      <c r="H95" t="s">
        <v>1016</v>
      </c>
      <c r="I95" t="s">
        <v>898</v>
      </c>
      <c r="J95" t="s">
        <v>898</v>
      </c>
      <c r="K95" t="s">
        <v>898</v>
      </c>
      <c r="L95" t="s">
        <v>898</v>
      </c>
      <c r="M95" t="s">
        <v>898</v>
      </c>
      <c r="N95" t="s">
        <v>898</v>
      </c>
      <c r="O95" t="s">
        <v>898</v>
      </c>
    </row>
    <row r="96" ht="26.85" customHeight="1" spans="1:18" x14ac:dyDescent="0.25">
      <c r="A96" t="s">
        <v>1017</v>
      </c>
      <c r="B96" t="s">
        <v>1018</v>
      </c>
      <c r="C96" t="s">
        <v>668</v>
      </c>
      <c r="D96" t="s">
        <v>670</v>
      </c>
      <c r="E96" t="s">
        <v>669</v>
      </c>
      <c r="F96" t="s">
        <v>669</v>
      </c>
      <c r="G96">
        <v>10</v>
      </c>
      <c r="H96">
        <v>38.46</v>
      </c>
      <c r="I96">
        <v>1</v>
      </c>
      <c r="J96">
        <v>0</v>
      </c>
      <c r="K96">
        <v>1</v>
      </c>
      <c r="L96">
        <v>7.2</v>
      </c>
      <c r="M96">
        <v>0</v>
      </c>
      <c r="N96">
        <v>7.2</v>
      </c>
      <c r="O96" t="s">
        <v>681</v>
      </c>
      <c r="P96" t="s">
        <v>1019</v>
      </c>
      <c r="Q96" t="s">
        <v>929</v>
      </c>
      <c r="R96" t="s">
        <v>1020</v>
      </c>
    </row>
    <row r="97" ht="26.85" customHeight="1" spans="1:18" x14ac:dyDescent="0.25">
      <c r="A97" t="s">
        <v>1021</v>
      </c>
      <c r="B97" t="s">
        <v>1022</v>
      </c>
      <c r="C97" t="s">
        <v>668</v>
      </c>
      <c r="D97" t="s">
        <v>669</v>
      </c>
      <c r="E97" t="s">
        <v>670</v>
      </c>
      <c r="F97" t="s">
        <v>670</v>
      </c>
      <c r="G97">
        <v>10</v>
      </c>
      <c r="H97">
        <v>38.46</v>
      </c>
      <c r="I97">
        <v>0</v>
      </c>
      <c r="J97">
        <v>3</v>
      </c>
      <c r="K97">
        <v>3</v>
      </c>
      <c r="L97">
        <v>0</v>
      </c>
      <c r="M97">
        <v>1067.07</v>
      </c>
      <c r="N97">
        <v>1067.07</v>
      </c>
      <c r="O97" t="s">
        <v>681</v>
      </c>
      <c r="P97" t="s">
        <v>1023</v>
      </c>
      <c r="Q97" t="s">
        <v>1024</v>
      </c>
      <c r="R97" t="s">
        <v>1025</v>
      </c>
    </row>
    <row r="98" ht="26.85" customHeight="1" spans="1:18" x14ac:dyDescent="0.25">
      <c r="A98" t="s">
        <v>1026</v>
      </c>
      <c r="B98" t="s">
        <v>1027</v>
      </c>
      <c r="C98" t="s">
        <v>668</v>
      </c>
      <c r="D98" t="s">
        <v>669</v>
      </c>
      <c r="E98" t="s">
        <v>670</v>
      </c>
      <c r="F98" t="s">
        <v>670</v>
      </c>
      <c r="G98">
        <v>10</v>
      </c>
      <c r="H98">
        <v>38.46</v>
      </c>
      <c r="I98">
        <v>0</v>
      </c>
      <c r="J98">
        <v>1</v>
      </c>
      <c r="K98">
        <v>1</v>
      </c>
      <c r="L98">
        <v>0</v>
      </c>
      <c r="M98">
        <v>515.62</v>
      </c>
      <c r="N98">
        <v>515.62</v>
      </c>
      <c r="O98" t="s">
        <v>671</v>
      </c>
      <c r="P98" t="s">
        <v>1028</v>
      </c>
      <c r="Q98" t="s">
        <v>1028</v>
      </c>
      <c r="R98" t="s">
        <v>1028</v>
      </c>
    </row>
    <row r="99" ht="26.85" customHeight="1" spans="1:18" x14ac:dyDescent="0.25">
      <c r="A99" t="s">
        <v>1029</v>
      </c>
      <c r="B99" t="s">
        <v>1030</v>
      </c>
      <c r="C99" t="s">
        <v>668</v>
      </c>
      <c r="D99" t="s">
        <v>670</v>
      </c>
      <c r="E99" t="s">
        <v>670</v>
      </c>
      <c r="F99" t="s">
        <v>670</v>
      </c>
      <c r="G99">
        <v>10</v>
      </c>
      <c r="H99">
        <v>38.46</v>
      </c>
      <c r="I99">
        <v>0</v>
      </c>
      <c r="J99">
        <v>3</v>
      </c>
      <c r="K99">
        <v>3</v>
      </c>
      <c r="L99">
        <v>0</v>
      </c>
      <c r="M99">
        <v>37.68</v>
      </c>
      <c r="N99">
        <v>37.68</v>
      </c>
      <c r="O99" t="s">
        <v>681</v>
      </c>
      <c r="P99" t="s">
        <v>1031</v>
      </c>
      <c r="Q99" t="s">
        <v>1032</v>
      </c>
      <c r="R99" t="s">
        <v>1033</v>
      </c>
    </row>
    <row r="100" ht="26.85" customHeight="1" spans="1:18" x14ac:dyDescent="0.25">
      <c r="A100" t="s">
        <v>1034</v>
      </c>
      <c r="B100" t="s">
        <v>1035</v>
      </c>
      <c r="C100" t="s">
        <v>668</v>
      </c>
      <c r="D100" t="s">
        <v>670</v>
      </c>
      <c r="E100" t="s">
        <v>669</v>
      </c>
      <c r="F100" t="s">
        <v>669</v>
      </c>
      <c r="G100">
        <v>10</v>
      </c>
      <c r="H100">
        <v>38.46</v>
      </c>
      <c r="I100">
        <v>1</v>
      </c>
      <c r="J100">
        <v>0</v>
      </c>
      <c r="K100">
        <v>1</v>
      </c>
      <c r="L100">
        <v>560.65</v>
      </c>
      <c r="M100">
        <v>0</v>
      </c>
      <c r="N100">
        <v>560.65</v>
      </c>
      <c r="O100" t="s">
        <v>671</v>
      </c>
      <c r="P100" t="s">
        <v>1036</v>
      </c>
      <c r="Q100" t="s">
        <v>1036</v>
      </c>
      <c r="R100" t="s">
        <v>1036</v>
      </c>
    </row>
    <row r="101" ht="26.85" customHeight="1" spans="1:18" x14ac:dyDescent="0.25">
      <c r="A101" t="s">
        <v>1037</v>
      </c>
      <c r="B101" t="s">
        <v>1038</v>
      </c>
      <c r="C101" t="s">
        <v>668</v>
      </c>
      <c r="D101" t="s">
        <v>669</v>
      </c>
      <c r="E101" t="s">
        <v>670</v>
      </c>
      <c r="F101" t="s">
        <v>670</v>
      </c>
      <c r="G101">
        <v>10</v>
      </c>
      <c r="H101">
        <v>38.46</v>
      </c>
      <c r="I101">
        <v>0</v>
      </c>
      <c r="J101">
        <v>1</v>
      </c>
      <c r="K101">
        <v>1</v>
      </c>
      <c r="L101">
        <v>0</v>
      </c>
      <c r="M101">
        <v>181.39</v>
      </c>
      <c r="N101">
        <v>181.39</v>
      </c>
      <c r="O101" t="s">
        <v>671</v>
      </c>
      <c r="P101" t="s">
        <v>1039</v>
      </c>
      <c r="Q101" t="s">
        <v>1039</v>
      </c>
      <c r="R101" t="s">
        <v>1039</v>
      </c>
    </row>
    <row r="102" ht="15" customHeight="1" spans="2:15" x14ac:dyDescent="0.25">
      <c r="B102" t="s">
        <v>730</v>
      </c>
      <c r="C102" t="s">
        <v>692</v>
      </c>
      <c r="D102" t="s">
        <v>669</v>
      </c>
      <c r="E102" t="s">
        <v>669</v>
      </c>
      <c r="F102" t="s">
        <v>670</v>
      </c>
      <c r="G102" t="s">
        <v>1015</v>
      </c>
      <c r="H102" t="s">
        <v>1016</v>
      </c>
      <c r="I102" t="s">
        <v>898</v>
      </c>
      <c r="J102" t="s">
        <v>898</v>
      </c>
      <c r="K102" t="s">
        <v>898</v>
      </c>
      <c r="L102" t="s">
        <v>898</v>
      </c>
      <c r="M102" t="s">
        <v>898</v>
      </c>
      <c r="N102" t="s">
        <v>898</v>
      </c>
      <c r="O102" t="s">
        <v>898</v>
      </c>
    </row>
    <row r="103" ht="15" customHeight="1" spans="1:18" x14ac:dyDescent="0.25">
      <c r="A103" t="s">
        <v>1040</v>
      </c>
      <c r="B103" t="s">
        <v>1041</v>
      </c>
      <c r="C103" t="s">
        <v>692</v>
      </c>
      <c r="D103" t="s">
        <v>670</v>
      </c>
      <c r="E103" t="s">
        <v>669</v>
      </c>
      <c r="F103" t="s">
        <v>669</v>
      </c>
      <c r="G103">
        <v>10</v>
      </c>
      <c r="H103">
        <v>38.46</v>
      </c>
      <c r="I103">
        <v>10</v>
      </c>
      <c r="J103">
        <v>0</v>
      </c>
      <c r="K103">
        <v>10</v>
      </c>
      <c r="L103">
        <v>160</v>
      </c>
      <c r="M103">
        <v>0</v>
      </c>
      <c r="N103">
        <v>160</v>
      </c>
      <c r="O103" t="s">
        <v>671</v>
      </c>
      <c r="P103" t="s">
        <v>896</v>
      </c>
      <c r="Q103" t="s">
        <v>896</v>
      </c>
      <c r="R103" t="s">
        <v>896</v>
      </c>
    </row>
    <row r="104" ht="26.85" customHeight="1" spans="1:18" x14ac:dyDescent="0.25">
      <c r="A104" t="s">
        <v>1042</v>
      </c>
      <c r="B104" t="s">
        <v>1043</v>
      </c>
      <c r="C104" t="s">
        <v>692</v>
      </c>
      <c r="D104" t="s">
        <v>669</v>
      </c>
      <c r="E104" t="s">
        <v>670</v>
      </c>
      <c r="F104" t="s">
        <v>670</v>
      </c>
      <c r="G104">
        <v>10</v>
      </c>
      <c r="H104">
        <v>38.46</v>
      </c>
      <c r="I104">
        <v>0</v>
      </c>
      <c r="J104">
        <v>4</v>
      </c>
      <c r="K104">
        <v>4</v>
      </c>
      <c r="L104">
        <v>0</v>
      </c>
      <c r="M104">
        <v>538.65</v>
      </c>
      <c r="N104">
        <v>538.65</v>
      </c>
      <c r="O104" t="s">
        <v>731</v>
      </c>
      <c r="P104" t="s">
        <v>1044</v>
      </c>
      <c r="Q104" t="s">
        <v>1045</v>
      </c>
      <c r="R104" t="s">
        <v>1046</v>
      </c>
    </row>
    <row r="105" ht="26.85" customHeight="1" spans="1:18" x14ac:dyDescent="0.25">
      <c r="A105" t="s">
        <v>1047</v>
      </c>
      <c r="B105" t="s">
        <v>1048</v>
      </c>
      <c r="C105" t="s">
        <v>692</v>
      </c>
      <c r="D105" t="s">
        <v>670</v>
      </c>
      <c r="E105" t="s">
        <v>669</v>
      </c>
      <c r="F105" t="s">
        <v>669</v>
      </c>
      <c r="G105">
        <v>10</v>
      </c>
      <c r="H105">
        <v>38.46</v>
      </c>
      <c r="I105">
        <v>2.5</v>
      </c>
      <c r="J105">
        <v>0</v>
      </c>
      <c r="K105">
        <v>2.5</v>
      </c>
      <c r="L105">
        <v>282.5</v>
      </c>
      <c r="M105">
        <v>0</v>
      </c>
      <c r="N105">
        <v>282.5</v>
      </c>
      <c r="O105" t="s">
        <v>671</v>
      </c>
      <c r="P105" t="s">
        <v>1049</v>
      </c>
      <c r="Q105" t="s">
        <v>1049</v>
      </c>
      <c r="R105" t="s">
        <v>1049</v>
      </c>
    </row>
    <row r="106" ht="26.85" customHeight="1" spans="1:18" x14ac:dyDescent="0.25">
      <c r="A106" t="s">
        <v>1050</v>
      </c>
      <c r="B106" t="s">
        <v>1051</v>
      </c>
      <c r="C106" t="s">
        <v>692</v>
      </c>
      <c r="D106" t="s">
        <v>670</v>
      </c>
      <c r="E106" t="s">
        <v>669</v>
      </c>
      <c r="F106" t="s">
        <v>669</v>
      </c>
      <c r="G106">
        <v>10</v>
      </c>
      <c r="H106">
        <v>38.46</v>
      </c>
      <c r="I106">
        <v>10</v>
      </c>
      <c r="J106">
        <v>0</v>
      </c>
      <c r="K106">
        <v>10</v>
      </c>
      <c r="L106">
        <v>170</v>
      </c>
      <c r="M106">
        <v>0</v>
      </c>
      <c r="N106">
        <v>170</v>
      </c>
      <c r="O106" t="s">
        <v>671</v>
      </c>
      <c r="P106" t="s">
        <v>1052</v>
      </c>
      <c r="Q106" t="s">
        <v>1052</v>
      </c>
      <c r="R106" t="s">
        <v>1052</v>
      </c>
    </row>
    <row r="107" ht="26.85" customHeight="1" spans="1:18" x14ac:dyDescent="0.25">
      <c r="A107" t="s">
        <v>1053</v>
      </c>
      <c r="B107" t="s">
        <v>1054</v>
      </c>
      <c r="C107" t="s">
        <v>692</v>
      </c>
      <c r="D107" t="s">
        <v>670</v>
      </c>
      <c r="E107" t="s">
        <v>669</v>
      </c>
      <c r="F107" t="s">
        <v>669</v>
      </c>
      <c r="G107">
        <v>10</v>
      </c>
      <c r="H107">
        <v>38.46</v>
      </c>
      <c r="I107">
        <v>1</v>
      </c>
      <c r="J107">
        <v>0</v>
      </c>
      <c r="K107">
        <v>1</v>
      </c>
      <c r="L107">
        <v>4.31</v>
      </c>
      <c r="M107">
        <v>0</v>
      </c>
      <c r="N107">
        <v>4.31</v>
      </c>
      <c r="O107" t="s">
        <v>671</v>
      </c>
      <c r="P107" t="s">
        <v>1055</v>
      </c>
      <c r="Q107" t="s">
        <v>1055</v>
      </c>
      <c r="R107" t="s">
        <v>1055</v>
      </c>
    </row>
    <row r="108" ht="15" customHeight="1" spans="1:18" x14ac:dyDescent="0.25">
      <c r="A108" t="s">
        <v>1056</v>
      </c>
      <c r="B108" t="s">
        <v>1057</v>
      </c>
      <c r="C108" t="s">
        <v>692</v>
      </c>
      <c r="D108" t="s">
        <v>669</v>
      </c>
      <c r="E108" t="s">
        <v>670</v>
      </c>
      <c r="F108" t="s">
        <v>670</v>
      </c>
      <c r="G108">
        <v>10</v>
      </c>
      <c r="H108">
        <v>38.46</v>
      </c>
      <c r="I108">
        <v>0</v>
      </c>
      <c r="J108">
        <v>3</v>
      </c>
      <c r="K108">
        <v>3</v>
      </c>
      <c r="L108">
        <v>0</v>
      </c>
      <c r="M108">
        <v>205.5</v>
      </c>
      <c r="N108">
        <v>205.5</v>
      </c>
      <c r="O108" t="s">
        <v>671</v>
      </c>
      <c r="P108" t="s">
        <v>1058</v>
      </c>
      <c r="Q108" t="s">
        <v>1058</v>
      </c>
      <c r="R108" t="s">
        <v>1058</v>
      </c>
    </row>
    <row r="109" ht="26.85" customHeight="1" spans="1:18" x14ac:dyDescent="0.25">
      <c r="A109" t="s">
        <v>1059</v>
      </c>
      <c r="B109" t="s">
        <v>195</v>
      </c>
      <c r="C109" t="s">
        <v>692</v>
      </c>
      <c r="D109" t="s">
        <v>670</v>
      </c>
      <c r="E109" t="s">
        <v>669</v>
      </c>
      <c r="F109" t="s">
        <v>669</v>
      </c>
      <c r="G109">
        <v>10</v>
      </c>
      <c r="H109">
        <v>38.46</v>
      </c>
      <c r="I109">
        <v>2</v>
      </c>
      <c r="J109">
        <v>0</v>
      </c>
      <c r="K109">
        <v>2</v>
      </c>
      <c r="L109">
        <v>53250</v>
      </c>
      <c r="M109">
        <v>0</v>
      </c>
      <c r="N109">
        <v>53250</v>
      </c>
      <c r="O109" t="s">
        <v>671</v>
      </c>
      <c r="P109" t="s">
        <v>1060</v>
      </c>
      <c r="Q109" t="s">
        <v>1060</v>
      </c>
      <c r="R109" t="s">
        <v>1060</v>
      </c>
    </row>
    <row r="110" ht="15" customHeight="1" spans="1:18" x14ac:dyDescent="0.25">
      <c r="A110" t="s">
        <v>1061</v>
      </c>
      <c r="B110" t="s">
        <v>1062</v>
      </c>
      <c r="C110" t="s">
        <v>692</v>
      </c>
      <c r="D110" t="s">
        <v>670</v>
      </c>
      <c r="E110" t="s">
        <v>670</v>
      </c>
      <c r="F110" t="s">
        <v>670</v>
      </c>
      <c r="G110">
        <v>10</v>
      </c>
      <c r="H110">
        <v>38.46</v>
      </c>
      <c r="I110">
        <v>1</v>
      </c>
      <c r="J110">
        <v>0</v>
      </c>
      <c r="K110">
        <v>1</v>
      </c>
      <c r="L110">
        <v>169.69</v>
      </c>
      <c r="M110">
        <v>0</v>
      </c>
      <c r="N110">
        <v>172.84</v>
      </c>
      <c r="O110" t="s">
        <v>770</v>
      </c>
      <c r="P110" t="s">
        <v>1063</v>
      </c>
      <c r="Q110" t="s">
        <v>1064</v>
      </c>
      <c r="R110" t="s">
        <v>1065</v>
      </c>
    </row>
    <row r="111" ht="15" customHeight="1" spans="1:18" x14ac:dyDescent="0.25">
      <c r="A111" t="s">
        <v>1066</v>
      </c>
      <c r="B111" t="s">
        <v>1067</v>
      </c>
      <c r="C111" t="s">
        <v>692</v>
      </c>
      <c r="D111" t="s">
        <v>669</v>
      </c>
      <c r="E111" t="s">
        <v>670</v>
      </c>
      <c r="F111" t="s">
        <v>670</v>
      </c>
      <c r="G111">
        <v>10</v>
      </c>
      <c r="H111">
        <v>38.46</v>
      </c>
      <c r="I111">
        <v>0</v>
      </c>
      <c r="J111">
        <v>6.5</v>
      </c>
      <c r="K111">
        <v>6.5</v>
      </c>
      <c r="L111">
        <v>0</v>
      </c>
      <c r="M111">
        <v>175.5</v>
      </c>
      <c r="N111">
        <v>175.5</v>
      </c>
      <c r="O111" t="s">
        <v>671</v>
      </c>
      <c r="P111" t="s">
        <v>1068</v>
      </c>
      <c r="Q111" t="s">
        <v>1068</v>
      </c>
      <c r="R111" t="s">
        <v>1068</v>
      </c>
    </row>
    <row r="112" ht="26.85" customHeight="1" spans="2:15" x14ac:dyDescent="0.25">
      <c r="B112" t="s">
        <v>828</v>
      </c>
      <c r="C112" t="s">
        <v>668</v>
      </c>
      <c r="D112" t="s">
        <v>669</v>
      </c>
      <c r="E112" t="s">
        <v>669</v>
      </c>
      <c r="F112" t="s">
        <v>670</v>
      </c>
      <c r="G112" t="s">
        <v>1069</v>
      </c>
      <c r="H112" t="s">
        <v>1070</v>
      </c>
      <c r="I112" t="s">
        <v>898</v>
      </c>
      <c r="J112" t="s">
        <v>898</v>
      </c>
      <c r="K112" t="s">
        <v>898</v>
      </c>
      <c r="L112" t="s">
        <v>898</v>
      </c>
      <c r="M112" t="s">
        <v>898</v>
      </c>
      <c r="N112" t="s">
        <v>898</v>
      </c>
      <c r="O112" t="s">
        <v>898</v>
      </c>
    </row>
    <row r="113" ht="26.85" customHeight="1" spans="1:18" x14ac:dyDescent="0.25">
      <c r="A113" t="s">
        <v>1071</v>
      </c>
      <c r="B113" t="s">
        <v>1072</v>
      </c>
      <c r="C113" t="s">
        <v>668</v>
      </c>
      <c r="D113" t="s">
        <v>669</v>
      </c>
      <c r="E113" t="s">
        <v>670</v>
      </c>
      <c r="F113" t="s">
        <v>669</v>
      </c>
      <c r="G113">
        <v>9</v>
      </c>
      <c r="H113">
        <v>34.62</v>
      </c>
      <c r="I113">
        <v>0</v>
      </c>
      <c r="J113">
        <v>1</v>
      </c>
      <c r="K113">
        <v>1</v>
      </c>
      <c r="L113">
        <v>0</v>
      </c>
      <c r="M113">
        <v>2.64</v>
      </c>
      <c r="N113">
        <v>2.64</v>
      </c>
      <c r="O113" t="s">
        <v>681</v>
      </c>
      <c r="P113" t="s">
        <v>1073</v>
      </c>
      <c r="Q113" t="s">
        <v>1074</v>
      </c>
      <c r="R113" t="s">
        <v>1075</v>
      </c>
    </row>
    <row r="114" ht="26.85" customHeight="1" spans="1:18" x14ac:dyDescent="0.25">
      <c r="A114" t="s">
        <v>1076</v>
      </c>
      <c r="B114" t="s">
        <v>1077</v>
      </c>
      <c r="C114" t="s">
        <v>668</v>
      </c>
      <c r="D114" t="s">
        <v>670</v>
      </c>
      <c r="E114" t="s">
        <v>670</v>
      </c>
      <c r="F114" t="s">
        <v>670</v>
      </c>
      <c r="G114">
        <v>9</v>
      </c>
      <c r="H114">
        <v>34.62</v>
      </c>
      <c r="I114">
        <v>0</v>
      </c>
      <c r="J114">
        <v>10</v>
      </c>
      <c r="K114">
        <v>14</v>
      </c>
      <c r="L114">
        <v>0</v>
      </c>
      <c r="M114">
        <v>300</v>
      </c>
      <c r="N114">
        <v>420</v>
      </c>
      <c r="O114" t="s">
        <v>671</v>
      </c>
      <c r="P114" t="s">
        <v>960</v>
      </c>
      <c r="Q114" t="s">
        <v>960</v>
      </c>
      <c r="R114" t="s">
        <v>960</v>
      </c>
    </row>
    <row r="115" ht="39.55" customHeight="1" spans="1:18" x14ac:dyDescent="0.25">
      <c r="A115" t="s">
        <v>470</v>
      </c>
      <c r="B115" t="s">
        <v>1078</v>
      </c>
      <c r="C115" t="s">
        <v>1079</v>
      </c>
      <c r="D115" t="s">
        <v>670</v>
      </c>
      <c r="E115" t="s">
        <v>669</v>
      </c>
      <c r="F115" t="s">
        <v>669</v>
      </c>
      <c r="G115">
        <v>9</v>
      </c>
      <c r="H115">
        <v>34.62</v>
      </c>
      <c r="I115">
        <v>1</v>
      </c>
      <c r="J115">
        <v>0</v>
      </c>
      <c r="K115">
        <v>1</v>
      </c>
      <c r="L115">
        <v>5730</v>
      </c>
      <c r="M115">
        <v>0</v>
      </c>
      <c r="N115">
        <v>5730</v>
      </c>
      <c r="O115" t="s">
        <v>671</v>
      </c>
      <c r="P115" t="s">
        <v>1080</v>
      </c>
      <c r="Q115" t="s">
        <v>1080</v>
      </c>
      <c r="R115" t="s">
        <v>1080</v>
      </c>
    </row>
    <row r="116" ht="15" customHeight="1" spans="1:18" x14ac:dyDescent="0.25">
      <c r="A116" t="s">
        <v>909</v>
      </c>
      <c r="B116" t="s">
        <v>1081</v>
      </c>
      <c r="C116" t="s">
        <v>692</v>
      </c>
      <c r="D116" t="s">
        <v>669</v>
      </c>
      <c r="E116" t="s">
        <v>670</v>
      </c>
      <c r="F116" t="s">
        <v>670</v>
      </c>
      <c r="G116">
        <v>9</v>
      </c>
      <c r="H116">
        <v>34.62</v>
      </c>
      <c r="I116">
        <v>0</v>
      </c>
      <c r="J116">
        <v>4</v>
      </c>
      <c r="K116">
        <v>4</v>
      </c>
      <c r="L116">
        <v>0</v>
      </c>
      <c r="M116">
        <v>100</v>
      </c>
      <c r="N116">
        <v>100</v>
      </c>
      <c r="O116" t="s">
        <v>671</v>
      </c>
      <c r="P116" t="s">
        <v>911</v>
      </c>
      <c r="Q116" t="s">
        <v>911</v>
      </c>
      <c r="R116" t="s">
        <v>911</v>
      </c>
    </row>
    <row r="117" ht="15" customHeight="1" spans="1:18" x14ac:dyDescent="0.25">
      <c r="A117" t="s">
        <v>1082</v>
      </c>
      <c r="B117" t="s">
        <v>1083</v>
      </c>
      <c r="C117" t="s">
        <v>692</v>
      </c>
      <c r="D117" t="s">
        <v>669</v>
      </c>
      <c r="E117" t="s">
        <v>670</v>
      </c>
      <c r="F117" t="s">
        <v>669</v>
      </c>
      <c r="G117">
        <v>9</v>
      </c>
      <c r="H117">
        <v>34.62</v>
      </c>
      <c r="I117">
        <v>0</v>
      </c>
      <c r="J117">
        <v>1</v>
      </c>
      <c r="K117">
        <v>1</v>
      </c>
      <c r="L117">
        <v>0</v>
      </c>
      <c r="M117">
        <v>187</v>
      </c>
      <c r="N117">
        <v>187</v>
      </c>
      <c r="O117" t="s">
        <v>671</v>
      </c>
      <c r="P117" t="s">
        <v>1084</v>
      </c>
      <c r="Q117" t="s">
        <v>1084</v>
      </c>
      <c r="R117" t="s">
        <v>1084</v>
      </c>
    </row>
    <row r="118" ht="26.85" customHeight="1" spans="1:18" x14ac:dyDescent="0.25">
      <c r="A118" t="s">
        <v>1085</v>
      </c>
      <c r="B118" t="s">
        <v>1086</v>
      </c>
      <c r="C118" t="s">
        <v>692</v>
      </c>
      <c r="D118" t="s">
        <v>670</v>
      </c>
      <c r="E118" t="s">
        <v>669</v>
      </c>
      <c r="F118" t="s">
        <v>669</v>
      </c>
      <c r="G118">
        <v>9</v>
      </c>
      <c r="H118">
        <v>34.62</v>
      </c>
      <c r="I118">
        <v>1</v>
      </c>
      <c r="J118">
        <v>0</v>
      </c>
      <c r="K118">
        <v>1</v>
      </c>
      <c r="L118">
        <v>150</v>
      </c>
      <c r="M118">
        <v>0</v>
      </c>
      <c r="N118">
        <v>150</v>
      </c>
      <c r="O118" t="s">
        <v>671</v>
      </c>
      <c r="P118" t="s">
        <v>1087</v>
      </c>
      <c r="Q118" t="s">
        <v>1087</v>
      </c>
      <c r="R118" t="s">
        <v>1087</v>
      </c>
    </row>
    <row r="119" ht="15" customHeight="1" spans="1:18" x14ac:dyDescent="0.25">
      <c r="A119" t="s">
        <v>1088</v>
      </c>
      <c r="B119" t="s">
        <v>1089</v>
      </c>
      <c r="C119" t="s">
        <v>692</v>
      </c>
      <c r="D119" t="s">
        <v>670</v>
      </c>
      <c r="E119" t="s">
        <v>669</v>
      </c>
      <c r="F119" t="s">
        <v>669</v>
      </c>
      <c r="G119">
        <v>9</v>
      </c>
      <c r="H119">
        <v>34.62</v>
      </c>
      <c r="I119">
        <v>1</v>
      </c>
      <c r="J119">
        <v>0</v>
      </c>
      <c r="K119">
        <v>1</v>
      </c>
      <c r="L119">
        <v>1063.13</v>
      </c>
      <c r="M119">
        <v>0</v>
      </c>
      <c r="N119">
        <v>1063.13</v>
      </c>
      <c r="O119" t="s">
        <v>681</v>
      </c>
      <c r="P119" t="s">
        <v>1090</v>
      </c>
      <c r="Q119" t="s">
        <v>1091</v>
      </c>
      <c r="R119" t="s">
        <v>1092</v>
      </c>
    </row>
    <row r="120" ht="15" customHeight="1" spans="1:18" x14ac:dyDescent="0.25">
      <c r="A120" t="s">
        <v>1093</v>
      </c>
      <c r="B120" t="s">
        <v>1094</v>
      </c>
      <c r="C120" t="s">
        <v>692</v>
      </c>
      <c r="D120" t="s">
        <v>670</v>
      </c>
      <c r="E120" t="s">
        <v>669</v>
      </c>
      <c r="F120" t="s">
        <v>669</v>
      </c>
      <c r="G120">
        <v>9</v>
      </c>
      <c r="H120">
        <v>34.62</v>
      </c>
      <c r="I120">
        <v>1</v>
      </c>
      <c r="J120">
        <v>0</v>
      </c>
      <c r="K120">
        <v>1</v>
      </c>
      <c r="L120">
        <v>464</v>
      </c>
      <c r="M120">
        <v>0</v>
      </c>
      <c r="N120">
        <v>464</v>
      </c>
      <c r="O120" t="s">
        <v>671</v>
      </c>
      <c r="P120" t="s">
        <v>1095</v>
      </c>
      <c r="Q120" t="s">
        <v>1095</v>
      </c>
      <c r="R120" t="s">
        <v>1095</v>
      </c>
    </row>
    <row r="121" ht="15" customHeight="1" spans="1:18" x14ac:dyDescent="0.25">
      <c r="A121" t="s">
        <v>1096</v>
      </c>
      <c r="B121" t="s">
        <v>1097</v>
      </c>
      <c r="C121" t="s">
        <v>692</v>
      </c>
      <c r="D121" t="s">
        <v>670</v>
      </c>
      <c r="E121" t="s">
        <v>669</v>
      </c>
      <c r="F121" t="s">
        <v>669</v>
      </c>
      <c r="G121">
        <v>9</v>
      </c>
      <c r="H121">
        <v>34.62</v>
      </c>
      <c r="I121">
        <v>1</v>
      </c>
      <c r="J121">
        <v>0</v>
      </c>
      <c r="K121">
        <v>1</v>
      </c>
      <c r="L121">
        <v>221.72</v>
      </c>
      <c r="M121">
        <v>0</v>
      </c>
      <c r="N121">
        <v>221.72</v>
      </c>
      <c r="O121" t="s">
        <v>681</v>
      </c>
      <c r="P121" t="s">
        <v>918</v>
      </c>
      <c r="Q121" t="s">
        <v>919</v>
      </c>
      <c r="R121" t="s">
        <v>920</v>
      </c>
    </row>
    <row r="122" ht="26.85" customHeight="1" spans="1:18" x14ac:dyDescent="0.25">
      <c r="A122" t="s">
        <v>1098</v>
      </c>
      <c r="B122" t="s">
        <v>1099</v>
      </c>
      <c r="C122" t="s">
        <v>692</v>
      </c>
      <c r="D122" t="s">
        <v>670</v>
      </c>
      <c r="E122" t="s">
        <v>669</v>
      </c>
      <c r="F122" t="s">
        <v>669</v>
      </c>
      <c r="G122">
        <v>9</v>
      </c>
      <c r="H122">
        <v>34.62</v>
      </c>
      <c r="I122">
        <v>3</v>
      </c>
      <c r="J122">
        <v>0</v>
      </c>
      <c r="K122">
        <v>3</v>
      </c>
      <c r="L122">
        <v>273</v>
      </c>
      <c r="M122">
        <v>0</v>
      </c>
      <c r="N122">
        <v>273</v>
      </c>
      <c r="O122" t="s">
        <v>671</v>
      </c>
      <c r="P122" t="s">
        <v>817</v>
      </c>
      <c r="Q122" t="s">
        <v>817</v>
      </c>
      <c r="R122" t="s">
        <v>817</v>
      </c>
    </row>
    <row r="123" ht="26.85" customHeight="1" spans="1:18" x14ac:dyDescent="0.25">
      <c r="A123" t="s">
        <v>1100</v>
      </c>
      <c r="B123" t="s">
        <v>1101</v>
      </c>
      <c r="C123" t="s">
        <v>692</v>
      </c>
      <c r="D123" t="s">
        <v>670</v>
      </c>
      <c r="E123" t="s">
        <v>670</v>
      </c>
      <c r="F123" t="s">
        <v>669</v>
      </c>
      <c r="G123">
        <v>9</v>
      </c>
      <c r="H123">
        <v>34.62</v>
      </c>
      <c r="I123">
        <v>8</v>
      </c>
      <c r="J123">
        <v>1</v>
      </c>
      <c r="K123">
        <v>9</v>
      </c>
      <c r="L123">
        <v>728</v>
      </c>
      <c r="M123">
        <v>91</v>
      </c>
      <c r="N123">
        <v>819</v>
      </c>
      <c r="O123" t="s">
        <v>671</v>
      </c>
      <c r="P123" t="s">
        <v>817</v>
      </c>
      <c r="Q123" t="s">
        <v>817</v>
      </c>
      <c r="R123" t="s">
        <v>817</v>
      </c>
    </row>
    <row r="124" ht="26.85" customHeight="1" spans="1:18" x14ac:dyDescent="0.25">
      <c r="A124" t="s">
        <v>1102</v>
      </c>
      <c r="B124" t="s">
        <v>1103</v>
      </c>
      <c r="C124" t="s">
        <v>692</v>
      </c>
      <c r="D124" t="s">
        <v>670</v>
      </c>
      <c r="E124" t="s">
        <v>669</v>
      </c>
      <c r="F124" t="s">
        <v>669</v>
      </c>
      <c r="G124">
        <v>9</v>
      </c>
      <c r="H124">
        <v>34.62</v>
      </c>
      <c r="I124">
        <v>1</v>
      </c>
      <c r="J124">
        <v>0</v>
      </c>
      <c r="K124">
        <v>1</v>
      </c>
      <c r="L124">
        <v>767</v>
      </c>
      <c r="M124">
        <v>0</v>
      </c>
      <c r="N124">
        <v>767</v>
      </c>
      <c r="O124" t="s">
        <v>671</v>
      </c>
      <c r="P124" t="s">
        <v>1104</v>
      </c>
      <c r="Q124" t="s">
        <v>1104</v>
      </c>
      <c r="R124" t="s">
        <v>1104</v>
      </c>
    </row>
    <row r="125" ht="26.85" customHeight="1" spans="2:15" x14ac:dyDescent="0.25">
      <c r="B125" t="s">
        <v>677</v>
      </c>
      <c r="C125" t="s">
        <v>668</v>
      </c>
      <c r="D125" t="s">
        <v>669</v>
      </c>
      <c r="E125" t="s">
        <v>669</v>
      </c>
      <c r="F125" t="s">
        <v>670</v>
      </c>
      <c r="G125" t="s">
        <v>1105</v>
      </c>
      <c r="H125" t="s">
        <v>1106</v>
      </c>
      <c r="I125" t="s">
        <v>898</v>
      </c>
      <c r="J125" t="s">
        <v>898</v>
      </c>
      <c r="K125" t="s">
        <v>898</v>
      </c>
      <c r="L125" t="s">
        <v>898</v>
      </c>
      <c r="M125" t="s">
        <v>898</v>
      </c>
      <c r="N125" t="s">
        <v>898</v>
      </c>
      <c r="O125" t="s">
        <v>898</v>
      </c>
    </row>
    <row r="126" ht="26.85" customHeight="1" spans="2:15" x14ac:dyDescent="0.25">
      <c r="B126" t="s">
        <v>962</v>
      </c>
      <c r="C126" t="s">
        <v>668</v>
      </c>
      <c r="D126" t="s">
        <v>669</v>
      </c>
      <c r="E126" t="s">
        <v>669</v>
      </c>
      <c r="F126" t="s">
        <v>670</v>
      </c>
      <c r="G126" t="s">
        <v>1105</v>
      </c>
      <c r="H126" t="s">
        <v>1106</v>
      </c>
      <c r="I126" t="s">
        <v>898</v>
      </c>
      <c r="J126" t="s">
        <v>898</v>
      </c>
      <c r="K126" t="s">
        <v>898</v>
      </c>
      <c r="L126" t="s">
        <v>898</v>
      </c>
      <c r="M126" t="s">
        <v>898</v>
      </c>
      <c r="N126" t="s">
        <v>898</v>
      </c>
      <c r="O126" t="s">
        <v>898</v>
      </c>
    </row>
    <row r="127" ht="26.85" customHeight="1" spans="1:18" x14ac:dyDescent="0.25">
      <c r="A127" t="s">
        <v>1107</v>
      </c>
      <c r="B127" t="s">
        <v>1108</v>
      </c>
      <c r="C127" t="s">
        <v>668</v>
      </c>
      <c r="D127" t="s">
        <v>670</v>
      </c>
      <c r="E127" t="s">
        <v>670</v>
      </c>
      <c r="F127" t="s">
        <v>670</v>
      </c>
      <c r="G127">
        <v>8</v>
      </c>
      <c r="H127">
        <v>30.77</v>
      </c>
      <c r="I127">
        <v>0</v>
      </c>
      <c r="J127">
        <v>2</v>
      </c>
      <c r="K127">
        <v>2</v>
      </c>
      <c r="L127">
        <v>0</v>
      </c>
      <c r="M127">
        <v>120</v>
      </c>
      <c r="N127">
        <v>120</v>
      </c>
      <c r="O127" t="s">
        <v>681</v>
      </c>
      <c r="P127" t="s">
        <v>1109</v>
      </c>
      <c r="Q127" t="s">
        <v>1110</v>
      </c>
      <c r="R127" t="s">
        <v>1111</v>
      </c>
    </row>
    <row r="128" ht="26.85" customHeight="1" spans="1:18" x14ac:dyDescent="0.25">
      <c r="A128" t="s">
        <v>1112</v>
      </c>
      <c r="B128" t="s">
        <v>1113</v>
      </c>
      <c r="C128" t="s">
        <v>668</v>
      </c>
      <c r="D128" t="s">
        <v>669</v>
      </c>
      <c r="E128" t="s">
        <v>670</v>
      </c>
      <c r="F128" t="s">
        <v>670</v>
      </c>
      <c r="G128">
        <v>8</v>
      </c>
      <c r="H128">
        <v>30.77</v>
      </c>
      <c r="I128">
        <v>0</v>
      </c>
      <c r="J128">
        <v>6.5</v>
      </c>
      <c r="K128">
        <v>6.5</v>
      </c>
      <c r="L128">
        <v>0</v>
      </c>
      <c r="M128">
        <v>2669.03</v>
      </c>
      <c r="N128">
        <v>2669.03</v>
      </c>
      <c r="O128" t="s">
        <v>671</v>
      </c>
      <c r="P128" t="s">
        <v>1114</v>
      </c>
      <c r="Q128" t="s">
        <v>1114</v>
      </c>
      <c r="R128" t="s">
        <v>1114</v>
      </c>
    </row>
    <row r="129" ht="26.85" customHeight="1" spans="1:18" x14ac:dyDescent="0.25">
      <c r="A129" t="s">
        <v>1115</v>
      </c>
      <c r="B129" t="s">
        <v>1116</v>
      </c>
      <c r="C129" t="s">
        <v>668</v>
      </c>
      <c r="D129" t="s">
        <v>670</v>
      </c>
      <c r="E129" t="s">
        <v>669</v>
      </c>
      <c r="F129" t="s">
        <v>669</v>
      </c>
      <c r="G129">
        <v>8</v>
      </c>
      <c r="H129">
        <v>30.77</v>
      </c>
      <c r="I129">
        <v>1</v>
      </c>
      <c r="J129">
        <v>0</v>
      </c>
      <c r="K129">
        <v>1</v>
      </c>
      <c r="L129">
        <v>31.55</v>
      </c>
      <c r="M129">
        <v>0</v>
      </c>
      <c r="N129">
        <v>31.55</v>
      </c>
      <c r="O129" t="s">
        <v>671</v>
      </c>
      <c r="P129" t="s">
        <v>1117</v>
      </c>
      <c r="Q129" t="s">
        <v>1117</v>
      </c>
      <c r="R129" t="s">
        <v>1117</v>
      </c>
    </row>
    <row r="130" ht="26.85" customHeight="1" spans="1:18" x14ac:dyDescent="0.25">
      <c r="A130" t="s">
        <v>1118</v>
      </c>
      <c r="B130" t="s">
        <v>1119</v>
      </c>
      <c r="C130" t="s">
        <v>668</v>
      </c>
      <c r="D130" t="s">
        <v>670</v>
      </c>
      <c r="E130" t="s">
        <v>670</v>
      </c>
      <c r="F130" t="s">
        <v>670</v>
      </c>
      <c r="G130">
        <v>8</v>
      </c>
      <c r="H130">
        <v>30.77</v>
      </c>
      <c r="I130">
        <v>2</v>
      </c>
      <c r="J130">
        <v>6.5</v>
      </c>
      <c r="K130">
        <v>7.5</v>
      </c>
      <c r="L130">
        <v>89.86</v>
      </c>
      <c r="M130">
        <v>292.05</v>
      </c>
      <c r="N130">
        <v>336.98</v>
      </c>
      <c r="O130" t="s">
        <v>671</v>
      </c>
      <c r="P130" t="s">
        <v>847</v>
      </c>
      <c r="Q130" t="s">
        <v>847</v>
      </c>
      <c r="R130" t="s">
        <v>847</v>
      </c>
    </row>
    <row r="131" ht="26.85" customHeight="1" spans="1:18" x14ac:dyDescent="0.25">
      <c r="A131" t="s">
        <v>1120</v>
      </c>
      <c r="B131" t="s">
        <v>1121</v>
      </c>
      <c r="C131" t="s">
        <v>668</v>
      </c>
      <c r="D131" t="s">
        <v>670</v>
      </c>
      <c r="E131" t="s">
        <v>669</v>
      </c>
      <c r="F131" t="s">
        <v>669</v>
      </c>
      <c r="G131">
        <v>8</v>
      </c>
      <c r="H131">
        <v>30.77</v>
      </c>
      <c r="I131">
        <v>1</v>
      </c>
      <c r="J131">
        <v>0</v>
      </c>
      <c r="K131">
        <v>1</v>
      </c>
      <c r="L131">
        <v>62.24</v>
      </c>
      <c r="M131">
        <v>0</v>
      </c>
      <c r="N131">
        <v>62.24</v>
      </c>
      <c r="O131" t="s">
        <v>671</v>
      </c>
      <c r="P131" t="s">
        <v>1122</v>
      </c>
      <c r="Q131" t="s">
        <v>1122</v>
      </c>
      <c r="R131" t="s">
        <v>1122</v>
      </c>
    </row>
    <row r="132" ht="26.85" customHeight="1" spans="1:18" x14ac:dyDescent="0.25">
      <c r="A132" t="s">
        <v>1123</v>
      </c>
      <c r="B132" t="s">
        <v>1124</v>
      </c>
      <c r="C132" t="s">
        <v>668</v>
      </c>
      <c r="D132" t="s">
        <v>670</v>
      </c>
      <c r="E132" t="s">
        <v>669</v>
      </c>
      <c r="F132" t="s">
        <v>669</v>
      </c>
      <c r="G132">
        <v>8</v>
      </c>
      <c r="H132">
        <v>30.77</v>
      </c>
      <c r="I132">
        <v>1</v>
      </c>
      <c r="J132">
        <v>0</v>
      </c>
      <c r="K132">
        <v>1</v>
      </c>
      <c r="L132">
        <v>21.02</v>
      </c>
      <c r="M132">
        <v>0</v>
      </c>
      <c r="N132">
        <v>21.02</v>
      </c>
      <c r="O132" t="s">
        <v>671</v>
      </c>
      <c r="P132" t="s">
        <v>1125</v>
      </c>
      <c r="Q132" t="s">
        <v>1125</v>
      </c>
      <c r="R132" t="s">
        <v>1125</v>
      </c>
    </row>
    <row r="133" ht="26.85" customHeight="1" spans="1:18" x14ac:dyDescent="0.25">
      <c r="A133" t="s">
        <v>1126</v>
      </c>
      <c r="B133" t="s">
        <v>1127</v>
      </c>
      <c r="C133" t="s">
        <v>668</v>
      </c>
      <c r="D133" t="s">
        <v>669</v>
      </c>
      <c r="E133" t="s">
        <v>670</v>
      </c>
      <c r="F133" t="s">
        <v>669</v>
      </c>
      <c r="G133">
        <v>8</v>
      </c>
      <c r="H133">
        <v>30.77</v>
      </c>
      <c r="I133">
        <v>0</v>
      </c>
      <c r="J133">
        <v>1.5</v>
      </c>
      <c r="K133">
        <v>1.5</v>
      </c>
      <c r="L133">
        <v>0</v>
      </c>
      <c r="M133">
        <v>14.57</v>
      </c>
      <c r="N133">
        <v>14.57</v>
      </c>
      <c r="O133" t="s">
        <v>671</v>
      </c>
      <c r="P133" t="s">
        <v>1128</v>
      </c>
      <c r="Q133" t="s">
        <v>1128</v>
      </c>
      <c r="R133" t="s">
        <v>1128</v>
      </c>
    </row>
    <row r="134" ht="26.85" customHeight="1" spans="1:18" x14ac:dyDescent="0.25">
      <c r="A134" t="s">
        <v>1129</v>
      </c>
      <c r="B134" t="s">
        <v>1130</v>
      </c>
      <c r="C134" t="s">
        <v>668</v>
      </c>
      <c r="D134" t="s">
        <v>669</v>
      </c>
      <c r="E134" t="s">
        <v>670</v>
      </c>
      <c r="F134" t="s">
        <v>670</v>
      </c>
      <c r="G134">
        <v>8</v>
      </c>
      <c r="H134">
        <v>30.77</v>
      </c>
      <c r="I134">
        <v>0</v>
      </c>
      <c r="J134">
        <v>3.5</v>
      </c>
      <c r="K134">
        <v>3.5</v>
      </c>
      <c r="L134">
        <v>0</v>
      </c>
      <c r="M134">
        <v>88.19</v>
      </c>
      <c r="N134">
        <v>88.19</v>
      </c>
      <c r="O134" t="s">
        <v>681</v>
      </c>
      <c r="P134" t="s">
        <v>1131</v>
      </c>
      <c r="Q134" t="s">
        <v>1132</v>
      </c>
      <c r="R134" t="s">
        <v>1133</v>
      </c>
    </row>
    <row r="135" ht="26.85" customHeight="1" spans="1:18" x14ac:dyDescent="0.25">
      <c r="A135" t="s">
        <v>468</v>
      </c>
      <c r="B135" t="s">
        <v>469</v>
      </c>
      <c r="C135" t="s">
        <v>1079</v>
      </c>
      <c r="D135" t="s">
        <v>670</v>
      </c>
      <c r="E135" t="s">
        <v>669</v>
      </c>
      <c r="F135" t="s">
        <v>669</v>
      </c>
      <c r="G135">
        <v>8</v>
      </c>
      <c r="H135">
        <v>30.77</v>
      </c>
      <c r="I135">
        <v>1</v>
      </c>
      <c r="J135">
        <v>0</v>
      </c>
      <c r="K135">
        <v>1</v>
      </c>
      <c r="L135">
        <v>0.1</v>
      </c>
      <c r="M135">
        <v>0</v>
      </c>
      <c r="N135">
        <v>0.1</v>
      </c>
      <c r="O135" t="s">
        <v>671</v>
      </c>
      <c r="P135" t="s">
        <v>1134</v>
      </c>
      <c r="Q135" t="s">
        <v>1134</v>
      </c>
      <c r="R135" t="s">
        <v>1134</v>
      </c>
    </row>
    <row r="136" ht="15" customHeight="1" spans="2:15" x14ac:dyDescent="0.25">
      <c r="B136" t="s">
        <v>727</v>
      </c>
      <c r="C136" t="s">
        <v>692</v>
      </c>
      <c r="D136" t="s">
        <v>669</v>
      </c>
      <c r="E136" t="s">
        <v>669</v>
      </c>
      <c r="F136" t="s">
        <v>670</v>
      </c>
      <c r="G136" t="s">
        <v>1105</v>
      </c>
      <c r="H136" t="s">
        <v>1106</v>
      </c>
      <c r="I136" t="s">
        <v>898</v>
      </c>
      <c r="J136" t="s">
        <v>898</v>
      </c>
      <c r="K136" t="s">
        <v>898</v>
      </c>
      <c r="L136" t="s">
        <v>898</v>
      </c>
      <c r="M136" t="s">
        <v>898</v>
      </c>
      <c r="N136" t="s">
        <v>898</v>
      </c>
      <c r="O136" t="s">
        <v>898</v>
      </c>
    </row>
    <row r="137" ht="26.85" customHeight="1" spans="1:18" x14ac:dyDescent="0.25">
      <c r="A137" t="s">
        <v>1135</v>
      </c>
      <c r="B137" t="s">
        <v>1136</v>
      </c>
      <c r="C137" t="s">
        <v>692</v>
      </c>
      <c r="D137" t="s">
        <v>670</v>
      </c>
      <c r="E137" t="s">
        <v>669</v>
      </c>
      <c r="F137" t="s">
        <v>669</v>
      </c>
      <c r="G137">
        <v>8</v>
      </c>
      <c r="H137">
        <v>30.77</v>
      </c>
      <c r="I137">
        <v>40</v>
      </c>
      <c r="J137">
        <v>0</v>
      </c>
      <c r="K137">
        <v>40</v>
      </c>
      <c r="L137">
        <v>937.2</v>
      </c>
      <c r="M137">
        <v>0</v>
      </c>
      <c r="N137">
        <v>937.2</v>
      </c>
      <c r="O137" t="s">
        <v>671</v>
      </c>
      <c r="P137" t="s">
        <v>1137</v>
      </c>
      <c r="Q137" t="s">
        <v>1137</v>
      </c>
      <c r="R137" t="s">
        <v>1137</v>
      </c>
    </row>
    <row r="138" ht="15" customHeight="1" spans="1:18" x14ac:dyDescent="0.25">
      <c r="A138" t="s">
        <v>1138</v>
      </c>
      <c r="B138" t="s">
        <v>1139</v>
      </c>
      <c r="C138" t="s">
        <v>692</v>
      </c>
      <c r="D138" t="s">
        <v>670</v>
      </c>
      <c r="E138" t="s">
        <v>669</v>
      </c>
      <c r="F138" t="s">
        <v>669</v>
      </c>
      <c r="G138">
        <v>8</v>
      </c>
      <c r="H138">
        <v>30.77</v>
      </c>
      <c r="I138">
        <v>1</v>
      </c>
      <c r="J138">
        <v>0</v>
      </c>
      <c r="K138">
        <v>1</v>
      </c>
      <c r="L138">
        <v>5.32</v>
      </c>
      <c r="M138">
        <v>0</v>
      </c>
      <c r="N138">
        <v>5.32</v>
      </c>
      <c r="O138" t="s">
        <v>671</v>
      </c>
      <c r="P138" t="s">
        <v>1140</v>
      </c>
      <c r="Q138" t="s">
        <v>1140</v>
      </c>
      <c r="R138" t="s">
        <v>1140</v>
      </c>
    </row>
    <row r="139" ht="26.85" customHeight="1" spans="1:18" x14ac:dyDescent="0.25">
      <c r="A139" t="s">
        <v>1141</v>
      </c>
      <c r="B139" t="s">
        <v>1142</v>
      </c>
      <c r="C139" t="s">
        <v>692</v>
      </c>
      <c r="D139" t="s">
        <v>670</v>
      </c>
      <c r="E139" t="s">
        <v>669</v>
      </c>
      <c r="F139" t="s">
        <v>669</v>
      </c>
      <c r="G139">
        <v>8</v>
      </c>
      <c r="H139">
        <v>30.77</v>
      </c>
      <c r="I139">
        <v>1</v>
      </c>
      <c r="J139">
        <v>0</v>
      </c>
      <c r="K139">
        <v>1</v>
      </c>
      <c r="L139">
        <v>3.98</v>
      </c>
      <c r="M139">
        <v>0</v>
      </c>
      <c r="N139">
        <v>3.98</v>
      </c>
      <c r="O139" t="s">
        <v>671</v>
      </c>
      <c r="P139" t="s">
        <v>1143</v>
      </c>
      <c r="Q139" t="s">
        <v>1143</v>
      </c>
      <c r="R139" t="s">
        <v>1143</v>
      </c>
    </row>
    <row r="140" ht="26.85" customHeight="1" spans="2:15" x14ac:dyDescent="0.25">
      <c r="B140" t="s">
        <v>900</v>
      </c>
      <c r="C140" t="s">
        <v>668</v>
      </c>
      <c r="D140" t="s">
        <v>669</v>
      </c>
      <c r="E140" t="s">
        <v>669</v>
      </c>
      <c r="F140" t="s">
        <v>670</v>
      </c>
      <c r="G140" t="s">
        <v>1144</v>
      </c>
      <c r="H140" t="s">
        <v>1145</v>
      </c>
      <c r="I140" t="s">
        <v>898</v>
      </c>
      <c r="J140" t="s">
        <v>898</v>
      </c>
      <c r="K140" t="s">
        <v>898</v>
      </c>
      <c r="L140" t="s">
        <v>898</v>
      </c>
      <c r="M140" t="s">
        <v>898</v>
      </c>
      <c r="N140" t="s">
        <v>898</v>
      </c>
      <c r="O140" t="s">
        <v>898</v>
      </c>
    </row>
    <row r="141" ht="26.85" customHeight="1" spans="1:18" x14ac:dyDescent="0.25">
      <c r="A141" t="s">
        <v>1146</v>
      </c>
      <c r="B141" t="s">
        <v>1147</v>
      </c>
      <c r="C141" t="s">
        <v>668</v>
      </c>
      <c r="D141" t="s">
        <v>669</v>
      </c>
      <c r="E141" t="s">
        <v>670</v>
      </c>
      <c r="F141" t="s">
        <v>670</v>
      </c>
      <c r="G141">
        <v>7</v>
      </c>
      <c r="H141">
        <v>26.92</v>
      </c>
      <c r="I141">
        <v>0</v>
      </c>
      <c r="J141">
        <v>2</v>
      </c>
      <c r="K141">
        <v>2</v>
      </c>
      <c r="L141">
        <v>0</v>
      </c>
      <c r="M141">
        <v>33.2</v>
      </c>
      <c r="N141">
        <v>33.2</v>
      </c>
      <c r="O141" t="s">
        <v>671</v>
      </c>
      <c r="P141" t="s">
        <v>1148</v>
      </c>
      <c r="Q141" t="s">
        <v>1148</v>
      </c>
      <c r="R141" t="s">
        <v>1148</v>
      </c>
    </row>
    <row r="142" ht="26.85" customHeight="1" spans="1:18" x14ac:dyDescent="0.25">
      <c r="A142" t="s">
        <v>1149</v>
      </c>
      <c r="B142" t="s">
        <v>1150</v>
      </c>
      <c r="C142" t="s">
        <v>692</v>
      </c>
      <c r="D142" t="s">
        <v>669</v>
      </c>
      <c r="E142" t="s">
        <v>670</v>
      </c>
      <c r="F142" t="s">
        <v>670</v>
      </c>
      <c r="G142">
        <v>7</v>
      </c>
      <c r="H142">
        <v>26.92</v>
      </c>
      <c r="I142">
        <v>0</v>
      </c>
      <c r="J142">
        <v>1</v>
      </c>
      <c r="K142">
        <v>1</v>
      </c>
      <c r="L142">
        <v>0</v>
      </c>
      <c r="M142">
        <v>570</v>
      </c>
      <c r="N142">
        <v>570</v>
      </c>
      <c r="O142" t="s">
        <v>681</v>
      </c>
      <c r="P142" t="s">
        <v>1151</v>
      </c>
      <c r="Q142" t="s">
        <v>1152</v>
      </c>
      <c r="R142" t="s">
        <v>1153</v>
      </c>
    </row>
    <row r="143" ht="26.85" customHeight="1" spans="1:18" x14ac:dyDescent="0.25">
      <c r="A143" t="s">
        <v>1154</v>
      </c>
      <c r="B143" t="s">
        <v>1155</v>
      </c>
      <c r="C143" t="s">
        <v>692</v>
      </c>
      <c r="D143" t="s">
        <v>670</v>
      </c>
      <c r="E143" t="s">
        <v>669</v>
      </c>
      <c r="F143" t="s">
        <v>669</v>
      </c>
      <c r="G143">
        <v>7</v>
      </c>
      <c r="H143">
        <v>26.92</v>
      </c>
      <c r="I143">
        <v>1</v>
      </c>
      <c r="J143">
        <v>0</v>
      </c>
      <c r="K143">
        <v>1</v>
      </c>
      <c r="L143">
        <v>277</v>
      </c>
      <c r="M143">
        <v>0</v>
      </c>
      <c r="N143">
        <v>277</v>
      </c>
      <c r="O143" t="s">
        <v>671</v>
      </c>
      <c r="P143" t="s">
        <v>1156</v>
      </c>
      <c r="Q143" t="s">
        <v>1156</v>
      </c>
      <c r="R143" t="s">
        <v>1156</v>
      </c>
    </row>
    <row r="144" ht="15" customHeight="1" spans="1:18" x14ac:dyDescent="0.25">
      <c r="A144" t="s">
        <v>1157</v>
      </c>
      <c r="B144" t="s">
        <v>1158</v>
      </c>
      <c r="C144" t="s">
        <v>692</v>
      </c>
      <c r="D144" t="s">
        <v>670</v>
      </c>
      <c r="E144" t="s">
        <v>669</v>
      </c>
      <c r="F144" t="s">
        <v>669</v>
      </c>
      <c r="G144">
        <v>7</v>
      </c>
      <c r="H144">
        <v>26.92</v>
      </c>
      <c r="I144">
        <v>1</v>
      </c>
      <c r="J144">
        <v>0</v>
      </c>
      <c r="K144">
        <v>1</v>
      </c>
      <c r="L144">
        <v>650</v>
      </c>
      <c r="M144">
        <v>0</v>
      </c>
      <c r="N144">
        <v>650</v>
      </c>
      <c r="O144" t="s">
        <v>681</v>
      </c>
      <c r="P144" t="s">
        <v>1159</v>
      </c>
      <c r="Q144" t="s">
        <v>853</v>
      </c>
      <c r="R144" t="s">
        <v>1160</v>
      </c>
    </row>
    <row r="145" ht="15" customHeight="1" spans="1:18" x14ac:dyDescent="0.25">
      <c r="A145" t="s">
        <v>1161</v>
      </c>
      <c r="B145" t="s">
        <v>204</v>
      </c>
      <c r="C145" t="s">
        <v>692</v>
      </c>
      <c r="D145" t="s">
        <v>670</v>
      </c>
      <c r="E145" t="s">
        <v>669</v>
      </c>
      <c r="F145" t="s">
        <v>669</v>
      </c>
      <c r="G145" t="s">
        <v>1144</v>
      </c>
      <c r="H145" t="s">
        <v>1145</v>
      </c>
      <c r="I145" t="s">
        <v>671</v>
      </c>
      <c r="J145" t="s">
        <v>898</v>
      </c>
      <c r="K145" t="s">
        <v>671</v>
      </c>
      <c r="L145" t="s">
        <v>1162</v>
      </c>
      <c r="M145" t="s">
        <v>898</v>
      </c>
      <c r="N145" t="s">
        <v>1162</v>
      </c>
      <c r="O145" t="s">
        <v>681</v>
      </c>
      <c r="P145" t="s">
        <v>1162</v>
      </c>
      <c r="Q145" t="s">
        <v>1163</v>
      </c>
      <c r="R145" t="s">
        <v>1164</v>
      </c>
    </row>
    <row r="146" ht="26.85" customHeight="1" spans="1:18" x14ac:dyDescent="0.25">
      <c r="A146" t="s">
        <v>1165</v>
      </c>
      <c r="B146" t="s">
        <v>201</v>
      </c>
      <c r="C146" t="s">
        <v>692</v>
      </c>
      <c r="D146" t="s">
        <v>670</v>
      </c>
      <c r="E146" t="s">
        <v>669</v>
      </c>
      <c r="F146" t="s">
        <v>669</v>
      </c>
      <c r="G146">
        <v>7</v>
      </c>
      <c r="H146">
        <v>26.92</v>
      </c>
      <c r="I146">
        <v>3</v>
      </c>
      <c r="J146">
        <v>0</v>
      </c>
      <c r="K146">
        <v>3</v>
      </c>
      <c r="L146">
        <v>10578</v>
      </c>
      <c r="M146">
        <v>0</v>
      </c>
      <c r="N146">
        <v>10578</v>
      </c>
      <c r="O146" t="s">
        <v>671</v>
      </c>
      <c r="P146" t="s">
        <v>1166</v>
      </c>
      <c r="Q146" t="s">
        <v>1166</v>
      </c>
      <c r="R146" t="s">
        <v>1166</v>
      </c>
    </row>
    <row r="147" ht="15" customHeight="1" spans="1:18" x14ac:dyDescent="0.25">
      <c r="A147" t="s">
        <v>1167</v>
      </c>
      <c r="B147" t="s">
        <v>1168</v>
      </c>
      <c r="C147" t="s">
        <v>692</v>
      </c>
      <c r="D147" t="s">
        <v>670</v>
      </c>
      <c r="E147" t="s">
        <v>669</v>
      </c>
      <c r="F147" t="s">
        <v>669</v>
      </c>
      <c r="G147">
        <v>7</v>
      </c>
      <c r="H147">
        <v>26.92</v>
      </c>
      <c r="I147">
        <v>1</v>
      </c>
      <c r="J147">
        <v>0</v>
      </c>
      <c r="K147">
        <v>1</v>
      </c>
      <c r="L147">
        <v>221.5</v>
      </c>
      <c r="M147">
        <v>0</v>
      </c>
      <c r="N147">
        <v>221.5</v>
      </c>
      <c r="O147" t="s">
        <v>681</v>
      </c>
      <c r="P147" t="s">
        <v>918</v>
      </c>
      <c r="Q147" t="s">
        <v>919</v>
      </c>
      <c r="R147" t="s">
        <v>920</v>
      </c>
    </row>
    <row r="148" ht="26.85" customHeight="1" spans="1:18" x14ac:dyDescent="0.25">
      <c r="A148" t="s">
        <v>1169</v>
      </c>
      <c r="B148" t="s">
        <v>1170</v>
      </c>
      <c r="C148" t="s">
        <v>692</v>
      </c>
      <c r="D148" t="s">
        <v>670</v>
      </c>
      <c r="E148" t="s">
        <v>669</v>
      </c>
      <c r="F148" t="s">
        <v>669</v>
      </c>
      <c r="G148">
        <v>7</v>
      </c>
      <c r="H148">
        <v>26.92</v>
      </c>
      <c r="I148">
        <v>4</v>
      </c>
      <c r="J148">
        <v>0</v>
      </c>
      <c r="K148">
        <v>4</v>
      </c>
      <c r="L148">
        <v>363.76</v>
      </c>
      <c r="M148">
        <v>0</v>
      </c>
      <c r="N148">
        <v>363.76</v>
      </c>
      <c r="O148" t="s">
        <v>681</v>
      </c>
      <c r="P148" t="s">
        <v>816</v>
      </c>
      <c r="Q148" t="s">
        <v>817</v>
      </c>
      <c r="R148" t="s">
        <v>818</v>
      </c>
    </row>
    <row r="149" ht="15" customHeight="1" spans="1:18" x14ac:dyDescent="0.25">
      <c r="A149" t="s">
        <v>1171</v>
      </c>
      <c r="B149" t="s">
        <v>1172</v>
      </c>
      <c r="C149" t="s">
        <v>692</v>
      </c>
      <c r="D149" t="s">
        <v>670</v>
      </c>
      <c r="E149" t="s">
        <v>670</v>
      </c>
      <c r="F149" t="s">
        <v>670</v>
      </c>
      <c r="G149">
        <v>7</v>
      </c>
      <c r="H149">
        <v>26.92</v>
      </c>
      <c r="I149">
        <v>0</v>
      </c>
      <c r="J149">
        <v>3</v>
      </c>
      <c r="K149">
        <v>3</v>
      </c>
      <c r="L149">
        <v>0</v>
      </c>
      <c r="M149">
        <v>75.75</v>
      </c>
      <c r="N149">
        <v>75.75</v>
      </c>
      <c r="O149" t="s">
        <v>681</v>
      </c>
      <c r="P149" t="s">
        <v>762</v>
      </c>
      <c r="Q149" t="s">
        <v>1173</v>
      </c>
      <c r="R149" t="s">
        <v>1174</v>
      </c>
    </row>
    <row r="150" ht="39.55" customHeight="1" spans="1:18" x14ac:dyDescent="0.25">
      <c r="A150" t="s">
        <v>1175</v>
      </c>
      <c r="B150" t="s">
        <v>1176</v>
      </c>
      <c r="C150" t="s">
        <v>692</v>
      </c>
      <c r="D150" t="s">
        <v>669</v>
      </c>
      <c r="E150" t="s">
        <v>670</v>
      </c>
      <c r="F150" t="s">
        <v>669</v>
      </c>
      <c r="G150">
        <v>7</v>
      </c>
      <c r="H150">
        <v>26.92</v>
      </c>
      <c r="I150">
        <v>0</v>
      </c>
      <c r="J150">
        <v>1</v>
      </c>
      <c r="K150">
        <v>1</v>
      </c>
      <c r="L150">
        <v>0</v>
      </c>
      <c r="M150">
        <v>1650</v>
      </c>
      <c r="N150">
        <v>1650</v>
      </c>
      <c r="O150" t="s">
        <v>681</v>
      </c>
      <c r="P150" t="s">
        <v>1177</v>
      </c>
      <c r="Q150" t="s">
        <v>1178</v>
      </c>
      <c r="R150" t="s">
        <v>1179</v>
      </c>
    </row>
    <row r="151" ht="26.85" customHeight="1" spans="1:18" x14ac:dyDescent="0.25">
      <c r="A151" t="s">
        <v>1180</v>
      </c>
      <c r="B151" t="s">
        <v>1181</v>
      </c>
      <c r="C151" t="s">
        <v>668</v>
      </c>
      <c r="D151" t="s">
        <v>670</v>
      </c>
      <c r="E151" t="s">
        <v>669</v>
      </c>
      <c r="F151" t="s">
        <v>669</v>
      </c>
      <c r="G151">
        <v>6</v>
      </c>
      <c r="H151">
        <v>23.08</v>
      </c>
      <c r="I151">
        <v>1</v>
      </c>
      <c r="J151">
        <v>0</v>
      </c>
      <c r="K151">
        <v>1</v>
      </c>
      <c r="L151">
        <v>96.8</v>
      </c>
      <c r="M151">
        <v>0</v>
      </c>
      <c r="N151">
        <v>96.8</v>
      </c>
      <c r="O151" t="s">
        <v>681</v>
      </c>
      <c r="P151" t="s">
        <v>1182</v>
      </c>
      <c r="Q151" t="s">
        <v>1183</v>
      </c>
      <c r="R151" t="s">
        <v>1184</v>
      </c>
    </row>
    <row r="152" ht="26.85" customHeight="1" spans="1:18" x14ac:dyDescent="0.25">
      <c r="A152" t="s">
        <v>1185</v>
      </c>
      <c r="B152" t="s">
        <v>1186</v>
      </c>
      <c r="C152" t="s">
        <v>668</v>
      </c>
      <c r="D152" t="s">
        <v>669</v>
      </c>
      <c r="E152" t="s">
        <v>670</v>
      </c>
      <c r="F152" t="s">
        <v>670</v>
      </c>
      <c r="G152">
        <v>6</v>
      </c>
      <c r="H152">
        <v>23.08</v>
      </c>
      <c r="I152">
        <v>0</v>
      </c>
      <c r="J152">
        <v>3</v>
      </c>
      <c r="K152">
        <v>3</v>
      </c>
      <c r="L152">
        <v>0</v>
      </c>
      <c r="M152">
        <v>71.43</v>
      </c>
      <c r="N152">
        <v>71.43</v>
      </c>
      <c r="O152" t="s">
        <v>681</v>
      </c>
      <c r="P152" t="s">
        <v>1187</v>
      </c>
      <c r="Q152" t="s">
        <v>1188</v>
      </c>
      <c r="R152" t="s">
        <v>1189</v>
      </c>
    </row>
    <row r="153" ht="26.85" customHeight="1" spans="1:18" x14ac:dyDescent="0.25">
      <c r="A153" t="s">
        <v>1190</v>
      </c>
      <c r="B153" t="s">
        <v>1191</v>
      </c>
      <c r="C153" t="s">
        <v>668</v>
      </c>
      <c r="D153" t="s">
        <v>670</v>
      </c>
      <c r="E153" t="s">
        <v>669</v>
      </c>
      <c r="F153" t="s">
        <v>669</v>
      </c>
      <c r="G153">
        <v>6</v>
      </c>
      <c r="H153">
        <v>23.08</v>
      </c>
      <c r="I153">
        <v>1</v>
      </c>
      <c r="J153">
        <v>0</v>
      </c>
      <c r="K153">
        <v>1</v>
      </c>
      <c r="L153">
        <v>31.59</v>
      </c>
      <c r="M153">
        <v>0</v>
      </c>
      <c r="N153">
        <v>31.59</v>
      </c>
      <c r="O153" t="s">
        <v>671</v>
      </c>
      <c r="P153" t="s">
        <v>1192</v>
      </c>
      <c r="Q153" t="s">
        <v>1192</v>
      </c>
      <c r="R153" t="s">
        <v>1192</v>
      </c>
    </row>
    <row r="154" ht="26.85" customHeight="1" spans="1:18" x14ac:dyDescent="0.25">
      <c r="A154" t="s">
        <v>1193</v>
      </c>
      <c r="B154" t="s">
        <v>1194</v>
      </c>
      <c r="C154" t="s">
        <v>668</v>
      </c>
      <c r="D154" t="s">
        <v>670</v>
      </c>
      <c r="E154" t="s">
        <v>670</v>
      </c>
      <c r="F154" t="s">
        <v>669</v>
      </c>
      <c r="G154">
        <v>6</v>
      </c>
      <c r="H154">
        <v>23.08</v>
      </c>
      <c r="I154">
        <v>1</v>
      </c>
      <c r="J154">
        <v>0</v>
      </c>
      <c r="K154">
        <v>1.5</v>
      </c>
      <c r="L154">
        <v>93.94</v>
      </c>
      <c r="M154">
        <v>0</v>
      </c>
      <c r="N154">
        <v>140.91</v>
      </c>
      <c r="O154" t="s">
        <v>681</v>
      </c>
      <c r="P154" t="s">
        <v>1195</v>
      </c>
      <c r="Q154" t="s">
        <v>1196</v>
      </c>
      <c r="R154" t="s">
        <v>1197</v>
      </c>
    </row>
    <row r="155" ht="26.85" customHeight="1" spans="1:18" x14ac:dyDescent="0.25">
      <c r="A155" t="s">
        <v>1198</v>
      </c>
      <c r="B155" t="s">
        <v>1199</v>
      </c>
      <c r="C155" t="s">
        <v>668</v>
      </c>
      <c r="D155" t="s">
        <v>670</v>
      </c>
      <c r="E155" t="s">
        <v>669</v>
      </c>
      <c r="F155" t="s">
        <v>669</v>
      </c>
      <c r="G155">
        <v>6</v>
      </c>
      <c r="H155">
        <v>23.08</v>
      </c>
      <c r="I155">
        <v>1</v>
      </c>
      <c r="J155">
        <v>0</v>
      </c>
      <c r="K155">
        <v>1</v>
      </c>
      <c r="L155">
        <v>747.44</v>
      </c>
      <c r="M155">
        <v>0</v>
      </c>
      <c r="N155">
        <v>747.44</v>
      </c>
      <c r="O155" t="s">
        <v>671</v>
      </c>
      <c r="P155" t="s">
        <v>1200</v>
      </c>
      <c r="Q155" t="s">
        <v>1200</v>
      </c>
      <c r="R155" t="s">
        <v>1200</v>
      </c>
    </row>
    <row r="156" ht="26.85" customHeight="1" spans="1:18" x14ac:dyDescent="0.25">
      <c r="A156" t="s">
        <v>1201</v>
      </c>
      <c r="B156" t="s">
        <v>1202</v>
      </c>
      <c r="C156" t="s">
        <v>668</v>
      </c>
      <c r="D156" t="s">
        <v>670</v>
      </c>
      <c r="E156" t="s">
        <v>670</v>
      </c>
      <c r="F156" t="s">
        <v>670</v>
      </c>
      <c r="G156">
        <v>6</v>
      </c>
      <c r="H156">
        <v>23.08</v>
      </c>
      <c r="I156">
        <v>1</v>
      </c>
      <c r="J156">
        <v>2</v>
      </c>
      <c r="K156">
        <v>3</v>
      </c>
      <c r="L156">
        <v>93.92</v>
      </c>
      <c r="M156">
        <v>187.84</v>
      </c>
      <c r="N156">
        <v>281.76</v>
      </c>
      <c r="O156" t="s">
        <v>671</v>
      </c>
      <c r="P156" t="s">
        <v>1203</v>
      </c>
      <c r="Q156" t="s">
        <v>1203</v>
      </c>
      <c r="R156" t="s">
        <v>1203</v>
      </c>
    </row>
    <row r="157" ht="26.85" customHeight="1" spans="1:18" x14ac:dyDescent="0.25">
      <c r="A157" t="s">
        <v>1204</v>
      </c>
      <c r="B157" t="s">
        <v>1205</v>
      </c>
      <c r="C157" t="s">
        <v>668</v>
      </c>
      <c r="D157" t="s">
        <v>669</v>
      </c>
      <c r="E157" t="s">
        <v>670</v>
      </c>
      <c r="F157" t="s">
        <v>669</v>
      </c>
      <c r="G157">
        <v>6</v>
      </c>
      <c r="H157">
        <v>23.08</v>
      </c>
      <c r="I157">
        <v>0</v>
      </c>
      <c r="J157">
        <v>1.5</v>
      </c>
      <c r="K157">
        <v>1.5</v>
      </c>
      <c r="L157">
        <v>0</v>
      </c>
      <c r="M157">
        <v>3.51</v>
      </c>
      <c r="N157">
        <v>3.51</v>
      </c>
      <c r="O157" t="s">
        <v>681</v>
      </c>
      <c r="P157" t="s">
        <v>1206</v>
      </c>
      <c r="Q157" t="s">
        <v>1207</v>
      </c>
      <c r="R157" t="s">
        <v>1208</v>
      </c>
    </row>
    <row r="158" ht="26.85" customHeight="1" spans="1:18" x14ac:dyDescent="0.25">
      <c r="A158" t="s">
        <v>512</v>
      </c>
      <c r="B158" t="s">
        <v>1209</v>
      </c>
      <c r="C158" t="s">
        <v>1079</v>
      </c>
      <c r="D158" t="s">
        <v>670</v>
      </c>
      <c r="E158" t="s">
        <v>669</v>
      </c>
      <c r="F158" t="s">
        <v>669</v>
      </c>
      <c r="G158">
        <v>6</v>
      </c>
      <c r="H158">
        <v>23.08</v>
      </c>
      <c r="I158">
        <v>1</v>
      </c>
      <c r="J158">
        <v>0</v>
      </c>
      <c r="K158">
        <v>1</v>
      </c>
      <c r="L158">
        <v>1406.25</v>
      </c>
      <c r="M158">
        <v>0</v>
      </c>
      <c r="N158">
        <v>1406.25</v>
      </c>
      <c r="O158" t="s">
        <v>681</v>
      </c>
      <c r="P158" t="s">
        <v>1210</v>
      </c>
      <c r="Q158" t="s">
        <v>1211</v>
      </c>
      <c r="R158" t="s">
        <v>1212</v>
      </c>
    </row>
    <row r="159" ht="26.85" customHeight="1" spans="1:18" x14ac:dyDescent="0.25">
      <c r="A159" t="s">
        <v>466</v>
      </c>
      <c r="B159" t="s">
        <v>467</v>
      </c>
      <c r="C159" t="s">
        <v>1079</v>
      </c>
      <c r="D159" t="s">
        <v>670</v>
      </c>
      <c r="E159" t="s">
        <v>669</v>
      </c>
      <c r="F159" t="s">
        <v>669</v>
      </c>
      <c r="G159">
        <v>6</v>
      </c>
      <c r="H159">
        <v>23.08</v>
      </c>
      <c r="I159">
        <v>1</v>
      </c>
      <c r="J159">
        <v>0</v>
      </c>
      <c r="K159">
        <v>1</v>
      </c>
      <c r="L159">
        <v>0.1</v>
      </c>
      <c r="M159">
        <v>0</v>
      </c>
      <c r="N159">
        <v>0.1</v>
      </c>
      <c r="O159" t="s">
        <v>681</v>
      </c>
      <c r="P159" t="s">
        <v>1213</v>
      </c>
      <c r="Q159" t="s">
        <v>1134</v>
      </c>
      <c r="R159" t="s">
        <v>1214</v>
      </c>
    </row>
    <row r="160" ht="15" customHeight="1" spans="2:15" x14ac:dyDescent="0.25">
      <c r="B160" t="s">
        <v>1067</v>
      </c>
      <c r="C160" t="s">
        <v>692</v>
      </c>
      <c r="D160" t="s">
        <v>669</v>
      </c>
      <c r="E160" t="s">
        <v>669</v>
      </c>
      <c r="F160" t="s">
        <v>670</v>
      </c>
      <c r="G160" t="s">
        <v>1215</v>
      </c>
      <c r="H160" t="s">
        <v>1216</v>
      </c>
      <c r="I160" t="s">
        <v>898</v>
      </c>
      <c r="J160" t="s">
        <v>898</v>
      </c>
      <c r="K160" t="s">
        <v>898</v>
      </c>
      <c r="L160" t="s">
        <v>898</v>
      </c>
      <c r="M160" t="s">
        <v>898</v>
      </c>
      <c r="N160" t="s">
        <v>898</v>
      </c>
      <c r="O160" t="s">
        <v>898</v>
      </c>
    </row>
    <row r="161" ht="26.85" customHeight="1" spans="1:18" x14ac:dyDescent="0.25">
      <c r="A161" t="s">
        <v>1217</v>
      </c>
      <c r="B161" t="s">
        <v>1218</v>
      </c>
      <c r="C161" t="s">
        <v>692</v>
      </c>
      <c r="D161" t="s">
        <v>670</v>
      </c>
      <c r="E161" t="s">
        <v>669</v>
      </c>
      <c r="F161" t="s">
        <v>669</v>
      </c>
      <c r="G161">
        <v>6</v>
      </c>
      <c r="H161">
        <v>23.08</v>
      </c>
      <c r="I161">
        <v>1</v>
      </c>
      <c r="J161">
        <v>0</v>
      </c>
      <c r="K161">
        <v>1</v>
      </c>
      <c r="L161">
        <v>117.19</v>
      </c>
      <c r="M161">
        <v>0</v>
      </c>
      <c r="N161">
        <v>117.19</v>
      </c>
      <c r="O161" t="s">
        <v>681</v>
      </c>
      <c r="P161" t="s">
        <v>834</v>
      </c>
      <c r="Q161" t="s">
        <v>1219</v>
      </c>
      <c r="R161" t="s">
        <v>1220</v>
      </c>
    </row>
    <row r="162" ht="26.85" customHeight="1" spans="1:18" x14ac:dyDescent="0.25">
      <c r="A162" t="s">
        <v>1221</v>
      </c>
      <c r="B162" t="s">
        <v>1222</v>
      </c>
      <c r="C162" t="s">
        <v>692</v>
      </c>
      <c r="D162" t="s">
        <v>670</v>
      </c>
      <c r="E162" t="s">
        <v>669</v>
      </c>
      <c r="F162" t="s">
        <v>669</v>
      </c>
      <c r="G162">
        <v>6</v>
      </c>
      <c r="H162">
        <v>23.08</v>
      </c>
      <c r="I162">
        <v>4</v>
      </c>
      <c r="J162">
        <v>0</v>
      </c>
      <c r="K162">
        <v>4</v>
      </c>
      <c r="L162">
        <v>462</v>
      </c>
      <c r="M162">
        <v>0</v>
      </c>
      <c r="N162">
        <v>462</v>
      </c>
      <c r="O162" t="s">
        <v>770</v>
      </c>
      <c r="P162" t="s">
        <v>1049</v>
      </c>
      <c r="Q162" t="s">
        <v>834</v>
      </c>
      <c r="R162" t="s">
        <v>1223</v>
      </c>
    </row>
    <row r="163" ht="15" customHeight="1" spans="1:18" x14ac:dyDescent="0.25">
      <c r="A163" t="s">
        <v>1224</v>
      </c>
      <c r="B163" t="s">
        <v>1225</v>
      </c>
      <c r="C163" t="s">
        <v>692</v>
      </c>
      <c r="D163" t="s">
        <v>670</v>
      </c>
      <c r="E163" t="s">
        <v>669</v>
      </c>
      <c r="F163" t="s">
        <v>669</v>
      </c>
      <c r="G163">
        <v>6</v>
      </c>
      <c r="H163">
        <v>23.08</v>
      </c>
      <c r="I163">
        <v>5</v>
      </c>
      <c r="J163">
        <v>0</v>
      </c>
      <c r="K163">
        <v>5</v>
      </c>
      <c r="L163">
        <v>75</v>
      </c>
      <c r="M163">
        <v>0</v>
      </c>
      <c r="N163">
        <v>75</v>
      </c>
      <c r="O163" t="s">
        <v>671</v>
      </c>
      <c r="P163" t="s">
        <v>1226</v>
      </c>
      <c r="Q163" t="s">
        <v>1226</v>
      </c>
      <c r="R163" t="s">
        <v>1226</v>
      </c>
    </row>
    <row r="164" ht="39.55" customHeight="1" spans="1:18" x14ac:dyDescent="0.25">
      <c r="A164" t="s">
        <v>1227</v>
      </c>
      <c r="B164" t="s">
        <v>1228</v>
      </c>
      <c r="C164" t="s">
        <v>692</v>
      </c>
      <c r="D164" t="s">
        <v>670</v>
      </c>
      <c r="E164" t="s">
        <v>669</v>
      </c>
      <c r="F164" t="s">
        <v>669</v>
      </c>
      <c r="G164">
        <v>6</v>
      </c>
      <c r="H164">
        <v>23.08</v>
      </c>
      <c r="I164">
        <v>45</v>
      </c>
      <c r="J164">
        <v>0</v>
      </c>
      <c r="K164">
        <v>45</v>
      </c>
      <c r="L164">
        <v>1476</v>
      </c>
      <c r="M164">
        <v>0</v>
      </c>
      <c r="N164">
        <v>1476</v>
      </c>
      <c r="O164" t="s">
        <v>671</v>
      </c>
      <c r="P164" t="s">
        <v>1229</v>
      </c>
      <c r="Q164" t="s">
        <v>1229</v>
      </c>
      <c r="R164" t="s">
        <v>1229</v>
      </c>
    </row>
    <row r="165" ht="15" customHeight="1" spans="1:18" x14ac:dyDescent="0.25">
      <c r="A165" t="s">
        <v>1230</v>
      </c>
      <c r="B165" t="s">
        <v>1231</v>
      </c>
      <c r="C165" t="s">
        <v>692</v>
      </c>
      <c r="D165" t="s">
        <v>670</v>
      </c>
      <c r="E165" t="s">
        <v>669</v>
      </c>
      <c r="F165" t="s">
        <v>669</v>
      </c>
      <c r="G165">
        <v>6</v>
      </c>
      <c r="H165">
        <v>23.08</v>
      </c>
      <c r="I165">
        <v>1</v>
      </c>
      <c r="J165">
        <v>0</v>
      </c>
      <c r="K165">
        <v>1</v>
      </c>
      <c r="L165">
        <v>534</v>
      </c>
      <c r="M165">
        <v>0</v>
      </c>
      <c r="N165">
        <v>534</v>
      </c>
      <c r="O165" t="s">
        <v>681</v>
      </c>
      <c r="P165" t="s">
        <v>1232</v>
      </c>
      <c r="Q165" t="s">
        <v>1233</v>
      </c>
      <c r="R165" t="s">
        <v>1234</v>
      </c>
    </row>
    <row r="166" ht="26.85" customHeight="1" spans="1:18" x14ac:dyDescent="0.25">
      <c r="A166" t="s">
        <v>1235</v>
      </c>
      <c r="B166" t="s">
        <v>198</v>
      </c>
      <c r="C166" t="s">
        <v>692</v>
      </c>
      <c r="D166" t="s">
        <v>670</v>
      </c>
      <c r="E166" t="s">
        <v>669</v>
      </c>
      <c r="F166" t="s">
        <v>669</v>
      </c>
      <c r="G166">
        <v>6</v>
      </c>
      <c r="H166">
        <v>23.08</v>
      </c>
      <c r="I166">
        <v>1</v>
      </c>
      <c r="J166">
        <v>0</v>
      </c>
      <c r="K166">
        <v>1</v>
      </c>
      <c r="L166">
        <v>28040</v>
      </c>
      <c r="M166">
        <v>0</v>
      </c>
      <c r="N166">
        <v>28040</v>
      </c>
      <c r="O166" t="s">
        <v>671</v>
      </c>
      <c r="P166" t="s">
        <v>1236</v>
      </c>
      <c r="Q166" t="s">
        <v>1236</v>
      </c>
      <c r="R166" t="s">
        <v>1236</v>
      </c>
    </row>
    <row r="167" ht="26.85" customHeight="1" spans="1:18" x14ac:dyDescent="0.25">
      <c r="A167" t="s">
        <v>1237</v>
      </c>
      <c r="B167" t="s">
        <v>1238</v>
      </c>
      <c r="C167" t="s">
        <v>692</v>
      </c>
      <c r="D167" t="s">
        <v>670</v>
      </c>
      <c r="E167" t="s">
        <v>669</v>
      </c>
      <c r="F167" t="s">
        <v>669</v>
      </c>
      <c r="G167">
        <v>6</v>
      </c>
      <c r="H167">
        <v>23.08</v>
      </c>
      <c r="I167">
        <v>1</v>
      </c>
      <c r="J167">
        <v>0</v>
      </c>
      <c r="K167">
        <v>1</v>
      </c>
      <c r="L167">
        <v>3862</v>
      </c>
      <c r="M167">
        <v>0</v>
      </c>
      <c r="N167">
        <v>3862</v>
      </c>
      <c r="O167" t="s">
        <v>671</v>
      </c>
      <c r="P167" t="s">
        <v>1239</v>
      </c>
      <c r="Q167" t="s">
        <v>1239</v>
      </c>
      <c r="R167" t="s">
        <v>1239</v>
      </c>
    </row>
    <row r="168" ht="15" customHeight="1" spans="1:18" x14ac:dyDescent="0.25">
      <c r="A168" t="s">
        <v>1240</v>
      </c>
      <c r="B168" t="s">
        <v>1241</v>
      </c>
      <c r="C168" t="s">
        <v>692</v>
      </c>
      <c r="D168" t="s">
        <v>670</v>
      </c>
      <c r="E168" t="s">
        <v>669</v>
      </c>
      <c r="F168" t="s">
        <v>669</v>
      </c>
      <c r="G168">
        <v>6</v>
      </c>
      <c r="H168">
        <v>23.08</v>
      </c>
      <c r="I168">
        <v>5</v>
      </c>
      <c r="J168">
        <v>0</v>
      </c>
      <c r="K168">
        <v>5</v>
      </c>
      <c r="L168">
        <v>38.35</v>
      </c>
      <c r="M168">
        <v>0</v>
      </c>
      <c r="N168">
        <v>38.35</v>
      </c>
      <c r="O168" t="s">
        <v>671</v>
      </c>
      <c r="P168" t="s">
        <v>716</v>
      </c>
      <c r="Q168" t="s">
        <v>716</v>
      </c>
      <c r="R168" t="s">
        <v>716</v>
      </c>
    </row>
    <row r="169" ht="15" customHeight="1" spans="1:18" x14ac:dyDescent="0.25">
      <c r="A169" t="s">
        <v>1242</v>
      </c>
      <c r="B169" t="s">
        <v>1243</v>
      </c>
      <c r="C169" t="s">
        <v>692</v>
      </c>
      <c r="D169" t="s">
        <v>669</v>
      </c>
      <c r="E169" t="s">
        <v>670</v>
      </c>
      <c r="F169" t="s">
        <v>670</v>
      </c>
      <c r="G169">
        <v>6</v>
      </c>
      <c r="H169">
        <v>23.08</v>
      </c>
      <c r="I169">
        <v>0</v>
      </c>
      <c r="J169">
        <v>7</v>
      </c>
      <c r="K169">
        <v>7</v>
      </c>
      <c r="L169">
        <v>0</v>
      </c>
      <c r="M169">
        <v>222.25</v>
      </c>
      <c r="N169">
        <v>222.25</v>
      </c>
      <c r="O169" t="s">
        <v>681</v>
      </c>
      <c r="P169" t="s">
        <v>1244</v>
      </c>
      <c r="Q169" t="s">
        <v>1245</v>
      </c>
      <c r="R169" t="s">
        <v>1246</v>
      </c>
    </row>
    <row r="170" ht="26.85" customHeight="1" spans="1:18" x14ac:dyDescent="0.25">
      <c r="A170" t="s">
        <v>1247</v>
      </c>
      <c r="B170" t="s">
        <v>1248</v>
      </c>
      <c r="C170" t="s">
        <v>692</v>
      </c>
      <c r="D170" t="s">
        <v>669</v>
      </c>
      <c r="E170" t="s">
        <v>670</v>
      </c>
      <c r="F170" t="s">
        <v>669</v>
      </c>
      <c r="G170">
        <v>6</v>
      </c>
      <c r="H170">
        <v>23.08</v>
      </c>
      <c r="I170">
        <v>0</v>
      </c>
      <c r="J170">
        <v>5</v>
      </c>
      <c r="K170">
        <v>5</v>
      </c>
      <c r="L170">
        <v>0</v>
      </c>
      <c r="M170">
        <v>56.25</v>
      </c>
      <c r="N170">
        <v>56.25</v>
      </c>
      <c r="O170" t="s">
        <v>671</v>
      </c>
      <c r="P170" t="s">
        <v>1249</v>
      </c>
      <c r="Q170" t="s">
        <v>1249</v>
      </c>
      <c r="R170" t="s">
        <v>1249</v>
      </c>
    </row>
    <row r="171" ht="26.85" customHeight="1" spans="1:18" x14ac:dyDescent="0.25">
      <c r="A171" t="s">
        <v>1250</v>
      </c>
      <c r="B171" t="s">
        <v>1251</v>
      </c>
      <c r="C171" t="s">
        <v>692</v>
      </c>
      <c r="D171" t="s">
        <v>669</v>
      </c>
      <c r="E171" t="s">
        <v>670</v>
      </c>
      <c r="F171" t="s">
        <v>669</v>
      </c>
      <c r="G171">
        <v>6</v>
      </c>
      <c r="H171">
        <v>23.08</v>
      </c>
      <c r="I171">
        <v>0</v>
      </c>
      <c r="J171">
        <v>1</v>
      </c>
      <c r="K171">
        <v>1</v>
      </c>
      <c r="L171">
        <v>0</v>
      </c>
      <c r="M171">
        <v>276.57</v>
      </c>
      <c r="N171">
        <v>276.57</v>
      </c>
      <c r="O171" t="s">
        <v>681</v>
      </c>
      <c r="P171" t="s">
        <v>1252</v>
      </c>
      <c r="Q171" t="s">
        <v>1253</v>
      </c>
      <c r="R171" t="s">
        <v>1254</v>
      </c>
    </row>
    <row r="172" ht="15" customHeight="1" spans="1:18" x14ac:dyDescent="0.25">
      <c r="A172" t="s">
        <v>1255</v>
      </c>
      <c r="B172" t="s">
        <v>1256</v>
      </c>
      <c r="C172" t="s">
        <v>692</v>
      </c>
      <c r="D172" t="s">
        <v>670</v>
      </c>
      <c r="E172" t="s">
        <v>669</v>
      </c>
      <c r="F172" t="s">
        <v>669</v>
      </c>
      <c r="G172">
        <v>6</v>
      </c>
      <c r="H172">
        <v>23.08</v>
      </c>
      <c r="I172">
        <v>1</v>
      </c>
      <c r="J172">
        <v>0</v>
      </c>
      <c r="K172">
        <v>1</v>
      </c>
      <c r="L172">
        <v>3393.25</v>
      </c>
      <c r="M172">
        <v>0</v>
      </c>
      <c r="N172">
        <v>3393.25</v>
      </c>
      <c r="O172" t="s">
        <v>681</v>
      </c>
      <c r="P172" t="s">
        <v>1257</v>
      </c>
      <c r="Q172" t="s">
        <v>1258</v>
      </c>
      <c r="R172" t="s">
        <v>1259</v>
      </c>
    </row>
    <row r="173" ht="26.85" customHeight="1" spans="1:18" x14ac:dyDescent="0.25">
      <c r="A173" t="s">
        <v>1260</v>
      </c>
      <c r="B173" t="s">
        <v>1261</v>
      </c>
      <c r="C173" t="s">
        <v>692</v>
      </c>
      <c r="D173" t="s">
        <v>669</v>
      </c>
      <c r="E173" t="s">
        <v>670</v>
      </c>
      <c r="F173" t="s">
        <v>669</v>
      </c>
      <c r="G173">
        <v>6</v>
      </c>
      <c r="H173">
        <v>23.08</v>
      </c>
      <c r="I173">
        <v>0</v>
      </c>
      <c r="J173">
        <v>1</v>
      </c>
      <c r="K173">
        <v>1</v>
      </c>
      <c r="L173">
        <v>0</v>
      </c>
      <c r="M173">
        <v>245</v>
      </c>
      <c r="N173">
        <v>245</v>
      </c>
      <c r="O173" t="s">
        <v>671</v>
      </c>
      <c r="P173" t="s">
        <v>1262</v>
      </c>
      <c r="Q173" t="s">
        <v>1262</v>
      </c>
      <c r="R173" t="s">
        <v>1262</v>
      </c>
    </row>
    <row r="174" ht="15" customHeight="1" spans="1:18" x14ac:dyDescent="0.25">
      <c r="A174" t="s">
        <v>1263</v>
      </c>
      <c r="B174" t="s">
        <v>1264</v>
      </c>
      <c r="C174" t="s">
        <v>692</v>
      </c>
      <c r="D174" t="s">
        <v>670</v>
      </c>
      <c r="E174" t="s">
        <v>670</v>
      </c>
      <c r="F174" t="s">
        <v>669</v>
      </c>
      <c r="G174">
        <v>6</v>
      </c>
      <c r="H174">
        <v>23.08</v>
      </c>
      <c r="I174">
        <v>0</v>
      </c>
      <c r="J174">
        <v>1</v>
      </c>
      <c r="K174">
        <v>1</v>
      </c>
      <c r="L174">
        <v>0</v>
      </c>
      <c r="M174">
        <v>490.5</v>
      </c>
      <c r="N174">
        <v>490.5</v>
      </c>
      <c r="O174" t="s">
        <v>671</v>
      </c>
      <c r="P174" t="s">
        <v>1265</v>
      </c>
      <c r="Q174" t="s">
        <v>1265</v>
      </c>
      <c r="R174" t="s">
        <v>1265</v>
      </c>
    </row>
    <row r="175" ht="26.85" customHeight="1" spans="2:15" x14ac:dyDescent="0.25">
      <c r="B175" t="s">
        <v>674</v>
      </c>
      <c r="C175" t="s">
        <v>668</v>
      </c>
      <c r="D175" t="s">
        <v>669</v>
      </c>
      <c r="E175" t="s">
        <v>669</v>
      </c>
      <c r="F175" t="s">
        <v>670</v>
      </c>
      <c r="G175" t="s">
        <v>1266</v>
      </c>
      <c r="H175" t="s">
        <v>1267</v>
      </c>
      <c r="I175" t="s">
        <v>898</v>
      </c>
      <c r="J175" t="s">
        <v>898</v>
      </c>
      <c r="K175" t="s">
        <v>898</v>
      </c>
      <c r="L175" t="s">
        <v>898</v>
      </c>
      <c r="M175" t="s">
        <v>898</v>
      </c>
      <c r="N175" t="s">
        <v>898</v>
      </c>
      <c r="O175" t="s">
        <v>898</v>
      </c>
    </row>
    <row r="176" ht="26.85" customHeight="1" spans="1:18" x14ac:dyDescent="0.25">
      <c r="A176" t="s">
        <v>1268</v>
      </c>
      <c r="B176" t="s">
        <v>1269</v>
      </c>
      <c r="C176" t="s">
        <v>668</v>
      </c>
      <c r="D176" t="s">
        <v>669</v>
      </c>
      <c r="E176" t="s">
        <v>670</v>
      </c>
      <c r="F176" t="s">
        <v>669</v>
      </c>
      <c r="G176">
        <v>5</v>
      </c>
      <c r="H176">
        <v>19.23</v>
      </c>
      <c r="I176">
        <v>0</v>
      </c>
      <c r="J176">
        <v>1</v>
      </c>
      <c r="K176">
        <v>1</v>
      </c>
      <c r="L176">
        <v>0</v>
      </c>
      <c r="M176">
        <v>5.86</v>
      </c>
      <c r="N176">
        <v>5.86</v>
      </c>
      <c r="O176" t="s">
        <v>681</v>
      </c>
      <c r="P176" t="s">
        <v>1270</v>
      </c>
      <c r="Q176" t="s">
        <v>1271</v>
      </c>
      <c r="R176" t="s">
        <v>1272</v>
      </c>
    </row>
    <row r="177" ht="26.85" customHeight="1" spans="1:18" x14ac:dyDescent="0.25">
      <c r="A177" t="s">
        <v>1273</v>
      </c>
      <c r="B177" t="s">
        <v>1274</v>
      </c>
      <c r="C177" t="s">
        <v>668</v>
      </c>
      <c r="D177" t="s">
        <v>670</v>
      </c>
      <c r="E177" t="s">
        <v>669</v>
      </c>
      <c r="F177" t="s">
        <v>669</v>
      </c>
      <c r="G177">
        <v>5</v>
      </c>
      <c r="H177">
        <v>19.23</v>
      </c>
      <c r="I177">
        <v>3</v>
      </c>
      <c r="J177">
        <v>0</v>
      </c>
      <c r="K177">
        <v>3</v>
      </c>
      <c r="L177">
        <v>186.72</v>
      </c>
      <c r="M177">
        <v>0</v>
      </c>
      <c r="N177">
        <v>186.72</v>
      </c>
      <c r="O177" t="s">
        <v>671</v>
      </c>
      <c r="P177" t="s">
        <v>1122</v>
      </c>
      <c r="Q177" t="s">
        <v>1122</v>
      </c>
      <c r="R177" t="s">
        <v>1122</v>
      </c>
    </row>
    <row r="178" ht="26.85" customHeight="1" spans="1:18" x14ac:dyDescent="0.25">
      <c r="A178" t="s">
        <v>1275</v>
      </c>
      <c r="B178" t="s">
        <v>1276</v>
      </c>
      <c r="C178" t="s">
        <v>668</v>
      </c>
      <c r="D178" t="s">
        <v>670</v>
      </c>
      <c r="E178" t="s">
        <v>670</v>
      </c>
      <c r="F178" t="s">
        <v>670</v>
      </c>
      <c r="G178">
        <v>5</v>
      </c>
      <c r="H178">
        <v>19.23</v>
      </c>
      <c r="I178">
        <v>1</v>
      </c>
      <c r="J178">
        <v>2</v>
      </c>
      <c r="K178">
        <v>4</v>
      </c>
      <c r="L178">
        <v>93.92</v>
      </c>
      <c r="M178">
        <v>187.84</v>
      </c>
      <c r="N178">
        <v>375.68</v>
      </c>
      <c r="O178" t="s">
        <v>671</v>
      </c>
      <c r="P178" t="s">
        <v>1203</v>
      </c>
      <c r="Q178" t="s">
        <v>1203</v>
      </c>
      <c r="R178" t="s">
        <v>1203</v>
      </c>
    </row>
    <row r="179" ht="15" customHeight="1" spans="1:18" x14ac:dyDescent="0.25">
      <c r="A179" t="s">
        <v>1277</v>
      </c>
      <c r="B179" t="s">
        <v>1278</v>
      </c>
      <c r="C179" t="s">
        <v>692</v>
      </c>
      <c r="D179" t="s">
        <v>670</v>
      </c>
      <c r="E179" t="s">
        <v>669</v>
      </c>
      <c r="F179" t="s">
        <v>669</v>
      </c>
      <c r="G179">
        <v>5</v>
      </c>
      <c r="H179">
        <v>19.23</v>
      </c>
      <c r="I179">
        <v>1</v>
      </c>
      <c r="J179">
        <v>0</v>
      </c>
      <c r="K179">
        <v>1</v>
      </c>
      <c r="L179">
        <v>1063.13</v>
      </c>
      <c r="M179">
        <v>0</v>
      </c>
      <c r="N179">
        <v>1063.13</v>
      </c>
      <c r="O179" t="s">
        <v>671</v>
      </c>
      <c r="P179" t="s">
        <v>1091</v>
      </c>
      <c r="Q179" t="s">
        <v>1091</v>
      </c>
      <c r="R179" t="s">
        <v>1091</v>
      </c>
    </row>
    <row r="180" ht="26.85" customHeight="1" spans="1:18" x14ac:dyDescent="0.25">
      <c r="A180" t="s">
        <v>1279</v>
      </c>
      <c r="B180" t="s">
        <v>1280</v>
      </c>
      <c r="C180" t="s">
        <v>692</v>
      </c>
      <c r="D180" t="s">
        <v>670</v>
      </c>
      <c r="E180" t="s">
        <v>670</v>
      </c>
      <c r="F180" t="s">
        <v>669</v>
      </c>
      <c r="G180">
        <v>5</v>
      </c>
      <c r="H180">
        <v>19.23</v>
      </c>
      <c r="I180">
        <v>1</v>
      </c>
      <c r="J180">
        <v>0</v>
      </c>
      <c r="K180">
        <v>1</v>
      </c>
      <c r="L180">
        <v>90.94</v>
      </c>
      <c r="M180">
        <v>0</v>
      </c>
      <c r="N180">
        <v>90.94</v>
      </c>
      <c r="O180" t="s">
        <v>681</v>
      </c>
      <c r="P180" t="s">
        <v>816</v>
      </c>
      <c r="Q180" t="s">
        <v>817</v>
      </c>
      <c r="R180" t="s">
        <v>818</v>
      </c>
    </row>
    <row r="181" ht="26.85" customHeight="1" spans="1:18" x14ac:dyDescent="0.25">
      <c r="A181" t="s">
        <v>1281</v>
      </c>
      <c r="B181" t="s">
        <v>1282</v>
      </c>
      <c r="C181" t="s">
        <v>692</v>
      </c>
      <c r="D181" t="s">
        <v>669</v>
      </c>
      <c r="E181" t="s">
        <v>670</v>
      </c>
      <c r="F181" t="s">
        <v>670</v>
      </c>
      <c r="G181">
        <v>5</v>
      </c>
      <c r="H181">
        <v>19.23</v>
      </c>
      <c r="I181">
        <v>0</v>
      </c>
      <c r="J181">
        <v>6</v>
      </c>
      <c r="K181">
        <v>6</v>
      </c>
      <c r="L181">
        <v>0</v>
      </c>
      <c r="M181">
        <v>135</v>
      </c>
      <c r="N181">
        <v>135</v>
      </c>
      <c r="O181" t="s">
        <v>671</v>
      </c>
      <c r="P181" t="s">
        <v>1283</v>
      </c>
      <c r="Q181" t="s">
        <v>1283</v>
      </c>
      <c r="R181" t="s">
        <v>1283</v>
      </c>
    </row>
    <row r="182" ht="26.85" customHeight="1" spans="1:18" x14ac:dyDescent="0.25">
      <c r="A182" t="s">
        <v>1284</v>
      </c>
      <c r="B182" t="s">
        <v>1285</v>
      </c>
      <c r="C182" t="s">
        <v>668</v>
      </c>
      <c r="D182" t="s">
        <v>669</v>
      </c>
      <c r="E182" t="s">
        <v>670</v>
      </c>
      <c r="F182" t="s">
        <v>670</v>
      </c>
      <c r="G182">
        <v>4</v>
      </c>
      <c r="H182">
        <v>15.38</v>
      </c>
      <c r="I182">
        <v>0</v>
      </c>
      <c r="J182">
        <v>0.5</v>
      </c>
      <c r="K182">
        <v>0.5</v>
      </c>
      <c r="L182">
        <v>0</v>
      </c>
      <c r="M182">
        <v>349.5</v>
      </c>
      <c r="N182">
        <v>349.5</v>
      </c>
      <c r="O182" t="s">
        <v>671</v>
      </c>
      <c r="P182" t="s">
        <v>1286</v>
      </c>
      <c r="Q182" t="s">
        <v>1286</v>
      </c>
      <c r="R182" t="s">
        <v>1286</v>
      </c>
    </row>
    <row r="183" ht="26.85" customHeight="1" spans="1:18" x14ac:dyDescent="0.25">
      <c r="A183" t="s">
        <v>1287</v>
      </c>
      <c r="B183" t="s">
        <v>1288</v>
      </c>
      <c r="C183" t="s">
        <v>668</v>
      </c>
      <c r="D183" t="s">
        <v>670</v>
      </c>
      <c r="E183" t="s">
        <v>669</v>
      </c>
      <c r="F183" t="s">
        <v>669</v>
      </c>
      <c r="G183">
        <v>4</v>
      </c>
      <c r="H183">
        <v>15.38</v>
      </c>
      <c r="I183">
        <v>1</v>
      </c>
      <c r="J183">
        <v>0</v>
      </c>
      <c r="K183">
        <v>1</v>
      </c>
      <c r="L183">
        <v>56.84</v>
      </c>
      <c r="M183">
        <v>0</v>
      </c>
      <c r="N183">
        <v>56.84</v>
      </c>
      <c r="O183" t="s">
        <v>681</v>
      </c>
      <c r="P183" t="s">
        <v>1289</v>
      </c>
      <c r="Q183" t="s">
        <v>1290</v>
      </c>
      <c r="R183" t="s">
        <v>1291</v>
      </c>
    </row>
    <row r="184" ht="26.85" customHeight="1" spans="1:18" x14ac:dyDescent="0.25">
      <c r="A184" t="s">
        <v>1292</v>
      </c>
      <c r="B184" t="s">
        <v>1293</v>
      </c>
      <c r="C184" t="s">
        <v>668</v>
      </c>
      <c r="D184" t="s">
        <v>670</v>
      </c>
      <c r="E184" t="s">
        <v>669</v>
      </c>
      <c r="F184" t="s">
        <v>669</v>
      </c>
      <c r="G184">
        <v>4</v>
      </c>
      <c r="H184">
        <v>15.38</v>
      </c>
      <c r="I184">
        <v>1</v>
      </c>
      <c r="J184">
        <v>0</v>
      </c>
      <c r="K184">
        <v>1</v>
      </c>
      <c r="L184">
        <v>270</v>
      </c>
      <c r="M184">
        <v>0</v>
      </c>
      <c r="N184">
        <v>270</v>
      </c>
      <c r="O184" t="s">
        <v>671</v>
      </c>
      <c r="P184" t="s">
        <v>733</v>
      </c>
      <c r="Q184" t="s">
        <v>733</v>
      </c>
      <c r="R184" t="s">
        <v>733</v>
      </c>
    </row>
    <row r="185" ht="26.85" customHeight="1" spans="1:18" x14ac:dyDescent="0.25">
      <c r="A185" t="s">
        <v>1193</v>
      </c>
      <c r="B185" t="s">
        <v>1294</v>
      </c>
      <c r="C185" t="s">
        <v>668</v>
      </c>
      <c r="D185" t="s">
        <v>670</v>
      </c>
      <c r="E185" t="s">
        <v>669</v>
      </c>
      <c r="F185" t="s">
        <v>669</v>
      </c>
      <c r="G185">
        <v>4</v>
      </c>
      <c r="H185">
        <v>15.38</v>
      </c>
      <c r="I185">
        <v>1</v>
      </c>
      <c r="J185">
        <v>0</v>
      </c>
      <c r="K185">
        <v>1</v>
      </c>
      <c r="L185">
        <v>94.01</v>
      </c>
      <c r="M185">
        <v>0</v>
      </c>
      <c r="N185">
        <v>94.01</v>
      </c>
      <c r="O185" t="s">
        <v>681</v>
      </c>
      <c r="P185" t="s">
        <v>1195</v>
      </c>
      <c r="Q185" t="s">
        <v>1196</v>
      </c>
      <c r="R185" t="s">
        <v>1197</v>
      </c>
    </row>
    <row r="186" ht="26.85" customHeight="1" spans="1:18" x14ac:dyDescent="0.25">
      <c r="A186" t="s">
        <v>1295</v>
      </c>
      <c r="B186" t="s">
        <v>1296</v>
      </c>
      <c r="C186" t="s">
        <v>668</v>
      </c>
      <c r="D186" t="s">
        <v>670</v>
      </c>
      <c r="E186" t="s">
        <v>669</v>
      </c>
      <c r="F186" t="s">
        <v>669</v>
      </c>
      <c r="G186">
        <v>4</v>
      </c>
      <c r="H186">
        <v>15.38</v>
      </c>
      <c r="I186">
        <v>1</v>
      </c>
      <c r="J186">
        <v>0</v>
      </c>
      <c r="K186">
        <v>1</v>
      </c>
      <c r="L186">
        <v>697.55</v>
      </c>
      <c r="M186">
        <v>0</v>
      </c>
      <c r="N186">
        <v>697.55</v>
      </c>
      <c r="O186" t="s">
        <v>671</v>
      </c>
      <c r="P186" t="s">
        <v>1297</v>
      </c>
      <c r="Q186" t="s">
        <v>1297</v>
      </c>
      <c r="R186" t="s">
        <v>1297</v>
      </c>
    </row>
    <row r="187" ht="26.85" customHeight="1" spans="1:18" x14ac:dyDescent="0.25">
      <c r="A187" t="s">
        <v>1298</v>
      </c>
      <c r="B187" t="s">
        <v>1299</v>
      </c>
      <c r="C187" t="s">
        <v>668</v>
      </c>
      <c r="D187" t="s">
        <v>669</v>
      </c>
      <c r="E187" t="s">
        <v>670</v>
      </c>
      <c r="F187" t="s">
        <v>670</v>
      </c>
      <c r="G187">
        <v>4</v>
      </c>
      <c r="H187">
        <v>15.38</v>
      </c>
      <c r="I187">
        <v>0</v>
      </c>
      <c r="J187">
        <v>5</v>
      </c>
      <c r="K187">
        <v>5</v>
      </c>
      <c r="L187">
        <v>0</v>
      </c>
      <c r="M187">
        <v>56.25</v>
      </c>
      <c r="N187">
        <v>56.25</v>
      </c>
      <c r="O187" t="s">
        <v>681</v>
      </c>
      <c r="P187" t="s">
        <v>1002</v>
      </c>
      <c r="Q187" t="s">
        <v>1249</v>
      </c>
      <c r="R187" t="s">
        <v>1300</v>
      </c>
    </row>
    <row r="188" ht="52.2" customHeight="1" spans="1:18" x14ac:dyDescent="0.25">
      <c r="A188" t="s">
        <v>478</v>
      </c>
      <c r="B188" t="s">
        <v>479</v>
      </c>
      <c r="C188" t="s">
        <v>1079</v>
      </c>
      <c r="D188" t="s">
        <v>670</v>
      </c>
      <c r="E188" t="s">
        <v>669</v>
      </c>
      <c r="F188" t="s">
        <v>669</v>
      </c>
      <c r="G188" t="s">
        <v>731</v>
      </c>
      <c r="H188" t="s">
        <v>1301</v>
      </c>
      <c r="I188" t="s">
        <v>671</v>
      </c>
      <c r="J188" t="s">
        <v>898</v>
      </c>
      <c r="K188" t="s">
        <v>671</v>
      </c>
      <c r="L188" t="s">
        <v>1302</v>
      </c>
      <c r="M188" t="s">
        <v>898</v>
      </c>
      <c r="N188" t="s">
        <v>1302</v>
      </c>
      <c r="O188" t="s">
        <v>671</v>
      </c>
      <c r="P188" t="s">
        <v>1302</v>
      </c>
      <c r="Q188" t="s">
        <v>1302</v>
      </c>
      <c r="R188" t="s">
        <v>1302</v>
      </c>
    </row>
    <row r="189" ht="39.55" customHeight="1" spans="2:15" x14ac:dyDescent="0.25">
      <c r="B189" t="s">
        <v>851</v>
      </c>
      <c r="C189" t="s">
        <v>692</v>
      </c>
      <c r="D189" t="s">
        <v>669</v>
      </c>
      <c r="E189" t="s">
        <v>669</v>
      </c>
      <c r="F189" t="s">
        <v>670</v>
      </c>
      <c r="G189" t="s">
        <v>731</v>
      </c>
      <c r="H189" t="s">
        <v>1301</v>
      </c>
      <c r="I189" t="s">
        <v>898</v>
      </c>
      <c r="J189" t="s">
        <v>898</v>
      </c>
      <c r="K189" t="s">
        <v>898</v>
      </c>
      <c r="L189" t="s">
        <v>898</v>
      </c>
      <c r="M189" t="s">
        <v>898</v>
      </c>
      <c r="N189" t="s">
        <v>898</v>
      </c>
      <c r="O189" t="s">
        <v>898</v>
      </c>
    </row>
    <row r="190" ht="15" customHeight="1" spans="2:15" x14ac:dyDescent="0.25">
      <c r="B190" t="s">
        <v>1172</v>
      </c>
      <c r="C190" t="s">
        <v>692</v>
      </c>
      <c r="D190" t="s">
        <v>669</v>
      </c>
      <c r="E190" t="s">
        <v>669</v>
      </c>
      <c r="F190" t="s">
        <v>670</v>
      </c>
      <c r="G190" t="s">
        <v>731</v>
      </c>
      <c r="H190" t="s">
        <v>1301</v>
      </c>
      <c r="I190" t="s">
        <v>898</v>
      </c>
      <c r="J190" t="s">
        <v>898</v>
      </c>
      <c r="K190" t="s">
        <v>898</v>
      </c>
      <c r="L190" t="s">
        <v>898</v>
      </c>
      <c r="M190" t="s">
        <v>898</v>
      </c>
      <c r="N190" t="s">
        <v>898</v>
      </c>
      <c r="O190" t="s">
        <v>898</v>
      </c>
    </row>
    <row r="191" ht="15" customHeight="1" spans="1:18" x14ac:dyDescent="0.25">
      <c r="A191" t="s">
        <v>1303</v>
      </c>
      <c r="B191" t="s">
        <v>1304</v>
      </c>
      <c r="C191" t="s">
        <v>692</v>
      </c>
      <c r="D191" t="s">
        <v>669</v>
      </c>
      <c r="E191" t="s">
        <v>670</v>
      </c>
      <c r="F191" t="s">
        <v>669</v>
      </c>
      <c r="G191">
        <v>4</v>
      </c>
      <c r="H191">
        <v>15.38</v>
      </c>
      <c r="I191">
        <v>0</v>
      </c>
      <c r="J191">
        <v>1</v>
      </c>
      <c r="K191">
        <v>1</v>
      </c>
      <c r="L191">
        <v>0</v>
      </c>
      <c r="M191">
        <v>436</v>
      </c>
      <c r="N191">
        <v>436</v>
      </c>
      <c r="O191" t="s">
        <v>770</v>
      </c>
      <c r="P191" t="s">
        <v>1305</v>
      </c>
      <c r="Q191" t="s">
        <v>1306</v>
      </c>
      <c r="R191" t="s">
        <v>1307</v>
      </c>
    </row>
    <row r="192" ht="26.85" customHeight="1" spans="1:18" x14ac:dyDescent="0.25">
      <c r="A192" t="s">
        <v>1308</v>
      </c>
      <c r="B192" t="s">
        <v>1309</v>
      </c>
      <c r="C192" t="s">
        <v>692</v>
      </c>
      <c r="D192" t="s">
        <v>669</v>
      </c>
      <c r="E192" t="s">
        <v>670</v>
      </c>
      <c r="F192" t="s">
        <v>669</v>
      </c>
      <c r="G192">
        <v>4</v>
      </c>
      <c r="H192">
        <v>15.38</v>
      </c>
      <c r="I192">
        <v>0</v>
      </c>
      <c r="J192">
        <v>2</v>
      </c>
      <c r="K192">
        <v>2</v>
      </c>
      <c r="L192">
        <v>0</v>
      </c>
      <c r="M192">
        <v>420</v>
      </c>
      <c r="N192">
        <v>420</v>
      </c>
      <c r="O192" t="s">
        <v>671</v>
      </c>
      <c r="P192" t="s">
        <v>732</v>
      </c>
      <c r="Q192" t="s">
        <v>732</v>
      </c>
      <c r="R192" t="s">
        <v>732</v>
      </c>
    </row>
    <row r="193" ht="39.55" customHeight="1" spans="1:18" x14ac:dyDescent="0.25">
      <c r="A193" t="s">
        <v>1310</v>
      </c>
      <c r="B193" t="s">
        <v>1311</v>
      </c>
      <c r="C193" t="s">
        <v>692</v>
      </c>
      <c r="D193" t="s">
        <v>670</v>
      </c>
      <c r="E193" t="s">
        <v>669</v>
      </c>
      <c r="F193" t="s">
        <v>669</v>
      </c>
      <c r="G193">
        <v>4</v>
      </c>
      <c r="H193">
        <v>15.38</v>
      </c>
      <c r="I193">
        <v>1</v>
      </c>
      <c r="J193">
        <v>0</v>
      </c>
      <c r="K193">
        <v>1</v>
      </c>
      <c r="L193">
        <v>4500</v>
      </c>
      <c r="M193">
        <v>0</v>
      </c>
      <c r="N193">
        <v>4500</v>
      </c>
      <c r="O193" t="s">
        <v>671</v>
      </c>
      <c r="P193" t="s">
        <v>1312</v>
      </c>
      <c r="Q193" t="s">
        <v>1312</v>
      </c>
      <c r="R193" t="s">
        <v>1312</v>
      </c>
    </row>
    <row r="194" ht="15" customHeight="1" spans="1:18" x14ac:dyDescent="0.25">
      <c r="A194" t="s">
        <v>1313</v>
      </c>
      <c r="B194" t="s">
        <v>203</v>
      </c>
      <c r="C194" t="s">
        <v>692</v>
      </c>
      <c r="D194" t="s">
        <v>670</v>
      </c>
      <c r="E194" t="s">
        <v>669</v>
      </c>
      <c r="F194" t="s">
        <v>669</v>
      </c>
      <c r="G194" t="s">
        <v>731</v>
      </c>
      <c r="H194" t="s">
        <v>1301</v>
      </c>
      <c r="I194" t="s">
        <v>770</v>
      </c>
      <c r="J194" t="s">
        <v>898</v>
      </c>
      <c r="K194" t="s">
        <v>770</v>
      </c>
      <c r="L194" t="s">
        <v>1314</v>
      </c>
      <c r="M194" t="s">
        <v>898</v>
      </c>
      <c r="N194" t="s">
        <v>1314</v>
      </c>
      <c r="O194" t="s">
        <v>671</v>
      </c>
      <c r="P194" t="s">
        <v>1315</v>
      </c>
      <c r="Q194" t="s">
        <v>1315</v>
      </c>
      <c r="R194" t="s">
        <v>1315</v>
      </c>
    </row>
    <row r="195" ht="26.85" customHeight="1" spans="1:18" x14ac:dyDescent="0.25">
      <c r="A195" t="s">
        <v>1316</v>
      </c>
      <c r="B195" t="s">
        <v>199</v>
      </c>
      <c r="C195" t="s">
        <v>692</v>
      </c>
      <c r="D195" t="s">
        <v>670</v>
      </c>
      <c r="E195" t="s">
        <v>669</v>
      </c>
      <c r="F195" t="s">
        <v>669</v>
      </c>
      <c r="G195">
        <v>4</v>
      </c>
      <c r="H195">
        <v>15.38</v>
      </c>
      <c r="I195">
        <v>1</v>
      </c>
      <c r="J195">
        <v>0</v>
      </c>
      <c r="K195">
        <v>1</v>
      </c>
      <c r="L195">
        <v>28040</v>
      </c>
      <c r="M195">
        <v>0</v>
      </c>
      <c r="N195">
        <v>28040</v>
      </c>
      <c r="O195" t="s">
        <v>671</v>
      </c>
      <c r="P195" t="s">
        <v>1236</v>
      </c>
      <c r="Q195" t="s">
        <v>1236</v>
      </c>
      <c r="R195" t="s">
        <v>1236</v>
      </c>
    </row>
    <row r="196" ht="15" customHeight="1" spans="1:18" x14ac:dyDescent="0.25">
      <c r="A196" t="s">
        <v>1317</v>
      </c>
      <c r="B196" t="s">
        <v>1318</v>
      </c>
      <c r="C196" t="s">
        <v>692</v>
      </c>
      <c r="D196" t="s">
        <v>670</v>
      </c>
      <c r="E196" t="s">
        <v>669</v>
      </c>
      <c r="F196" t="s">
        <v>669</v>
      </c>
      <c r="G196">
        <v>4</v>
      </c>
      <c r="H196">
        <v>15.38</v>
      </c>
      <c r="I196">
        <v>2</v>
      </c>
      <c r="J196">
        <v>0</v>
      </c>
      <c r="K196">
        <v>2</v>
      </c>
      <c r="L196">
        <v>1120</v>
      </c>
      <c r="M196">
        <v>0</v>
      </c>
      <c r="N196">
        <v>1120</v>
      </c>
      <c r="O196" t="s">
        <v>671</v>
      </c>
      <c r="P196" t="s">
        <v>1319</v>
      </c>
      <c r="Q196" t="s">
        <v>1319</v>
      </c>
      <c r="R196" t="s">
        <v>1319</v>
      </c>
    </row>
    <row r="197" ht="15" customHeight="1" spans="1:18" x14ac:dyDescent="0.25">
      <c r="A197" t="s">
        <v>1320</v>
      </c>
      <c r="B197" t="s">
        <v>1321</v>
      </c>
      <c r="C197" t="s">
        <v>692</v>
      </c>
      <c r="D197" t="s">
        <v>669</v>
      </c>
      <c r="E197" t="s">
        <v>670</v>
      </c>
      <c r="F197" t="s">
        <v>670</v>
      </c>
      <c r="G197">
        <v>4</v>
      </c>
      <c r="H197">
        <v>15.38</v>
      </c>
      <c r="I197">
        <v>0</v>
      </c>
      <c r="J197">
        <v>1.5</v>
      </c>
      <c r="K197">
        <v>1.5</v>
      </c>
      <c r="L197">
        <v>0</v>
      </c>
      <c r="M197">
        <v>79.43</v>
      </c>
      <c r="N197">
        <v>79.43</v>
      </c>
      <c r="O197" t="s">
        <v>681</v>
      </c>
      <c r="P197" t="s">
        <v>725</v>
      </c>
      <c r="Q197" t="s">
        <v>1322</v>
      </c>
      <c r="R197" t="s">
        <v>1323</v>
      </c>
    </row>
    <row r="198" ht="15" customHeight="1" spans="1:18" x14ac:dyDescent="0.25">
      <c r="A198" t="s">
        <v>1324</v>
      </c>
      <c r="B198" t="s">
        <v>1325</v>
      </c>
      <c r="C198" t="s">
        <v>692</v>
      </c>
      <c r="D198" t="s">
        <v>670</v>
      </c>
      <c r="E198" t="s">
        <v>670</v>
      </c>
      <c r="F198" t="s">
        <v>670</v>
      </c>
      <c r="G198">
        <v>4</v>
      </c>
      <c r="H198">
        <v>15.38</v>
      </c>
      <c r="I198">
        <v>0</v>
      </c>
      <c r="J198">
        <v>3</v>
      </c>
      <c r="K198">
        <v>3</v>
      </c>
      <c r="L198">
        <v>0</v>
      </c>
      <c r="M198">
        <v>107.43</v>
      </c>
      <c r="N198">
        <v>107.43</v>
      </c>
      <c r="O198" t="s">
        <v>671</v>
      </c>
      <c r="P198" t="s">
        <v>1326</v>
      </c>
      <c r="Q198" t="s">
        <v>1326</v>
      </c>
      <c r="R198" t="s">
        <v>1326</v>
      </c>
    </row>
    <row r="199" ht="26.85" customHeight="1" spans="2:15" x14ac:dyDescent="0.25">
      <c r="B199" t="s">
        <v>1027</v>
      </c>
      <c r="C199" t="s">
        <v>668</v>
      </c>
      <c r="D199" t="s">
        <v>669</v>
      </c>
      <c r="E199" t="s">
        <v>669</v>
      </c>
      <c r="F199" t="s">
        <v>670</v>
      </c>
      <c r="G199" t="s">
        <v>770</v>
      </c>
      <c r="H199" t="s">
        <v>1327</v>
      </c>
      <c r="I199" t="s">
        <v>898</v>
      </c>
      <c r="J199" t="s">
        <v>898</v>
      </c>
      <c r="K199" t="s">
        <v>898</v>
      </c>
      <c r="L199" t="s">
        <v>898</v>
      </c>
      <c r="M199" t="s">
        <v>898</v>
      </c>
      <c r="N199" t="s">
        <v>898</v>
      </c>
      <c r="O199" t="s">
        <v>898</v>
      </c>
    </row>
    <row r="200" ht="26.85" customHeight="1" spans="2:15" x14ac:dyDescent="0.25">
      <c r="B200" t="s">
        <v>1030</v>
      </c>
      <c r="C200" t="s">
        <v>668</v>
      </c>
      <c r="D200" t="s">
        <v>669</v>
      </c>
      <c r="E200" t="s">
        <v>669</v>
      </c>
      <c r="F200" t="s">
        <v>670</v>
      </c>
      <c r="G200" t="s">
        <v>770</v>
      </c>
      <c r="H200" t="s">
        <v>1327</v>
      </c>
      <c r="I200" t="s">
        <v>898</v>
      </c>
      <c r="J200" t="s">
        <v>898</v>
      </c>
      <c r="K200" t="s">
        <v>898</v>
      </c>
      <c r="L200" t="s">
        <v>898</v>
      </c>
      <c r="M200" t="s">
        <v>898</v>
      </c>
      <c r="N200" t="s">
        <v>898</v>
      </c>
      <c r="O200" t="s">
        <v>898</v>
      </c>
    </row>
    <row r="201" ht="26.85" customHeight="1" spans="1:18" x14ac:dyDescent="0.25">
      <c r="A201" t="s">
        <v>1328</v>
      </c>
      <c r="B201" t="s">
        <v>1329</v>
      </c>
      <c r="C201" t="s">
        <v>668</v>
      </c>
      <c r="D201" t="s">
        <v>670</v>
      </c>
      <c r="E201" t="s">
        <v>669</v>
      </c>
      <c r="F201" t="s">
        <v>669</v>
      </c>
      <c r="G201">
        <v>3</v>
      </c>
      <c r="H201">
        <v>11.54</v>
      </c>
      <c r="I201">
        <v>4</v>
      </c>
      <c r="J201">
        <v>0</v>
      </c>
      <c r="K201">
        <v>4</v>
      </c>
      <c r="L201">
        <v>52.2</v>
      </c>
      <c r="M201">
        <v>0</v>
      </c>
      <c r="N201">
        <v>52.2</v>
      </c>
      <c r="O201" t="s">
        <v>671</v>
      </c>
      <c r="P201" t="s">
        <v>1330</v>
      </c>
      <c r="Q201" t="s">
        <v>1330</v>
      </c>
      <c r="R201" t="s">
        <v>1330</v>
      </c>
    </row>
    <row r="202" ht="26.85" customHeight="1" spans="1:18" x14ac:dyDescent="0.25">
      <c r="A202" t="s">
        <v>1331</v>
      </c>
      <c r="B202" t="s">
        <v>1332</v>
      </c>
      <c r="C202" t="s">
        <v>668</v>
      </c>
      <c r="D202" t="s">
        <v>669</v>
      </c>
      <c r="E202" t="s">
        <v>670</v>
      </c>
      <c r="F202" t="s">
        <v>670</v>
      </c>
      <c r="G202">
        <v>3</v>
      </c>
      <c r="H202">
        <v>11.54</v>
      </c>
      <c r="I202">
        <v>0</v>
      </c>
      <c r="J202">
        <v>1</v>
      </c>
      <c r="K202">
        <v>1</v>
      </c>
      <c r="L202">
        <v>0</v>
      </c>
      <c r="M202">
        <v>22.91</v>
      </c>
      <c r="N202">
        <v>22.91</v>
      </c>
      <c r="O202" t="s">
        <v>681</v>
      </c>
      <c r="P202" t="s">
        <v>1333</v>
      </c>
      <c r="Q202" t="s">
        <v>1334</v>
      </c>
      <c r="R202" t="s">
        <v>1335</v>
      </c>
    </row>
    <row r="203" ht="26.85" customHeight="1" spans="1:18" x14ac:dyDescent="0.25">
      <c r="A203" t="s">
        <v>1336</v>
      </c>
      <c r="B203" t="s">
        <v>1337</v>
      </c>
      <c r="C203" t="s">
        <v>668</v>
      </c>
      <c r="D203" t="s">
        <v>670</v>
      </c>
      <c r="E203" t="s">
        <v>669</v>
      </c>
      <c r="F203" t="s">
        <v>669</v>
      </c>
      <c r="G203">
        <v>3</v>
      </c>
      <c r="H203">
        <v>11.54</v>
      </c>
      <c r="I203">
        <v>1</v>
      </c>
      <c r="J203">
        <v>0</v>
      </c>
      <c r="K203">
        <v>1</v>
      </c>
      <c r="L203">
        <v>687</v>
      </c>
      <c r="M203">
        <v>0</v>
      </c>
      <c r="N203">
        <v>687</v>
      </c>
      <c r="O203" t="s">
        <v>681</v>
      </c>
      <c r="P203" t="s">
        <v>1338</v>
      </c>
      <c r="Q203" t="s">
        <v>1339</v>
      </c>
      <c r="R203" t="s">
        <v>1340</v>
      </c>
    </row>
    <row r="204" ht="26.85" customHeight="1" spans="1:18" x14ac:dyDescent="0.25">
      <c r="A204" t="s">
        <v>1341</v>
      </c>
      <c r="B204" t="s">
        <v>1342</v>
      </c>
      <c r="C204" t="s">
        <v>668</v>
      </c>
      <c r="D204" t="s">
        <v>670</v>
      </c>
      <c r="E204" t="s">
        <v>669</v>
      </c>
      <c r="F204" t="s">
        <v>669</v>
      </c>
      <c r="G204">
        <v>3</v>
      </c>
      <c r="H204">
        <v>11.54</v>
      </c>
      <c r="I204">
        <v>1</v>
      </c>
      <c r="J204">
        <v>0</v>
      </c>
      <c r="K204">
        <v>1</v>
      </c>
      <c r="L204">
        <v>14.5</v>
      </c>
      <c r="M204">
        <v>0</v>
      </c>
      <c r="N204">
        <v>14.5</v>
      </c>
      <c r="O204" t="s">
        <v>671</v>
      </c>
      <c r="P204" t="s">
        <v>1343</v>
      </c>
      <c r="Q204" t="s">
        <v>1343</v>
      </c>
      <c r="R204" t="s">
        <v>1343</v>
      </c>
    </row>
    <row r="205" ht="26.85" customHeight="1" spans="1:18" x14ac:dyDescent="0.25">
      <c r="A205" t="s">
        <v>1284</v>
      </c>
      <c r="B205" t="s">
        <v>1344</v>
      </c>
      <c r="C205" t="s">
        <v>668</v>
      </c>
      <c r="D205" t="s">
        <v>669</v>
      </c>
      <c r="E205" t="s">
        <v>670</v>
      </c>
      <c r="F205" t="s">
        <v>669</v>
      </c>
      <c r="G205">
        <v>3</v>
      </c>
      <c r="H205">
        <v>11.54</v>
      </c>
      <c r="I205">
        <v>0</v>
      </c>
      <c r="J205">
        <v>1</v>
      </c>
      <c r="K205">
        <v>1</v>
      </c>
      <c r="L205">
        <v>0</v>
      </c>
      <c r="M205">
        <v>699</v>
      </c>
      <c r="N205">
        <v>699</v>
      </c>
      <c r="O205" t="s">
        <v>671</v>
      </c>
      <c r="P205" t="s">
        <v>1286</v>
      </c>
      <c r="Q205" t="s">
        <v>1286</v>
      </c>
      <c r="R205" t="s">
        <v>1286</v>
      </c>
    </row>
    <row r="206" ht="26.85" customHeight="1" spans="1:18" x14ac:dyDescent="0.25">
      <c r="A206" t="s">
        <v>1345</v>
      </c>
      <c r="B206" t="s">
        <v>1346</v>
      </c>
      <c r="C206" t="s">
        <v>668</v>
      </c>
      <c r="D206" t="s">
        <v>670</v>
      </c>
      <c r="E206" t="s">
        <v>669</v>
      </c>
      <c r="F206" t="s">
        <v>669</v>
      </c>
      <c r="G206">
        <v>3</v>
      </c>
      <c r="H206">
        <v>11.54</v>
      </c>
      <c r="I206">
        <v>1</v>
      </c>
      <c r="J206">
        <v>0</v>
      </c>
      <c r="K206">
        <v>1</v>
      </c>
      <c r="L206">
        <v>37.24</v>
      </c>
      <c r="M206">
        <v>0</v>
      </c>
      <c r="N206">
        <v>37.24</v>
      </c>
      <c r="O206" t="s">
        <v>671</v>
      </c>
      <c r="P206" t="s">
        <v>1347</v>
      </c>
      <c r="Q206" t="s">
        <v>1347</v>
      </c>
      <c r="R206" t="s">
        <v>1347</v>
      </c>
    </row>
    <row r="207" ht="26.85" customHeight="1" spans="1:18" x14ac:dyDescent="0.25">
      <c r="A207" t="s">
        <v>1348</v>
      </c>
      <c r="B207" t="s">
        <v>1349</v>
      </c>
      <c r="C207" t="s">
        <v>668</v>
      </c>
      <c r="D207" t="s">
        <v>670</v>
      </c>
      <c r="E207" t="s">
        <v>669</v>
      </c>
      <c r="F207" t="s">
        <v>669</v>
      </c>
      <c r="G207">
        <v>3</v>
      </c>
      <c r="H207">
        <v>11.54</v>
      </c>
      <c r="I207">
        <v>1</v>
      </c>
      <c r="J207">
        <v>0</v>
      </c>
      <c r="K207">
        <v>1</v>
      </c>
      <c r="L207">
        <v>37.25</v>
      </c>
      <c r="M207">
        <v>0</v>
      </c>
      <c r="N207">
        <v>37.25</v>
      </c>
      <c r="O207" t="s">
        <v>671</v>
      </c>
      <c r="P207" t="s">
        <v>1350</v>
      </c>
      <c r="Q207" t="s">
        <v>1350</v>
      </c>
      <c r="R207" t="s">
        <v>1350</v>
      </c>
    </row>
    <row r="208" ht="26.85" customHeight="1" spans="1:18" x14ac:dyDescent="0.25">
      <c r="A208" t="s">
        <v>1351</v>
      </c>
      <c r="B208" t="s">
        <v>1352</v>
      </c>
      <c r="C208" t="s">
        <v>668</v>
      </c>
      <c r="D208" t="s">
        <v>669</v>
      </c>
      <c r="E208" t="s">
        <v>670</v>
      </c>
      <c r="F208" t="s">
        <v>670</v>
      </c>
      <c r="G208">
        <v>3</v>
      </c>
      <c r="H208">
        <v>11.54</v>
      </c>
      <c r="I208">
        <v>0</v>
      </c>
      <c r="J208">
        <v>1</v>
      </c>
      <c r="K208">
        <v>1</v>
      </c>
      <c r="L208">
        <v>0</v>
      </c>
      <c r="M208">
        <v>60.35</v>
      </c>
      <c r="N208">
        <v>60.35</v>
      </c>
      <c r="O208" t="s">
        <v>671</v>
      </c>
      <c r="P208" t="s">
        <v>1353</v>
      </c>
      <c r="Q208" t="s">
        <v>1353</v>
      </c>
      <c r="R208" t="s">
        <v>1353</v>
      </c>
    </row>
    <row r="209" ht="26.85" customHeight="1" spans="1:18" x14ac:dyDescent="0.25">
      <c r="A209" t="s">
        <v>1354</v>
      </c>
      <c r="B209" t="s">
        <v>1355</v>
      </c>
      <c r="C209" t="s">
        <v>668</v>
      </c>
      <c r="D209" t="s">
        <v>669</v>
      </c>
      <c r="E209" t="s">
        <v>670</v>
      </c>
      <c r="F209" t="s">
        <v>670</v>
      </c>
      <c r="G209">
        <v>3</v>
      </c>
      <c r="H209">
        <v>11.54</v>
      </c>
      <c r="I209">
        <v>0</v>
      </c>
      <c r="J209">
        <v>1</v>
      </c>
      <c r="K209">
        <v>1</v>
      </c>
      <c r="L209">
        <v>0</v>
      </c>
      <c r="M209">
        <v>24.28</v>
      </c>
      <c r="N209">
        <v>24.28</v>
      </c>
      <c r="O209" t="s">
        <v>681</v>
      </c>
      <c r="P209" t="s">
        <v>1356</v>
      </c>
      <c r="Q209" t="s">
        <v>1357</v>
      </c>
      <c r="R209" t="s">
        <v>1358</v>
      </c>
    </row>
    <row r="210" ht="26.85" customHeight="1" spans="1:18" x14ac:dyDescent="0.25">
      <c r="A210" t="s">
        <v>1359</v>
      </c>
      <c r="B210" t="s">
        <v>1360</v>
      </c>
      <c r="C210" t="s">
        <v>668</v>
      </c>
      <c r="D210" t="s">
        <v>669</v>
      </c>
      <c r="E210" t="s">
        <v>670</v>
      </c>
      <c r="F210" t="s">
        <v>669</v>
      </c>
      <c r="G210">
        <v>3</v>
      </c>
      <c r="H210">
        <v>11.54</v>
      </c>
      <c r="I210">
        <v>0</v>
      </c>
      <c r="J210">
        <v>2</v>
      </c>
      <c r="K210">
        <v>2</v>
      </c>
      <c r="L210">
        <v>0</v>
      </c>
      <c r="M210">
        <v>2.5</v>
      </c>
      <c r="N210">
        <v>2.5</v>
      </c>
      <c r="O210" t="s">
        <v>681</v>
      </c>
      <c r="P210" t="s">
        <v>1361</v>
      </c>
      <c r="Q210" t="s">
        <v>1362</v>
      </c>
      <c r="R210" t="s">
        <v>1363</v>
      </c>
    </row>
    <row r="211" ht="26.85" customHeight="1" spans="1:18" x14ac:dyDescent="0.25">
      <c r="A211" t="s">
        <v>1364</v>
      </c>
      <c r="B211" t="s">
        <v>1365</v>
      </c>
      <c r="C211" t="s">
        <v>668</v>
      </c>
      <c r="D211" t="s">
        <v>669</v>
      </c>
      <c r="E211" t="s">
        <v>670</v>
      </c>
      <c r="F211" t="s">
        <v>669</v>
      </c>
      <c r="G211">
        <v>3</v>
      </c>
      <c r="H211">
        <v>11.54</v>
      </c>
      <c r="I211">
        <v>0</v>
      </c>
      <c r="J211">
        <v>1</v>
      </c>
      <c r="K211">
        <v>1</v>
      </c>
      <c r="L211">
        <v>0</v>
      </c>
      <c r="M211">
        <v>181.39</v>
      </c>
      <c r="N211">
        <v>181.39</v>
      </c>
      <c r="O211" t="s">
        <v>671</v>
      </c>
      <c r="P211" t="s">
        <v>1039</v>
      </c>
      <c r="Q211" t="s">
        <v>1039</v>
      </c>
      <c r="R211" t="s">
        <v>1039</v>
      </c>
    </row>
    <row r="212" ht="26.85" customHeight="1" spans="1:18" x14ac:dyDescent="0.25">
      <c r="A212" t="s">
        <v>462</v>
      </c>
      <c r="B212" t="s">
        <v>463</v>
      </c>
      <c r="C212" t="s">
        <v>1079</v>
      </c>
      <c r="D212" t="s">
        <v>670</v>
      </c>
      <c r="E212" t="s">
        <v>669</v>
      </c>
      <c r="F212" t="s">
        <v>669</v>
      </c>
      <c r="G212">
        <v>3</v>
      </c>
      <c r="H212">
        <v>11.54</v>
      </c>
      <c r="I212">
        <v>1</v>
      </c>
      <c r="J212">
        <v>0</v>
      </c>
      <c r="K212">
        <v>1</v>
      </c>
      <c r="L212">
        <v>13340.05</v>
      </c>
      <c r="M212">
        <v>0</v>
      </c>
      <c r="N212">
        <v>13340.05</v>
      </c>
      <c r="O212" t="s">
        <v>681</v>
      </c>
      <c r="P212" t="s">
        <v>1366</v>
      </c>
      <c r="Q212" t="s">
        <v>1367</v>
      </c>
      <c r="R212" t="s">
        <v>1368</v>
      </c>
    </row>
    <row r="213" ht="26.85" customHeight="1" spans="1:18" x14ac:dyDescent="0.25">
      <c r="A213" t="s">
        <v>406</v>
      </c>
      <c r="B213" t="s">
        <v>407</v>
      </c>
      <c r="C213" t="s">
        <v>1079</v>
      </c>
      <c r="D213" t="s">
        <v>670</v>
      </c>
      <c r="E213" t="s">
        <v>669</v>
      </c>
      <c r="F213" t="s">
        <v>669</v>
      </c>
      <c r="G213">
        <v>3</v>
      </c>
      <c r="H213">
        <v>11.54</v>
      </c>
      <c r="I213">
        <v>1</v>
      </c>
      <c r="J213">
        <v>0</v>
      </c>
      <c r="K213">
        <v>1</v>
      </c>
      <c r="L213">
        <v>36130</v>
      </c>
      <c r="M213">
        <v>0</v>
      </c>
      <c r="N213">
        <v>36130</v>
      </c>
      <c r="O213" t="s">
        <v>671</v>
      </c>
      <c r="P213" t="s">
        <v>1369</v>
      </c>
      <c r="Q213" t="s">
        <v>1369</v>
      </c>
      <c r="R213" t="s">
        <v>1369</v>
      </c>
    </row>
    <row r="214" ht="39.55" customHeight="1" spans="1:18" x14ac:dyDescent="0.25">
      <c r="A214" t="s">
        <v>494</v>
      </c>
      <c r="B214" t="s">
        <v>1370</v>
      </c>
      <c r="C214" t="s">
        <v>1079</v>
      </c>
      <c r="D214" t="s">
        <v>670</v>
      </c>
      <c r="E214" t="s">
        <v>669</v>
      </c>
      <c r="F214" t="s">
        <v>669</v>
      </c>
      <c r="G214">
        <v>3</v>
      </c>
      <c r="H214">
        <v>11.54</v>
      </c>
      <c r="I214">
        <v>1</v>
      </c>
      <c r="J214">
        <v>0</v>
      </c>
      <c r="K214">
        <v>1</v>
      </c>
      <c r="L214">
        <v>39660</v>
      </c>
      <c r="M214">
        <v>0</v>
      </c>
      <c r="N214">
        <v>39660</v>
      </c>
      <c r="O214" t="s">
        <v>671</v>
      </c>
      <c r="P214" t="s">
        <v>1371</v>
      </c>
      <c r="Q214" t="s">
        <v>1371</v>
      </c>
      <c r="R214" t="s">
        <v>1371</v>
      </c>
    </row>
    <row r="215" ht="26.85" customHeight="1" spans="1:18" x14ac:dyDescent="0.25">
      <c r="A215" t="s">
        <v>496</v>
      </c>
      <c r="B215" t="s">
        <v>497</v>
      </c>
      <c r="C215" t="s">
        <v>1079</v>
      </c>
      <c r="D215" t="s">
        <v>670</v>
      </c>
      <c r="E215" t="s">
        <v>669</v>
      </c>
      <c r="F215" t="s">
        <v>669</v>
      </c>
      <c r="G215">
        <v>3</v>
      </c>
      <c r="H215">
        <v>11.54</v>
      </c>
      <c r="I215">
        <v>1</v>
      </c>
      <c r="J215">
        <v>0</v>
      </c>
      <c r="K215">
        <v>1</v>
      </c>
      <c r="L215">
        <v>39660</v>
      </c>
      <c r="M215">
        <v>0</v>
      </c>
      <c r="N215">
        <v>39660</v>
      </c>
      <c r="O215" t="s">
        <v>671</v>
      </c>
      <c r="P215" t="s">
        <v>1371</v>
      </c>
      <c r="Q215" t="s">
        <v>1371</v>
      </c>
      <c r="R215" t="s">
        <v>1371</v>
      </c>
    </row>
    <row r="216" ht="26.85" customHeight="1" spans="2:15" x14ac:dyDescent="0.25">
      <c r="B216" t="s">
        <v>1043</v>
      </c>
      <c r="C216" t="s">
        <v>692</v>
      </c>
      <c r="D216" t="s">
        <v>669</v>
      </c>
      <c r="E216" t="s">
        <v>669</v>
      </c>
      <c r="F216" t="s">
        <v>670</v>
      </c>
      <c r="G216" t="s">
        <v>770</v>
      </c>
      <c r="H216" t="s">
        <v>1327</v>
      </c>
      <c r="I216" t="s">
        <v>898</v>
      </c>
      <c r="J216" t="s">
        <v>898</v>
      </c>
      <c r="K216" t="s">
        <v>898</v>
      </c>
      <c r="L216" t="s">
        <v>898</v>
      </c>
      <c r="M216" t="s">
        <v>898</v>
      </c>
      <c r="N216" t="s">
        <v>898</v>
      </c>
      <c r="O216" t="s">
        <v>898</v>
      </c>
    </row>
    <row r="217" ht="26.85" customHeight="1" spans="2:15" x14ac:dyDescent="0.25">
      <c r="B217" t="s">
        <v>983</v>
      </c>
      <c r="C217" t="s">
        <v>692</v>
      </c>
      <c r="D217" t="s">
        <v>669</v>
      </c>
      <c r="E217" t="s">
        <v>669</v>
      </c>
      <c r="F217" t="s">
        <v>670</v>
      </c>
      <c r="G217" t="s">
        <v>770</v>
      </c>
      <c r="H217" t="s">
        <v>1327</v>
      </c>
      <c r="I217" t="s">
        <v>898</v>
      </c>
      <c r="J217" t="s">
        <v>898</v>
      </c>
      <c r="K217" t="s">
        <v>898</v>
      </c>
      <c r="L217" t="s">
        <v>898</v>
      </c>
      <c r="M217" t="s">
        <v>898</v>
      </c>
      <c r="N217" t="s">
        <v>898</v>
      </c>
      <c r="O217" t="s">
        <v>898</v>
      </c>
    </row>
    <row r="218" ht="26.85" customHeight="1" spans="1:18" x14ac:dyDescent="0.25">
      <c r="A218" t="s">
        <v>1372</v>
      </c>
      <c r="B218" t="s">
        <v>1373</v>
      </c>
      <c r="C218" t="s">
        <v>692</v>
      </c>
      <c r="D218" t="s">
        <v>669</v>
      </c>
      <c r="E218" t="s">
        <v>670</v>
      </c>
      <c r="F218" t="s">
        <v>669</v>
      </c>
      <c r="G218">
        <v>3</v>
      </c>
      <c r="H218">
        <v>11.54</v>
      </c>
      <c r="I218">
        <v>0</v>
      </c>
      <c r="J218">
        <v>1</v>
      </c>
      <c r="K218">
        <v>1</v>
      </c>
      <c r="L218">
        <v>0</v>
      </c>
      <c r="M218">
        <v>971</v>
      </c>
      <c r="N218">
        <v>971</v>
      </c>
      <c r="O218" t="s">
        <v>671</v>
      </c>
      <c r="P218" t="s">
        <v>1374</v>
      </c>
      <c r="Q218" t="s">
        <v>1374</v>
      </c>
      <c r="R218" t="s">
        <v>1374</v>
      </c>
    </row>
    <row r="219" ht="26.85" customHeight="1" spans="1:18" x14ac:dyDescent="0.25">
      <c r="A219" t="s">
        <v>1375</v>
      </c>
      <c r="B219" t="s">
        <v>1376</v>
      </c>
      <c r="C219" t="s">
        <v>692</v>
      </c>
      <c r="D219" t="s">
        <v>670</v>
      </c>
      <c r="E219" t="s">
        <v>669</v>
      </c>
      <c r="F219" t="s">
        <v>669</v>
      </c>
      <c r="G219">
        <v>3</v>
      </c>
      <c r="H219">
        <v>11.54</v>
      </c>
      <c r="I219">
        <v>1</v>
      </c>
      <c r="J219">
        <v>0</v>
      </c>
      <c r="K219">
        <v>1</v>
      </c>
      <c r="L219">
        <v>1817.81</v>
      </c>
      <c r="M219">
        <v>0</v>
      </c>
      <c r="N219">
        <v>1817.81</v>
      </c>
      <c r="O219" t="s">
        <v>681</v>
      </c>
      <c r="P219" t="s">
        <v>1377</v>
      </c>
      <c r="Q219" t="s">
        <v>1378</v>
      </c>
      <c r="R219" t="s">
        <v>1379</v>
      </c>
    </row>
    <row r="220" ht="15" customHeight="1" spans="1:18" x14ac:dyDescent="0.25">
      <c r="A220" t="s">
        <v>1380</v>
      </c>
      <c r="B220" t="s">
        <v>1381</v>
      </c>
      <c r="C220" t="s">
        <v>692</v>
      </c>
      <c r="D220" t="s">
        <v>669</v>
      </c>
      <c r="E220" t="s">
        <v>670</v>
      </c>
      <c r="F220" t="s">
        <v>669</v>
      </c>
      <c r="G220">
        <v>3</v>
      </c>
      <c r="H220">
        <v>11.54</v>
      </c>
      <c r="I220">
        <v>0</v>
      </c>
      <c r="J220">
        <v>1</v>
      </c>
      <c r="K220">
        <v>1</v>
      </c>
      <c r="L220">
        <v>0</v>
      </c>
      <c r="M220">
        <v>617</v>
      </c>
      <c r="N220">
        <v>617</v>
      </c>
      <c r="O220" t="s">
        <v>671</v>
      </c>
      <c r="P220" t="s">
        <v>1382</v>
      </c>
      <c r="Q220" t="s">
        <v>1382</v>
      </c>
      <c r="R220" t="s">
        <v>1382</v>
      </c>
    </row>
    <row r="221" ht="26.85" customHeight="1" spans="1:18" x14ac:dyDescent="0.25">
      <c r="A221" t="s">
        <v>1383</v>
      </c>
      <c r="B221" t="s">
        <v>1384</v>
      </c>
      <c r="C221" t="s">
        <v>692</v>
      </c>
      <c r="D221" t="s">
        <v>670</v>
      </c>
      <c r="E221" t="s">
        <v>669</v>
      </c>
      <c r="F221" t="s">
        <v>669</v>
      </c>
      <c r="G221">
        <v>3</v>
      </c>
      <c r="H221">
        <v>11.54</v>
      </c>
      <c r="I221">
        <v>1</v>
      </c>
      <c r="J221">
        <v>0</v>
      </c>
      <c r="K221">
        <v>1</v>
      </c>
      <c r="L221">
        <v>210</v>
      </c>
      <c r="M221">
        <v>0</v>
      </c>
      <c r="N221">
        <v>210</v>
      </c>
      <c r="O221" t="s">
        <v>671</v>
      </c>
      <c r="P221" t="s">
        <v>732</v>
      </c>
      <c r="Q221" t="s">
        <v>732</v>
      </c>
      <c r="R221" t="s">
        <v>732</v>
      </c>
    </row>
    <row r="222" ht="26.85" customHeight="1" spans="1:18" x14ac:dyDescent="0.25">
      <c r="A222" t="s">
        <v>1385</v>
      </c>
      <c r="B222" t="s">
        <v>1386</v>
      </c>
      <c r="C222" t="s">
        <v>692</v>
      </c>
      <c r="D222" t="s">
        <v>669</v>
      </c>
      <c r="E222" t="s">
        <v>670</v>
      </c>
      <c r="F222" t="s">
        <v>670</v>
      </c>
      <c r="G222">
        <v>3</v>
      </c>
      <c r="H222">
        <v>11.54</v>
      </c>
      <c r="I222">
        <v>0</v>
      </c>
      <c r="J222">
        <v>1</v>
      </c>
      <c r="K222">
        <v>1</v>
      </c>
      <c r="L222">
        <v>0</v>
      </c>
      <c r="M222">
        <v>768</v>
      </c>
      <c r="N222">
        <v>768</v>
      </c>
      <c r="O222" t="s">
        <v>671</v>
      </c>
      <c r="P222" t="s">
        <v>1387</v>
      </c>
      <c r="Q222" t="s">
        <v>1387</v>
      </c>
      <c r="R222" t="s">
        <v>1387</v>
      </c>
    </row>
    <row r="223" ht="26.85" customHeight="1" spans="1:18" x14ac:dyDescent="0.25">
      <c r="A223" t="s">
        <v>1388</v>
      </c>
      <c r="B223" t="s">
        <v>200</v>
      </c>
      <c r="C223" t="s">
        <v>692</v>
      </c>
      <c r="D223" t="s">
        <v>670</v>
      </c>
      <c r="E223" t="s">
        <v>669</v>
      </c>
      <c r="F223" t="s">
        <v>669</v>
      </c>
      <c r="G223">
        <v>3</v>
      </c>
      <c r="H223">
        <v>11.54</v>
      </c>
      <c r="I223">
        <v>1</v>
      </c>
      <c r="J223">
        <v>0</v>
      </c>
      <c r="K223">
        <v>1</v>
      </c>
      <c r="L223">
        <v>30093</v>
      </c>
      <c r="M223">
        <v>0</v>
      </c>
      <c r="N223">
        <v>30093</v>
      </c>
      <c r="O223" t="s">
        <v>671</v>
      </c>
      <c r="P223" t="s">
        <v>1389</v>
      </c>
      <c r="Q223" t="s">
        <v>1389</v>
      </c>
      <c r="R223" t="s">
        <v>1389</v>
      </c>
    </row>
    <row r="224" ht="26.85" customHeight="1" spans="1:18" x14ac:dyDescent="0.25">
      <c r="A224" t="s">
        <v>1390</v>
      </c>
      <c r="B224" t="s">
        <v>1391</v>
      </c>
      <c r="C224" t="s">
        <v>692</v>
      </c>
      <c r="D224" t="s">
        <v>670</v>
      </c>
      <c r="E224" t="s">
        <v>669</v>
      </c>
      <c r="F224" t="s">
        <v>669</v>
      </c>
      <c r="G224">
        <v>3</v>
      </c>
      <c r="H224">
        <v>11.54</v>
      </c>
      <c r="I224">
        <v>1</v>
      </c>
      <c r="J224">
        <v>0</v>
      </c>
      <c r="K224">
        <v>1</v>
      </c>
      <c r="L224">
        <v>460</v>
      </c>
      <c r="M224">
        <v>0</v>
      </c>
      <c r="N224">
        <v>460</v>
      </c>
      <c r="O224" t="s">
        <v>671</v>
      </c>
      <c r="P224" t="s">
        <v>1392</v>
      </c>
      <c r="Q224" t="s">
        <v>1392</v>
      </c>
      <c r="R224" t="s">
        <v>1392</v>
      </c>
    </row>
    <row r="225" ht="15" customHeight="1" spans="1:18" x14ac:dyDescent="0.25">
      <c r="A225" t="s">
        <v>1393</v>
      </c>
      <c r="B225" t="s">
        <v>1394</v>
      </c>
      <c r="C225" t="s">
        <v>692</v>
      </c>
      <c r="D225" t="s">
        <v>670</v>
      </c>
      <c r="E225" t="s">
        <v>669</v>
      </c>
      <c r="F225" t="s">
        <v>669</v>
      </c>
      <c r="G225">
        <v>3</v>
      </c>
      <c r="H225">
        <v>11.54</v>
      </c>
      <c r="I225">
        <v>1</v>
      </c>
      <c r="J225">
        <v>0</v>
      </c>
      <c r="K225">
        <v>1</v>
      </c>
      <c r="L225">
        <v>327</v>
      </c>
      <c r="M225">
        <v>0</v>
      </c>
      <c r="N225">
        <v>327</v>
      </c>
      <c r="O225" t="s">
        <v>671</v>
      </c>
      <c r="P225" t="s">
        <v>991</v>
      </c>
      <c r="Q225" t="s">
        <v>991</v>
      </c>
      <c r="R225" t="s">
        <v>991</v>
      </c>
    </row>
    <row r="226" ht="26.85" customHeight="1" spans="1:18" x14ac:dyDescent="0.25">
      <c r="A226" t="s">
        <v>1395</v>
      </c>
      <c r="B226" t="s">
        <v>1396</v>
      </c>
      <c r="C226" t="s">
        <v>692</v>
      </c>
      <c r="D226" t="s">
        <v>670</v>
      </c>
      <c r="E226" t="s">
        <v>669</v>
      </c>
      <c r="F226" t="s">
        <v>669</v>
      </c>
      <c r="G226">
        <v>3</v>
      </c>
      <c r="H226">
        <v>11.54</v>
      </c>
      <c r="I226">
        <v>1</v>
      </c>
      <c r="J226">
        <v>0</v>
      </c>
      <c r="K226">
        <v>1</v>
      </c>
      <c r="L226">
        <v>4285</v>
      </c>
      <c r="M226">
        <v>0</v>
      </c>
      <c r="N226">
        <v>4285</v>
      </c>
      <c r="O226" t="s">
        <v>671</v>
      </c>
      <c r="P226" t="s">
        <v>1397</v>
      </c>
      <c r="Q226" t="s">
        <v>1397</v>
      </c>
      <c r="R226" t="s">
        <v>1397</v>
      </c>
    </row>
    <row r="227" ht="15" customHeight="1" spans="1:18" x14ac:dyDescent="0.25">
      <c r="A227" t="s">
        <v>1398</v>
      </c>
      <c r="B227" t="s">
        <v>1399</v>
      </c>
      <c r="C227" t="s">
        <v>692</v>
      </c>
      <c r="D227" t="s">
        <v>670</v>
      </c>
      <c r="E227" t="s">
        <v>670</v>
      </c>
      <c r="F227" t="s">
        <v>669</v>
      </c>
      <c r="G227">
        <v>3</v>
      </c>
      <c r="H227">
        <v>11.54</v>
      </c>
      <c r="I227">
        <v>1</v>
      </c>
      <c r="J227">
        <v>0</v>
      </c>
      <c r="K227">
        <v>2</v>
      </c>
      <c r="L227">
        <v>2.58</v>
      </c>
      <c r="M227">
        <v>0</v>
      </c>
      <c r="N227">
        <v>5.24</v>
      </c>
      <c r="O227" t="s">
        <v>681</v>
      </c>
      <c r="P227" t="s">
        <v>1400</v>
      </c>
      <c r="Q227" t="s">
        <v>1401</v>
      </c>
      <c r="R227" t="s">
        <v>1402</v>
      </c>
    </row>
    <row r="228" ht="26.85" customHeight="1" spans="1:18" x14ac:dyDescent="0.25">
      <c r="A228" t="s">
        <v>1403</v>
      </c>
      <c r="B228" t="s">
        <v>1404</v>
      </c>
      <c r="C228" t="s">
        <v>692</v>
      </c>
      <c r="D228" t="s">
        <v>670</v>
      </c>
      <c r="E228" t="s">
        <v>669</v>
      </c>
      <c r="F228" t="s">
        <v>669</v>
      </c>
      <c r="G228">
        <v>3</v>
      </c>
      <c r="H228">
        <v>11.54</v>
      </c>
      <c r="I228">
        <v>10</v>
      </c>
      <c r="J228">
        <v>0</v>
      </c>
      <c r="K228">
        <v>10</v>
      </c>
      <c r="L228">
        <v>1020</v>
      </c>
      <c r="M228">
        <v>0</v>
      </c>
      <c r="N228">
        <v>1020</v>
      </c>
      <c r="O228" t="s">
        <v>671</v>
      </c>
      <c r="P228" t="s">
        <v>712</v>
      </c>
      <c r="Q228" t="s">
        <v>712</v>
      </c>
      <c r="R228" t="s">
        <v>712</v>
      </c>
    </row>
    <row r="229" ht="26.85" customHeight="1" spans="1:18" x14ac:dyDescent="0.25">
      <c r="A229" t="s">
        <v>1405</v>
      </c>
      <c r="B229" t="s">
        <v>1406</v>
      </c>
      <c r="C229" t="s">
        <v>692</v>
      </c>
      <c r="D229" t="s">
        <v>670</v>
      </c>
      <c r="E229" t="s">
        <v>669</v>
      </c>
      <c r="F229" t="s">
        <v>669</v>
      </c>
      <c r="G229">
        <v>3</v>
      </c>
      <c r="H229">
        <v>11.54</v>
      </c>
      <c r="I229">
        <v>4</v>
      </c>
      <c r="J229">
        <v>0</v>
      </c>
      <c r="K229">
        <v>4</v>
      </c>
      <c r="L229">
        <v>2920</v>
      </c>
      <c r="M229">
        <v>0</v>
      </c>
      <c r="N229">
        <v>2920</v>
      </c>
      <c r="O229" t="s">
        <v>671</v>
      </c>
      <c r="P229" t="s">
        <v>1407</v>
      </c>
      <c r="Q229" t="s">
        <v>1407</v>
      </c>
      <c r="R229" t="s">
        <v>1407</v>
      </c>
    </row>
    <row r="230" ht="15" customHeight="1" spans="1:18" x14ac:dyDescent="0.25">
      <c r="A230" t="s">
        <v>1408</v>
      </c>
      <c r="B230" t="s">
        <v>1409</v>
      </c>
      <c r="C230" t="s">
        <v>692</v>
      </c>
      <c r="D230" t="s">
        <v>670</v>
      </c>
      <c r="E230" t="s">
        <v>670</v>
      </c>
      <c r="F230" t="s">
        <v>670</v>
      </c>
      <c r="G230">
        <v>3</v>
      </c>
      <c r="H230">
        <v>11.54</v>
      </c>
      <c r="I230">
        <v>0</v>
      </c>
      <c r="J230">
        <v>5</v>
      </c>
      <c r="K230">
        <v>6</v>
      </c>
      <c r="L230">
        <v>0</v>
      </c>
      <c r="M230">
        <v>220</v>
      </c>
      <c r="N230">
        <v>264</v>
      </c>
      <c r="O230" t="s">
        <v>671</v>
      </c>
      <c r="P230" t="s">
        <v>1410</v>
      </c>
      <c r="Q230" t="s">
        <v>1410</v>
      </c>
      <c r="R230" t="s">
        <v>1410</v>
      </c>
    </row>
    <row r="231" ht="26.85" customHeight="1" spans="1:18" x14ac:dyDescent="0.25">
      <c r="A231" t="s">
        <v>1411</v>
      </c>
      <c r="B231" t="s">
        <v>1412</v>
      </c>
      <c r="C231" t="s">
        <v>692</v>
      </c>
      <c r="D231" t="s">
        <v>669</v>
      </c>
      <c r="E231" t="s">
        <v>670</v>
      </c>
      <c r="F231" t="s">
        <v>669</v>
      </c>
      <c r="G231">
        <v>3</v>
      </c>
      <c r="H231">
        <v>11.54</v>
      </c>
      <c r="I231">
        <v>0</v>
      </c>
      <c r="J231">
        <v>1</v>
      </c>
      <c r="K231">
        <v>1</v>
      </c>
      <c r="L231">
        <v>0</v>
      </c>
      <c r="M231">
        <v>393.86</v>
      </c>
      <c r="N231">
        <v>393.86</v>
      </c>
      <c r="O231" t="s">
        <v>671</v>
      </c>
      <c r="P231" t="s">
        <v>1413</v>
      </c>
      <c r="Q231" t="s">
        <v>1413</v>
      </c>
      <c r="R231" t="s">
        <v>1413</v>
      </c>
    </row>
    <row r="232" ht="15" customHeight="1" spans="1:18" x14ac:dyDescent="0.25">
      <c r="A232" t="s">
        <v>1414</v>
      </c>
      <c r="B232" t="s">
        <v>1415</v>
      </c>
      <c r="C232" t="s">
        <v>692</v>
      </c>
      <c r="D232" t="s">
        <v>669</v>
      </c>
      <c r="E232" t="s">
        <v>670</v>
      </c>
      <c r="F232" t="s">
        <v>669</v>
      </c>
      <c r="G232">
        <v>3</v>
      </c>
      <c r="H232">
        <v>11.54</v>
      </c>
      <c r="I232">
        <v>0</v>
      </c>
      <c r="J232">
        <v>1</v>
      </c>
      <c r="K232">
        <v>1</v>
      </c>
      <c r="L232">
        <v>0</v>
      </c>
      <c r="M232">
        <v>292.03</v>
      </c>
      <c r="N232">
        <v>292.03</v>
      </c>
      <c r="O232" t="s">
        <v>681</v>
      </c>
      <c r="P232" t="s">
        <v>1416</v>
      </c>
      <c r="Q232" t="s">
        <v>842</v>
      </c>
      <c r="R232" t="s">
        <v>1417</v>
      </c>
    </row>
    <row r="233" ht="26.85" customHeight="1" spans="2:15" x14ac:dyDescent="0.25">
      <c r="B233" t="s">
        <v>1108</v>
      </c>
      <c r="C233" t="s">
        <v>668</v>
      </c>
      <c r="D233" t="s">
        <v>669</v>
      </c>
      <c r="E233" t="s">
        <v>669</v>
      </c>
      <c r="F233" t="s">
        <v>670</v>
      </c>
      <c r="G233" t="s">
        <v>681</v>
      </c>
      <c r="H233" t="s">
        <v>1418</v>
      </c>
      <c r="I233" t="s">
        <v>898</v>
      </c>
      <c r="J233" t="s">
        <v>898</v>
      </c>
      <c r="K233" t="s">
        <v>898</v>
      </c>
      <c r="L233" t="s">
        <v>898</v>
      </c>
      <c r="M233" t="s">
        <v>898</v>
      </c>
      <c r="N233" t="s">
        <v>898</v>
      </c>
      <c r="O233" t="s">
        <v>898</v>
      </c>
    </row>
    <row r="234" ht="26.85" customHeight="1" spans="2:15" x14ac:dyDescent="0.25">
      <c r="B234" t="s">
        <v>1077</v>
      </c>
      <c r="C234" t="s">
        <v>668</v>
      </c>
      <c r="D234" t="s">
        <v>669</v>
      </c>
      <c r="E234" t="s">
        <v>669</v>
      </c>
      <c r="F234" t="s">
        <v>670</v>
      </c>
      <c r="G234" t="s">
        <v>681</v>
      </c>
      <c r="H234" t="s">
        <v>1418</v>
      </c>
      <c r="I234" t="s">
        <v>898</v>
      </c>
      <c r="J234" t="s">
        <v>898</v>
      </c>
      <c r="K234" t="s">
        <v>898</v>
      </c>
      <c r="L234" t="s">
        <v>898</v>
      </c>
      <c r="M234" t="s">
        <v>898</v>
      </c>
      <c r="N234" t="s">
        <v>898</v>
      </c>
      <c r="O234" t="s">
        <v>898</v>
      </c>
    </row>
    <row r="235" ht="26.85" customHeight="1" spans="2:15" x14ac:dyDescent="0.25">
      <c r="B235" t="s">
        <v>1352</v>
      </c>
      <c r="C235" t="s">
        <v>668</v>
      </c>
      <c r="D235" t="s">
        <v>669</v>
      </c>
      <c r="E235" t="s">
        <v>669</v>
      </c>
      <c r="F235" t="s">
        <v>670</v>
      </c>
      <c r="G235" t="s">
        <v>681</v>
      </c>
      <c r="H235" t="s">
        <v>1418</v>
      </c>
      <c r="I235" t="s">
        <v>898</v>
      </c>
      <c r="J235" t="s">
        <v>898</v>
      </c>
      <c r="K235" t="s">
        <v>898</v>
      </c>
      <c r="L235" t="s">
        <v>898</v>
      </c>
      <c r="M235" t="s">
        <v>898</v>
      </c>
      <c r="N235" t="s">
        <v>898</v>
      </c>
      <c r="O235" t="s">
        <v>898</v>
      </c>
    </row>
    <row r="236" ht="26.85" customHeight="1" spans="2:15" x14ac:dyDescent="0.25">
      <c r="B236" t="s">
        <v>1130</v>
      </c>
      <c r="C236" t="s">
        <v>668</v>
      </c>
      <c r="D236" t="s">
        <v>669</v>
      </c>
      <c r="E236" t="s">
        <v>669</v>
      </c>
      <c r="F236" t="s">
        <v>670</v>
      </c>
      <c r="G236" t="s">
        <v>681</v>
      </c>
      <c r="H236" t="s">
        <v>1418</v>
      </c>
      <c r="I236" t="s">
        <v>898</v>
      </c>
      <c r="J236" t="s">
        <v>898</v>
      </c>
      <c r="K236" t="s">
        <v>898</v>
      </c>
      <c r="L236" t="s">
        <v>898</v>
      </c>
      <c r="M236" t="s">
        <v>898</v>
      </c>
      <c r="N236" t="s">
        <v>898</v>
      </c>
      <c r="O236" t="s">
        <v>898</v>
      </c>
    </row>
    <row r="237" ht="26.85" customHeight="1" spans="1:18" x14ac:dyDescent="0.25">
      <c r="A237" t="s">
        <v>1419</v>
      </c>
      <c r="B237" t="s">
        <v>1420</v>
      </c>
      <c r="C237" t="s">
        <v>668</v>
      </c>
      <c r="D237" t="s">
        <v>670</v>
      </c>
      <c r="E237" t="s">
        <v>669</v>
      </c>
      <c r="F237" t="s">
        <v>669</v>
      </c>
      <c r="G237">
        <v>2</v>
      </c>
      <c r="H237">
        <v>7.69</v>
      </c>
      <c r="I237">
        <v>2</v>
      </c>
      <c r="J237">
        <v>0</v>
      </c>
      <c r="K237">
        <v>2</v>
      </c>
      <c r="L237">
        <v>118.3</v>
      </c>
      <c r="M237">
        <v>0</v>
      </c>
      <c r="N237">
        <v>118.3</v>
      </c>
      <c r="O237" t="s">
        <v>671</v>
      </c>
      <c r="P237" t="s">
        <v>1421</v>
      </c>
      <c r="Q237" t="s">
        <v>1421</v>
      </c>
      <c r="R237" t="s">
        <v>1421</v>
      </c>
    </row>
    <row r="238" ht="26.85" customHeight="1" spans="1:18" x14ac:dyDescent="0.25">
      <c r="A238" t="s">
        <v>1422</v>
      </c>
      <c r="B238" t="s">
        <v>1423</v>
      </c>
      <c r="C238" t="s">
        <v>668</v>
      </c>
      <c r="D238" t="s">
        <v>669</v>
      </c>
      <c r="E238" t="s">
        <v>670</v>
      </c>
      <c r="F238" t="s">
        <v>669</v>
      </c>
      <c r="G238">
        <v>2</v>
      </c>
      <c r="H238">
        <v>7.69</v>
      </c>
      <c r="I238">
        <v>0</v>
      </c>
      <c r="J238">
        <v>1</v>
      </c>
      <c r="K238">
        <v>1</v>
      </c>
      <c r="L238">
        <v>0</v>
      </c>
      <c r="M238">
        <v>1.35</v>
      </c>
      <c r="N238">
        <v>1.35</v>
      </c>
      <c r="O238" t="s">
        <v>671</v>
      </c>
      <c r="P238" t="s">
        <v>1424</v>
      </c>
      <c r="Q238" t="s">
        <v>1424</v>
      </c>
      <c r="R238" t="s">
        <v>1424</v>
      </c>
    </row>
    <row r="239" ht="26.85" customHeight="1" spans="1:18" x14ac:dyDescent="0.25">
      <c r="A239" t="s">
        <v>1425</v>
      </c>
      <c r="B239" t="s">
        <v>1426</v>
      </c>
      <c r="C239" t="s">
        <v>668</v>
      </c>
      <c r="D239" t="s">
        <v>669</v>
      </c>
      <c r="E239" t="s">
        <v>670</v>
      </c>
      <c r="F239" t="s">
        <v>669</v>
      </c>
      <c r="G239">
        <v>2</v>
      </c>
      <c r="H239">
        <v>7.69</v>
      </c>
      <c r="I239">
        <v>0</v>
      </c>
      <c r="J239">
        <v>1</v>
      </c>
      <c r="K239">
        <v>1</v>
      </c>
      <c r="L239">
        <v>0</v>
      </c>
      <c r="M239">
        <v>8</v>
      </c>
      <c r="N239">
        <v>8</v>
      </c>
      <c r="O239" t="s">
        <v>671</v>
      </c>
      <c r="P239" t="s">
        <v>1105</v>
      </c>
      <c r="Q239" t="s">
        <v>1105</v>
      </c>
      <c r="R239" t="s">
        <v>1105</v>
      </c>
    </row>
    <row r="240" ht="26.85" customHeight="1" spans="1:18" x14ac:dyDescent="0.25">
      <c r="A240" t="s">
        <v>1427</v>
      </c>
      <c r="B240" t="s">
        <v>1428</v>
      </c>
      <c r="C240" t="s">
        <v>668</v>
      </c>
      <c r="D240" t="s">
        <v>669</v>
      </c>
      <c r="E240" t="s">
        <v>670</v>
      </c>
      <c r="F240" t="s">
        <v>669</v>
      </c>
      <c r="G240">
        <v>2</v>
      </c>
      <c r="H240">
        <v>7.69</v>
      </c>
      <c r="I240">
        <v>0</v>
      </c>
      <c r="J240">
        <v>2.5</v>
      </c>
      <c r="K240">
        <v>2.5</v>
      </c>
      <c r="L240">
        <v>0</v>
      </c>
      <c r="M240">
        <v>13.61</v>
      </c>
      <c r="N240">
        <v>13.61</v>
      </c>
      <c r="O240" t="s">
        <v>681</v>
      </c>
      <c r="P240" t="s">
        <v>1429</v>
      </c>
      <c r="Q240" t="s">
        <v>1430</v>
      </c>
      <c r="R240" t="s">
        <v>1431</v>
      </c>
    </row>
    <row r="241" ht="26.85" customHeight="1" spans="1:18" x14ac:dyDescent="0.25">
      <c r="A241" t="s">
        <v>1432</v>
      </c>
      <c r="B241" t="s">
        <v>1433</v>
      </c>
      <c r="C241" t="s">
        <v>668</v>
      </c>
      <c r="D241" t="s">
        <v>670</v>
      </c>
      <c r="E241" t="s">
        <v>669</v>
      </c>
      <c r="F241" t="s">
        <v>669</v>
      </c>
      <c r="G241">
        <v>2</v>
      </c>
      <c r="H241">
        <v>7.69</v>
      </c>
      <c r="I241">
        <v>1</v>
      </c>
      <c r="J241">
        <v>0</v>
      </c>
      <c r="K241">
        <v>1</v>
      </c>
      <c r="L241">
        <v>53.88</v>
      </c>
      <c r="M241">
        <v>0</v>
      </c>
      <c r="N241">
        <v>53.88</v>
      </c>
      <c r="O241" t="s">
        <v>671</v>
      </c>
      <c r="P241" t="s">
        <v>1434</v>
      </c>
      <c r="Q241" t="s">
        <v>1434</v>
      </c>
      <c r="R241" t="s">
        <v>1434</v>
      </c>
    </row>
    <row r="242" ht="26.85" customHeight="1" spans="1:18" x14ac:dyDescent="0.25">
      <c r="A242" t="s">
        <v>1435</v>
      </c>
      <c r="B242" t="s">
        <v>1436</v>
      </c>
      <c r="C242" t="s">
        <v>668</v>
      </c>
      <c r="D242" t="s">
        <v>669</v>
      </c>
      <c r="E242" t="s">
        <v>670</v>
      </c>
      <c r="F242" t="s">
        <v>669</v>
      </c>
      <c r="G242">
        <v>2</v>
      </c>
      <c r="H242">
        <v>7.69</v>
      </c>
      <c r="I242">
        <v>0</v>
      </c>
      <c r="J242">
        <v>1</v>
      </c>
      <c r="K242">
        <v>1</v>
      </c>
      <c r="L242">
        <v>0</v>
      </c>
      <c r="M242">
        <v>1499</v>
      </c>
      <c r="N242">
        <v>1499</v>
      </c>
      <c r="O242" t="s">
        <v>671</v>
      </c>
      <c r="P242" t="s">
        <v>1437</v>
      </c>
      <c r="Q242" t="s">
        <v>1437</v>
      </c>
      <c r="R242" t="s">
        <v>1437</v>
      </c>
    </row>
    <row r="243" ht="26.85" customHeight="1" spans="1:18" x14ac:dyDescent="0.25">
      <c r="A243" t="s">
        <v>1438</v>
      </c>
      <c r="B243" t="s">
        <v>1439</v>
      </c>
      <c r="C243" t="s">
        <v>668</v>
      </c>
      <c r="D243" t="s">
        <v>670</v>
      </c>
      <c r="E243" t="s">
        <v>670</v>
      </c>
      <c r="F243" t="s">
        <v>669</v>
      </c>
      <c r="G243">
        <v>2</v>
      </c>
      <c r="H243">
        <v>7.69</v>
      </c>
      <c r="I243">
        <v>1</v>
      </c>
      <c r="J243">
        <v>0.5</v>
      </c>
      <c r="K243">
        <v>1.5</v>
      </c>
      <c r="L243">
        <v>7.13</v>
      </c>
      <c r="M243">
        <v>3.56</v>
      </c>
      <c r="N243">
        <v>10.7</v>
      </c>
      <c r="O243" t="s">
        <v>671</v>
      </c>
      <c r="P243" t="s">
        <v>1440</v>
      </c>
      <c r="Q243" t="s">
        <v>1440</v>
      </c>
      <c r="R243" t="s">
        <v>1440</v>
      </c>
    </row>
    <row r="244" ht="26.85" customHeight="1" spans="1:18" x14ac:dyDescent="0.25">
      <c r="A244" t="s">
        <v>1441</v>
      </c>
      <c r="B244" t="s">
        <v>1442</v>
      </c>
      <c r="C244" t="s">
        <v>668</v>
      </c>
      <c r="D244" t="s">
        <v>670</v>
      </c>
      <c r="E244" t="s">
        <v>670</v>
      </c>
      <c r="F244" t="s">
        <v>669</v>
      </c>
      <c r="G244">
        <v>2</v>
      </c>
      <c r="H244">
        <v>7.69</v>
      </c>
      <c r="I244">
        <v>1</v>
      </c>
      <c r="J244">
        <v>0.5</v>
      </c>
      <c r="K244">
        <v>1.5</v>
      </c>
      <c r="L244">
        <v>47.7</v>
      </c>
      <c r="M244">
        <v>23.85</v>
      </c>
      <c r="N244">
        <v>71.55</v>
      </c>
      <c r="O244" t="s">
        <v>671</v>
      </c>
      <c r="P244" t="s">
        <v>1443</v>
      </c>
      <c r="Q244" t="s">
        <v>1443</v>
      </c>
      <c r="R244" t="s">
        <v>1443</v>
      </c>
    </row>
    <row r="245" ht="26.85" customHeight="1" spans="1:18" x14ac:dyDescent="0.25">
      <c r="A245" t="s">
        <v>1444</v>
      </c>
      <c r="B245" t="s">
        <v>1445</v>
      </c>
      <c r="C245" t="s">
        <v>668</v>
      </c>
      <c r="D245" t="s">
        <v>669</v>
      </c>
      <c r="E245" t="s">
        <v>670</v>
      </c>
      <c r="F245" t="s">
        <v>669</v>
      </c>
      <c r="G245">
        <v>2</v>
      </c>
      <c r="H245">
        <v>7.69</v>
      </c>
      <c r="I245">
        <v>0</v>
      </c>
      <c r="J245">
        <v>6</v>
      </c>
      <c r="K245">
        <v>6</v>
      </c>
      <c r="L245">
        <v>0</v>
      </c>
      <c r="M245">
        <v>261.6</v>
      </c>
      <c r="N245">
        <v>261.6</v>
      </c>
      <c r="O245" t="s">
        <v>671</v>
      </c>
      <c r="P245" t="s">
        <v>1446</v>
      </c>
      <c r="Q245" t="s">
        <v>1446</v>
      </c>
      <c r="R245" t="s">
        <v>1446</v>
      </c>
    </row>
    <row r="246" ht="26.85" customHeight="1" spans="1:18" x14ac:dyDescent="0.25">
      <c r="A246" t="s">
        <v>1447</v>
      </c>
      <c r="B246" t="s">
        <v>1448</v>
      </c>
      <c r="C246" t="s">
        <v>668</v>
      </c>
      <c r="D246" t="s">
        <v>669</v>
      </c>
      <c r="E246" t="s">
        <v>670</v>
      </c>
      <c r="F246" t="s">
        <v>669</v>
      </c>
      <c r="G246">
        <v>2</v>
      </c>
      <c r="H246">
        <v>7.69</v>
      </c>
      <c r="I246">
        <v>0</v>
      </c>
      <c r="J246">
        <v>3.5</v>
      </c>
      <c r="K246">
        <v>3.5</v>
      </c>
      <c r="L246">
        <v>0</v>
      </c>
      <c r="M246">
        <v>78.4</v>
      </c>
      <c r="N246">
        <v>78.4</v>
      </c>
      <c r="O246" t="s">
        <v>671</v>
      </c>
      <c r="P246" t="s">
        <v>1449</v>
      </c>
      <c r="Q246" t="s">
        <v>1449</v>
      </c>
      <c r="R246" t="s">
        <v>1449</v>
      </c>
    </row>
    <row r="247" ht="26.85" customHeight="1" spans="1:18" x14ac:dyDescent="0.25">
      <c r="A247" t="s">
        <v>1450</v>
      </c>
      <c r="B247" t="s">
        <v>1451</v>
      </c>
      <c r="C247" t="s">
        <v>668</v>
      </c>
      <c r="D247" t="s">
        <v>669</v>
      </c>
      <c r="E247" t="s">
        <v>670</v>
      </c>
      <c r="F247" t="s">
        <v>669</v>
      </c>
      <c r="G247">
        <v>2</v>
      </c>
      <c r="H247">
        <v>7.69</v>
      </c>
      <c r="I247">
        <v>0</v>
      </c>
      <c r="J247">
        <v>3.5</v>
      </c>
      <c r="K247">
        <v>3.5</v>
      </c>
      <c r="L247">
        <v>0</v>
      </c>
      <c r="M247">
        <v>277.93</v>
      </c>
      <c r="N247">
        <v>277.93</v>
      </c>
      <c r="O247" t="s">
        <v>681</v>
      </c>
      <c r="P247" t="s">
        <v>1452</v>
      </c>
      <c r="Q247" t="s">
        <v>1453</v>
      </c>
      <c r="R247" t="s">
        <v>1454</v>
      </c>
    </row>
    <row r="248" ht="26.85" customHeight="1" spans="1:18" x14ac:dyDescent="0.25">
      <c r="A248" t="s">
        <v>1455</v>
      </c>
      <c r="B248" t="s">
        <v>1456</v>
      </c>
      <c r="C248" t="s">
        <v>668</v>
      </c>
      <c r="D248" t="s">
        <v>669</v>
      </c>
      <c r="E248" t="s">
        <v>670</v>
      </c>
      <c r="F248" t="s">
        <v>669</v>
      </c>
      <c r="G248">
        <v>2</v>
      </c>
      <c r="H248">
        <v>7.69</v>
      </c>
      <c r="I248">
        <v>0</v>
      </c>
      <c r="J248">
        <v>1</v>
      </c>
      <c r="K248">
        <v>1</v>
      </c>
      <c r="L248">
        <v>0</v>
      </c>
      <c r="M248">
        <v>11.19</v>
      </c>
      <c r="N248">
        <v>11.19</v>
      </c>
      <c r="O248" t="s">
        <v>671</v>
      </c>
      <c r="P248" t="s">
        <v>1457</v>
      </c>
      <c r="Q248" t="s">
        <v>1457</v>
      </c>
      <c r="R248" t="s">
        <v>1457</v>
      </c>
    </row>
    <row r="249" ht="26.85" customHeight="1" spans="1:18" x14ac:dyDescent="0.25">
      <c r="A249" t="s">
        <v>1458</v>
      </c>
      <c r="B249" t="s">
        <v>1459</v>
      </c>
      <c r="C249" t="s">
        <v>668</v>
      </c>
      <c r="D249" t="s">
        <v>669</v>
      </c>
      <c r="E249" t="s">
        <v>670</v>
      </c>
      <c r="F249" t="s">
        <v>669</v>
      </c>
      <c r="G249">
        <v>2</v>
      </c>
      <c r="H249">
        <v>7.69</v>
      </c>
      <c r="I249">
        <v>0</v>
      </c>
      <c r="J249">
        <v>1</v>
      </c>
      <c r="K249">
        <v>1</v>
      </c>
      <c r="L249">
        <v>0</v>
      </c>
      <c r="M249">
        <v>47.81</v>
      </c>
      <c r="N249">
        <v>47.81</v>
      </c>
      <c r="O249" t="s">
        <v>671</v>
      </c>
      <c r="P249" t="s">
        <v>1460</v>
      </c>
      <c r="Q249" t="s">
        <v>1460</v>
      </c>
      <c r="R249" t="s">
        <v>1460</v>
      </c>
    </row>
    <row r="250" ht="26.85" customHeight="1" spans="1:18" x14ac:dyDescent="0.25">
      <c r="A250" t="s">
        <v>1461</v>
      </c>
      <c r="B250" t="s">
        <v>1462</v>
      </c>
      <c r="C250" t="s">
        <v>668</v>
      </c>
      <c r="D250" t="s">
        <v>670</v>
      </c>
      <c r="E250" t="s">
        <v>669</v>
      </c>
      <c r="F250" t="s">
        <v>669</v>
      </c>
      <c r="G250">
        <v>2</v>
      </c>
      <c r="H250">
        <v>7.69</v>
      </c>
      <c r="I250">
        <v>1</v>
      </c>
      <c r="J250">
        <v>0</v>
      </c>
      <c r="K250">
        <v>1</v>
      </c>
      <c r="L250">
        <v>32.8</v>
      </c>
      <c r="M250">
        <v>0</v>
      </c>
      <c r="N250">
        <v>32.8</v>
      </c>
      <c r="O250" t="s">
        <v>671</v>
      </c>
      <c r="P250" t="s">
        <v>1229</v>
      </c>
      <c r="Q250" t="s">
        <v>1229</v>
      </c>
      <c r="R250" t="s">
        <v>1229</v>
      </c>
    </row>
    <row r="251" ht="26.85" customHeight="1" spans="1:18" x14ac:dyDescent="0.25">
      <c r="A251" t="s">
        <v>1463</v>
      </c>
      <c r="B251" t="s">
        <v>1464</v>
      </c>
      <c r="C251" t="s">
        <v>668</v>
      </c>
      <c r="D251" t="s">
        <v>670</v>
      </c>
      <c r="E251" t="s">
        <v>669</v>
      </c>
      <c r="F251" t="s">
        <v>669</v>
      </c>
      <c r="G251">
        <v>2</v>
      </c>
      <c r="H251">
        <v>7.69</v>
      </c>
      <c r="I251">
        <v>2</v>
      </c>
      <c r="J251">
        <v>0</v>
      </c>
      <c r="K251">
        <v>2</v>
      </c>
      <c r="L251">
        <v>67.2</v>
      </c>
      <c r="M251">
        <v>0</v>
      </c>
      <c r="N251">
        <v>67.2</v>
      </c>
      <c r="O251" t="s">
        <v>671</v>
      </c>
      <c r="P251" t="s">
        <v>1465</v>
      </c>
      <c r="Q251" t="s">
        <v>1465</v>
      </c>
      <c r="R251" t="s">
        <v>1465</v>
      </c>
    </row>
    <row r="252" ht="26.85" customHeight="1" spans="1:18" x14ac:dyDescent="0.25">
      <c r="A252" t="s">
        <v>1466</v>
      </c>
      <c r="B252" t="s">
        <v>1467</v>
      </c>
      <c r="C252" t="s">
        <v>668</v>
      </c>
      <c r="D252" t="s">
        <v>669</v>
      </c>
      <c r="E252" t="s">
        <v>670</v>
      </c>
      <c r="F252" t="s">
        <v>669</v>
      </c>
      <c r="G252">
        <v>2</v>
      </c>
      <c r="H252">
        <v>7.69</v>
      </c>
      <c r="I252">
        <v>0</v>
      </c>
      <c r="J252">
        <v>1</v>
      </c>
      <c r="K252">
        <v>1</v>
      </c>
      <c r="L252">
        <v>0</v>
      </c>
      <c r="M252">
        <v>47.65</v>
      </c>
      <c r="N252">
        <v>47.65</v>
      </c>
      <c r="O252" t="s">
        <v>671</v>
      </c>
      <c r="P252" t="s">
        <v>1468</v>
      </c>
      <c r="Q252" t="s">
        <v>1468</v>
      </c>
      <c r="R252" t="s">
        <v>1468</v>
      </c>
    </row>
    <row r="253" ht="26.85" customHeight="1" spans="1:18" x14ac:dyDescent="0.25">
      <c r="A253" t="s">
        <v>1469</v>
      </c>
      <c r="B253" t="s">
        <v>1470</v>
      </c>
      <c r="C253" t="s">
        <v>668</v>
      </c>
      <c r="D253" t="s">
        <v>670</v>
      </c>
      <c r="E253" t="s">
        <v>669</v>
      </c>
      <c r="F253" t="s">
        <v>669</v>
      </c>
      <c r="G253">
        <v>2</v>
      </c>
      <c r="H253">
        <v>7.69</v>
      </c>
      <c r="I253">
        <v>3.5</v>
      </c>
      <c r="J253">
        <v>0</v>
      </c>
      <c r="K253">
        <v>3.5</v>
      </c>
      <c r="L253">
        <v>36.33</v>
      </c>
      <c r="M253">
        <v>0</v>
      </c>
      <c r="N253">
        <v>36.33</v>
      </c>
      <c r="O253" t="s">
        <v>671</v>
      </c>
      <c r="P253" t="s">
        <v>1471</v>
      </c>
      <c r="Q253" t="s">
        <v>1471</v>
      </c>
      <c r="R253" t="s">
        <v>1471</v>
      </c>
    </row>
    <row r="254" ht="26.85" customHeight="1" spans="1:18" x14ac:dyDescent="0.25">
      <c r="A254" t="s">
        <v>1472</v>
      </c>
      <c r="B254" t="s">
        <v>1473</v>
      </c>
      <c r="C254" t="s">
        <v>668</v>
      </c>
      <c r="D254" t="s">
        <v>669</v>
      </c>
      <c r="E254" t="s">
        <v>670</v>
      </c>
      <c r="F254" t="s">
        <v>669</v>
      </c>
      <c r="G254">
        <v>2</v>
      </c>
      <c r="H254">
        <v>7.69</v>
      </c>
      <c r="I254">
        <v>0</v>
      </c>
      <c r="J254">
        <v>2</v>
      </c>
      <c r="K254">
        <v>2</v>
      </c>
      <c r="L254">
        <v>0</v>
      </c>
      <c r="M254">
        <v>41.34</v>
      </c>
      <c r="N254">
        <v>41.34</v>
      </c>
      <c r="O254" t="s">
        <v>681</v>
      </c>
      <c r="P254" t="s">
        <v>1474</v>
      </c>
      <c r="Q254" t="s">
        <v>1475</v>
      </c>
      <c r="R254" t="s">
        <v>1476</v>
      </c>
    </row>
    <row r="255" ht="26.85" customHeight="1" spans="1:18" x14ac:dyDescent="0.25">
      <c r="A255" t="s">
        <v>1477</v>
      </c>
      <c r="B255" t="s">
        <v>1478</v>
      </c>
      <c r="C255" t="s">
        <v>668</v>
      </c>
      <c r="D255" t="s">
        <v>669</v>
      </c>
      <c r="E255" t="s">
        <v>670</v>
      </c>
      <c r="F255" t="s">
        <v>669</v>
      </c>
      <c r="G255">
        <v>2</v>
      </c>
      <c r="H255">
        <v>7.69</v>
      </c>
      <c r="I255">
        <v>0</v>
      </c>
      <c r="J255">
        <v>1</v>
      </c>
      <c r="K255">
        <v>1</v>
      </c>
      <c r="L255">
        <v>0</v>
      </c>
      <c r="M255">
        <v>4.54</v>
      </c>
      <c r="N255">
        <v>4.54</v>
      </c>
      <c r="O255" t="s">
        <v>681</v>
      </c>
      <c r="P255" t="s">
        <v>1479</v>
      </c>
      <c r="Q255" t="s">
        <v>1480</v>
      </c>
      <c r="R255" t="s">
        <v>1481</v>
      </c>
    </row>
    <row r="256" ht="26.85" customHeight="1" spans="1:18" x14ac:dyDescent="0.25">
      <c r="A256" t="s">
        <v>1482</v>
      </c>
      <c r="B256" t="s">
        <v>1483</v>
      </c>
      <c r="C256" t="s">
        <v>668</v>
      </c>
      <c r="D256" t="s">
        <v>669</v>
      </c>
      <c r="E256" t="s">
        <v>670</v>
      </c>
      <c r="F256" t="s">
        <v>670</v>
      </c>
      <c r="G256">
        <v>2</v>
      </c>
      <c r="H256">
        <v>7.69</v>
      </c>
      <c r="I256">
        <v>0</v>
      </c>
      <c r="J256">
        <v>0.5</v>
      </c>
      <c r="K256">
        <v>0.5</v>
      </c>
      <c r="L256">
        <v>0</v>
      </c>
      <c r="M256">
        <v>30.18</v>
      </c>
      <c r="N256">
        <v>30.18</v>
      </c>
      <c r="O256" t="s">
        <v>671</v>
      </c>
      <c r="P256" t="s">
        <v>1353</v>
      </c>
      <c r="Q256" t="s">
        <v>1353</v>
      </c>
      <c r="R256" t="s">
        <v>1353</v>
      </c>
    </row>
    <row r="257" ht="26.85" customHeight="1" spans="1:18" x14ac:dyDescent="0.25">
      <c r="A257" t="s">
        <v>1484</v>
      </c>
      <c r="B257" t="s">
        <v>1485</v>
      </c>
      <c r="C257" t="s">
        <v>668</v>
      </c>
      <c r="D257" t="s">
        <v>670</v>
      </c>
      <c r="E257" t="s">
        <v>669</v>
      </c>
      <c r="F257" t="s">
        <v>669</v>
      </c>
      <c r="G257">
        <v>2</v>
      </c>
      <c r="H257">
        <v>7.69</v>
      </c>
      <c r="I257">
        <v>3.5</v>
      </c>
      <c r="J257">
        <v>0</v>
      </c>
      <c r="K257">
        <v>3.5</v>
      </c>
      <c r="L257">
        <v>286.86</v>
      </c>
      <c r="M257">
        <v>0</v>
      </c>
      <c r="N257">
        <v>286.86</v>
      </c>
      <c r="O257" t="s">
        <v>671</v>
      </c>
      <c r="P257" t="s">
        <v>1486</v>
      </c>
      <c r="Q257" t="s">
        <v>1486</v>
      </c>
      <c r="R257" t="s">
        <v>1486</v>
      </c>
    </row>
    <row r="258" ht="26.85" customHeight="1" spans="1:18" x14ac:dyDescent="0.25">
      <c r="A258" t="s">
        <v>1487</v>
      </c>
      <c r="B258" t="s">
        <v>1488</v>
      </c>
      <c r="C258" t="s">
        <v>668</v>
      </c>
      <c r="D258" t="s">
        <v>670</v>
      </c>
      <c r="E258" t="s">
        <v>669</v>
      </c>
      <c r="F258" t="s">
        <v>669</v>
      </c>
      <c r="G258">
        <v>2</v>
      </c>
      <c r="H258">
        <v>7.69</v>
      </c>
      <c r="I258">
        <v>1.5</v>
      </c>
      <c r="J258">
        <v>0</v>
      </c>
      <c r="K258">
        <v>1.5</v>
      </c>
      <c r="L258">
        <v>469.68</v>
      </c>
      <c r="M258">
        <v>0</v>
      </c>
      <c r="N258">
        <v>469.68</v>
      </c>
      <c r="O258" t="s">
        <v>671</v>
      </c>
      <c r="P258" t="s">
        <v>767</v>
      </c>
      <c r="Q258" t="s">
        <v>767</v>
      </c>
      <c r="R258" t="s">
        <v>767</v>
      </c>
    </row>
    <row r="259" ht="26.85" customHeight="1" spans="1:18" x14ac:dyDescent="0.25">
      <c r="A259" t="s">
        <v>1489</v>
      </c>
      <c r="B259" t="s">
        <v>1490</v>
      </c>
      <c r="C259" t="s">
        <v>668</v>
      </c>
      <c r="D259" t="s">
        <v>669</v>
      </c>
      <c r="E259" t="s">
        <v>670</v>
      </c>
      <c r="F259" t="s">
        <v>669</v>
      </c>
      <c r="G259">
        <v>2</v>
      </c>
      <c r="H259">
        <v>7.69</v>
      </c>
      <c r="I259">
        <v>0</v>
      </c>
      <c r="J259">
        <v>2</v>
      </c>
      <c r="K259">
        <v>2</v>
      </c>
      <c r="L259">
        <v>0</v>
      </c>
      <c r="M259">
        <v>23.88</v>
      </c>
      <c r="N259">
        <v>23.88</v>
      </c>
      <c r="O259" t="s">
        <v>671</v>
      </c>
      <c r="P259" t="s">
        <v>1491</v>
      </c>
      <c r="Q259" t="s">
        <v>1491</v>
      </c>
      <c r="R259" t="s">
        <v>1491</v>
      </c>
    </row>
    <row r="260" ht="26.85" customHeight="1" spans="1:18" x14ac:dyDescent="0.25">
      <c r="A260" t="s">
        <v>1492</v>
      </c>
      <c r="B260" t="s">
        <v>1493</v>
      </c>
      <c r="C260" t="s">
        <v>668</v>
      </c>
      <c r="D260" t="s">
        <v>669</v>
      </c>
      <c r="E260" t="s">
        <v>670</v>
      </c>
      <c r="F260" t="s">
        <v>669</v>
      </c>
      <c r="G260">
        <v>2</v>
      </c>
      <c r="H260">
        <v>7.69</v>
      </c>
      <c r="I260">
        <v>0</v>
      </c>
      <c r="J260">
        <v>2</v>
      </c>
      <c r="K260">
        <v>2</v>
      </c>
      <c r="L260">
        <v>0</v>
      </c>
      <c r="M260">
        <v>5.32</v>
      </c>
      <c r="N260">
        <v>5.32</v>
      </c>
      <c r="O260" t="s">
        <v>671</v>
      </c>
      <c r="P260" t="s">
        <v>1494</v>
      </c>
      <c r="Q260" t="s">
        <v>1494</v>
      </c>
      <c r="R260" t="s">
        <v>1494</v>
      </c>
    </row>
    <row r="261" ht="26.85" customHeight="1" spans="1:18" x14ac:dyDescent="0.25">
      <c r="A261" t="s">
        <v>1495</v>
      </c>
      <c r="B261" t="s">
        <v>1496</v>
      </c>
      <c r="C261" t="s">
        <v>668</v>
      </c>
      <c r="D261" t="s">
        <v>670</v>
      </c>
      <c r="E261" t="s">
        <v>669</v>
      </c>
      <c r="F261" t="s">
        <v>669</v>
      </c>
      <c r="G261">
        <v>2</v>
      </c>
      <c r="H261">
        <v>7.69</v>
      </c>
      <c r="I261">
        <v>2</v>
      </c>
      <c r="J261">
        <v>0</v>
      </c>
      <c r="K261">
        <v>2</v>
      </c>
      <c r="L261">
        <v>280</v>
      </c>
      <c r="M261">
        <v>0</v>
      </c>
      <c r="N261">
        <v>280</v>
      </c>
      <c r="O261" t="s">
        <v>671</v>
      </c>
      <c r="P261" t="s">
        <v>1045</v>
      </c>
      <c r="Q261" t="s">
        <v>1045</v>
      </c>
      <c r="R261" t="s">
        <v>1045</v>
      </c>
    </row>
    <row r="262" ht="26.85" customHeight="1" spans="1:18" x14ac:dyDescent="0.25">
      <c r="A262" t="s">
        <v>1497</v>
      </c>
      <c r="B262" t="s">
        <v>1498</v>
      </c>
      <c r="C262" t="s">
        <v>668</v>
      </c>
      <c r="D262" t="s">
        <v>669</v>
      </c>
      <c r="E262" t="s">
        <v>670</v>
      </c>
      <c r="F262" t="s">
        <v>669</v>
      </c>
      <c r="G262">
        <v>2</v>
      </c>
      <c r="H262">
        <v>7.69</v>
      </c>
      <c r="I262">
        <v>0</v>
      </c>
      <c r="J262">
        <v>2</v>
      </c>
      <c r="K262">
        <v>2</v>
      </c>
      <c r="L262">
        <v>0</v>
      </c>
      <c r="M262">
        <v>4.26</v>
      </c>
      <c r="N262">
        <v>4.26</v>
      </c>
      <c r="O262" t="s">
        <v>671</v>
      </c>
      <c r="P262" t="s">
        <v>1499</v>
      </c>
      <c r="Q262" t="s">
        <v>1499</v>
      </c>
      <c r="R262" t="s">
        <v>1499</v>
      </c>
    </row>
    <row r="263" ht="26.85" customHeight="1" spans="1:18" x14ac:dyDescent="0.25">
      <c r="A263" t="s">
        <v>1500</v>
      </c>
      <c r="B263" t="s">
        <v>1501</v>
      </c>
      <c r="C263" t="s">
        <v>668</v>
      </c>
      <c r="D263" t="s">
        <v>669</v>
      </c>
      <c r="E263" t="s">
        <v>670</v>
      </c>
      <c r="F263" t="s">
        <v>669</v>
      </c>
      <c r="G263">
        <v>2</v>
      </c>
      <c r="H263">
        <v>7.69</v>
      </c>
      <c r="I263">
        <v>0</v>
      </c>
      <c r="J263">
        <v>2</v>
      </c>
      <c r="K263">
        <v>2</v>
      </c>
      <c r="L263">
        <v>0</v>
      </c>
      <c r="M263">
        <v>2.2</v>
      </c>
      <c r="N263">
        <v>2.2</v>
      </c>
      <c r="O263" t="s">
        <v>671</v>
      </c>
      <c r="P263" t="s">
        <v>1502</v>
      </c>
      <c r="Q263" t="s">
        <v>1502</v>
      </c>
      <c r="R263" t="s">
        <v>1502</v>
      </c>
    </row>
    <row r="264" ht="26.85" customHeight="1" spans="1:18" x14ac:dyDescent="0.25">
      <c r="A264" t="s">
        <v>1503</v>
      </c>
      <c r="B264" t="s">
        <v>1504</v>
      </c>
      <c r="C264" t="s">
        <v>668</v>
      </c>
      <c r="D264" t="s">
        <v>669</v>
      </c>
      <c r="E264" t="s">
        <v>670</v>
      </c>
      <c r="F264" t="s">
        <v>669</v>
      </c>
      <c r="G264">
        <v>2</v>
      </c>
      <c r="H264">
        <v>7.69</v>
      </c>
      <c r="I264">
        <v>0</v>
      </c>
      <c r="J264">
        <v>4</v>
      </c>
      <c r="K264">
        <v>4</v>
      </c>
      <c r="L264">
        <v>0</v>
      </c>
      <c r="M264">
        <v>7.02</v>
      </c>
      <c r="N264">
        <v>7.02</v>
      </c>
      <c r="O264" t="s">
        <v>681</v>
      </c>
      <c r="P264" t="s">
        <v>1505</v>
      </c>
      <c r="Q264" t="s">
        <v>1506</v>
      </c>
      <c r="R264" t="s">
        <v>1507</v>
      </c>
    </row>
    <row r="265" ht="26.85" customHeight="1" spans="1:18" x14ac:dyDescent="0.25">
      <c r="A265" t="s">
        <v>1508</v>
      </c>
      <c r="B265" t="s">
        <v>1509</v>
      </c>
      <c r="C265" t="s">
        <v>668</v>
      </c>
      <c r="D265" t="s">
        <v>669</v>
      </c>
      <c r="E265" t="s">
        <v>670</v>
      </c>
      <c r="F265" t="s">
        <v>669</v>
      </c>
      <c r="G265">
        <v>2</v>
      </c>
      <c r="H265">
        <v>7.69</v>
      </c>
      <c r="I265">
        <v>0</v>
      </c>
      <c r="J265">
        <v>1.5</v>
      </c>
      <c r="K265">
        <v>1.5</v>
      </c>
      <c r="L265">
        <v>0</v>
      </c>
      <c r="M265">
        <v>1729.7</v>
      </c>
      <c r="N265">
        <v>1729.7</v>
      </c>
      <c r="O265" t="s">
        <v>671</v>
      </c>
      <c r="P265" t="s">
        <v>1510</v>
      </c>
      <c r="Q265" t="s">
        <v>1510</v>
      </c>
      <c r="R265" t="s">
        <v>1510</v>
      </c>
    </row>
    <row r="266" ht="39.55" customHeight="1" spans="1:18" x14ac:dyDescent="0.25">
      <c r="A266" t="s">
        <v>350</v>
      </c>
      <c r="B266" t="s">
        <v>1511</v>
      </c>
      <c r="C266" t="s">
        <v>1079</v>
      </c>
      <c r="D266" t="s">
        <v>670</v>
      </c>
      <c r="E266" t="s">
        <v>669</v>
      </c>
      <c r="F266" t="s">
        <v>669</v>
      </c>
      <c r="G266">
        <v>2</v>
      </c>
      <c r="H266">
        <v>7.69</v>
      </c>
      <c r="I266">
        <v>1</v>
      </c>
      <c r="J266">
        <v>0</v>
      </c>
      <c r="K266">
        <v>1</v>
      </c>
      <c r="L266">
        <v>36136</v>
      </c>
      <c r="M266">
        <v>0</v>
      </c>
      <c r="N266">
        <v>36136</v>
      </c>
      <c r="O266" t="s">
        <v>671</v>
      </c>
      <c r="P266" t="s">
        <v>1512</v>
      </c>
      <c r="Q266" t="s">
        <v>1512</v>
      </c>
      <c r="R266" t="s">
        <v>1512</v>
      </c>
    </row>
    <row r="267" ht="39.55" customHeight="1" spans="1:18" x14ac:dyDescent="0.25">
      <c r="A267" t="s">
        <v>370</v>
      </c>
      <c r="B267" t="s">
        <v>371</v>
      </c>
      <c r="C267" t="s">
        <v>1079</v>
      </c>
      <c r="D267" t="s">
        <v>670</v>
      </c>
      <c r="E267" t="s">
        <v>669</v>
      </c>
      <c r="F267" t="s">
        <v>669</v>
      </c>
      <c r="G267">
        <v>2</v>
      </c>
      <c r="H267">
        <v>7.69</v>
      </c>
      <c r="I267">
        <v>1</v>
      </c>
      <c r="J267">
        <v>0</v>
      </c>
      <c r="K267">
        <v>1</v>
      </c>
      <c r="L267">
        <v>36136</v>
      </c>
      <c r="M267">
        <v>0</v>
      </c>
      <c r="N267">
        <v>36136</v>
      </c>
      <c r="O267" t="s">
        <v>671</v>
      </c>
      <c r="P267" t="s">
        <v>1512</v>
      </c>
      <c r="Q267" t="s">
        <v>1512</v>
      </c>
      <c r="R267" t="s">
        <v>1512</v>
      </c>
    </row>
    <row r="268" ht="39.55" customHeight="1" spans="1:18" x14ac:dyDescent="0.25">
      <c r="A268" t="s">
        <v>376</v>
      </c>
      <c r="B268" t="s">
        <v>377</v>
      </c>
      <c r="C268" t="s">
        <v>1079</v>
      </c>
      <c r="D268" t="s">
        <v>670</v>
      </c>
      <c r="E268" t="s">
        <v>669</v>
      </c>
      <c r="F268" t="s">
        <v>669</v>
      </c>
      <c r="G268">
        <v>2</v>
      </c>
      <c r="H268">
        <v>7.69</v>
      </c>
      <c r="I268">
        <v>1</v>
      </c>
      <c r="J268">
        <v>0</v>
      </c>
      <c r="K268">
        <v>1</v>
      </c>
      <c r="L268">
        <v>36136</v>
      </c>
      <c r="M268">
        <v>0</v>
      </c>
      <c r="N268">
        <v>36136</v>
      </c>
      <c r="O268" t="s">
        <v>671</v>
      </c>
      <c r="P268" t="s">
        <v>1512</v>
      </c>
      <c r="Q268" t="s">
        <v>1512</v>
      </c>
      <c r="R268" t="s">
        <v>1512</v>
      </c>
    </row>
    <row r="269" ht="64.9" customHeight="1" spans="1:18" x14ac:dyDescent="0.25">
      <c r="A269" t="s">
        <v>415</v>
      </c>
      <c r="B269" t="s">
        <v>416</v>
      </c>
      <c r="C269" t="s">
        <v>1079</v>
      </c>
      <c r="D269" t="s">
        <v>670</v>
      </c>
      <c r="E269" t="s">
        <v>669</v>
      </c>
      <c r="F269" t="s">
        <v>669</v>
      </c>
      <c r="G269" t="s">
        <v>681</v>
      </c>
      <c r="H269" t="s">
        <v>1418</v>
      </c>
      <c r="I269" t="s">
        <v>671</v>
      </c>
      <c r="J269" t="s">
        <v>898</v>
      </c>
      <c r="K269" t="s">
        <v>671</v>
      </c>
      <c r="L269" t="s">
        <v>1369</v>
      </c>
      <c r="M269" t="s">
        <v>898</v>
      </c>
      <c r="N269" t="s">
        <v>1369</v>
      </c>
      <c r="O269" t="s">
        <v>671</v>
      </c>
      <c r="P269" t="s">
        <v>1369</v>
      </c>
      <c r="Q269" t="s">
        <v>1369</v>
      </c>
      <c r="R269" t="s">
        <v>1369</v>
      </c>
    </row>
    <row r="270" ht="26.85" customHeight="1" spans="1:18" x14ac:dyDescent="0.25">
      <c r="A270" t="s">
        <v>403</v>
      </c>
      <c r="B270" t="s">
        <v>404</v>
      </c>
      <c r="C270" t="s">
        <v>1079</v>
      </c>
      <c r="D270" t="s">
        <v>670</v>
      </c>
      <c r="E270" t="s">
        <v>669</v>
      </c>
      <c r="F270" t="s">
        <v>669</v>
      </c>
      <c r="G270">
        <v>2</v>
      </c>
      <c r="H270">
        <v>7.69</v>
      </c>
      <c r="I270">
        <v>1</v>
      </c>
      <c r="J270">
        <v>0</v>
      </c>
      <c r="K270">
        <v>1</v>
      </c>
      <c r="L270">
        <v>36130</v>
      </c>
      <c r="M270">
        <v>0</v>
      </c>
      <c r="N270">
        <v>36130</v>
      </c>
      <c r="O270" t="s">
        <v>671</v>
      </c>
      <c r="P270" t="s">
        <v>1369</v>
      </c>
      <c r="Q270" t="s">
        <v>1369</v>
      </c>
      <c r="R270" t="s">
        <v>1369</v>
      </c>
    </row>
    <row r="271" ht="52.2" customHeight="1" spans="1:18" x14ac:dyDescent="0.25">
      <c r="A271" t="s">
        <v>403</v>
      </c>
      <c r="B271" t="s">
        <v>1513</v>
      </c>
      <c r="C271" t="s">
        <v>1079</v>
      </c>
      <c r="D271" t="s">
        <v>670</v>
      </c>
      <c r="E271" t="s">
        <v>669</v>
      </c>
      <c r="F271" t="s">
        <v>669</v>
      </c>
      <c r="G271">
        <v>2</v>
      </c>
      <c r="H271">
        <v>7.69</v>
      </c>
      <c r="I271">
        <v>1</v>
      </c>
      <c r="J271">
        <v>0</v>
      </c>
      <c r="K271">
        <v>1</v>
      </c>
      <c r="L271">
        <v>36130</v>
      </c>
      <c r="M271">
        <v>0</v>
      </c>
      <c r="N271">
        <v>36130</v>
      </c>
      <c r="O271" t="s">
        <v>671</v>
      </c>
      <c r="P271" t="s">
        <v>1369</v>
      </c>
      <c r="Q271" t="s">
        <v>1369</v>
      </c>
      <c r="R271" t="s">
        <v>1369</v>
      </c>
    </row>
    <row r="272" ht="39.55" customHeight="1" spans="1:18" x14ac:dyDescent="0.25">
      <c r="A272" t="s">
        <v>450</v>
      </c>
      <c r="B272" t="s">
        <v>1514</v>
      </c>
      <c r="C272" t="s">
        <v>1079</v>
      </c>
      <c r="D272" t="s">
        <v>670</v>
      </c>
      <c r="E272" t="s">
        <v>669</v>
      </c>
      <c r="F272" t="s">
        <v>669</v>
      </c>
      <c r="G272">
        <v>2</v>
      </c>
      <c r="H272">
        <v>7.69</v>
      </c>
      <c r="I272">
        <v>1</v>
      </c>
      <c r="J272">
        <v>0</v>
      </c>
      <c r="K272">
        <v>1</v>
      </c>
      <c r="L272">
        <v>13340.05</v>
      </c>
      <c r="M272">
        <v>0</v>
      </c>
      <c r="N272">
        <v>13340.05</v>
      </c>
      <c r="O272" t="s">
        <v>671</v>
      </c>
      <c r="P272" t="s">
        <v>1367</v>
      </c>
      <c r="Q272" t="s">
        <v>1367</v>
      </c>
      <c r="R272" t="s">
        <v>1367</v>
      </c>
    </row>
    <row r="273" ht="26.85" customHeight="1" spans="1:18" x14ac:dyDescent="0.25">
      <c r="A273" t="s">
        <v>504</v>
      </c>
      <c r="B273" t="s">
        <v>505</v>
      </c>
      <c r="C273" t="s">
        <v>1079</v>
      </c>
      <c r="D273" t="s">
        <v>670</v>
      </c>
      <c r="E273" t="s">
        <v>669</v>
      </c>
      <c r="F273" t="s">
        <v>669</v>
      </c>
      <c r="G273">
        <v>2</v>
      </c>
      <c r="H273">
        <v>7.69</v>
      </c>
      <c r="I273">
        <v>1</v>
      </c>
      <c r="J273">
        <v>0</v>
      </c>
      <c r="K273">
        <v>1</v>
      </c>
      <c r="L273">
        <v>0.06</v>
      </c>
      <c r="M273">
        <v>0</v>
      </c>
      <c r="N273">
        <v>0.06</v>
      </c>
      <c r="O273" t="s">
        <v>681</v>
      </c>
      <c r="P273" t="s">
        <v>1213</v>
      </c>
      <c r="Q273" t="s">
        <v>1134</v>
      </c>
      <c r="R273" t="s">
        <v>1214</v>
      </c>
    </row>
    <row r="274" ht="26.85" customHeight="1" spans="2:15" x14ac:dyDescent="0.25">
      <c r="B274" t="s">
        <v>970</v>
      </c>
      <c r="C274" t="s">
        <v>692</v>
      </c>
      <c r="D274" t="s">
        <v>669</v>
      </c>
      <c r="E274" t="s">
        <v>669</v>
      </c>
      <c r="F274" t="s">
        <v>670</v>
      </c>
      <c r="G274" t="s">
        <v>681</v>
      </c>
      <c r="H274" t="s">
        <v>1418</v>
      </c>
      <c r="I274" t="s">
        <v>898</v>
      </c>
      <c r="J274" t="s">
        <v>898</v>
      </c>
      <c r="K274" t="s">
        <v>898</v>
      </c>
      <c r="L274" t="s">
        <v>898</v>
      </c>
      <c r="M274" t="s">
        <v>898</v>
      </c>
      <c r="N274" t="s">
        <v>898</v>
      </c>
      <c r="O274" t="s">
        <v>898</v>
      </c>
    </row>
    <row r="275" ht="15" customHeight="1" spans="2:15" x14ac:dyDescent="0.25">
      <c r="B275" t="s">
        <v>1062</v>
      </c>
      <c r="C275" t="s">
        <v>692</v>
      </c>
      <c r="D275" t="s">
        <v>669</v>
      </c>
      <c r="E275" t="s">
        <v>669</v>
      </c>
      <c r="F275" t="s">
        <v>670</v>
      </c>
      <c r="G275" t="s">
        <v>681</v>
      </c>
      <c r="H275" t="s">
        <v>1418</v>
      </c>
      <c r="I275" t="s">
        <v>898</v>
      </c>
      <c r="J275" t="s">
        <v>898</v>
      </c>
      <c r="K275" t="s">
        <v>898</v>
      </c>
      <c r="L275" t="s">
        <v>898</v>
      </c>
      <c r="M275" t="s">
        <v>898</v>
      </c>
      <c r="N275" t="s">
        <v>898</v>
      </c>
      <c r="O275" t="s">
        <v>898</v>
      </c>
    </row>
    <row r="276" ht="26.85" customHeight="1" spans="2:15" x14ac:dyDescent="0.25">
      <c r="B276" t="s">
        <v>1515</v>
      </c>
      <c r="C276" t="s">
        <v>692</v>
      </c>
      <c r="D276" t="s">
        <v>669</v>
      </c>
      <c r="E276" t="s">
        <v>669</v>
      </c>
      <c r="F276" t="s">
        <v>670</v>
      </c>
      <c r="G276" t="s">
        <v>681</v>
      </c>
      <c r="H276" t="s">
        <v>1418</v>
      </c>
      <c r="I276" t="s">
        <v>898</v>
      </c>
      <c r="J276" t="s">
        <v>898</v>
      </c>
      <c r="K276" t="s">
        <v>898</v>
      </c>
      <c r="L276" t="s">
        <v>898</v>
      </c>
      <c r="M276" t="s">
        <v>898</v>
      </c>
      <c r="N276" t="s">
        <v>898</v>
      </c>
      <c r="O276" t="s">
        <v>898</v>
      </c>
    </row>
    <row r="277" ht="15" customHeight="1" spans="2:15" x14ac:dyDescent="0.25">
      <c r="B277" t="s">
        <v>1409</v>
      </c>
      <c r="C277" t="s">
        <v>692</v>
      </c>
      <c r="D277" t="s">
        <v>669</v>
      </c>
      <c r="E277" t="s">
        <v>669</v>
      </c>
      <c r="F277" t="s">
        <v>670</v>
      </c>
      <c r="G277" t="s">
        <v>681</v>
      </c>
      <c r="H277" t="s">
        <v>1418</v>
      </c>
      <c r="I277" t="s">
        <v>898</v>
      </c>
      <c r="J277" t="s">
        <v>898</v>
      </c>
      <c r="K277" t="s">
        <v>898</v>
      </c>
      <c r="L277" t="s">
        <v>898</v>
      </c>
      <c r="M277" t="s">
        <v>898</v>
      </c>
      <c r="N277" t="s">
        <v>898</v>
      </c>
      <c r="O277" t="s">
        <v>898</v>
      </c>
    </row>
    <row r="278" ht="15" customHeight="1" spans="2:15" x14ac:dyDescent="0.25">
      <c r="B278" t="s">
        <v>1243</v>
      </c>
      <c r="C278" t="s">
        <v>692</v>
      </c>
      <c r="D278" t="s">
        <v>669</v>
      </c>
      <c r="E278" t="s">
        <v>669</v>
      </c>
      <c r="F278" t="s">
        <v>670</v>
      </c>
      <c r="G278" t="s">
        <v>681</v>
      </c>
      <c r="H278" t="s">
        <v>1418</v>
      </c>
      <c r="I278" t="s">
        <v>898</v>
      </c>
      <c r="J278" t="s">
        <v>898</v>
      </c>
      <c r="K278" t="s">
        <v>898</v>
      </c>
      <c r="L278" t="s">
        <v>898</v>
      </c>
      <c r="M278" t="s">
        <v>898</v>
      </c>
      <c r="N278" t="s">
        <v>898</v>
      </c>
      <c r="O278" t="s">
        <v>898</v>
      </c>
    </row>
    <row r="279" ht="15" customHeight="1" spans="2:15" x14ac:dyDescent="0.25">
      <c r="B279" t="s">
        <v>1516</v>
      </c>
      <c r="C279" t="s">
        <v>692</v>
      </c>
      <c r="D279" t="s">
        <v>669</v>
      </c>
      <c r="E279" t="s">
        <v>669</v>
      </c>
      <c r="F279" t="s">
        <v>670</v>
      </c>
      <c r="G279" t="s">
        <v>681</v>
      </c>
      <c r="H279" t="s">
        <v>1418</v>
      </c>
      <c r="I279" t="s">
        <v>898</v>
      </c>
      <c r="J279" t="s">
        <v>898</v>
      </c>
      <c r="K279" t="s">
        <v>898</v>
      </c>
      <c r="L279" t="s">
        <v>898</v>
      </c>
      <c r="M279" t="s">
        <v>898</v>
      </c>
      <c r="N279" t="s">
        <v>898</v>
      </c>
      <c r="O279" t="s">
        <v>898</v>
      </c>
    </row>
    <row r="280" ht="15" customHeight="1" spans="2:15" x14ac:dyDescent="0.25">
      <c r="B280" t="s">
        <v>1325</v>
      </c>
      <c r="C280" t="s">
        <v>692</v>
      </c>
      <c r="D280" t="s">
        <v>669</v>
      </c>
      <c r="E280" t="s">
        <v>669</v>
      </c>
      <c r="F280" t="s">
        <v>670</v>
      </c>
      <c r="G280" t="s">
        <v>681</v>
      </c>
      <c r="H280" t="s">
        <v>1418</v>
      </c>
      <c r="I280" t="s">
        <v>898</v>
      </c>
      <c r="J280" t="s">
        <v>898</v>
      </c>
      <c r="K280" t="s">
        <v>898</v>
      </c>
      <c r="L280" t="s">
        <v>898</v>
      </c>
      <c r="M280" t="s">
        <v>898</v>
      </c>
      <c r="N280" t="s">
        <v>898</v>
      </c>
      <c r="O280" t="s">
        <v>898</v>
      </c>
    </row>
    <row r="281" ht="26.85" customHeight="1" spans="2:15" x14ac:dyDescent="0.25">
      <c r="B281" t="s">
        <v>1282</v>
      </c>
      <c r="C281" t="s">
        <v>692</v>
      </c>
      <c r="D281" t="s">
        <v>669</v>
      </c>
      <c r="E281" t="s">
        <v>669</v>
      </c>
      <c r="F281" t="s">
        <v>670</v>
      </c>
      <c r="G281" t="s">
        <v>681</v>
      </c>
      <c r="H281" t="s">
        <v>1418</v>
      </c>
      <c r="I281" t="s">
        <v>898</v>
      </c>
      <c r="J281" t="s">
        <v>898</v>
      </c>
      <c r="K281" t="s">
        <v>898</v>
      </c>
      <c r="L281" t="s">
        <v>898</v>
      </c>
      <c r="M281" t="s">
        <v>898</v>
      </c>
      <c r="N281" t="s">
        <v>898</v>
      </c>
      <c r="O281" t="s">
        <v>898</v>
      </c>
    </row>
    <row r="282" ht="15" customHeight="1" spans="1:18" x14ac:dyDescent="0.25">
      <c r="A282" t="s">
        <v>1517</v>
      </c>
      <c r="B282" t="s">
        <v>1518</v>
      </c>
      <c r="C282" t="s">
        <v>692</v>
      </c>
      <c r="D282" t="s">
        <v>670</v>
      </c>
      <c r="E282" t="s">
        <v>669</v>
      </c>
      <c r="F282" t="s">
        <v>669</v>
      </c>
      <c r="G282">
        <v>2</v>
      </c>
      <c r="H282">
        <v>7.69</v>
      </c>
      <c r="I282">
        <v>1</v>
      </c>
      <c r="J282">
        <v>0</v>
      </c>
      <c r="K282">
        <v>1</v>
      </c>
      <c r="L282">
        <v>12985.31</v>
      </c>
      <c r="M282">
        <v>0</v>
      </c>
      <c r="N282">
        <v>12985.31</v>
      </c>
      <c r="O282" t="s">
        <v>671</v>
      </c>
      <c r="P282" t="s">
        <v>1519</v>
      </c>
      <c r="Q282" t="s">
        <v>1519</v>
      </c>
      <c r="R282" t="s">
        <v>1519</v>
      </c>
    </row>
    <row r="283" ht="15" customHeight="1" spans="1:18" x14ac:dyDescent="0.25">
      <c r="A283" t="s">
        <v>1520</v>
      </c>
      <c r="B283" t="s">
        <v>1521</v>
      </c>
      <c r="C283" t="s">
        <v>692</v>
      </c>
      <c r="D283" t="s">
        <v>670</v>
      </c>
      <c r="E283" t="s">
        <v>669</v>
      </c>
      <c r="F283" t="s">
        <v>669</v>
      </c>
      <c r="G283">
        <v>2</v>
      </c>
      <c r="H283">
        <v>7.69</v>
      </c>
      <c r="I283">
        <v>5</v>
      </c>
      <c r="J283">
        <v>0</v>
      </c>
      <c r="K283">
        <v>5</v>
      </c>
      <c r="L283">
        <v>93.75</v>
      </c>
      <c r="M283">
        <v>0</v>
      </c>
      <c r="N283">
        <v>93.75</v>
      </c>
      <c r="O283" t="s">
        <v>671</v>
      </c>
      <c r="P283" t="s">
        <v>1522</v>
      </c>
      <c r="Q283" t="s">
        <v>1522</v>
      </c>
      <c r="R283" t="s">
        <v>1522</v>
      </c>
    </row>
    <row r="284" ht="15" customHeight="1" spans="1:18" x14ac:dyDescent="0.25">
      <c r="A284" t="s">
        <v>1523</v>
      </c>
      <c r="B284" t="s">
        <v>1524</v>
      </c>
      <c r="C284" t="s">
        <v>692</v>
      </c>
      <c r="D284" t="s">
        <v>669</v>
      </c>
      <c r="E284" t="s">
        <v>670</v>
      </c>
      <c r="F284" t="s">
        <v>669</v>
      </c>
      <c r="G284">
        <v>2</v>
      </c>
      <c r="H284">
        <v>7.69</v>
      </c>
      <c r="I284">
        <v>0</v>
      </c>
      <c r="J284">
        <v>1</v>
      </c>
      <c r="K284">
        <v>1</v>
      </c>
      <c r="L284">
        <v>0</v>
      </c>
      <c r="M284">
        <v>270.94</v>
      </c>
      <c r="N284">
        <v>270.94</v>
      </c>
      <c r="O284" t="s">
        <v>681</v>
      </c>
      <c r="P284" t="s">
        <v>733</v>
      </c>
      <c r="Q284" t="s">
        <v>1525</v>
      </c>
      <c r="R284" t="s">
        <v>1526</v>
      </c>
    </row>
    <row r="285" ht="15" customHeight="1" spans="1:18" x14ac:dyDescent="0.25">
      <c r="A285" t="s">
        <v>1527</v>
      </c>
      <c r="B285" t="s">
        <v>1528</v>
      </c>
      <c r="C285" t="s">
        <v>692</v>
      </c>
      <c r="D285" t="s">
        <v>670</v>
      </c>
      <c r="E285" t="s">
        <v>669</v>
      </c>
      <c r="F285" t="s">
        <v>669</v>
      </c>
      <c r="G285" t="s">
        <v>681</v>
      </c>
      <c r="H285" t="s">
        <v>1418</v>
      </c>
      <c r="I285" t="s">
        <v>671</v>
      </c>
      <c r="J285" t="s">
        <v>898</v>
      </c>
      <c r="K285" t="s">
        <v>671</v>
      </c>
      <c r="L285" t="s">
        <v>1529</v>
      </c>
      <c r="M285" t="s">
        <v>898</v>
      </c>
      <c r="N285" t="s">
        <v>1529</v>
      </c>
      <c r="O285" t="s">
        <v>671</v>
      </c>
      <c r="P285" t="s">
        <v>1529</v>
      </c>
      <c r="Q285" t="s">
        <v>1529</v>
      </c>
      <c r="R285" t="s">
        <v>1529</v>
      </c>
    </row>
    <row r="286" ht="15" customHeight="1" spans="1:18" x14ac:dyDescent="0.25">
      <c r="A286" t="s">
        <v>1530</v>
      </c>
      <c r="B286" t="s">
        <v>1531</v>
      </c>
      <c r="C286" t="s">
        <v>692</v>
      </c>
      <c r="D286" t="s">
        <v>670</v>
      </c>
      <c r="E286" t="s">
        <v>669</v>
      </c>
      <c r="F286" t="s">
        <v>669</v>
      </c>
      <c r="G286">
        <v>2</v>
      </c>
      <c r="H286">
        <v>7.69</v>
      </c>
      <c r="I286">
        <v>2.5</v>
      </c>
      <c r="J286">
        <v>0</v>
      </c>
      <c r="K286">
        <v>2.5</v>
      </c>
      <c r="L286">
        <v>1427.32</v>
      </c>
      <c r="M286">
        <v>0</v>
      </c>
      <c r="N286">
        <v>1427.32</v>
      </c>
      <c r="O286" t="s">
        <v>681</v>
      </c>
      <c r="P286" t="s">
        <v>1532</v>
      </c>
      <c r="Q286" t="s">
        <v>1533</v>
      </c>
      <c r="R286" t="s">
        <v>1534</v>
      </c>
    </row>
    <row r="287" ht="26.85" customHeight="1" spans="1:18" x14ac:dyDescent="0.25">
      <c r="A287" t="s">
        <v>1535</v>
      </c>
      <c r="B287" t="s">
        <v>1536</v>
      </c>
      <c r="C287" t="s">
        <v>692</v>
      </c>
      <c r="D287" t="s">
        <v>669</v>
      </c>
      <c r="E287" t="s">
        <v>670</v>
      </c>
      <c r="F287" t="s">
        <v>669</v>
      </c>
      <c r="G287">
        <v>2</v>
      </c>
      <c r="H287">
        <v>7.69</v>
      </c>
      <c r="I287">
        <v>0</v>
      </c>
      <c r="J287">
        <v>7</v>
      </c>
      <c r="K287">
        <v>7</v>
      </c>
      <c r="L287">
        <v>0</v>
      </c>
      <c r="M287">
        <v>246.38</v>
      </c>
      <c r="N287">
        <v>246.38</v>
      </c>
      <c r="O287" t="s">
        <v>681</v>
      </c>
      <c r="P287" t="s">
        <v>1537</v>
      </c>
      <c r="Q287" t="s">
        <v>1538</v>
      </c>
      <c r="R287" t="s">
        <v>1539</v>
      </c>
    </row>
    <row r="288" ht="26.85" customHeight="1" spans="1:18" x14ac:dyDescent="0.25">
      <c r="A288" t="s">
        <v>1540</v>
      </c>
      <c r="B288" t="s">
        <v>1541</v>
      </c>
      <c r="C288" t="s">
        <v>692</v>
      </c>
      <c r="D288" t="s">
        <v>670</v>
      </c>
      <c r="E288" t="s">
        <v>669</v>
      </c>
      <c r="F288" t="s">
        <v>669</v>
      </c>
      <c r="G288">
        <v>2</v>
      </c>
      <c r="H288">
        <v>7.69</v>
      </c>
      <c r="I288">
        <v>6.5</v>
      </c>
      <c r="J288">
        <v>0</v>
      </c>
      <c r="K288">
        <v>6.5</v>
      </c>
      <c r="L288">
        <v>1045</v>
      </c>
      <c r="M288">
        <v>0</v>
      </c>
      <c r="N288">
        <v>1045</v>
      </c>
      <c r="O288" t="s">
        <v>681</v>
      </c>
      <c r="P288" t="s">
        <v>1542</v>
      </c>
      <c r="Q288" t="s">
        <v>1543</v>
      </c>
      <c r="R288" t="s">
        <v>1544</v>
      </c>
    </row>
    <row r="289" ht="15" customHeight="1" spans="1:18" x14ac:dyDescent="0.25">
      <c r="A289" t="s">
        <v>1545</v>
      </c>
      <c r="B289" t="s">
        <v>1546</v>
      </c>
      <c r="C289" t="s">
        <v>692</v>
      </c>
      <c r="D289" t="s">
        <v>669</v>
      </c>
      <c r="E289" t="s">
        <v>670</v>
      </c>
      <c r="F289" t="s">
        <v>669</v>
      </c>
      <c r="G289">
        <v>2</v>
      </c>
      <c r="H289">
        <v>7.69</v>
      </c>
      <c r="I289">
        <v>0</v>
      </c>
      <c r="J289">
        <v>1</v>
      </c>
      <c r="K289">
        <v>1</v>
      </c>
      <c r="L289">
        <v>0</v>
      </c>
      <c r="M289">
        <v>63</v>
      </c>
      <c r="N289">
        <v>63</v>
      </c>
      <c r="O289" t="s">
        <v>671</v>
      </c>
      <c r="P289" t="s">
        <v>821</v>
      </c>
      <c r="Q289" t="s">
        <v>821</v>
      </c>
      <c r="R289" t="s">
        <v>821</v>
      </c>
    </row>
    <row r="290" ht="15" customHeight="1" spans="1:18" x14ac:dyDescent="0.25">
      <c r="A290" t="s">
        <v>1547</v>
      </c>
      <c r="B290" t="s">
        <v>1548</v>
      </c>
      <c r="C290" t="s">
        <v>692</v>
      </c>
      <c r="D290" t="s">
        <v>670</v>
      </c>
      <c r="E290" t="s">
        <v>669</v>
      </c>
      <c r="F290" t="s">
        <v>669</v>
      </c>
      <c r="G290">
        <v>2</v>
      </c>
      <c r="H290">
        <v>7.69</v>
      </c>
      <c r="I290">
        <v>1</v>
      </c>
      <c r="J290">
        <v>0</v>
      </c>
      <c r="K290">
        <v>1</v>
      </c>
      <c r="L290">
        <v>164</v>
      </c>
      <c r="M290">
        <v>0</v>
      </c>
      <c r="N290">
        <v>164</v>
      </c>
      <c r="O290" t="s">
        <v>671</v>
      </c>
      <c r="P290" t="s">
        <v>1549</v>
      </c>
      <c r="Q290" t="s">
        <v>1549</v>
      </c>
      <c r="R290" t="s">
        <v>1549</v>
      </c>
    </row>
    <row r="291" ht="26.85" customHeight="1" spans="1:18" x14ac:dyDescent="0.25">
      <c r="A291" t="s">
        <v>1550</v>
      </c>
      <c r="B291" t="s">
        <v>1551</v>
      </c>
      <c r="C291" t="s">
        <v>692</v>
      </c>
      <c r="D291" t="s">
        <v>670</v>
      </c>
      <c r="E291" t="s">
        <v>669</v>
      </c>
      <c r="F291" t="s">
        <v>669</v>
      </c>
      <c r="G291">
        <v>2</v>
      </c>
      <c r="H291">
        <v>7.69</v>
      </c>
      <c r="I291">
        <v>1</v>
      </c>
      <c r="J291">
        <v>0</v>
      </c>
      <c r="K291">
        <v>1</v>
      </c>
      <c r="L291">
        <v>210</v>
      </c>
      <c r="M291">
        <v>0</v>
      </c>
      <c r="N291">
        <v>210</v>
      </c>
      <c r="O291" t="s">
        <v>671</v>
      </c>
      <c r="P291" t="s">
        <v>732</v>
      </c>
      <c r="Q291" t="s">
        <v>732</v>
      </c>
      <c r="R291" t="s">
        <v>732</v>
      </c>
    </row>
    <row r="292" ht="26.85" customHeight="1" spans="1:18" x14ac:dyDescent="0.25">
      <c r="A292" t="s">
        <v>1552</v>
      </c>
      <c r="B292" t="s">
        <v>1553</v>
      </c>
      <c r="C292" t="s">
        <v>692</v>
      </c>
      <c r="D292" t="s">
        <v>670</v>
      </c>
      <c r="E292" t="s">
        <v>670</v>
      </c>
      <c r="F292" t="s">
        <v>669</v>
      </c>
      <c r="G292">
        <v>2</v>
      </c>
      <c r="H292">
        <v>7.69</v>
      </c>
      <c r="I292">
        <v>0.5</v>
      </c>
      <c r="J292">
        <v>0.5</v>
      </c>
      <c r="K292">
        <v>1</v>
      </c>
      <c r="L292">
        <v>235</v>
      </c>
      <c r="M292">
        <v>235</v>
      </c>
      <c r="N292">
        <v>470</v>
      </c>
      <c r="O292" t="s">
        <v>671</v>
      </c>
      <c r="P292" t="s">
        <v>1554</v>
      </c>
      <c r="Q292" t="s">
        <v>1554</v>
      </c>
      <c r="R292" t="s">
        <v>1554</v>
      </c>
    </row>
    <row r="293" ht="15" customHeight="1" spans="1:18" x14ac:dyDescent="0.25">
      <c r="A293" t="s">
        <v>1555</v>
      </c>
      <c r="B293" t="s">
        <v>1556</v>
      </c>
      <c r="C293" t="s">
        <v>692</v>
      </c>
      <c r="D293" t="s">
        <v>669</v>
      </c>
      <c r="E293" t="s">
        <v>670</v>
      </c>
      <c r="F293" t="s">
        <v>670</v>
      </c>
      <c r="G293">
        <v>2</v>
      </c>
      <c r="H293">
        <v>7.69</v>
      </c>
      <c r="I293">
        <v>0</v>
      </c>
      <c r="J293">
        <v>2</v>
      </c>
      <c r="K293">
        <v>2</v>
      </c>
      <c r="L293">
        <v>0</v>
      </c>
      <c r="M293">
        <v>113.19</v>
      </c>
      <c r="N293">
        <v>113.19</v>
      </c>
      <c r="O293" t="s">
        <v>681</v>
      </c>
      <c r="P293" t="s">
        <v>1557</v>
      </c>
      <c r="Q293" t="s">
        <v>1558</v>
      </c>
      <c r="R293" t="s">
        <v>1559</v>
      </c>
    </row>
    <row r="294" ht="15" customHeight="1" spans="1:18" x14ac:dyDescent="0.25">
      <c r="A294" t="s">
        <v>1560</v>
      </c>
      <c r="B294" t="s">
        <v>1561</v>
      </c>
      <c r="C294" t="s">
        <v>692</v>
      </c>
      <c r="D294" t="s">
        <v>670</v>
      </c>
      <c r="E294" t="s">
        <v>669</v>
      </c>
      <c r="F294" t="s">
        <v>669</v>
      </c>
      <c r="G294">
        <v>2</v>
      </c>
      <c r="H294">
        <v>7.69</v>
      </c>
      <c r="I294">
        <v>1</v>
      </c>
      <c r="J294">
        <v>0</v>
      </c>
      <c r="K294">
        <v>1</v>
      </c>
      <c r="L294">
        <v>7734.18</v>
      </c>
      <c r="M294">
        <v>0</v>
      </c>
      <c r="N294">
        <v>7734.18</v>
      </c>
      <c r="O294" t="s">
        <v>681</v>
      </c>
      <c r="P294" t="s">
        <v>1562</v>
      </c>
      <c r="Q294" t="s">
        <v>1563</v>
      </c>
      <c r="R294" t="s">
        <v>1564</v>
      </c>
    </row>
    <row r="295" ht="15" customHeight="1" spans="1:18" x14ac:dyDescent="0.25">
      <c r="A295" t="s">
        <v>1565</v>
      </c>
      <c r="B295" t="s">
        <v>1566</v>
      </c>
      <c r="C295" t="s">
        <v>692</v>
      </c>
      <c r="D295" t="s">
        <v>669</v>
      </c>
      <c r="E295" t="s">
        <v>670</v>
      </c>
      <c r="F295" t="s">
        <v>669</v>
      </c>
      <c r="G295">
        <v>2</v>
      </c>
      <c r="H295">
        <v>7.69</v>
      </c>
      <c r="I295">
        <v>0</v>
      </c>
      <c r="J295">
        <v>1</v>
      </c>
      <c r="K295">
        <v>1</v>
      </c>
      <c r="L295">
        <v>0</v>
      </c>
      <c r="M295">
        <v>936.5</v>
      </c>
      <c r="N295">
        <v>936.5</v>
      </c>
      <c r="O295" t="s">
        <v>671</v>
      </c>
      <c r="P295" t="s">
        <v>1567</v>
      </c>
      <c r="Q295" t="s">
        <v>1567</v>
      </c>
      <c r="R295" t="s">
        <v>1567</v>
      </c>
    </row>
    <row r="296" ht="26.85" customHeight="1" spans="1:18" x14ac:dyDescent="0.25">
      <c r="A296" t="s">
        <v>1568</v>
      </c>
      <c r="B296" t="s">
        <v>1569</v>
      </c>
      <c r="C296" t="s">
        <v>692</v>
      </c>
      <c r="D296" t="s">
        <v>670</v>
      </c>
      <c r="E296" t="s">
        <v>669</v>
      </c>
      <c r="F296" t="s">
        <v>669</v>
      </c>
      <c r="G296">
        <v>2</v>
      </c>
      <c r="H296">
        <v>7.69</v>
      </c>
      <c r="I296">
        <v>9</v>
      </c>
      <c r="J296">
        <v>0</v>
      </c>
      <c r="K296">
        <v>9</v>
      </c>
      <c r="L296">
        <v>918</v>
      </c>
      <c r="M296">
        <v>0</v>
      </c>
      <c r="N296">
        <v>918</v>
      </c>
      <c r="O296" t="s">
        <v>671</v>
      </c>
      <c r="P296" t="s">
        <v>712</v>
      </c>
      <c r="Q296" t="s">
        <v>712</v>
      </c>
      <c r="R296" t="s">
        <v>712</v>
      </c>
    </row>
    <row r="297" ht="15" customHeight="1" spans="1:18" x14ac:dyDescent="0.25">
      <c r="A297" t="s">
        <v>1570</v>
      </c>
      <c r="B297" t="s">
        <v>1516</v>
      </c>
      <c r="C297" t="s">
        <v>692</v>
      </c>
      <c r="D297" t="s">
        <v>670</v>
      </c>
      <c r="E297" t="s">
        <v>670</v>
      </c>
      <c r="F297" t="s">
        <v>670</v>
      </c>
      <c r="G297">
        <v>2</v>
      </c>
      <c r="H297">
        <v>7.69</v>
      </c>
      <c r="I297">
        <v>1</v>
      </c>
      <c r="J297">
        <v>5</v>
      </c>
      <c r="K297">
        <v>6</v>
      </c>
      <c r="L297">
        <v>30.2</v>
      </c>
      <c r="M297">
        <v>151</v>
      </c>
      <c r="N297">
        <v>181.2</v>
      </c>
      <c r="O297" t="s">
        <v>671</v>
      </c>
      <c r="P297" t="s">
        <v>1571</v>
      </c>
      <c r="Q297" t="s">
        <v>1571</v>
      </c>
      <c r="R297" t="s">
        <v>1571</v>
      </c>
    </row>
    <row r="298" ht="26.85" customHeight="1" spans="1:18" x14ac:dyDescent="0.25">
      <c r="A298" t="s">
        <v>1572</v>
      </c>
      <c r="B298" t="s">
        <v>1515</v>
      </c>
      <c r="C298" t="s">
        <v>692</v>
      </c>
      <c r="D298" t="s">
        <v>669</v>
      </c>
      <c r="E298" t="s">
        <v>670</v>
      </c>
      <c r="F298" t="s">
        <v>670</v>
      </c>
      <c r="G298">
        <v>2</v>
      </c>
      <c r="H298">
        <v>7.69</v>
      </c>
      <c r="I298">
        <v>0</v>
      </c>
      <c r="J298">
        <v>6.5</v>
      </c>
      <c r="K298">
        <v>6.5</v>
      </c>
      <c r="L298">
        <v>0</v>
      </c>
      <c r="M298">
        <v>313.3</v>
      </c>
      <c r="N298">
        <v>313.3</v>
      </c>
      <c r="O298" t="s">
        <v>671</v>
      </c>
      <c r="P298" t="s">
        <v>1573</v>
      </c>
      <c r="Q298" t="s">
        <v>1573</v>
      </c>
      <c r="R298" t="s">
        <v>1573</v>
      </c>
    </row>
    <row r="299" ht="15" customHeight="1" spans="1:18" x14ac:dyDescent="0.25">
      <c r="A299" t="s">
        <v>1574</v>
      </c>
      <c r="B299" t="s">
        <v>1575</v>
      </c>
      <c r="C299" t="s">
        <v>692</v>
      </c>
      <c r="D299" t="s">
        <v>670</v>
      </c>
      <c r="E299" t="s">
        <v>669</v>
      </c>
      <c r="F299" t="s">
        <v>669</v>
      </c>
      <c r="G299">
        <v>2</v>
      </c>
      <c r="H299">
        <v>7.69</v>
      </c>
      <c r="I299">
        <v>1</v>
      </c>
      <c r="J299">
        <v>0</v>
      </c>
      <c r="K299">
        <v>1</v>
      </c>
      <c r="L299">
        <v>1066</v>
      </c>
      <c r="M299">
        <v>0</v>
      </c>
      <c r="N299">
        <v>1066</v>
      </c>
      <c r="O299" t="s">
        <v>671</v>
      </c>
      <c r="P299" t="s">
        <v>1576</v>
      </c>
      <c r="Q299" t="s">
        <v>1576</v>
      </c>
      <c r="R299" t="s">
        <v>1576</v>
      </c>
    </row>
    <row r="300" ht="26.85" customHeight="1" spans="1:18" x14ac:dyDescent="0.25">
      <c r="A300" t="s">
        <v>1260</v>
      </c>
      <c r="B300" t="s">
        <v>1577</v>
      </c>
      <c r="C300" t="s">
        <v>692</v>
      </c>
      <c r="D300" t="s">
        <v>669</v>
      </c>
      <c r="E300" t="s">
        <v>670</v>
      </c>
      <c r="F300" t="s">
        <v>669</v>
      </c>
      <c r="G300">
        <v>2</v>
      </c>
      <c r="H300">
        <v>7.69</v>
      </c>
      <c r="I300">
        <v>0</v>
      </c>
      <c r="J300">
        <v>1</v>
      </c>
      <c r="K300">
        <v>1</v>
      </c>
      <c r="L300">
        <v>0</v>
      </c>
      <c r="M300">
        <v>245</v>
      </c>
      <c r="N300">
        <v>245</v>
      </c>
      <c r="O300" t="s">
        <v>671</v>
      </c>
      <c r="P300" t="s">
        <v>1262</v>
      </c>
      <c r="Q300" t="s">
        <v>1262</v>
      </c>
      <c r="R300" t="s">
        <v>1262</v>
      </c>
    </row>
    <row r="301" ht="26.85" customHeight="1" spans="2:15" x14ac:dyDescent="0.25">
      <c r="B301" t="s">
        <v>1022</v>
      </c>
      <c r="C301" t="s">
        <v>668</v>
      </c>
      <c r="D301" t="s">
        <v>669</v>
      </c>
      <c r="E301" t="s">
        <v>669</v>
      </c>
      <c r="F301" t="s">
        <v>670</v>
      </c>
      <c r="G301" t="s">
        <v>671</v>
      </c>
      <c r="H301" t="s">
        <v>1578</v>
      </c>
      <c r="I301" t="s">
        <v>898</v>
      </c>
      <c r="J301" t="s">
        <v>898</v>
      </c>
      <c r="K301" t="s">
        <v>898</v>
      </c>
      <c r="L301" t="s">
        <v>898</v>
      </c>
      <c r="M301" t="s">
        <v>898</v>
      </c>
      <c r="N301" t="s">
        <v>898</v>
      </c>
      <c r="O301" t="s">
        <v>898</v>
      </c>
    </row>
    <row r="302" ht="26.85" customHeight="1" spans="2:15" x14ac:dyDescent="0.25">
      <c r="B302" t="s">
        <v>1147</v>
      </c>
      <c r="C302" t="s">
        <v>668</v>
      </c>
      <c r="D302" t="s">
        <v>669</v>
      </c>
      <c r="E302" t="s">
        <v>669</v>
      </c>
      <c r="F302" t="s">
        <v>670</v>
      </c>
      <c r="G302" t="s">
        <v>671</v>
      </c>
      <c r="H302" t="s">
        <v>1578</v>
      </c>
      <c r="I302" t="s">
        <v>898</v>
      </c>
      <c r="J302" t="s">
        <v>898</v>
      </c>
      <c r="K302" t="s">
        <v>898</v>
      </c>
      <c r="L302" t="s">
        <v>898</v>
      </c>
      <c r="M302" t="s">
        <v>898</v>
      </c>
      <c r="N302" t="s">
        <v>898</v>
      </c>
      <c r="O302" t="s">
        <v>898</v>
      </c>
    </row>
    <row r="303" ht="26.85" customHeight="1" spans="2:15" x14ac:dyDescent="0.25">
      <c r="B303" t="s">
        <v>825</v>
      </c>
      <c r="C303" t="s">
        <v>668</v>
      </c>
      <c r="D303" t="s">
        <v>669</v>
      </c>
      <c r="E303" t="s">
        <v>669</v>
      </c>
      <c r="F303" t="s">
        <v>670</v>
      </c>
      <c r="G303" t="s">
        <v>671</v>
      </c>
      <c r="H303" t="s">
        <v>1578</v>
      </c>
      <c r="I303" t="s">
        <v>898</v>
      </c>
      <c r="J303" t="s">
        <v>898</v>
      </c>
      <c r="K303" t="s">
        <v>898</v>
      </c>
      <c r="L303" t="s">
        <v>898</v>
      </c>
      <c r="M303" t="s">
        <v>898</v>
      </c>
      <c r="N303" t="s">
        <v>898</v>
      </c>
      <c r="O303" t="s">
        <v>898</v>
      </c>
    </row>
    <row r="304" ht="26.85" customHeight="1" spans="2:15" x14ac:dyDescent="0.25">
      <c r="B304" t="s">
        <v>1285</v>
      </c>
      <c r="C304" t="s">
        <v>668</v>
      </c>
      <c r="D304" t="s">
        <v>669</v>
      </c>
      <c r="E304" t="s">
        <v>669</v>
      </c>
      <c r="F304" t="s">
        <v>670</v>
      </c>
      <c r="G304" t="s">
        <v>671</v>
      </c>
      <c r="H304" t="s">
        <v>1578</v>
      </c>
      <c r="I304" t="s">
        <v>898</v>
      </c>
      <c r="J304" t="s">
        <v>898</v>
      </c>
      <c r="K304" t="s">
        <v>898</v>
      </c>
      <c r="L304" t="s">
        <v>898</v>
      </c>
      <c r="M304" t="s">
        <v>898</v>
      </c>
      <c r="N304" t="s">
        <v>898</v>
      </c>
      <c r="O304" t="s">
        <v>898</v>
      </c>
    </row>
    <row r="305" ht="26.85" customHeight="1" spans="2:15" x14ac:dyDescent="0.25">
      <c r="B305" t="s">
        <v>1113</v>
      </c>
      <c r="C305" t="s">
        <v>668</v>
      </c>
      <c r="D305" t="s">
        <v>669</v>
      </c>
      <c r="E305" t="s">
        <v>669</v>
      </c>
      <c r="F305" t="s">
        <v>670</v>
      </c>
      <c r="G305" t="s">
        <v>671</v>
      </c>
      <c r="H305" t="s">
        <v>1578</v>
      </c>
      <c r="I305" t="s">
        <v>898</v>
      </c>
      <c r="J305" t="s">
        <v>898</v>
      </c>
      <c r="K305" t="s">
        <v>898</v>
      </c>
      <c r="L305" t="s">
        <v>898</v>
      </c>
      <c r="M305" t="s">
        <v>898</v>
      </c>
      <c r="N305" t="s">
        <v>898</v>
      </c>
      <c r="O305" t="s">
        <v>898</v>
      </c>
    </row>
    <row r="306" ht="26.85" customHeight="1" spans="2:15" x14ac:dyDescent="0.25">
      <c r="B306" t="s">
        <v>1186</v>
      </c>
      <c r="C306" t="s">
        <v>668</v>
      </c>
      <c r="D306" t="s">
        <v>669</v>
      </c>
      <c r="E306" t="s">
        <v>669</v>
      </c>
      <c r="F306" t="s">
        <v>670</v>
      </c>
      <c r="G306" t="s">
        <v>671</v>
      </c>
      <c r="H306" t="s">
        <v>1578</v>
      </c>
      <c r="I306" t="s">
        <v>898</v>
      </c>
      <c r="J306" t="s">
        <v>898</v>
      </c>
      <c r="K306" t="s">
        <v>898</v>
      </c>
      <c r="L306" t="s">
        <v>898</v>
      </c>
      <c r="M306" t="s">
        <v>898</v>
      </c>
      <c r="N306" t="s">
        <v>898</v>
      </c>
      <c r="O306" t="s">
        <v>898</v>
      </c>
    </row>
    <row r="307" ht="26.85" customHeight="1" spans="2:15" x14ac:dyDescent="0.25">
      <c r="B307" t="s">
        <v>1579</v>
      </c>
      <c r="C307" t="s">
        <v>668</v>
      </c>
      <c r="D307" t="s">
        <v>669</v>
      </c>
      <c r="E307" t="s">
        <v>669</v>
      </c>
      <c r="F307" t="s">
        <v>670</v>
      </c>
      <c r="G307" t="s">
        <v>671</v>
      </c>
      <c r="H307" t="s">
        <v>1578</v>
      </c>
      <c r="I307" t="s">
        <v>898</v>
      </c>
      <c r="J307" t="s">
        <v>898</v>
      </c>
      <c r="K307" t="s">
        <v>898</v>
      </c>
      <c r="L307" t="s">
        <v>898</v>
      </c>
      <c r="M307" t="s">
        <v>898</v>
      </c>
      <c r="N307" t="s">
        <v>898</v>
      </c>
      <c r="O307" t="s">
        <v>898</v>
      </c>
    </row>
    <row r="308" ht="26.85" customHeight="1" spans="2:15" x14ac:dyDescent="0.25">
      <c r="B308" t="s">
        <v>1119</v>
      </c>
      <c r="C308" t="s">
        <v>668</v>
      </c>
      <c r="D308" t="s">
        <v>669</v>
      </c>
      <c r="E308" t="s">
        <v>669</v>
      </c>
      <c r="F308" t="s">
        <v>670</v>
      </c>
      <c r="G308" t="s">
        <v>671</v>
      </c>
      <c r="H308" t="s">
        <v>1578</v>
      </c>
      <c r="I308" t="s">
        <v>898</v>
      </c>
      <c r="J308" t="s">
        <v>898</v>
      </c>
      <c r="K308" t="s">
        <v>898</v>
      </c>
      <c r="L308" t="s">
        <v>898</v>
      </c>
      <c r="M308" t="s">
        <v>898</v>
      </c>
      <c r="N308" t="s">
        <v>898</v>
      </c>
      <c r="O308" t="s">
        <v>898</v>
      </c>
    </row>
    <row r="309" ht="26.85" customHeight="1" spans="2:15" x14ac:dyDescent="0.25">
      <c r="B309" t="s">
        <v>810</v>
      </c>
      <c r="C309" t="s">
        <v>668</v>
      </c>
      <c r="D309" t="s">
        <v>669</v>
      </c>
      <c r="E309" t="s">
        <v>669</v>
      </c>
      <c r="F309" t="s">
        <v>670</v>
      </c>
      <c r="G309" t="s">
        <v>671</v>
      </c>
      <c r="H309" t="s">
        <v>1578</v>
      </c>
      <c r="I309" t="s">
        <v>898</v>
      </c>
      <c r="J309" t="s">
        <v>898</v>
      </c>
      <c r="K309" t="s">
        <v>898</v>
      </c>
      <c r="L309" t="s">
        <v>898</v>
      </c>
      <c r="M309" t="s">
        <v>898</v>
      </c>
      <c r="N309" t="s">
        <v>898</v>
      </c>
      <c r="O309" t="s">
        <v>898</v>
      </c>
    </row>
    <row r="310" ht="26.85" customHeight="1" spans="2:15" x14ac:dyDescent="0.25">
      <c r="B310" t="s">
        <v>680</v>
      </c>
      <c r="C310" t="s">
        <v>668</v>
      </c>
      <c r="D310" t="s">
        <v>669</v>
      </c>
      <c r="E310" t="s">
        <v>669</v>
      </c>
      <c r="F310" t="s">
        <v>670</v>
      </c>
      <c r="G310" t="s">
        <v>671</v>
      </c>
      <c r="H310" t="s">
        <v>1578</v>
      </c>
      <c r="I310" t="s">
        <v>898</v>
      </c>
      <c r="J310" t="s">
        <v>898</v>
      </c>
      <c r="K310" t="s">
        <v>898</v>
      </c>
      <c r="L310" t="s">
        <v>898</v>
      </c>
      <c r="M310" t="s">
        <v>898</v>
      </c>
      <c r="N310" t="s">
        <v>898</v>
      </c>
      <c r="O310" t="s">
        <v>898</v>
      </c>
    </row>
    <row r="311" ht="26.85" customHeight="1" spans="2:15" x14ac:dyDescent="0.25">
      <c r="B311" t="s">
        <v>889</v>
      </c>
      <c r="C311" t="s">
        <v>668</v>
      </c>
      <c r="D311" t="s">
        <v>669</v>
      </c>
      <c r="E311" t="s">
        <v>669</v>
      </c>
      <c r="F311" t="s">
        <v>670</v>
      </c>
      <c r="G311" t="s">
        <v>671</v>
      </c>
      <c r="H311" t="s">
        <v>1578</v>
      </c>
      <c r="I311" t="s">
        <v>898</v>
      </c>
      <c r="J311" t="s">
        <v>898</v>
      </c>
      <c r="K311" t="s">
        <v>898</v>
      </c>
      <c r="L311" t="s">
        <v>898</v>
      </c>
      <c r="M311" t="s">
        <v>898</v>
      </c>
      <c r="N311" t="s">
        <v>898</v>
      </c>
      <c r="O311" t="s">
        <v>898</v>
      </c>
    </row>
    <row r="312" ht="26.85" customHeight="1" spans="2:15" x14ac:dyDescent="0.25">
      <c r="B312" t="s">
        <v>1299</v>
      </c>
      <c r="C312" t="s">
        <v>668</v>
      </c>
      <c r="D312" t="s">
        <v>669</v>
      </c>
      <c r="E312" t="s">
        <v>669</v>
      </c>
      <c r="F312" t="s">
        <v>670</v>
      </c>
      <c r="G312" t="s">
        <v>671</v>
      </c>
      <c r="H312" t="s">
        <v>1578</v>
      </c>
      <c r="I312" t="s">
        <v>898</v>
      </c>
      <c r="J312" t="s">
        <v>898</v>
      </c>
      <c r="K312" t="s">
        <v>898</v>
      </c>
      <c r="L312" t="s">
        <v>898</v>
      </c>
      <c r="M312" t="s">
        <v>898</v>
      </c>
      <c r="N312" t="s">
        <v>898</v>
      </c>
      <c r="O312" t="s">
        <v>898</v>
      </c>
    </row>
    <row r="313" ht="26.85" customHeight="1" spans="2:15" x14ac:dyDescent="0.25">
      <c r="B313" t="s">
        <v>1580</v>
      </c>
      <c r="C313" t="s">
        <v>668</v>
      </c>
      <c r="D313" t="s">
        <v>669</v>
      </c>
      <c r="E313" t="s">
        <v>669</v>
      </c>
      <c r="F313" t="s">
        <v>670</v>
      </c>
      <c r="G313" t="s">
        <v>671</v>
      </c>
      <c r="H313" t="s">
        <v>1578</v>
      </c>
      <c r="I313" t="s">
        <v>898</v>
      </c>
      <c r="J313" t="s">
        <v>898</v>
      </c>
      <c r="K313" t="s">
        <v>898</v>
      </c>
      <c r="L313" t="s">
        <v>898</v>
      </c>
      <c r="M313" t="s">
        <v>898</v>
      </c>
      <c r="N313" t="s">
        <v>898</v>
      </c>
      <c r="O313" t="s">
        <v>898</v>
      </c>
    </row>
    <row r="314" ht="26.85" customHeight="1" spans="2:15" x14ac:dyDescent="0.25">
      <c r="B314" t="s">
        <v>1038</v>
      </c>
      <c r="C314" t="s">
        <v>668</v>
      </c>
      <c r="D314" t="s">
        <v>669</v>
      </c>
      <c r="E314" t="s">
        <v>669</v>
      </c>
      <c r="F314" t="s">
        <v>670</v>
      </c>
      <c r="G314" t="s">
        <v>671</v>
      </c>
      <c r="H314" t="s">
        <v>1578</v>
      </c>
      <c r="I314" t="s">
        <v>898</v>
      </c>
      <c r="J314" t="s">
        <v>898</v>
      </c>
      <c r="K314" t="s">
        <v>898</v>
      </c>
      <c r="L314" t="s">
        <v>898</v>
      </c>
      <c r="M314" t="s">
        <v>898</v>
      </c>
      <c r="N314" t="s">
        <v>898</v>
      </c>
      <c r="O314" t="s">
        <v>898</v>
      </c>
    </row>
    <row r="315" ht="26.85" customHeight="1" spans="1:18" x14ac:dyDescent="0.25">
      <c r="A315" t="s">
        <v>1581</v>
      </c>
      <c r="B315" t="s">
        <v>1582</v>
      </c>
      <c r="C315" t="s">
        <v>668</v>
      </c>
      <c r="D315" t="s">
        <v>669</v>
      </c>
      <c r="E315" t="s">
        <v>670</v>
      </c>
      <c r="F315" t="s">
        <v>669</v>
      </c>
      <c r="G315">
        <v>1</v>
      </c>
      <c r="H315">
        <v>3.85</v>
      </c>
      <c r="I315">
        <v>0</v>
      </c>
      <c r="J315">
        <v>1</v>
      </c>
      <c r="K315">
        <v>1</v>
      </c>
      <c r="L315">
        <v>0</v>
      </c>
      <c r="M315">
        <v>2.66</v>
      </c>
      <c r="N315">
        <v>2.66</v>
      </c>
      <c r="O315" t="s">
        <v>671</v>
      </c>
      <c r="P315" t="s">
        <v>1494</v>
      </c>
      <c r="Q315" t="s">
        <v>1494</v>
      </c>
      <c r="R315" t="s">
        <v>1494</v>
      </c>
    </row>
    <row r="316" ht="26.85" customHeight="1" spans="1:18" x14ac:dyDescent="0.25">
      <c r="A316" t="s">
        <v>1583</v>
      </c>
      <c r="B316" t="s">
        <v>1584</v>
      </c>
      <c r="C316" t="s">
        <v>668</v>
      </c>
      <c r="D316" t="s">
        <v>669</v>
      </c>
      <c r="E316" t="s">
        <v>670</v>
      </c>
      <c r="F316" t="s">
        <v>669</v>
      </c>
      <c r="G316">
        <v>1</v>
      </c>
      <c r="H316">
        <v>3.85</v>
      </c>
      <c r="I316">
        <v>0</v>
      </c>
      <c r="J316">
        <v>1</v>
      </c>
      <c r="K316">
        <v>1</v>
      </c>
      <c r="L316">
        <v>0</v>
      </c>
      <c r="M316">
        <v>1.57</v>
      </c>
      <c r="N316">
        <v>1.57</v>
      </c>
      <c r="O316" t="s">
        <v>671</v>
      </c>
      <c r="P316" t="s">
        <v>1585</v>
      </c>
      <c r="Q316" t="s">
        <v>1585</v>
      </c>
      <c r="R316" t="s">
        <v>1585</v>
      </c>
    </row>
    <row r="317" ht="26.85" customHeight="1" spans="1:18" x14ac:dyDescent="0.25">
      <c r="A317" t="s">
        <v>1586</v>
      </c>
      <c r="B317" t="s">
        <v>1587</v>
      </c>
      <c r="C317" t="s">
        <v>668</v>
      </c>
      <c r="D317" t="s">
        <v>670</v>
      </c>
      <c r="E317" t="s">
        <v>669</v>
      </c>
      <c r="F317" t="s">
        <v>669</v>
      </c>
      <c r="G317">
        <v>1</v>
      </c>
      <c r="H317">
        <v>3.85</v>
      </c>
      <c r="I317">
        <v>5</v>
      </c>
      <c r="J317">
        <v>0</v>
      </c>
      <c r="K317">
        <v>5</v>
      </c>
      <c r="L317">
        <v>5445</v>
      </c>
      <c r="M317">
        <v>0</v>
      </c>
      <c r="N317">
        <v>5445</v>
      </c>
      <c r="O317" t="s">
        <v>671</v>
      </c>
      <c r="P317" t="s">
        <v>1588</v>
      </c>
      <c r="Q317" t="s">
        <v>1588</v>
      </c>
      <c r="R317" t="s">
        <v>1588</v>
      </c>
    </row>
    <row r="318" ht="26.85" customHeight="1" spans="1:18" x14ac:dyDescent="0.25">
      <c r="A318" t="s">
        <v>1589</v>
      </c>
      <c r="B318" t="s">
        <v>1590</v>
      </c>
      <c r="C318" t="s">
        <v>668</v>
      </c>
      <c r="D318" t="s">
        <v>669</v>
      </c>
      <c r="E318" t="s">
        <v>670</v>
      </c>
      <c r="F318" t="s">
        <v>669</v>
      </c>
      <c r="G318">
        <v>1</v>
      </c>
      <c r="H318">
        <v>3.85</v>
      </c>
      <c r="I318">
        <v>0</v>
      </c>
      <c r="J318">
        <v>1</v>
      </c>
      <c r="K318">
        <v>1</v>
      </c>
      <c r="L318">
        <v>0</v>
      </c>
      <c r="M318">
        <v>20.6</v>
      </c>
      <c r="N318">
        <v>20.6</v>
      </c>
      <c r="O318" t="s">
        <v>671</v>
      </c>
      <c r="P318" t="s">
        <v>1591</v>
      </c>
      <c r="Q318" t="s">
        <v>1591</v>
      </c>
      <c r="R318" t="s">
        <v>1591</v>
      </c>
    </row>
    <row r="319" ht="26.85" customHeight="1" spans="1:18" x14ac:dyDescent="0.25">
      <c r="A319" t="s">
        <v>1592</v>
      </c>
      <c r="B319" t="s">
        <v>1593</v>
      </c>
      <c r="C319" t="s">
        <v>668</v>
      </c>
      <c r="D319" t="s">
        <v>669</v>
      </c>
      <c r="E319" t="s">
        <v>670</v>
      </c>
      <c r="F319" t="s">
        <v>669</v>
      </c>
      <c r="G319">
        <v>1</v>
      </c>
      <c r="H319">
        <v>3.85</v>
      </c>
      <c r="I319">
        <v>0</v>
      </c>
      <c r="J319">
        <v>1</v>
      </c>
      <c r="K319">
        <v>1</v>
      </c>
      <c r="L319">
        <v>0</v>
      </c>
      <c r="M319">
        <v>113.29</v>
      </c>
      <c r="N319">
        <v>113.29</v>
      </c>
      <c r="O319" t="s">
        <v>671</v>
      </c>
      <c r="P319" t="s">
        <v>1594</v>
      </c>
      <c r="Q319" t="s">
        <v>1594</v>
      </c>
      <c r="R319" t="s">
        <v>1594</v>
      </c>
    </row>
    <row r="320" ht="26.85" customHeight="1" spans="1:18" x14ac:dyDescent="0.25">
      <c r="A320" t="s">
        <v>1595</v>
      </c>
      <c r="B320" t="s">
        <v>1596</v>
      </c>
      <c r="C320" t="s">
        <v>668</v>
      </c>
      <c r="D320" t="s">
        <v>669</v>
      </c>
      <c r="E320" t="s">
        <v>670</v>
      </c>
      <c r="F320" t="s">
        <v>669</v>
      </c>
      <c r="G320">
        <v>1</v>
      </c>
      <c r="H320">
        <v>3.85</v>
      </c>
      <c r="I320">
        <v>0</v>
      </c>
      <c r="J320">
        <v>1</v>
      </c>
      <c r="K320">
        <v>1</v>
      </c>
      <c r="L320">
        <v>0</v>
      </c>
      <c r="M320">
        <v>102.9</v>
      </c>
      <c r="N320">
        <v>102.9</v>
      </c>
      <c r="O320" t="s">
        <v>671</v>
      </c>
      <c r="P320" t="s">
        <v>1597</v>
      </c>
      <c r="Q320" t="s">
        <v>1597</v>
      </c>
      <c r="R320" t="s">
        <v>1597</v>
      </c>
    </row>
    <row r="321" ht="26.85" customHeight="1" spans="1:18" x14ac:dyDescent="0.25">
      <c r="A321" t="s">
        <v>1598</v>
      </c>
      <c r="B321" t="s">
        <v>1599</v>
      </c>
      <c r="C321" t="s">
        <v>668</v>
      </c>
      <c r="D321" t="s">
        <v>669</v>
      </c>
      <c r="E321" t="s">
        <v>670</v>
      </c>
      <c r="F321" t="s">
        <v>669</v>
      </c>
      <c r="G321">
        <v>1</v>
      </c>
      <c r="H321">
        <v>3.85</v>
      </c>
      <c r="I321">
        <v>0</v>
      </c>
      <c r="J321">
        <v>6</v>
      </c>
      <c r="K321">
        <v>6</v>
      </c>
      <c r="L321">
        <v>0</v>
      </c>
      <c r="M321">
        <v>56.22</v>
      </c>
      <c r="N321">
        <v>56.22</v>
      </c>
      <c r="O321" t="s">
        <v>671</v>
      </c>
      <c r="P321" t="s">
        <v>1600</v>
      </c>
      <c r="Q321" t="s">
        <v>1600</v>
      </c>
      <c r="R321" t="s">
        <v>1600</v>
      </c>
    </row>
    <row r="322" ht="26.85" customHeight="1" spans="1:18" x14ac:dyDescent="0.25">
      <c r="A322" t="s">
        <v>1601</v>
      </c>
      <c r="B322" t="s">
        <v>1602</v>
      </c>
      <c r="C322" t="s">
        <v>668</v>
      </c>
      <c r="D322" t="s">
        <v>669</v>
      </c>
      <c r="E322" t="s">
        <v>670</v>
      </c>
      <c r="F322" t="s">
        <v>669</v>
      </c>
      <c r="G322">
        <v>1</v>
      </c>
      <c r="H322">
        <v>3.85</v>
      </c>
      <c r="I322">
        <v>0</v>
      </c>
      <c r="J322">
        <v>1</v>
      </c>
      <c r="K322">
        <v>1</v>
      </c>
      <c r="L322">
        <v>0</v>
      </c>
      <c r="M322">
        <v>10.61</v>
      </c>
      <c r="N322">
        <v>10.61</v>
      </c>
      <c r="O322" t="s">
        <v>671</v>
      </c>
      <c r="P322" t="s">
        <v>1603</v>
      </c>
      <c r="Q322" t="s">
        <v>1603</v>
      </c>
      <c r="R322" t="s">
        <v>1603</v>
      </c>
    </row>
    <row r="323" ht="26.85" customHeight="1" spans="1:18" x14ac:dyDescent="0.25">
      <c r="A323" t="s">
        <v>1604</v>
      </c>
      <c r="B323" t="s">
        <v>1605</v>
      </c>
      <c r="C323" t="s">
        <v>668</v>
      </c>
      <c r="D323" t="s">
        <v>669</v>
      </c>
      <c r="E323" t="s">
        <v>670</v>
      </c>
      <c r="F323" t="s">
        <v>669</v>
      </c>
      <c r="G323">
        <v>1</v>
      </c>
      <c r="H323">
        <v>3.85</v>
      </c>
      <c r="I323">
        <v>0</v>
      </c>
      <c r="J323">
        <v>1</v>
      </c>
      <c r="K323">
        <v>1</v>
      </c>
      <c r="L323">
        <v>0</v>
      </c>
      <c r="M323">
        <v>6.94</v>
      </c>
      <c r="N323">
        <v>6.94</v>
      </c>
      <c r="O323" t="s">
        <v>671</v>
      </c>
      <c r="P323" t="s">
        <v>1606</v>
      </c>
      <c r="Q323" t="s">
        <v>1606</v>
      </c>
      <c r="R323" t="s">
        <v>1606</v>
      </c>
    </row>
    <row r="324" ht="26.85" customHeight="1" spans="1:18" x14ac:dyDescent="0.25">
      <c r="A324" t="s">
        <v>1607</v>
      </c>
      <c r="B324" t="s">
        <v>1608</v>
      </c>
      <c r="C324" t="s">
        <v>668</v>
      </c>
      <c r="D324" t="s">
        <v>669</v>
      </c>
      <c r="E324" t="s">
        <v>670</v>
      </c>
      <c r="F324" t="s">
        <v>669</v>
      </c>
      <c r="G324">
        <v>1</v>
      </c>
      <c r="H324">
        <v>3.85</v>
      </c>
      <c r="I324">
        <v>0</v>
      </c>
      <c r="J324">
        <v>8</v>
      </c>
      <c r="K324">
        <v>8</v>
      </c>
      <c r="L324">
        <v>0</v>
      </c>
      <c r="M324">
        <v>272.24</v>
      </c>
      <c r="N324">
        <v>272.24</v>
      </c>
      <c r="O324" t="s">
        <v>671</v>
      </c>
      <c r="P324" t="s">
        <v>1609</v>
      </c>
      <c r="Q324" t="s">
        <v>1609</v>
      </c>
      <c r="R324" t="s">
        <v>1609</v>
      </c>
    </row>
    <row r="325" ht="26.85" customHeight="1" spans="1:18" x14ac:dyDescent="0.25">
      <c r="A325" t="s">
        <v>1610</v>
      </c>
      <c r="B325" t="s">
        <v>1611</v>
      </c>
      <c r="C325" t="s">
        <v>668</v>
      </c>
      <c r="D325" t="s">
        <v>669</v>
      </c>
      <c r="E325" t="s">
        <v>670</v>
      </c>
      <c r="F325" t="s">
        <v>669</v>
      </c>
      <c r="G325">
        <v>1</v>
      </c>
      <c r="H325">
        <v>3.85</v>
      </c>
      <c r="I325">
        <v>0</v>
      </c>
      <c r="J325">
        <v>1</v>
      </c>
      <c r="K325">
        <v>1</v>
      </c>
      <c r="L325">
        <v>0</v>
      </c>
      <c r="M325">
        <v>781.4</v>
      </c>
      <c r="N325">
        <v>781.4</v>
      </c>
      <c r="O325" t="s">
        <v>671</v>
      </c>
      <c r="P325" t="s">
        <v>1612</v>
      </c>
      <c r="Q325" t="s">
        <v>1612</v>
      </c>
      <c r="R325" t="s">
        <v>1612</v>
      </c>
    </row>
    <row r="326" ht="26.85" customHeight="1" spans="1:18" x14ac:dyDescent="0.25">
      <c r="A326" t="s">
        <v>1613</v>
      </c>
      <c r="B326" t="s">
        <v>1614</v>
      </c>
      <c r="C326" t="s">
        <v>668</v>
      </c>
      <c r="D326" t="s">
        <v>669</v>
      </c>
      <c r="E326" t="s">
        <v>670</v>
      </c>
      <c r="F326" t="s">
        <v>669</v>
      </c>
      <c r="G326">
        <v>1</v>
      </c>
      <c r="H326">
        <v>3.85</v>
      </c>
      <c r="I326">
        <v>0</v>
      </c>
      <c r="J326">
        <v>2</v>
      </c>
      <c r="K326">
        <v>2</v>
      </c>
      <c r="L326">
        <v>0</v>
      </c>
      <c r="M326">
        <v>24</v>
      </c>
      <c r="N326">
        <v>24</v>
      </c>
      <c r="O326" t="s">
        <v>671</v>
      </c>
      <c r="P326" t="s">
        <v>1615</v>
      </c>
      <c r="Q326" t="s">
        <v>1615</v>
      </c>
      <c r="R326" t="s">
        <v>1615</v>
      </c>
    </row>
    <row r="327" ht="26.85" customHeight="1" spans="1:18" x14ac:dyDescent="0.25">
      <c r="A327" t="s">
        <v>1616</v>
      </c>
      <c r="B327" t="s">
        <v>1617</v>
      </c>
      <c r="C327" t="s">
        <v>668</v>
      </c>
      <c r="D327" t="s">
        <v>670</v>
      </c>
      <c r="E327" t="s">
        <v>669</v>
      </c>
      <c r="F327" t="s">
        <v>669</v>
      </c>
      <c r="G327">
        <v>1</v>
      </c>
      <c r="H327">
        <v>3.85</v>
      </c>
      <c r="I327">
        <v>2</v>
      </c>
      <c r="J327">
        <v>0</v>
      </c>
      <c r="K327">
        <v>2</v>
      </c>
      <c r="L327">
        <v>997.34</v>
      </c>
      <c r="M327">
        <v>0</v>
      </c>
      <c r="N327">
        <v>997.34</v>
      </c>
      <c r="O327" t="s">
        <v>671</v>
      </c>
      <c r="P327" t="s">
        <v>1618</v>
      </c>
      <c r="Q327" t="s">
        <v>1618</v>
      </c>
      <c r="R327" t="s">
        <v>1618</v>
      </c>
    </row>
    <row r="328" ht="26.85" customHeight="1" spans="1:18" x14ac:dyDescent="0.25">
      <c r="A328" t="s">
        <v>1619</v>
      </c>
      <c r="B328" t="s">
        <v>1620</v>
      </c>
      <c r="C328" t="s">
        <v>668</v>
      </c>
      <c r="D328" t="s">
        <v>669</v>
      </c>
      <c r="E328" t="s">
        <v>670</v>
      </c>
      <c r="F328" t="s">
        <v>669</v>
      </c>
      <c r="G328">
        <v>1</v>
      </c>
      <c r="H328">
        <v>3.85</v>
      </c>
      <c r="I328">
        <v>0</v>
      </c>
      <c r="J328">
        <v>1</v>
      </c>
      <c r="K328">
        <v>1</v>
      </c>
      <c r="L328">
        <v>0</v>
      </c>
      <c r="M328">
        <v>1629</v>
      </c>
      <c r="N328">
        <v>1629</v>
      </c>
      <c r="O328" t="s">
        <v>671</v>
      </c>
      <c r="P328" t="s">
        <v>1621</v>
      </c>
      <c r="Q328" t="s">
        <v>1621</v>
      </c>
      <c r="R328" t="s">
        <v>1621</v>
      </c>
    </row>
    <row r="329" ht="26.85" customHeight="1" spans="1:18" x14ac:dyDescent="0.25">
      <c r="A329" t="s">
        <v>1622</v>
      </c>
      <c r="B329" t="s">
        <v>1623</v>
      </c>
      <c r="C329" t="s">
        <v>668</v>
      </c>
      <c r="D329" t="s">
        <v>669</v>
      </c>
      <c r="E329" t="s">
        <v>670</v>
      </c>
      <c r="F329" t="s">
        <v>669</v>
      </c>
      <c r="G329">
        <v>1</v>
      </c>
      <c r="H329">
        <v>3.85</v>
      </c>
      <c r="I329">
        <v>0</v>
      </c>
      <c r="J329">
        <v>1</v>
      </c>
      <c r="K329">
        <v>1</v>
      </c>
      <c r="L329">
        <v>0</v>
      </c>
      <c r="M329">
        <v>1068</v>
      </c>
      <c r="N329">
        <v>1068</v>
      </c>
      <c r="O329" t="s">
        <v>671</v>
      </c>
      <c r="P329" t="s">
        <v>1624</v>
      </c>
      <c r="Q329" t="s">
        <v>1624</v>
      </c>
      <c r="R329" t="s">
        <v>1624</v>
      </c>
    </row>
    <row r="330" ht="26.85" customHeight="1" spans="1:18" x14ac:dyDescent="0.25">
      <c r="A330" t="s">
        <v>1625</v>
      </c>
      <c r="B330" t="s">
        <v>1626</v>
      </c>
      <c r="C330" t="s">
        <v>668</v>
      </c>
      <c r="D330" t="s">
        <v>669</v>
      </c>
      <c r="E330" t="s">
        <v>670</v>
      </c>
      <c r="F330" t="s">
        <v>669</v>
      </c>
      <c r="G330">
        <v>1</v>
      </c>
      <c r="H330">
        <v>3.85</v>
      </c>
      <c r="I330">
        <v>0</v>
      </c>
      <c r="J330">
        <v>4</v>
      </c>
      <c r="K330">
        <v>4</v>
      </c>
      <c r="L330">
        <v>0</v>
      </c>
      <c r="M330">
        <v>94.48</v>
      </c>
      <c r="N330">
        <v>94.48</v>
      </c>
      <c r="O330" t="s">
        <v>671</v>
      </c>
      <c r="P330" t="s">
        <v>1627</v>
      </c>
      <c r="Q330" t="s">
        <v>1627</v>
      </c>
      <c r="R330" t="s">
        <v>1627</v>
      </c>
    </row>
    <row r="331" ht="26.85" customHeight="1" spans="1:18" x14ac:dyDescent="0.25">
      <c r="A331" t="s">
        <v>1628</v>
      </c>
      <c r="B331" t="s">
        <v>1629</v>
      </c>
      <c r="C331" t="s">
        <v>668</v>
      </c>
      <c r="D331" t="s">
        <v>669</v>
      </c>
      <c r="E331" t="s">
        <v>670</v>
      </c>
      <c r="F331" t="s">
        <v>669</v>
      </c>
      <c r="G331">
        <v>1</v>
      </c>
      <c r="H331">
        <v>3.85</v>
      </c>
      <c r="I331">
        <v>0</v>
      </c>
      <c r="J331">
        <v>3</v>
      </c>
      <c r="K331">
        <v>3</v>
      </c>
      <c r="L331">
        <v>0</v>
      </c>
      <c r="M331">
        <v>39</v>
      </c>
      <c r="N331">
        <v>39</v>
      </c>
      <c r="O331" t="s">
        <v>671</v>
      </c>
      <c r="P331" t="s">
        <v>1630</v>
      </c>
      <c r="Q331" t="s">
        <v>1630</v>
      </c>
      <c r="R331" t="s">
        <v>1630</v>
      </c>
    </row>
    <row r="332" ht="26.85" customHeight="1" spans="1:18" x14ac:dyDescent="0.25">
      <c r="A332" t="s">
        <v>1631</v>
      </c>
      <c r="B332" t="s">
        <v>1632</v>
      </c>
      <c r="C332" t="s">
        <v>668</v>
      </c>
      <c r="D332" t="s">
        <v>669</v>
      </c>
      <c r="E332" t="s">
        <v>670</v>
      </c>
      <c r="F332" t="s">
        <v>669</v>
      </c>
      <c r="G332">
        <v>1</v>
      </c>
      <c r="H332">
        <v>3.85</v>
      </c>
      <c r="I332">
        <v>0</v>
      </c>
      <c r="J332">
        <v>4</v>
      </c>
      <c r="K332">
        <v>4</v>
      </c>
      <c r="L332">
        <v>0</v>
      </c>
      <c r="M332">
        <v>37.56</v>
      </c>
      <c r="N332">
        <v>37.56</v>
      </c>
      <c r="O332" t="s">
        <v>671</v>
      </c>
      <c r="P332" t="s">
        <v>1633</v>
      </c>
      <c r="Q332" t="s">
        <v>1633</v>
      </c>
      <c r="R332" t="s">
        <v>1633</v>
      </c>
    </row>
    <row r="333" ht="26.85" customHeight="1" spans="1:18" x14ac:dyDescent="0.25">
      <c r="A333" t="s">
        <v>1634</v>
      </c>
      <c r="B333" t="s">
        <v>1635</v>
      </c>
      <c r="C333" t="s">
        <v>668</v>
      </c>
      <c r="D333" t="s">
        <v>669</v>
      </c>
      <c r="E333" t="s">
        <v>670</v>
      </c>
      <c r="F333" t="s">
        <v>669</v>
      </c>
      <c r="G333">
        <v>1</v>
      </c>
      <c r="H333">
        <v>3.85</v>
      </c>
      <c r="I333">
        <v>0</v>
      </c>
      <c r="J333">
        <v>10</v>
      </c>
      <c r="K333">
        <v>10</v>
      </c>
      <c r="L333">
        <v>0</v>
      </c>
      <c r="M333">
        <v>133.5</v>
      </c>
      <c r="N333">
        <v>133.5</v>
      </c>
      <c r="O333" t="s">
        <v>671</v>
      </c>
      <c r="P333" t="s">
        <v>1636</v>
      </c>
      <c r="Q333" t="s">
        <v>1636</v>
      </c>
      <c r="R333" t="s">
        <v>1636</v>
      </c>
    </row>
    <row r="334" ht="26.85" customHeight="1" spans="1:18" x14ac:dyDescent="0.25">
      <c r="A334" t="s">
        <v>1637</v>
      </c>
      <c r="B334" t="s">
        <v>1638</v>
      </c>
      <c r="C334" t="s">
        <v>668</v>
      </c>
      <c r="D334" t="s">
        <v>669</v>
      </c>
      <c r="E334" t="s">
        <v>670</v>
      </c>
      <c r="F334" t="s">
        <v>669</v>
      </c>
      <c r="G334">
        <v>1</v>
      </c>
      <c r="H334">
        <v>3.85</v>
      </c>
      <c r="I334">
        <v>0</v>
      </c>
      <c r="J334">
        <v>2</v>
      </c>
      <c r="K334">
        <v>2</v>
      </c>
      <c r="L334">
        <v>0</v>
      </c>
      <c r="M334">
        <v>34</v>
      </c>
      <c r="N334">
        <v>34</v>
      </c>
      <c r="O334" t="s">
        <v>671</v>
      </c>
      <c r="P334" t="s">
        <v>1052</v>
      </c>
      <c r="Q334" t="s">
        <v>1052</v>
      </c>
      <c r="R334" t="s">
        <v>1052</v>
      </c>
    </row>
    <row r="335" ht="26.85" customHeight="1" spans="1:18" x14ac:dyDescent="0.25">
      <c r="A335" t="s">
        <v>1639</v>
      </c>
      <c r="B335" t="s">
        <v>1640</v>
      </c>
      <c r="C335" t="s">
        <v>668</v>
      </c>
      <c r="D335" t="s">
        <v>669</v>
      </c>
      <c r="E335" t="s">
        <v>670</v>
      </c>
      <c r="F335" t="s">
        <v>669</v>
      </c>
      <c r="G335">
        <v>1</v>
      </c>
      <c r="H335">
        <v>3.85</v>
      </c>
      <c r="I335">
        <v>0</v>
      </c>
      <c r="J335">
        <v>1</v>
      </c>
      <c r="K335">
        <v>1</v>
      </c>
      <c r="L335">
        <v>0</v>
      </c>
      <c r="M335">
        <v>8</v>
      </c>
      <c r="N335">
        <v>8</v>
      </c>
      <c r="O335" t="s">
        <v>671</v>
      </c>
      <c r="P335" t="s">
        <v>1105</v>
      </c>
      <c r="Q335" t="s">
        <v>1105</v>
      </c>
      <c r="R335" t="s">
        <v>1105</v>
      </c>
    </row>
    <row r="336" ht="26.85" customHeight="1" spans="1:18" x14ac:dyDescent="0.25">
      <c r="A336" t="s">
        <v>1641</v>
      </c>
      <c r="B336" t="s">
        <v>1642</v>
      </c>
      <c r="C336" t="s">
        <v>668</v>
      </c>
      <c r="D336" t="s">
        <v>669</v>
      </c>
      <c r="E336" t="s">
        <v>670</v>
      </c>
      <c r="F336" t="s">
        <v>669</v>
      </c>
      <c r="G336">
        <v>1</v>
      </c>
      <c r="H336">
        <v>3.85</v>
      </c>
      <c r="I336">
        <v>0</v>
      </c>
      <c r="J336">
        <v>1</v>
      </c>
      <c r="K336">
        <v>1</v>
      </c>
      <c r="L336">
        <v>0</v>
      </c>
      <c r="M336">
        <v>13.22</v>
      </c>
      <c r="N336">
        <v>13.22</v>
      </c>
      <c r="O336" t="s">
        <v>671</v>
      </c>
      <c r="P336" t="s">
        <v>1643</v>
      </c>
      <c r="Q336" t="s">
        <v>1643</v>
      </c>
      <c r="R336" t="s">
        <v>1643</v>
      </c>
    </row>
    <row r="337" ht="26.85" customHeight="1" spans="1:18" x14ac:dyDescent="0.25">
      <c r="A337" t="s">
        <v>1644</v>
      </c>
      <c r="B337" t="s">
        <v>1645</v>
      </c>
      <c r="C337" t="s">
        <v>668</v>
      </c>
      <c r="D337" t="s">
        <v>670</v>
      </c>
      <c r="E337" t="s">
        <v>669</v>
      </c>
      <c r="F337" t="s">
        <v>669</v>
      </c>
      <c r="G337">
        <v>1</v>
      </c>
      <c r="H337">
        <v>3.85</v>
      </c>
      <c r="I337">
        <v>1</v>
      </c>
      <c r="J337">
        <v>0</v>
      </c>
      <c r="K337">
        <v>1</v>
      </c>
      <c r="L337">
        <v>543.75</v>
      </c>
      <c r="M337">
        <v>0</v>
      </c>
      <c r="N337">
        <v>543.75</v>
      </c>
      <c r="O337" t="s">
        <v>671</v>
      </c>
      <c r="P337" t="s">
        <v>1646</v>
      </c>
      <c r="Q337" t="s">
        <v>1646</v>
      </c>
      <c r="R337" t="s">
        <v>1646</v>
      </c>
    </row>
    <row r="338" ht="26.85" customHeight="1" spans="1:18" x14ac:dyDescent="0.25">
      <c r="A338" t="s">
        <v>1647</v>
      </c>
      <c r="B338" t="s">
        <v>1648</v>
      </c>
      <c r="C338" t="s">
        <v>668</v>
      </c>
      <c r="D338" t="s">
        <v>669</v>
      </c>
      <c r="E338" t="s">
        <v>670</v>
      </c>
      <c r="F338" t="s">
        <v>669</v>
      </c>
      <c r="G338">
        <v>1</v>
      </c>
      <c r="H338">
        <v>3.85</v>
      </c>
      <c r="I338">
        <v>0</v>
      </c>
      <c r="J338">
        <v>2</v>
      </c>
      <c r="K338">
        <v>2</v>
      </c>
      <c r="L338">
        <v>0</v>
      </c>
      <c r="M338">
        <v>2.46</v>
      </c>
      <c r="N338">
        <v>2.46</v>
      </c>
      <c r="O338" t="s">
        <v>671</v>
      </c>
      <c r="P338" t="s">
        <v>1649</v>
      </c>
      <c r="Q338" t="s">
        <v>1649</v>
      </c>
      <c r="R338" t="s">
        <v>1649</v>
      </c>
    </row>
    <row r="339" ht="26.85" customHeight="1" spans="1:18" x14ac:dyDescent="0.25">
      <c r="A339" t="s">
        <v>1650</v>
      </c>
      <c r="B339" t="s">
        <v>1651</v>
      </c>
      <c r="C339" t="s">
        <v>668</v>
      </c>
      <c r="D339" t="s">
        <v>669</v>
      </c>
      <c r="E339" t="s">
        <v>670</v>
      </c>
      <c r="F339" t="s">
        <v>669</v>
      </c>
      <c r="G339">
        <v>1</v>
      </c>
      <c r="H339">
        <v>3.85</v>
      </c>
      <c r="I339">
        <v>0</v>
      </c>
      <c r="J339">
        <v>2</v>
      </c>
      <c r="K339">
        <v>2</v>
      </c>
      <c r="L339">
        <v>0</v>
      </c>
      <c r="M339">
        <v>10</v>
      </c>
      <c r="N339">
        <v>10</v>
      </c>
      <c r="O339" t="s">
        <v>671</v>
      </c>
      <c r="P339" t="s">
        <v>1266</v>
      </c>
      <c r="Q339" t="s">
        <v>1266</v>
      </c>
      <c r="R339" t="s">
        <v>1266</v>
      </c>
    </row>
    <row r="340" ht="26.85" customHeight="1" spans="1:18" x14ac:dyDescent="0.25">
      <c r="A340" t="s">
        <v>1652</v>
      </c>
      <c r="B340" t="s">
        <v>1653</v>
      </c>
      <c r="C340" t="s">
        <v>668</v>
      </c>
      <c r="D340" t="s">
        <v>669</v>
      </c>
      <c r="E340" t="s">
        <v>670</v>
      </c>
      <c r="F340" t="s">
        <v>669</v>
      </c>
      <c r="G340">
        <v>1</v>
      </c>
      <c r="H340">
        <v>3.85</v>
      </c>
      <c r="I340">
        <v>0</v>
      </c>
      <c r="J340">
        <v>2</v>
      </c>
      <c r="K340">
        <v>2</v>
      </c>
      <c r="L340">
        <v>0</v>
      </c>
      <c r="M340">
        <v>0.74</v>
      </c>
      <c r="N340">
        <v>0.74</v>
      </c>
      <c r="O340" t="s">
        <v>671</v>
      </c>
      <c r="P340" t="s">
        <v>1654</v>
      </c>
      <c r="Q340" t="s">
        <v>1654</v>
      </c>
      <c r="R340" t="s">
        <v>1654</v>
      </c>
    </row>
    <row r="341" ht="26.85" customHeight="1" spans="1:18" x14ac:dyDescent="0.25">
      <c r="A341" t="s">
        <v>1655</v>
      </c>
      <c r="B341" t="s">
        <v>1656</v>
      </c>
      <c r="C341" t="s">
        <v>668</v>
      </c>
      <c r="D341" t="s">
        <v>669</v>
      </c>
      <c r="E341" t="s">
        <v>670</v>
      </c>
      <c r="F341" t="s">
        <v>669</v>
      </c>
      <c r="G341">
        <v>1</v>
      </c>
      <c r="H341">
        <v>3.85</v>
      </c>
      <c r="I341">
        <v>0</v>
      </c>
      <c r="J341">
        <v>2</v>
      </c>
      <c r="K341">
        <v>2</v>
      </c>
      <c r="L341">
        <v>0</v>
      </c>
      <c r="M341">
        <v>48</v>
      </c>
      <c r="N341">
        <v>48</v>
      </c>
      <c r="O341" t="s">
        <v>671</v>
      </c>
      <c r="P341" t="s">
        <v>1657</v>
      </c>
      <c r="Q341" t="s">
        <v>1657</v>
      </c>
      <c r="R341" t="s">
        <v>1657</v>
      </c>
    </row>
    <row r="342" ht="26.85" customHeight="1" spans="1:18" x14ac:dyDescent="0.25">
      <c r="A342" t="s">
        <v>1658</v>
      </c>
      <c r="B342" t="s">
        <v>1659</v>
      </c>
      <c r="C342" t="s">
        <v>668</v>
      </c>
      <c r="D342" t="s">
        <v>670</v>
      </c>
      <c r="E342" t="s">
        <v>669</v>
      </c>
      <c r="F342" t="s">
        <v>669</v>
      </c>
      <c r="G342">
        <v>1</v>
      </c>
      <c r="H342">
        <v>3.85</v>
      </c>
      <c r="I342">
        <v>1</v>
      </c>
      <c r="J342">
        <v>0</v>
      </c>
      <c r="K342">
        <v>1</v>
      </c>
      <c r="L342">
        <v>138.75</v>
      </c>
      <c r="M342">
        <v>0</v>
      </c>
      <c r="N342">
        <v>138.75</v>
      </c>
      <c r="O342" t="s">
        <v>671</v>
      </c>
      <c r="P342" t="s">
        <v>1660</v>
      </c>
      <c r="Q342" t="s">
        <v>1660</v>
      </c>
      <c r="R342" t="s">
        <v>1660</v>
      </c>
    </row>
    <row r="343" ht="26.85" customHeight="1" spans="1:18" x14ac:dyDescent="0.25">
      <c r="A343" t="s">
        <v>1661</v>
      </c>
      <c r="B343" t="s">
        <v>1662</v>
      </c>
      <c r="C343" t="s">
        <v>668</v>
      </c>
      <c r="D343" t="s">
        <v>669</v>
      </c>
      <c r="E343" t="s">
        <v>670</v>
      </c>
      <c r="F343" t="s">
        <v>669</v>
      </c>
      <c r="G343">
        <v>1</v>
      </c>
      <c r="H343">
        <v>3.85</v>
      </c>
      <c r="I343">
        <v>0</v>
      </c>
      <c r="J343">
        <v>2</v>
      </c>
      <c r="K343">
        <v>2</v>
      </c>
      <c r="L343">
        <v>0</v>
      </c>
      <c r="M343">
        <v>12.42</v>
      </c>
      <c r="N343">
        <v>12.42</v>
      </c>
      <c r="O343" t="s">
        <v>671</v>
      </c>
      <c r="P343" t="s">
        <v>1663</v>
      </c>
      <c r="Q343" t="s">
        <v>1663</v>
      </c>
      <c r="R343" t="s">
        <v>1663</v>
      </c>
    </row>
    <row r="344" ht="26.85" customHeight="1" spans="1:18" x14ac:dyDescent="0.25">
      <c r="A344" t="s">
        <v>1664</v>
      </c>
      <c r="B344" t="s">
        <v>1665</v>
      </c>
      <c r="C344" t="s">
        <v>668</v>
      </c>
      <c r="D344" t="s">
        <v>669</v>
      </c>
      <c r="E344" t="s">
        <v>670</v>
      </c>
      <c r="F344" t="s">
        <v>669</v>
      </c>
      <c r="G344">
        <v>1</v>
      </c>
      <c r="H344">
        <v>3.85</v>
      </c>
      <c r="I344">
        <v>0</v>
      </c>
      <c r="J344">
        <v>1</v>
      </c>
      <c r="K344">
        <v>1</v>
      </c>
      <c r="L344">
        <v>0</v>
      </c>
      <c r="M344">
        <v>701</v>
      </c>
      <c r="N344">
        <v>701</v>
      </c>
      <c r="O344" t="s">
        <v>671</v>
      </c>
      <c r="P344" t="s">
        <v>1666</v>
      </c>
      <c r="Q344" t="s">
        <v>1666</v>
      </c>
      <c r="R344" t="s">
        <v>1666</v>
      </c>
    </row>
    <row r="345" ht="26.85" customHeight="1" spans="1:18" x14ac:dyDescent="0.25">
      <c r="A345" t="s">
        <v>1667</v>
      </c>
      <c r="B345" t="s">
        <v>1668</v>
      </c>
      <c r="C345" t="s">
        <v>668</v>
      </c>
      <c r="D345" t="s">
        <v>669</v>
      </c>
      <c r="E345" t="s">
        <v>670</v>
      </c>
      <c r="F345" t="s">
        <v>669</v>
      </c>
      <c r="G345">
        <v>1</v>
      </c>
      <c r="H345">
        <v>3.85</v>
      </c>
      <c r="I345">
        <v>0</v>
      </c>
      <c r="J345">
        <v>4</v>
      </c>
      <c r="K345">
        <v>4</v>
      </c>
      <c r="L345">
        <v>0</v>
      </c>
      <c r="M345">
        <v>5.12</v>
      </c>
      <c r="N345">
        <v>5.12</v>
      </c>
      <c r="O345" t="s">
        <v>671</v>
      </c>
      <c r="P345" t="s">
        <v>1669</v>
      </c>
      <c r="Q345" t="s">
        <v>1669</v>
      </c>
      <c r="R345" t="s">
        <v>1669</v>
      </c>
    </row>
    <row r="346" ht="26.85" customHeight="1" spans="1:18" x14ac:dyDescent="0.25">
      <c r="A346" t="s">
        <v>1670</v>
      </c>
      <c r="B346" t="s">
        <v>1671</v>
      </c>
      <c r="C346" t="s">
        <v>668</v>
      </c>
      <c r="D346" t="s">
        <v>669</v>
      </c>
      <c r="E346" t="s">
        <v>670</v>
      </c>
      <c r="F346" t="s">
        <v>669</v>
      </c>
      <c r="G346">
        <v>1</v>
      </c>
      <c r="H346">
        <v>3.85</v>
      </c>
      <c r="I346">
        <v>0</v>
      </c>
      <c r="J346">
        <v>4</v>
      </c>
      <c r="K346">
        <v>4</v>
      </c>
      <c r="L346">
        <v>0</v>
      </c>
      <c r="M346">
        <v>6.56</v>
      </c>
      <c r="N346">
        <v>6.56</v>
      </c>
      <c r="O346" t="s">
        <v>671</v>
      </c>
      <c r="P346" t="s">
        <v>1672</v>
      </c>
      <c r="Q346" t="s">
        <v>1672</v>
      </c>
      <c r="R346" t="s">
        <v>1672</v>
      </c>
    </row>
    <row r="347" ht="26.85" customHeight="1" spans="1:18" x14ac:dyDescent="0.25">
      <c r="A347" t="s">
        <v>1673</v>
      </c>
      <c r="B347" t="s">
        <v>1674</v>
      </c>
      <c r="C347" t="s">
        <v>668</v>
      </c>
      <c r="D347" t="s">
        <v>669</v>
      </c>
      <c r="E347" t="s">
        <v>670</v>
      </c>
      <c r="F347" t="s">
        <v>669</v>
      </c>
      <c r="G347">
        <v>1</v>
      </c>
      <c r="H347">
        <v>3.85</v>
      </c>
      <c r="I347">
        <v>0</v>
      </c>
      <c r="J347">
        <v>4</v>
      </c>
      <c r="K347">
        <v>4</v>
      </c>
      <c r="L347">
        <v>0</v>
      </c>
      <c r="M347">
        <v>149.6</v>
      </c>
      <c r="N347">
        <v>149.6</v>
      </c>
      <c r="O347" t="s">
        <v>671</v>
      </c>
      <c r="P347" t="s">
        <v>1675</v>
      </c>
      <c r="Q347" t="s">
        <v>1675</v>
      </c>
      <c r="R347" t="s">
        <v>1675</v>
      </c>
    </row>
    <row r="348" ht="26.85" customHeight="1" spans="1:18" x14ac:dyDescent="0.25">
      <c r="A348" t="s">
        <v>1676</v>
      </c>
      <c r="B348" t="s">
        <v>1677</v>
      </c>
      <c r="C348" t="s">
        <v>668</v>
      </c>
      <c r="D348" t="s">
        <v>669</v>
      </c>
      <c r="E348" t="s">
        <v>670</v>
      </c>
      <c r="F348" t="s">
        <v>669</v>
      </c>
      <c r="G348">
        <v>1</v>
      </c>
      <c r="H348">
        <v>3.85</v>
      </c>
      <c r="I348">
        <v>0</v>
      </c>
      <c r="J348">
        <v>1</v>
      </c>
      <c r="K348">
        <v>1</v>
      </c>
      <c r="L348">
        <v>0</v>
      </c>
      <c r="M348">
        <v>33.25</v>
      </c>
      <c r="N348">
        <v>33.25</v>
      </c>
      <c r="O348" t="s">
        <v>671</v>
      </c>
      <c r="P348" t="s">
        <v>1678</v>
      </c>
      <c r="Q348" t="s">
        <v>1678</v>
      </c>
      <c r="R348" t="s">
        <v>1678</v>
      </c>
    </row>
    <row r="349" ht="26.85" customHeight="1" spans="1:18" x14ac:dyDescent="0.25">
      <c r="A349" t="s">
        <v>1679</v>
      </c>
      <c r="B349" t="s">
        <v>1680</v>
      </c>
      <c r="C349" t="s">
        <v>668</v>
      </c>
      <c r="D349" t="s">
        <v>669</v>
      </c>
      <c r="E349" t="s">
        <v>670</v>
      </c>
      <c r="F349" t="s">
        <v>669</v>
      </c>
      <c r="G349">
        <v>1</v>
      </c>
      <c r="H349">
        <v>3.85</v>
      </c>
      <c r="I349">
        <v>0</v>
      </c>
      <c r="J349">
        <v>1</v>
      </c>
      <c r="K349">
        <v>1</v>
      </c>
      <c r="L349">
        <v>0</v>
      </c>
      <c r="M349">
        <v>327.42</v>
      </c>
      <c r="N349">
        <v>327.42</v>
      </c>
      <c r="O349" t="s">
        <v>671</v>
      </c>
      <c r="P349" t="s">
        <v>1681</v>
      </c>
      <c r="Q349" t="s">
        <v>1681</v>
      </c>
      <c r="R349" t="s">
        <v>1681</v>
      </c>
    </row>
    <row r="350" ht="26.85" customHeight="1" spans="1:18" x14ac:dyDescent="0.25">
      <c r="A350" t="s">
        <v>1682</v>
      </c>
      <c r="B350" t="s">
        <v>1683</v>
      </c>
      <c r="C350" t="s">
        <v>668</v>
      </c>
      <c r="D350" t="s">
        <v>670</v>
      </c>
      <c r="E350" t="s">
        <v>669</v>
      </c>
      <c r="F350" t="s">
        <v>669</v>
      </c>
      <c r="G350">
        <v>1</v>
      </c>
      <c r="H350">
        <v>3.85</v>
      </c>
      <c r="I350">
        <v>2</v>
      </c>
      <c r="J350">
        <v>0</v>
      </c>
      <c r="K350">
        <v>2</v>
      </c>
      <c r="L350">
        <v>36.3</v>
      </c>
      <c r="M350">
        <v>0</v>
      </c>
      <c r="N350">
        <v>36.3</v>
      </c>
      <c r="O350" t="s">
        <v>671</v>
      </c>
      <c r="P350" t="s">
        <v>1684</v>
      </c>
      <c r="Q350" t="s">
        <v>1684</v>
      </c>
      <c r="R350" t="s">
        <v>1684</v>
      </c>
    </row>
    <row r="351" ht="26.85" customHeight="1" spans="1:18" x14ac:dyDescent="0.25">
      <c r="A351" t="s">
        <v>1685</v>
      </c>
      <c r="B351" t="s">
        <v>1686</v>
      </c>
      <c r="C351" t="s">
        <v>668</v>
      </c>
      <c r="D351" t="s">
        <v>669</v>
      </c>
      <c r="E351" t="s">
        <v>670</v>
      </c>
      <c r="F351" t="s">
        <v>669</v>
      </c>
      <c r="G351">
        <v>1</v>
      </c>
      <c r="H351">
        <v>3.85</v>
      </c>
      <c r="I351">
        <v>0</v>
      </c>
      <c r="J351">
        <v>1</v>
      </c>
      <c r="K351">
        <v>1</v>
      </c>
      <c r="L351">
        <v>0</v>
      </c>
      <c r="M351">
        <v>6.65</v>
      </c>
      <c r="N351">
        <v>6.65</v>
      </c>
      <c r="O351" t="s">
        <v>671</v>
      </c>
      <c r="P351" t="s">
        <v>1687</v>
      </c>
      <c r="Q351" t="s">
        <v>1687</v>
      </c>
      <c r="R351" t="s">
        <v>1687</v>
      </c>
    </row>
    <row r="352" ht="26.85" customHeight="1" spans="1:18" x14ac:dyDescent="0.25">
      <c r="A352" t="s">
        <v>1688</v>
      </c>
      <c r="B352" t="s">
        <v>1689</v>
      </c>
      <c r="C352" t="s">
        <v>668</v>
      </c>
      <c r="D352" t="s">
        <v>669</v>
      </c>
      <c r="E352" t="s">
        <v>670</v>
      </c>
      <c r="F352" t="s">
        <v>669</v>
      </c>
      <c r="G352">
        <v>1</v>
      </c>
      <c r="H352">
        <v>3.85</v>
      </c>
      <c r="I352">
        <v>0</v>
      </c>
      <c r="J352">
        <v>1</v>
      </c>
      <c r="K352">
        <v>1</v>
      </c>
      <c r="L352">
        <v>0</v>
      </c>
      <c r="M352">
        <v>4.53</v>
      </c>
      <c r="N352">
        <v>4.53</v>
      </c>
      <c r="O352" t="s">
        <v>671</v>
      </c>
      <c r="P352" t="s">
        <v>1690</v>
      </c>
      <c r="Q352" t="s">
        <v>1690</v>
      </c>
      <c r="R352" t="s">
        <v>1690</v>
      </c>
    </row>
    <row r="353" ht="26.85" customHeight="1" spans="1:18" x14ac:dyDescent="0.25">
      <c r="A353" t="s">
        <v>1691</v>
      </c>
      <c r="B353" t="s">
        <v>1692</v>
      </c>
      <c r="C353" t="s">
        <v>668</v>
      </c>
      <c r="D353" t="s">
        <v>669</v>
      </c>
      <c r="E353" t="s">
        <v>670</v>
      </c>
      <c r="F353" t="s">
        <v>669</v>
      </c>
      <c r="G353">
        <v>1</v>
      </c>
      <c r="H353">
        <v>3.85</v>
      </c>
      <c r="I353">
        <v>0</v>
      </c>
      <c r="J353">
        <v>3</v>
      </c>
      <c r="K353">
        <v>3</v>
      </c>
      <c r="L353">
        <v>0</v>
      </c>
      <c r="M353">
        <v>45.99</v>
      </c>
      <c r="N353">
        <v>45.99</v>
      </c>
      <c r="O353" t="s">
        <v>671</v>
      </c>
      <c r="P353" t="s">
        <v>1693</v>
      </c>
      <c r="Q353" t="s">
        <v>1693</v>
      </c>
      <c r="R353" t="s">
        <v>1693</v>
      </c>
    </row>
    <row r="354" ht="26.85" customHeight="1" spans="1:18" x14ac:dyDescent="0.25">
      <c r="A354" t="s">
        <v>1694</v>
      </c>
      <c r="B354" t="s">
        <v>1695</v>
      </c>
      <c r="C354" t="s">
        <v>668</v>
      </c>
      <c r="D354" t="s">
        <v>670</v>
      </c>
      <c r="E354" t="s">
        <v>669</v>
      </c>
      <c r="F354" t="s">
        <v>669</v>
      </c>
      <c r="G354">
        <v>1</v>
      </c>
      <c r="H354">
        <v>3.85</v>
      </c>
      <c r="I354">
        <v>1</v>
      </c>
      <c r="J354">
        <v>0</v>
      </c>
      <c r="K354">
        <v>1</v>
      </c>
      <c r="L354">
        <v>63.17</v>
      </c>
      <c r="M354">
        <v>0</v>
      </c>
      <c r="N354">
        <v>63.17</v>
      </c>
      <c r="O354" t="s">
        <v>671</v>
      </c>
      <c r="P354" t="s">
        <v>1696</v>
      </c>
      <c r="Q354" t="s">
        <v>1696</v>
      </c>
      <c r="R354" t="s">
        <v>1696</v>
      </c>
    </row>
    <row r="355" ht="26.85" customHeight="1" spans="1:18" x14ac:dyDescent="0.25">
      <c r="A355" t="s">
        <v>1697</v>
      </c>
      <c r="B355" t="s">
        <v>1698</v>
      </c>
      <c r="C355" t="s">
        <v>668</v>
      </c>
      <c r="D355" t="s">
        <v>669</v>
      </c>
      <c r="E355" t="s">
        <v>670</v>
      </c>
      <c r="F355" t="s">
        <v>669</v>
      </c>
      <c r="G355">
        <v>1</v>
      </c>
      <c r="H355">
        <v>3.85</v>
      </c>
      <c r="I355">
        <v>0</v>
      </c>
      <c r="J355">
        <v>1</v>
      </c>
      <c r="K355">
        <v>1</v>
      </c>
      <c r="L355">
        <v>0</v>
      </c>
      <c r="M355">
        <v>24.56</v>
      </c>
      <c r="N355">
        <v>24.56</v>
      </c>
      <c r="O355" t="s">
        <v>671</v>
      </c>
      <c r="P355" t="s">
        <v>1699</v>
      </c>
      <c r="Q355" t="s">
        <v>1699</v>
      </c>
      <c r="R355" t="s">
        <v>1699</v>
      </c>
    </row>
    <row r="356" ht="26.85" customHeight="1" spans="1:18" x14ac:dyDescent="0.25">
      <c r="A356" t="s">
        <v>1700</v>
      </c>
      <c r="B356" t="s">
        <v>1701</v>
      </c>
      <c r="C356" t="s">
        <v>668</v>
      </c>
      <c r="D356" t="s">
        <v>669</v>
      </c>
      <c r="E356" t="s">
        <v>670</v>
      </c>
      <c r="F356" t="s">
        <v>669</v>
      </c>
      <c r="G356">
        <v>1</v>
      </c>
      <c r="H356">
        <v>3.85</v>
      </c>
      <c r="I356">
        <v>0</v>
      </c>
      <c r="J356">
        <v>2</v>
      </c>
      <c r="K356">
        <v>2</v>
      </c>
      <c r="L356">
        <v>0</v>
      </c>
      <c r="M356">
        <v>31.7</v>
      </c>
      <c r="N356">
        <v>31.7</v>
      </c>
      <c r="O356" t="s">
        <v>671</v>
      </c>
      <c r="P356" t="s">
        <v>1702</v>
      </c>
      <c r="Q356" t="s">
        <v>1702</v>
      </c>
      <c r="R356" t="s">
        <v>1702</v>
      </c>
    </row>
    <row r="357" ht="26.85" customHeight="1" spans="1:18" x14ac:dyDescent="0.25">
      <c r="A357" t="s">
        <v>1703</v>
      </c>
      <c r="B357" t="s">
        <v>1579</v>
      </c>
      <c r="C357" t="s">
        <v>668</v>
      </c>
      <c r="D357" t="s">
        <v>669</v>
      </c>
      <c r="E357" t="s">
        <v>670</v>
      </c>
      <c r="F357" t="s">
        <v>670</v>
      </c>
      <c r="G357">
        <v>1</v>
      </c>
      <c r="H357">
        <v>3.85</v>
      </c>
      <c r="I357">
        <v>0</v>
      </c>
      <c r="J357">
        <v>0</v>
      </c>
      <c r="K357">
        <v>0</v>
      </c>
      <c r="L357">
        <v>0</v>
      </c>
      <c r="M357">
        <v>0</v>
      </c>
      <c r="N357">
        <v>0</v>
      </c>
      <c r="O357" t="s">
        <v>671</v>
      </c>
      <c r="P357" t="s">
        <v>1704</v>
      </c>
      <c r="Q357" t="s">
        <v>1704</v>
      </c>
      <c r="R357" t="s">
        <v>1704</v>
      </c>
    </row>
    <row r="358" ht="26.85" customHeight="1" spans="1:18" x14ac:dyDescent="0.25">
      <c r="A358" t="s">
        <v>1705</v>
      </c>
      <c r="B358" t="s">
        <v>1706</v>
      </c>
      <c r="C358" t="s">
        <v>668</v>
      </c>
      <c r="D358" t="s">
        <v>669</v>
      </c>
      <c r="E358" t="s">
        <v>670</v>
      </c>
      <c r="F358" t="s">
        <v>669</v>
      </c>
      <c r="G358">
        <v>1</v>
      </c>
      <c r="H358">
        <v>3.85</v>
      </c>
      <c r="I358">
        <v>0</v>
      </c>
      <c r="J358">
        <v>4</v>
      </c>
      <c r="K358">
        <v>4</v>
      </c>
      <c r="L358">
        <v>0</v>
      </c>
      <c r="M358">
        <v>152</v>
      </c>
      <c r="N358">
        <v>152</v>
      </c>
      <c r="O358" t="s">
        <v>671</v>
      </c>
      <c r="P358" t="s">
        <v>1707</v>
      </c>
      <c r="Q358" t="s">
        <v>1707</v>
      </c>
      <c r="R358" t="s">
        <v>1707</v>
      </c>
    </row>
    <row r="359" ht="26.85" customHeight="1" spans="1:18" x14ac:dyDescent="0.25">
      <c r="A359" t="s">
        <v>1708</v>
      </c>
      <c r="B359" t="s">
        <v>1709</v>
      </c>
      <c r="C359" t="s">
        <v>668</v>
      </c>
      <c r="D359" t="s">
        <v>669</v>
      </c>
      <c r="E359" t="s">
        <v>670</v>
      </c>
      <c r="F359" t="s">
        <v>669</v>
      </c>
      <c r="G359">
        <v>1</v>
      </c>
      <c r="H359">
        <v>3.85</v>
      </c>
      <c r="I359">
        <v>0</v>
      </c>
      <c r="J359">
        <v>4</v>
      </c>
      <c r="K359">
        <v>4</v>
      </c>
      <c r="L359">
        <v>0</v>
      </c>
      <c r="M359">
        <v>66.36</v>
      </c>
      <c r="N359">
        <v>66.36</v>
      </c>
      <c r="O359" t="s">
        <v>671</v>
      </c>
      <c r="P359" t="s">
        <v>1710</v>
      </c>
      <c r="Q359" t="s">
        <v>1710</v>
      </c>
      <c r="R359" t="s">
        <v>1710</v>
      </c>
    </row>
    <row r="360" ht="26.85" customHeight="1" spans="1:18" x14ac:dyDescent="0.25">
      <c r="A360" t="s">
        <v>1711</v>
      </c>
      <c r="B360" t="s">
        <v>1712</v>
      </c>
      <c r="C360" t="s">
        <v>668</v>
      </c>
      <c r="D360" t="s">
        <v>669</v>
      </c>
      <c r="E360" t="s">
        <v>670</v>
      </c>
      <c r="F360" t="s">
        <v>669</v>
      </c>
      <c r="G360">
        <v>1</v>
      </c>
      <c r="H360">
        <v>3.85</v>
      </c>
      <c r="I360">
        <v>0</v>
      </c>
      <c r="J360">
        <v>1</v>
      </c>
      <c r="K360">
        <v>1</v>
      </c>
      <c r="L360">
        <v>0</v>
      </c>
      <c r="M360">
        <v>19.9</v>
      </c>
      <c r="N360">
        <v>19.9</v>
      </c>
      <c r="O360" t="s">
        <v>671</v>
      </c>
      <c r="P360" t="s">
        <v>1713</v>
      </c>
      <c r="Q360" t="s">
        <v>1713</v>
      </c>
      <c r="R360" t="s">
        <v>1713</v>
      </c>
    </row>
    <row r="361" ht="26.85" customHeight="1" spans="1:18" x14ac:dyDescent="0.25">
      <c r="A361" t="s">
        <v>1714</v>
      </c>
      <c r="B361" t="s">
        <v>1715</v>
      </c>
      <c r="C361" t="s">
        <v>668</v>
      </c>
      <c r="D361" t="s">
        <v>669</v>
      </c>
      <c r="E361" t="s">
        <v>670</v>
      </c>
      <c r="F361" t="s">
        <v>669</v>
      </c>
      <c r="G361">
        <v>1</v>
      </c>
      <c r="H361">
        <v>3.85</v>
      </c>
      <c r="I361">
        <v>0</v>
      </c>
      <c r="J361">
        <v>2</v>
      </c>
      <c r="K361">
        <v>2</v>
      </c>
      <c r="L361">
        <v>0</v>
      </c>
      <c r="M361">
        <v>9.66</v>
      </c>
      <c r="N361">
        <v>9.66</v>
      </c>
      <c r="O361" t="s">
        <v>671</v>
      </c>
      <c r="P361" t="s">
        <v>1716</v>
      </c>
      <c r="Q361" t="s">
        <v>1716</v>
      </c>
      <c r="R361" t="s">
        <v>1716</v>
      </c>
    </row>
    <row r="362" ht="26.85" customHeight="1" spans="1:18" x14ac:dyDescent="0.25">
      <c r="A362" t="s">
        <v>1717</v>
      </c>
      <c r="B362" t="s">
        <v>1718</v>
      </c>
      <c r="C362" t="s">
        <v>668</v>
      </c>
      <c r="D362" t="s">
        <v>670</v>
      </c>
      <c r="E362" t="s">
        <v>669</v>
      </c>
      <c r="F362" t="s">
        <v>669</v>
      </c>
      <c r="G362">
        <v>1</v>
      </c>
      <c r="H362">
        <v>3.85</v>
      </c>
      <c r="I362">
        <v>13</v>
      </c>
      <c r="J362">
        <v>0</v>
      </c>
      <c r="K362">
        <v>13</v>
      </c>
      <c r="L362">
        <v>156</v>
      </c>
      <c r="M362">
        <v>0</v>
      </c>
      <c r="N362">
        <v>156</v>
      </c>
      <c r="O362" t="s">
        <v>671</v>
      </c>
      <c r="P362" t="s">
        <v>1615</v>
      </c>
      <c r="Q362" t="s">
        <v>1615</v>
      </c>
      <c r="R362" t="s">
        <v>1615</v>
      </c>
    </row>
    <row r="363" ht="26.85" customHeight="1" spans="1:18" x14ac:dyDescent="0.25">
      <c r="A363" t="s">
        <v>1719</v>
      </c>
      <c r="B363" t="s">
        <v>1720</v>
      </c>
      <c r="C363" t="s">
        <v>668</v>
      </c>
      <c r="D363" t="s">
        <v>670</v>
      </c>
      <c r="E363" t="s">
        <v>669</v>
      </c>
      <c r="F363" t="s">
        <v>669</v>
      </c>
      <c r="G363">
        <v>1</v>
      </c>
      <c r="H363">
        <v>3.85</v>
      </c>
      <c r="I363">
        <v>1</v>
      </c>
      <c r="J363">
        <v>0</v>
      </c>
      <c r="K363">
        <v>1</v>
      </c>
      <c r="L363">
        <v>407.8</v>
      </c>
      <c r="M363">
        <v>0</v>
      </c>
      <c r="N363">
        <v>407.8</v>
      </c>
      <c r="O363" t="s">
        <v>671</v>
      </c>
      <c r="P363" t="s">
        <v>1721</v>
      </c>
      <c r="Q363" t="s">
        <v>1721</v>
      </c>
      <c r="R363" t="s">
        <v>1721</v>
      </c>
    </row>
    <row r="364" ht="26.85" customHeight="1" spans="1:18" x14ac:dyDescent="0.25">
      <c r="A364" t="s">
        <v>1722</v>
      </c>
      <c r="B364" t="s">
        <v>1723</v>
      </c>
      <c r="C364" t="s">
        <v>668</v>
      </c>
      <c r="D364" t="s">
        <v>669</v>
      </c>
      <c r="E364" t="s">
        <v>670</v>
      </c>
      <c r="F364" t="s">
        <v>670</v>
      </c>
      <c r="G364">
        <v>1</v>
      </c>
      <c r="H364">
        <v>3.85</v>
      </c>
      <c r="I364">
        <v>0</v>
      </c>
      <c r="J364">
        <v>0</v>
      </c>
      <c r="K364">
        <v>0</v>
      </c>
      <c r="L364">
        <v>0</v>
      </c>
      <c r="M364">
        <v>0</v>
      </c>
      <c r="N364">
        <v>0</v>
      </c>
      <c r="O364" t="s">
        <v>671</v>
      </c>
      <c r="P364" t="s">
        <v>1724</v>
      </c>
      <c r="Q364" t="s">
        <v>1724</v>
      </c>
      <c r="R364" t="s">
        <v>1724</v>
      </c>
    </row>
    <row r="365" ht="26.85" customHeight="1" spans="1:18" x14ac:dyDescent="0.25">
      <c r="A365" t="s">
        <v>1725</v>
      </c>
      <c r="B365" t="s">
        <v>1726</v>
      </c>
      <c r="C365" t="s">
        <v>668</v>
      </c>
      <c r="D365" t="s">
        <v>670</v>
      </c>
      <c r="E365" t="s">
        <v>669</v>
      </c>
      <c r="F365" t="s">
        <v>669</v>
      </c>
      <c r="G365">
        <v>1</v>
      </c>
      <c r="H365">
        <v>3.85</v>
      </c>
      <c r="I365">
        <v>5</v>
      </c>
      <c r="J365">
        <v>0</v>
      </c>
      <c r="K365">
        <v>5</v>
      </c>
      <c r="L365">
        <v>127.55</v>
      </c>
      <c r="M365">
        <v>0</v>
      </c>
      <c r="N365">
        <v>127.55</v>
      </c>
      <c r="O365" t="s">
        <v>671</v>
      </c>
      <c r="P365" t="s">
        <v>1727</v>
      </c>
      <c r="Q365" t="s">
        <v>1727</v>
      </c>
      <c r="R365" t="s">
        <v>1727</v>
      </c>
    </row>
    <row r="366" ht="26.85" customHeight="1" spans="1:18" x14ac:dyDescent="0.25">
      <c r="A366" t="s">
        <v>1728</v>
      </c>
      <c r="B366" t="s">
        <v>1729</v>
      </c>
      <c r="C366" t="s">
        <v>668</v>
      </c>
      <c r="D366" t="s">
        <v>670</v>
      </c>
      <c r="E366" t="s">
        <v>669</v>
      </c>
      <c r="F366" t="s">
        <v>669</v>
      </c>
      <c r="G366">
        <v>1</v>
      </c>
      <c r="H366">
        <v>3.85</v>
      </c>
      <c r="I366">
        <v>5</v>
      </c>
      <c r="J366">
        <v>0</v>
      </c>
      <c r="K366">
        <v>5</v>
      </c>
      <c r="L366">
        <v>1031.25</v>
      </c>
      <c r="M366">
        <v>0</v>
      </c>
      <c r="N366">
        <v>1031.25</v>
      </c>
      <c r="O366" t="s">
        <v>671</v>
      </c>
      <c r="P366" t="s">
        <v>1730</v>
      </c>
      <c r="Q366" t="s">
        <v>1730</v>
      </c>
      <c r="R366" t="s">
        <v>1730</v>
      </c>
    </row>
    <row r="367" ht="26.85" customHeight="1" spans="1:18" x14ac:dyDescent="0.25">
      <c r="A367" t="s">
        <v>1731</v>
      </c>
      <c r="B367" t="s">
        <v>1732</v>
      </c>
      <c r="C367" t="s">
        <v>668</v>
      </c>
      <c r="D367" t="s">
        <v>669</v>
      </c>
      <c r="E367" t="s">
        <v>670</v>
      </c>
      <c r="F367" t="s">
        <v>669</v>
      </c>
      <c r="G367">
        <v>1</v>
      </c>
      <c r="H367">
        <v>3.85</v>
      </c>
      <c r="I367">
        <v>0</v>
      </c>
      <c r="J367">
        <v>1</v>
      </c>
      <c r="K367">
        <v>1</v>
      </c>
      <c r="L367">
        <v>0</v>
      </c>
      <c r="M367">
        <v>15.74</v>
      </c>
      <c r="N367">
        <v>15.74</v>
      </c>
      <c r="O367" t="s">
        <v>671</v>
      </c>
      <c r="P367" t="s">
        <v>1733</v>
      </c>
      <c r="Q367" t="s">
        <v>1733</v>
      </c>
      <c r="R367" t="s">
        <v>1733</v>
      </c>
    </row>
    <row r="368" ht="26.85" customHeight="1" spans="1:18" x14ac:dyDescent="0.25">
      <c r="A368" t="s">
        <v>1734</v>
      </c>
      <c r="B368" t="s">
        <v>1735</v>
      </c>
      <c r="C368" t="s">
        <v>668</v>
      </c>
      <c r="D368" t="s">
        <v>669</v>
      </c>
      <c r="E368" t="s">
        <v>670</v>
      </c>
      <c r="F368" t="s">
        <v>669</v>
      </c>
      <c r="G368">
        <v>1</v>
      </c>
      <c r="H368">
        <v>3.85</v>
      </c>
      <c r="I368">
        <v>0</v>
      </c>
      <c r="J368">
        <v>2</v>
      </c>
      <c r="K368">
        <v>2</v>
      </c>
      <c r="L368">
        <v>0</v>
      </c>
      <c r="M368">
        <v>378.6</v>
      </c>
      <c r="N368">
        <v>378.6</v>
      </c>
      <c r="O368" t="s">
        <v>671</v>
      </c>
      <c r="P368" t="s">
        <v>1736</v>
      </c>
      <c r="Q368" t="s">
        <v>1736</v>
      </c>
      <c r="R368" t="s">
        <v>1736</v>
      </c>
    </row>
    <row r="369" ht="26.85" customHeight="1" spans="1:18" x14ac:dyDescent="0.25">
      <c r="A369" t="s">
        <v>1737</v>
      </c>
      <c r="B369" t="s">
        <v>1738</v>
      </c>
      <c r="C369" t="s">
        <v>668</v>
      </c>
      <c r="D369" t="s">
        <v>669</v>
      </c>
      <c r="E369" t="s">
        <v>670</v>
      </c>
      <c r="F369" t="s">
        <v>669</v>
      </c>
      <c r="G369">
        <v>1</v>
      </c>
      <c r="H369">
        <v>3.85</v>
      </c>
      <c r="I369">
        <v>0</v>
      </c>
      <c r="J369">
        <v>3</v>
      </c>
      <c r="K369">
        <v>3</v>
      </c>
      <c r="L369">
        <v>0</v>
      </c>
      <c r="M369">
        <v>69.18</v>
      </c>
      <c r="N369">
        <v>69.18</v>
      </c>
      <c r="O369" t="s">
        <v>671</v>
      </c>
      <c r="P369" t="s">
        <v>1739</v>
      </c>
      <c r="Q369" t="s">
        <v>1739</v>
      </c>
      <c r="R369" t="s">
        <v>1739</v>
      </c>
    </row>
    <row r="370" ht="26.85" customHeight="1" spans="1:18" x14ac:dyDescent="0.25">
      <c r="A370" t="s">
        <v>1740</v>
      </c>
      <c r="B370" t="s">
        <v>1741</v>
      </c>
      <c r="C370" t="s">
        <v>668</v>
      </c>
      <c r="D370" t="s">
        <v>669</v>
      </c>
      <c r="E370" t="s">
        <v>670</v>
      </c>
      <c r="F370" t="s">
        <v>669</v>
      </c>
      <c r="G370">
        <v>1</v>
      </c>
      <c r="H370">
        <v>3.85</v>
      </c>
      <c r="I370">
        <v>0</v>
      </c>
      <c r="J370">
        <v>2</v>
      </c>
      <c r="K370">
        <v>2</v>
      </c>
      <c r="L370">
        <v>0</v>
      </c>
      <c r="M370">
        <v>33.92</v>
      </c>
      <c r="N370">
        <v>33.92</v>
      </c>
      <c r="O370" t="s">
        <v>671</v>
      </c>
      <c r="P370" t="s">
        <v>1742</v>
      </c>
      <c r="Q370" t="s">
        <v>1742</v>
      </c>
      <c r="R370" t="s">
        <v>1742</v>
      </c>
    </row>
    <row r="371" ht="26.85" customHeight="1" spans="1:18" x14ac:dyDescent="0.25">
      <c r="A371" t="s">
        <v>1743</v>
      </c>
      <c r="B371" t="s">
        <v>1744</v>
      </c>
      <c r="C371" t="s">
        <v>668</v>
      </c>
      <c r="D371" t="s">
        <v>669</v>
      </c>
      <c r="E371" t="s">
        <v>670</v>
      </c>
      <c r="F371" t="s">
        <v>669</v>
      </c>
      <c r="G371">
        <v>1</v>
      </c>
      <c r="H371">
        <v>3.85</v>
      </c>
      <c r="I371">
        <v>0</v>
      </c>
      <c r="J371">
        <v>1</v>
      </c>
      <c r="K371">
        <v>1</v>
      </c>
      <c r="L371">
        <v>0</v>
      </c>
      <c r="M371">
        <v>832</v>
      </c>
      <c r="N371">
        <v>832</v>
      </c>
      <c r="O371" t="s">
        <v>671</v>
      </c>
      <c r="P371" t="s">
        <v>1745</v>
      </c>
      <c r="Q371" t="s">
        <v>1745</v>
      </c>
      <c r="R371" t="s">
        <v>1745</v>
      </c>
    </row>
    <row r="372" ht="26.85" customHeight="1" spans="1:18" x14ac:dyDescent="0.25">
      <c r="A372" t="s">
        <v>1746</v>
      </c>
      <c r="B372" t="s">
        <v>1747</v>
      </c>
      <c r="C372" t="s">
        <v>668</v>
      </c>
      <c r="D372" t="s">
        <v>669</v>
      </c>
      <c r="E372" t="s">
        <v>670</v>
      </c>
      <c r="F372" t="s">
        <v>669</v>
      </c>
      <c r="G372">
        <v>1</v>
      </c>
      <c r="H372">
        <v>3.85</v>
      </c>
      <c r="I372">
        <v>0</v>
      </c>
      <c r="J372">
        <v>1</v>
      </c>
      <c r="K372">
        <v>1</v>
      </c>
      <c r="L372">
        <v>0</v>
      </c>
      <c r="M372">
        <v>84.4</v>
      </c>
      <c r="N372">
        <v>84.4</v>
      </c>
      <c r="O372" t="s">
        <v>671</v>
      </c>
      <c r="P372" t="s">
        <v>1748</v>
      </c>
      <c r="Q372" t="s">
        <v>1748</v>
      </c>
      <c r="R372" t="s">
        <v>1748</v>
      </c>
    </row>
    <row r="373" ht="26.85" customHeight="1" spans="1:18" x14ac:dyDescent="0.25">
      <c r="A373" t="s">
        <v>1749</v>
      </c>
      <c r="B373" t="s">
        <v>1750</v>
      </c>
      <c r="C373" t="s">
        <v>668</v>
      </c>
      <c r="D373" t="s">
        <v>669</v>
      </c>
      <c r="E373" t="s">
        <v>670</v>
      </c>
      <c r="F373" t="s">
        <v>669</v>
      </c>
      <c r="G373">
        <v>1</v>
      </c>
      <c r="H373">
        <v>3.85</v>
      </c>
      <c r="I373">
        <v>0</v>
      </c>
      <c r="J373">
        <v>2</v>
      </c>
      <c r="K373">
        <v>2</v>
      </c>
      <c r="L373">
        <v>0</v>
      </c>
      <c r="M373">
        <v>53.62</v>
      </c>
      <c r="N373">
        <v>53.62</v>
      </c>
      <c r="O373" t="s">
        <v>671</v>
      </c>
      <c r="P373" t="s">
        <v>1751</v>
      </c>
      <c r="Q373" t="s">
        <v>1751</v>
      </c>
      <c r="R373" t="s">
        <v>1751</v>
      </c>
    </row>
    <row r="374" ht="26.85" customHeight="1" spans="1:18" x14ac:dyDescent="0.25">
      <c r="A374" t="s">
        <v>1752</v>
      </c>
      <c r="B374" t="s">
        <v>1753</v>
      </c>
      <c r="C374" t="s">
        <v>668</v>
      </c>
      <c r="D374" t="s">
        <v>669</v>
      </c>
      <c r="E374" t="s">
        <v>670</v>
      </c>
      <c r="F374" t="s">
        <v>669</v>
      </c>
      <c r="G374">
        <v>1</v>
      </c>
      <c r="H374">
        <v>3.85</v>
      </c>
      <c r="I374">
        <v>0</v>
      </c>
      <c r="J374">
        <v>11</v>
      </c>
      <c r="K374">
        <v>11</v>
      </c>
      <c r="L374">
        <v>0</v>
      </c>
      <c r="M374">
        <v>30.25</v>
      </c>
      <c r="N374">
        <v>30.25</v>
      </c>
      <c r="O374" t="s">
        <v>671</v>
      </c>
      <c r="P374" t="s">
        <v>1754</v>
      </c>
      <c r="Q374" t="s">
        <v>1754</v>
      </c>
      <c r="R374" t="s">
        <v>1754</v>
      </c>
    </row>
    <row r="375" ht="26.85" customHeight="1" spans="1:18" x14ac:dyDescent="0.25">
      <c r="A375" t="s">
        <v>1755</v>
      </c>
      <c r="B375" t="s">
        <v>1756</v>
      </c>
      <c r="C375" t="s">
        <v>668</v>
      </c>
      <c r="D375" t="s">
        <v>669</v>
      </c>
      <c r="E375" t="s">
        <v>670</v>
      </c>
      <c r="F375" t="s">
        <v>669</v>
      </c>
      <c r="G375">
        <v>1</v>
      </c>
      <c r="H375">
        <v>3.85</v>
      </c>
      <c r="I375">
        <v>0</v>
      </c>
      <c r="J375">
        <v>1</v>
      </c>
      <c r="K375">
        <v>1</v>
      </c>
      <c r="L375">
        <v>0</v>
      </c>
      <c r="M375">
        <v>7.53</v>
      </c>
      <c r="N375">
        <v>7.53</v>
      </c>
      <c r="O375" t="s">
        <v>671</v>
      </c>
      <c r="P375" t="s">
        <v>1757</v>
      </c>
      <c r="Q375" t="s">
        <v>1757</v>
      </c>
      <c r="R375" t="s">
        <v>1757</v>
      </c>
    </row>
    <row r="376" ht="26.85" customHeight="1" spans="1:18" x14ac:dyDescent="0.25">
      <c r="A376" t="s">
        <v>1758</v>
      </c>
      <c r="B376" t="s">
        <v>1759</v>
      </c>
      <c r="C376" t="s">
        <v>668</v>
      </c>
      <c r="D376" t="s">
        <v>669</v>
      </c>
      <c r="E376" t="s">
        <v>670</v>
      </c>
      <c r="F376" t="s">
        <v>669</v>
      </c>
      <c r="G376">
        <v>1</v>
      </c>
      <c r="H376">
        <v>3.85</v>
      </c>
      <c r="I376">
        <v>0</v>
      </c>
      <c r="J376">
        <v>2</v>
      </c>
      <c r="K376">
        <v>2</v>
      </c>
      <c r="L376">
        <v>0</v>
      </c>
      <c r="M376">
        <v>14.2</v>
      </c>
      <c r="N376">
        <v>14.2</v>
      </c>
      <c r="O376" t="s">
        <v>671</v>
      </c>
      <c r="P376" t="s">
        <v>1760</v>
      </c>
      <c r="Q376" t="s">
        <v>1760</v>
      </c>
      <c r="R376" t="s">
        <v>1760</v>
      </c>
    </row>
    <row r="377" ht="26.85" customHeight="1" spans="1:18" x14ac:dyDescent="0.25">
      <c r="A377" t="s">
        <v>1761</v>
      </c>
      <c r="B377" t="s">
        <v>1762</v>
      </c>
      <c r="C377" t="s">
        <v>668</v>
      </c>
      <c r="D377" t="s">
        <v>669</v>
      </c>
      <c r="E377" t="s">
        <v>670</v>
      </c>
      <c r="F377" t="s">
        <v>669</v>
      </c>
      <c r="G377">
        <v>1</v>
      </c>
      <c r="H377">
        <v>3.85</v>
      </c>
      <c r="I377">
        <v>0</v>
      </c>
      <c r="J377">
        <v>1</v>
      </c>
      <c r="K377">
        <v>1</v>
      </c>
      <c r="L377">
        <v>0</v>
      </c>
      <c r="M377">
        <v>18</v>
      </c>
      <c r="N377">
        <v>18</v>
      </c>
      <c r="O377" t="s">
        <v>671</v>
      </c>
      <c r="P377" t="s">
        <v>936</v>
      </c>
      <c r="Q377" t="s">
        <v>936</v>
      </c>
      <c r="R377" t="s">
        <v>936</v>
      </c>
    </row>
    <row r="378" ht="26.85" customHeight="1" spans="1:18" x14ac:dyDescent="0.25">
      <c r="A378" t="s">
        <v>1763</v>
      </c>
      <c r="B378" t="s">
        <v>1764</v>
      </c>
      <c r="C378" t="s">
        <v>668</v>
      </c>
      <c r="D378" t="s">
        <v>669</v>
      </c>
      <c r="E378" t="s">
        <v>670</v>
      </c>
      <c r="F378" t="s">
        <v>669</v>
      </c>
      <c r="G378">
        <v>1</v>
      </c>
      <c r="H378">
        <v>3.85</v>
      </c>
      <c r="I378">
        <v>0</v>
      </c>
      <c r="J378">
        <v>1</v>
      </c>
      <c r="K378">
        <v>1</v>
      </c>
      <c r="L378">
        <v>0</v>
      </c>
      <c r="M378">
        <v>14.39</v>
      </c>
      <c r="N378">
        <v>14.39</v>
      </c>
      <c r="O378" t="s">
        <v>671</v>
      </c>
      <c r="P378" t="s">
        <v>1765</v>
      </c>
      <c r="Q378" t="s">
        <v>1765</v>
      </c>
      <c r="R378" t="s">
        <v>1765</v>
      </c>
    </row>
    <row r="379" ht="26.85" customHeight="1" spans="1:18" x14ac:dyDescent="0.25">
      <c r="A379" t="s">
        <v>1766</v>
      </c>
      <c r="B379" t="s">
        <v>1767</v>
      </c>
      <c r="C379" t="s">
        <v>668</v>
      </c>
      <c r="D379" t="s">
        <v>669</v>
      </c>
      <c r="E379" t="s">
        <v>670</v>
      </c>
      <c r="F379" t="s">
        <v>669</v>
      </c>
      <c r="G379">
        <v>1</v>
      </c>
      <c r="H379">
        <v>3.85</v>
      </c>
      <c r="I379">
        <v>0</v>
      </c>
      <c r="J379">
        <v>2</v>
      </c>
      <c r="K379">
        <v>2</v>
      </c>
      <c r="L379">
        <v>0</v>
      </c>
      <c r="M379">
        <v>31.8</v>
      </c>
      <c r="N379">
        <v>31.8</v>
      </c>
      <c r="O379" t="s">
        <v>671</v>
      </c>
      <c r="P379" t="s">
        <v>1768</v>
      </c>
      <c r="Q379" t="s">
        <v>1768</v>
      </c>
      <c r="R379" t="s">
        <v>1768</v>
      </c>
    </row>
    <row r="380" ht="26.85" customHeight="1" spans="1:18" x14ac:dyDescent="0.25">
      <c r="A380" t="s">
        <v>1769</v>
      </c>
      <c r="B380" t="s">
        <v>1770</v>
      </c>
      <c r="C380" t="s">
        <v>668</v>
      </c>
      <c r="D380" t="s">
        <v>669</v>
      </c>
      <c r="E380" t="s">
        <v>670</v>
      </c>
      <c r="F380" t="s">
        <v>669</v>
      </c>
      <c r="G380">
        <v>1</v>
      </c>
      <c r="H380">
        <v>3.85</v>
      </c>
      <c r="I380">
        <v>0</v>
      </c>
      <c r="J380">
        <v>1</v>
      </c>
      <c r="K380">
        <v>1</v>
      </c>
      <c r="L380">
        <v>0</v>
      </c>
      <c r="M380">
        <v>896.15</v>
      </c>
      <c r="N380">
        <v>896.15</v>
      </c>
      <c r="O380" t="s">
        <v>671</v>
      </c>
      <c r="P380" t="s">
        <v>1771</v>
      </c>
      <c r="Q380" t="s">
        <v>1771</v>
      </c>
      <c r="R380" t="s">
        <v>1771</v>
      </c>
    </row>
    <row r="381" ht="26.85" customHeight="1" spans="1:18" x14ac:dyDescent="0.25">
      <c r="A381" t="s">
        <v>1772</v>
      </c>
      <c r="B381" t="s">
        <v>1773</v>
      </c>
      <c r="C381" t="s">
        <v>668</v>
      </c>
      <c r="D381" t="s">
        <v>669</v>
      </c>
      <c r="E381" t="s">
        <v>670</v>
      </c>
      <c r="F381" t="s">
        <v>669</v>
      </c>
      <c r="G381">
        <v>1</v>
      </c>
      <c r="H381">
        <v>3.85</v>
      </c>
      <c r="I381">
        <v>0</v>
      </c>
      <c r="J381">
        <v>3</v>
      </c>
      <c r="K381">
        <v>3</v>
      </c>
      <c r="L381">
        <v>0</v>
      </c>
      <c r="M381">
        <v>4.2</v>
      </c>
      <c r="N381">
        <v>4.2</v>
      </c>
      <c r="O381" t="s">
        <v>671</v>
      </c>
      <c r="P381" t="s">
        <v>1774</v>
      </c>
      <c r="Q381" t="s">
        <v>1774</v>
      </c>
      <c r="R381" t="s">
        <v>1774</v>
      </c>
    </row>
    <row r="382" ht="26.85" customHeight="1" spans="1:18" x14ac:dyDescent="0.25">
      <c r="A382" t="s">
        <v>1775</v>
      </c>
      <c r="B382" t="s">
        <v>1776</v>
      </c>
      <c r="C382" t="s">
        <v>668</v>
      </c>
      <c r="D382" t="s">
        <v>669</v>
      </c>
      <c r="E382" t="s">
        <v>670</v>
      </c>
      <c r="F382" t="s">
        <v>669</v>
      </c>
      <c r="G382">
        <v>1</v>
      </c>
      <c r="H382">
        <v>3.85</v>
      </c>
      <c r="I382">
        <v>0</v>
      </c>
      <c r="J382">
        <v>2</v>
      </c>
      <c r="K382">
        <v>2</v>
      </c>
      <c r="L382">
        <v>0</v>
      </c>
      <c r="M382">
        <v>3.06</v>
      </c>
      <c r="N382">
        <v>3.06</v>
      </c>
      <c r="O382" t="s">
        <v>671</v>
      </c>
      <c r="P382" t="s">
        <v>1777</v>
      </c>
      <c r="Q382" t="s">
        <v>1777</v>
      </c>
      <c r="R382" t="s">
        <v>1777</v>
      </c>
    </row>
    <row r="383" ht="26.85" customHeight="1" spans="1:18" x14ac:dyDescent="0.25">
      <c r="A383" t="s">
        <v>1778</v>
      </c>
      <c r="B383" t="s">
        <v>1580</v>
      </c>
      <c r="C383" t="s">
        <v>668</v>
      </c>
      <c r="D383" t="s">
        <v>669</v>
      </c>
      <c r="E383" t="s">
        <v>670</v>
      </c>
      <c r="F383" t="s">
        <v>670</v>
      </c>
      <c r="G383">
        <v>1</v>
      </c>
      <c r="H383">
        <v>3.85</v>
      </c>
      <c r="I383">
        <v>0</v>
      </c>
      <c r="J383">
        <v>7</v>
      </c>
      <c r="K383">
        <v>7</v>
      </c>
      <c r="L383">
        <v>0</v>
      </c>
      <c r="M383">
        <v>512.47</v>
      </c>
      <c r="N383">
        <v>512.47</v>
      </c>
      <c r="O383" t="s">
        <v>671</v>
      </c>
      <c r="P383" t="s">
        <v>1779</v>
      </c>
      <c r="Q383" t="s">
        <v>1779</v>
      </c>
      <c r="R383" t="s">
        <v>1779</v>
      </c>
    </row>
    <row r="384" ht="26.85" customHeight="1" spans="1:18" x14ac:dyDescent="0.25">
      <c r="A384" t="s">
        <v>1780</v>
      </c>
      <c r="B384" t="s">
        <v>1781</v>
      </c>
      <c r="C384" t="s">
        <v>668</v>
      </c>
      <c r="D384" t="s">
        <v>669</v>
      </c>
      <c r="E384" t="s">
        <v>670</v>
      </c>
      <c r="F384" t="s">
        <v>669</v>
      </c>
      <c r="G384">
        <v>1</v>
      </c>
      <c r="H384">
        <v>3.85</v>
      </c>
      <c r="I384">
        <v>0</v>
      </c>
      <c r="J384">
        <v>2</v>
      </c>
      <c r="K384">
        <v>2</v>
      </c>
      <c r="L384">
        <v>0</v>
      </c>
      <c r="M384">
        <v>39.6</v>
      </c>
      <c r="N384">
        <v>39.6</v>
      </c>
      <c r="O384" t="s">
        <v>671</v>
      </c>
      <c r="P384" t="s">
        <v>1782</v>
      </c>
      <c r="Q384" t="s">
        <v>1782</v>
      </c>
      <c r="R384" t="s">
        <v>1782</v>
      </c>
    </row>
    <row r="385" ht="26.85" customHeight="1" spans="1:18" x14ac:dyDescent="0.25">
      <c r="A385" t="s">
        <v>1783</v>
      </c>
      <c r="B385" t="s">
        <v>1784</v>
      </c>
      <c r="C385" t="s">
        <v>668</v>
      </c>
      <c r="D385" t="s">
        <v>669</v>
      </c>
      <c r="E385" t="s">
        <v>670</v>
      </c>
      <c r="F385" t="s">
        <v>669</v>
      </c>
      <c r="G385">
        <v>1</v>
      </c>
      <c r="H385">
        <v>3.85</v>
      </c>
      <c r="I385">
        <v>0</v>
      </c>
      <c r="J385">
        <v>1</v>
      </c>
      <c r="K385">
        <v>1</v>
      </c>
      <c r="L385">
        <v>0</v>
      </c>
      <c r="M385">
        <v>26.81</v>
      </c>
      <c r="N385">
        <v>26.81</v>
      </c>
      <c r="O385" t="s">
        <v>671</v>
      </c>
      <c r="P385" t="s">
        <v>1751</v>
      </c>
      <c r="Q385" t="s">
        <v>1751</v>
      </c>
      <c r="R385" t="s">
        <v>1751</v>
      </c>
    </row>
    <row r="386" ht="26.85" customHeight="1" spans="1:18" x14ac:dyDescent="0.25">
      <c r="A386" t="s">
        <v>1785</v>
      </c>
      <c r="B386" t="s">
        <v>1786</v>
      </c>
      <c r="C386" t="s">
        <v>668</v>
      </c>
      <c r="D386" t="s">
        <v>669</v>
      </c>
      <c r="E386" t="s">
        <v>670</v>
      </c>
      <c r="F386" t="s">
        <v>669</v>
      </c>
      <c r="G386">
        <v>1</v>
      </c>
      <c r="H386">
        <v>3.85</v>
      </c>
      <c r="I386">
        <v>0</v>
      </c>
      <c r="J386">
        <v>1</v>
      </c>
      <c r="K386">
        <v>1</v>
      </c>
      <c r="L386">
        <v>0</v>
      </c>
      <c r="M386">
        <v>223.85</v>
      </c>
      <c r="N386">
        <v>223.85</v>
      </c>
      <c r="O386" t="s">
        <v>671</v>
      </c>
      <c r="P386" t="s">
        <v>1787</v>
      </c>
      <c r="Q386" t="s">
        <v>1787</v>
      </c>
      <c r="R386" t="s">
        <v>1787</v>
      </c>
    </row>
    <row r="387" ht="26.85" customHeight="1" spans="1:18" x14ac:dyDescent="0.25">
      <c r="A387" t="s">
        <v>1788</v>
      </c>
      <c r="B387" t="s">
        <v>1789</v>
      </c>
      <c r="C387" t="s">
        <v>668</v>
      </c>
      <c r="D387" t="s">
        <v>669</v>
      </c>
      <c r="E387" t="s">
        <v>670</v>
      </c>
      <c r="F387" t="s">
        <v>670</v>
      </c>
      <c r="G387">
        <v>1</v>
      </c>
      <c r="H387">
        <v>3.85</v>
      </c>
      <c r="I387">
        <v>0</v>
      </c>
      <c r="J387">
        <v>0</v>
      </c>
      <c r="K387">
        <v>0</v>
      </c>
      <c r="L387">
        <v>0</v>
      </c>
      <c r="M387">
        <v>0</v>
      </c>
      <c r="N387">
        <v>0</v>
      </c>
      <c r="O387" t="s">
        <v>671</v>
      </c>
      <c r="P387" t="s">
        <v>1790</v>
      </c>
      <c r="Q387" t="s">
        <v>1790</v>
      </c>
      <c r="R387" t="s">
        <v>1790</v>
      </c>
    </row>
    <row r="388" ht="26.85" customHeight="1" spans="1:18" x14ac:dyDescent="0.25">
      <c r="A388" t="s">
        <v>1791</v>
      </c>
      <c r="B388" t="s">
        <v>1792</v>
      </c>
      <c r="C388" t="s">
        <v>668</v>
      </c>
      <c r="D388" t="s">
        <v>669</v>
      </c>
      <c r="E388" t="s">
        <v>670</v>
      </c>
      <c r="F388" t="s">
        <v>669</v>
      </c>
      <c r="G388">
        <v>1</v>
      </c>
      <c r="H388">
        <v>3.85</v>
      </c>
      <c r="I388">
        <v>0</v>
      </c>
      <c r="J388">
        <v>2</v>
      </c>
      <c r="K388">
        <v>2</v>
      </c>
      <c r="L388">
        <v>0</v>
      </c>
      <c r="M388">
        <v>23.74</v>
      </c>
      <c r="N388">
        <v>23.74</v>
      </c>
      <c r="O388" t="s">
        <v>671</v>
      </c>
      <c r="P388" t="s">
        <v>1793</v>
      </c>
      <c r="Q388" t="s">
        <v>1793</v>
      </c>
      <c r="R388" t="s">
        <v>1793</v>
      </c>
    </row>
    <row r="389" ht="26.85" customHeight="1" spans="1:18" x14ac:dyDescent="0.25">
      <c r="A389" t="s">
        <v>1794</v>
      </c>
      <c r="B389" t="s">
        <v>1795</v>
      </c>
      <c r="C389" t="s">
        <v>668</v>
      </c>
      <c r="D389" t="s">
        <v>669</v>
      </c>
      <c r="E389" t="s">
        <v>670</v>
      </c>
      <c r="F389" t="s">
        <v>669</v>
      </c>
      <c r="G389">
        <v>1</v>
      </c>
      <c r="H389">
        <v>3.85</v>
      </c>
      <c r="I389">
        <v>0</v>
      </c>
      <c r="J389">
        <v>1</v>
      </c>
      <c r="K389">
        <v>1</v>
      </c>
      <c r="L389">
        <v>0</v>
      </c>
      <c r="M389">
        <v>102.53</v>
      </c>
      <c r="N389">
        <v>102.53</v>
      </c>
      <c r="O389" t="s">
        <v>671</v>
      </c>
      <c r="P389" t="s">
        <v>1796</v>
      </c>
      <c r="Q389" t="s">
        <v>1796</v>
      </c>
      <c r="R389" t="s">
        <v>1796</v>
      </c>
    </row>
    <row r="390" ht="26.85" customHeight="1" spans="1:18" x14ac:dyDescent="0.25">
      <c r="A390" t="s">
        <v>1797</v>
      </c>
      <c r="B390" t="s">
        <v>1798</v>
      </c>
      <c r="C390" t="s">
        <v>668</v>
      </c>
      <c r="D390" t="s">
        <v>669</v>
      </c>
      <c r="E390" t="s">
        <v>670</v>
      </c>
      <c r="F390" t="s">
        <v>669</v>
      </c>
      <c r="G390">
        <v>1</v>
      </c>
      <c r="H390">
        <v>3.85</v>
      </c>
      <c r="I390">
        <v>0</v>
      </c>
      <c r="J390">
        <v>1</v>
      </c>
      <c r="K390">
        <v>1</v>
      </c>
      <c r="L390">
        <v>0</v>
      </c>
      <c r="M390">
        <v>12</v>
      </c>
      <c r="N390">
        <v>12</v>
      </c>
      <c r="O390" t="s">
        <v>671</v>
      </c>
      <c r="P390" t="s">
        <v>1615</v>
      </c>
      <c r="Q390" t="s">
        <v>1615</v>
      </c>
      <c r="R390" t="s">
        <v>1615</v>
      </c>
    </row>
    <row r="391" ht="26.85" customHeight="1" spans="1:18" x14ac:dyDescent="0.25">
      <c r="A391" t="s">
        <v>1799</v>
      </c>
      <c r="B391" t="s">
        <v>1800</v>
      </c>
      <c r="C391" t="s">
        <v>668</v>
      </c>
      <c r="D391" t="s">
        <v>669</v>
      </c>
      <c r="E391" t="s">
        <v>670</v>
      </c>
      <c r="F391" t="s">
        <v>669</v>
      </c>
      <c r="G391">
        <v>1</v>
      </c>
      <c r="H391">
        <v>3.85</v>
      </c>
      <c r="I391">
        <v>0</v>
      </c>
      <c r="J391">
        <v>3</v>
      </c>
      <c r="K391">
        <v>3</v>
      </c>
      <c r="L391">
        <v>0</v>
      </c>
      <c r="M391">
        <v>19.89</v>
      </c>
      <c r="N391">
        <v>19.89</v>
      </c>
      <c r="O391" t="s">
        <v>671</v>
      </c>
      <c r="P391" t="s">
        <v>1801</v>
      </c>
      <c r="Q391" t="s">
        <v>1801</v>
      </c>
      <c r="R391" t="s">
        <v>1801</v>
      </c>
    </row>
    <row r="392" ht="26.85" customHeight="1" spans="1:18" x14ac:dyDescent="0.25">
      <c r="A392" t="s">
        <v>1802</v>
      </c>
      <c r="B392" t="s">
        <v>1803</v>
      </c>
      <c r="C392" t="s">
        <v>668</v>
      </c>
      <c r="D392" t="s">
        <v>669</v>
      </c>
      <c r="E392" t="s">
        <v>670</v>
      </c>
      <c r="F392" t="s">
        <v>669</v>
      </c>
      <c r="G392">
        <v>1</v>
      </c>
      <c r="H392">
        <v>3.85</v>
      </c>
      <c r="I392">
        <v>0</v>
      </c>
      <c r="J392">
        <v>1</v>
      </c>
      <c r="K392">
        <v>1</v>
      </c>
      <c r="L392">
        <v>0</v>
      </c>
      <c r="M392">
        <v>21.51</v>
      </c>
      <c r="N392">
        <v>21.51</v>
      </c>
      <c r="O392" t="s">
        <v>671</v>
      </c>
      <c r="P392" t="s">
        <v>1804</v>
      </c>
      <c r="Q392" t="s">
        <v>1804</v>
      </c>
      <c r="R392" t="s">
        <v>1804</v>
      </c>
    </row>
    <row r="393" ht="26.85" customHeight="1" spans="1:18" x14ac:dyDescent="0.25">
      <c r="A393" t="s">
        <v>1805</v>
      </c>
      <c r="B393" t="s">
        <v>1806</v>
      </c>
      <c r="C393" t="s">
        <v>668</v>
      </c>
      <c r="D393" t="s">
        <v>669</v>
      </c>
      <c r="E393" t="s">
        <v>670</v>
      </c>
      <c r="F393" t="s">
        <v>669</v>
      </c>
      <c r="G393">
        <v>1</v>
      </c>
      <c r="H393">
        <v>3.85</v>
      </c>
      <c r="I393">
        <v>0</v>
      </c>
      <c r="J393">
        <v>2</v>
      </c>
      <c r="K393">
        <v>2</v>
      </c>
      <c r="L393">
        <v>0</v>
      </c>
      <c r="M393">
        <v>92.88</v>
      </c>
      <c r="N393">
        <v>92.88</v>
      </c>
      <c r="O393" t="s">
        <v>671</v>
      </c>
      <c r="P393" t="s">
        <v>1807</v>
      </c>
      <c r="Q393" t="s">
        <v>1807</v>
      </c>
      <c r="R393" t="s">
        <v>1807</v>
      </c>
    </row>
    <row r="394" ht="26.85" customHeight="1" spans="1:18" x14ac:dyDescent="0.25">
      <c r="A394" t="s">
        <v>1808</v>
      </c>
      <c r="B394" t="s">
        <v>1809</v>
      </c>
      <c r="C394" t="s">
        <v>668</v>
      </c>
      <c r="D394" t="s">
        <v>669</v>
      </c>
      <c r="E394" t="s">
        <v>670</v>
      </c>
      <c r="F394" t="s">
        <v>669</v>
      </c>
      <c r="G394">
        <v>1</v>
      </c>
      <c r="H394">
        <v>3.85</v>
      </c>
      <c r="I394">
        <v>0</v>
      </c>
      <c r="J394">
        <v>1</v>
      </c>
      <c r="K394">
        <v>1</v>
      </c>
      <c r="L394">
        <v>0</v>
      </c>
      <c r="M394">
        <v>120.94</v>
      </c>
      <c r="N394">
        <v>120.94</v>
      </c>
      <c r="O394" t="s">
        <v>671</v>
      </c>
      <c r="P394" t="s">
        <v>1810</v>
      </c>
      <c r="Q394" t="s">
        <v>1810</v>
      </c>
      <c r="R394" t="s">
        <v>1810</v>
      </c>
    </row>
    <row r="395" ht="26.85" customHeight="1" spans="1:18" x14ac:dyDescent="0.25">
      <c r="A395" t="s">
        <v>512</v>
      </c>
      <c r="B395" t="s">
        <v>513</v>
      </c>
      <c r="C395" t="s">
        <v>1079</v>
      </c>
      <c r="D395" t="s">
        <v>670</v>
      </c>
      <c r="E395" t="s">
        <v>669</v>
      </c>
      <c r="F395" t="s">
        <v>669</v>
      </c>
      <c r="G395">
        <v>1</v>
      </c>
      <c r="H395">
        <v>3.85</v>
      </c>
      <c r="I395">
        <v>1</v>
      </c>
      <c r="J395">
        <v>0</v>
      </c>
      <c r="K395">
        <v>1</v>
      </c>
      <c r="L395">
        <v>1500</v>
      </c>
      <c r="M395">
        <v>0</v>
      </c>
      <c r="N395">
        <v>1500</v>
      </c>
      <c r="O395" t="s">
        <v>671</v>
      </c>
      <c r="P395" t="s">
        <v>1211</v>
      </c>
      <c r="Q395" t="s">
        <v>1211</v>
      </c>
      <c r="R395" t="s">
        <v>1211</v>
      </c>
    </row>
    <row r="396" ht="39.55" customHeight="1" spans="1:18" x14ac:dyDescent="0.25">
      <c r="A396" t="s">
        <v>428</v>
      </c>
      <c r="B396" t="s">
        <v>429</v>
      </c>
      <c r="C396" t="s">
        <v>1079</v>
      </c>
      <c r="D396" t="s">
        <v>670</v>
      </c>
      <c r="E396" t="s">
        <v>669</v>
      </c>
      <c r="F396" t="s">
        <v>669</v>
      </c>
      <c r="G396">
        <v>1</v>
      </c>
      <c r="H396">
        <v>3.85</v>
      </c>
      <c r="I396">
        <v>1</v>
      </c>
      <c r="J396">
        <v>0</v>
      </c>
      <c r="K396">
        <v>1</v>
      </c>
      <c r="L396">
        <v>13344.05</v>
      </c>
      <c r="M396">
        <v>0</v>
      </c>
      <c r="N396">
        <v>13344.05</v>
      </c>
      <c r="O396" t="s">
        <v>671</v>
      </c>
      <c r="P396" t="s">
        <v>1811</v>
      </c>
      <c r="Q396" t="s">
        <v>1811</v>
      </c>
      <c r="R396" t="s">
        <v>1811</v>
      </c>
    </row>
    <row r="397" ht="39.55" customHeight="1" spans="1:18" x14ac:dyDescent="0.25">
      <c r="A397" t="s">
        <v>426</v>
      </c>
      <c r="B397" t="s">
        <v>427</v>
      </c>
      <c r="C397" t="s">
        <v>1079</v>
      </c>
      <c r="D397" t="s">
        <v>670</v>
      </c>
      <c r="E397" t="s">
        <v>669</v>
      </c>
      <c r="F397" t="s">
        <v>669</v>
      </c>
      <c r="G397">
        <v>1</v>
      </c>
      <c r="H397">
        <v>3.85</v>
      </c>
      <c r="I397">
        <v>1</v>
      </c>
      <c r="J397">
        <v>0</v>
      </c>
      <c r="K397">
        <v>1</v>
      </c>
      <c r="L397">
        <v>13344</v>
      </c>
      <c r="M397">
        <v>0</v>
      </c>
      <c r="N397">
        <v>13344</v>
      </c>
      <c r="O397" t="s">
        <v>671</v>
      </c>
      <c r="P397" t="s">
        <v>1812</v>
      </c>
      <c r="Q397" t="s">
        <v>1812</v>
      </c>
      <c r="R397" t="s">
        <v>1812</v>
      </c>
    </row>
    <row r="398" ht="39.55" customHeight="1" spans="1:18" x14ac:dyDescent="0.25">
      <c r="A398" t="s">
        <v>430</v>
      </c>
      <c r="B398" t="s">
        <v>431</v>
      </c>
      <c r="C398" t="s">
        <v>1079</v>
      </c>
      <c r="D398" t="s">
        <v>670</v>
      </c>
      <c r="E398" t="s">
        <v>669</v>
      </c>
      <c r="F398" t="s">
        <v>669</v>
      </c>
      <c r="G398">
        <v>1</v>
      </c>
      <c r="H398">
        <v>3.85</v>
      </c>
      <c r="I398">
        <v>1</v>
      </c>
      <c r="J398">
        <v>0</v>
      </c>
      <c r="K398">
        <v>1</v>
      </c>
      <c r="L398">
        <v>13344</v>
      </c>
      <c r="M398">
        <v>0</v>
      </c>
      <c r="N398">
        <v>13344</v>
      </c>
      <c r="O398" t="s">
        <v>671</v>
      </c>
      <c r="P398" t="s">
        <v>1812</v>
      </c>
      <c r="Q398" t="s">
        <v>1812</v>
      </c>
      <c r="R398" t="s">
        <v>1812</v>
      </c>
    </row>
    <row r="399" ht="39.55" customHeight="1" spans="1:18" x14ac:dyDescent="0.25">
      <c r="A399" t="s">
        <v>432</v>
      </c>
      <c r="B399" t="s">
        <v>433</v>
      </c>
      <c r="C399" t="s">
        <v>1079</v>
      </c>
      <c r="D399" t="s">
        <v>670</v>
      </c>
      <c r="E399" t="s">
        <v>669</v>
      </c>
      <c r="F399" t="s">
        <v>669</v>
      </c>
      <c r="G399">
        <v>1</v>
      </c>
      <c r="H399">
        <v>3.85</v>
      </c>
      <c r="I399">
        <v>1</v>
      </c>
      <c r="J399">
        <v>0</v>
      </c>
      <c r="K399">
        <v>1</v>
      </c>
      <c r="L399">
        <v>13344.01</v>
      </c>
      <c r="M399">
        <v>0</v>
      </c>
      <c r="N399">
        <v>13344.01</v>
      </c>
      <c r="O399" t="s">
        <v>671</v>
      </c>
      <c r="P399" t="s">
        <v>1813</v>
      </c>
      <c r="Q399" t="s">
        <v>1813</v>
      </c>
      <c r="R399" t="s">
        <v>1813</v>
      </c>
    </row>
    <row r="400" ht="39.55" customHeight="1" spans="1:18" x14ac:dyDescent="0.25">
      <c r="A400" t="s">
        <v>434</v>
      </c>
      <c r="B400" t="s">
        <v>435</v>
      </c>
      <c r="C400" t="s">
        <v>1079</v>
      </c>
      <c r="D400" t="s">
        <v>670</v>
      </c>
      <c r="E400" t="s">
        <v>669</v>
      </c>
      <c r="F400" t="s">
        <v>669</v>
      </c>
      <c r="G400">
        <v>1</v>
      </c>
      <c r="H400">
        <v>3.85</v>
      </c>
      <c r="I400">
        <v>1</v>
      </c>
      <c r="J400">
        <v>0</v>
      </c>
      <c r="K400">
        <v>1</v>
      </c>
      <c r="L400">
        <v>13344.01</v>
      </c>
      <c r="M400">
        <v>0</v>
      </c>
      <c r="N400">
        <v>13344.01</v>
      </c>
      <c r="O400" t="s">
        <v>671</v>
      </c>
      <c r="P400" t="s">
        <v>1813</v>
      </c>
      <c r="Q400" t="s">
        <v>1813</v>
      </c>
      <c r="R400" t="s">
        <v>1813</v>
      </c>
    </row>
    <row r="401" ht="39.55" customHeight="1" spans="1:18" x14ac:dyDescent="0.25">
      <c r="A401" t="s">
        <v>437</v>
      </c>
      <c r="B401" t="s">
        <v>438</v>
      </c>
      <c r="C401" t="s">
        <v>1079</v>
      </c>
      <c r="D401" t="s">
        <v>670</v>
      </c>
      <c r="E401" t="s">
        <v>669</v>
      </c>
      <c r="F401" t="s">
        <v>669</v>
      </c>
      <c r="G401">
        <v>1</v>
      </c>
      <c r="H401">
        <v>3.85</v>
      </c>
      <c r="I401">
        <v>1</v>
      </c>
      <c r="J401">
        <v>0</v>
      </c>
      <c r="K401">
        <v>1</v>
      </c>
      <c r="L401">
        <v>13344</v>
      </c>
      <c r="M401">
        <v>0</v>
      </c>
      <c r="N401">
        <v>13344</v>
      </c>
      <c r="O401" t="s">
        <v>671</v>
      </c>
      <c r="P401" t="s">
        <v>1812</v>
      </c>
      <c r="Q401" t="s">
        <v>1812</v>
      </c>
      <c r="R401" t="s">
        <v>1812</v>
      </c>
    </row>
    <row r="402" ht="39.55" customHeight="1" spans="1:18" x14ac:dyDescent="0.25">
      <c r="A402" t="s">
        <v>474</v>
      </c>
      <c r="B402" t="s">
        <v>475</v>
      </c>
      <c r="C402" t="s">
        <v>1079</v>
      </c>
      <c r="D402" t="s">
        <v>670</v>
      </c>
      <c r="E402" t="s">
        <v>669</v>
      </c>
      <c r="F402" t="s">
        <v>669</v>
      </c>
      <c r="G402">
        <v>1</v>
      </c>
      <c r="H402">
        <v>3.85</v>
      </c>
      <c r="I402">
        <v>1</v>
      </c>
      <c r="J402">
        <v>0</v>
      </c>
      <c r="K402">
        <v>1</v>
      </c>
      <c r="L402">
        <v>23742</v>
      </c>
      <c r="M402">
        <v>0</v>
      </c>
      <c r="N402">
        <v>23742</v>
      </c>
      <c r="O402" t="s">
        <v>671</v>
      </c>
      <c r="P402" t="s">
        <v>1814</v>
      </c>
      <c r="Q402" t="s">
        <v>1814</v>
      </c>
      <c r="R402" t="s">
        <v>1814</v>
      </c>
    </row>
    <row r="403" ht="39.55" customHeight="1" spans="1:18" x14ac:dyDescent="0.25">
      <c r="A403" t="s">
        <v>356</v>
      </c>
      <c r="B403" t="s">
        <v>357</v>
      </c>
      <c r="C403" t="s">
        <v>1079</v>
      </c>
      <c r="D403" t="s">
        <v>670</v>
      </c>
      <c r="E403" t="s">
        <v>669</v>
      </c>
      <c r="F403" t="s">
        <v>669</v>
      </c>
      <c r="G403">
        <v>1</v>
      </c>
      <c r="H403">
        <v>3.85</v>
      </c>
      <c r="I403">
        <v>1</v>
      </c>
      <c r="J403">
        <v>0</v>
      </c>
      <c r="K403">
        <v>1</v>
      </c>
      <c r="L403">
        <v>36136</v>
      </c>
      <c r="M403">
        <v>0</v>
      </c>
      <c r="N403">
        <v>36136</v>
      </c>
      <c r="O403" t="s">
        <v>671</v>
      </c>
      <c r="P403" t="s">
        <v>1512</v>
      </c>
      <c r="Q403" t="s">
        <v>1512</v>
      </c>
      <c r="R403" t="s">
        <v>1512</v>
      </c>
    </row>
    <row r="404" ht="39.55" customHeight="1" spans="1:18" x14ac:dyDescent="0.25">
      <c r="A404" t="s">
        <v>502</v>
      </c>
      <c r="B404" t="s">
        <v>503</v>
      </c>
      <c r="C404" t="s">
        <v>1079</v>
      </c>
      <c r="D404" t="s">
        <v>670</v>
      </c>
      <c r="E404" t="s">
        <v>669</v>
      </c>
      <c r="F404" t="s">
        <v>669</v>
      </c>
      <c r="G404">
        <v>1</v>
      </c>
      <c r="H404">
        <v>3.85</v>
      </c>
      <c r="I404">
        <v>1</v>
      </c>
      <c r="J404">
        <v>0</v>
      </c>
      <c r="K404">
        <v>1</v>
      </c>
      <c r="L404">
        <v>43628</v>
      </c>
      <c r="M404">
        <v>0</v>
      </c>
      <c r="N404">
        <v>43628</v>
      </c>
      <c r="O404" t="s">
        <v>671</v>
      </c>
      <c r="P404" t="s">
        <v>1302</v>
      </c>
      <c r="Q404" t="s">
        <v>1302</v>
      </c>
      <c r="R404" t="s">
        <v>1302</v>
      </c>
    </row>
    <row r="405" ht="39.55" customHeight="1" spans="1:18" x14ac:dyDescent="0.25">
      <c r="A405" t="s">
        <v>472</v>
      </c>
      <c r="B405" t="s">
        <v>473</v>
      </c>
      <c r="C405" t="s">
        <v>1079</v>
      </c>
      <c r="D405" t="s">
        <v>670</v>
      </c>
      <c r="E405" t="s">
        <v>669</v>
      </c>
      <c r="F405" t="s">
        <v>669</v>
      </c>
      <c r="G405">
        <v>1</v>
      </c>
      <c r="H405">
        <v>3.85</v>
      </c>
      <c r="I405">
        <v>1</v>
      </c>
      <c r="J405">
        <v>0</v>
      </c>
      <c r="K405">
        <v>1</v>
      </c>
      <c r="L405">
        <v>43628</v>
      </c>
      <c r="M405">
        <v>0</v>
      </c>
      <c r="N405">
        <v>43628</v>
      </c>
      <c r="O405" t="s">
        <v>671</v>
      </c>
      <c r="P405" t="s">
        <v>1302</v>
      </c>
      <c r="Q405" t="s">
        <v>1302</v>
      </c>
      <c r="R405" t="s">
        <v>1302</v>
      </c>
    </row>
    <row r="406" ht="52.2" customHeight="1" spans="1:18" x14ac:dyDescent="0.25">
      <c r="A406" t="s">
        <v>472</v>
      </c>
      <c r="B406" t="s">
        <v>1815</v>
      </c>
      <c r="C406" t="s">
        <v>1079</v>
      </c>
      <c r="D406" t="s">
        <v>670</v>
      </c>
      <c r="E406" t="s">
        <v>669</v>
      </c>
      <c r="F406" t="s">
        <v>669</v>
      </c>
      <c r="G406" t="s">
        <v>671</v>
      </c>
      <c r="H406" t="s">
        <v>1578</v>
      </c>
      <c r="I406" t="s">
        <v>671</v>
      </c>
      <c r="J406" t="s">
        <v>898</v>
      </c>
      <c r="K406" t="s">
        <v>671</v>
      </c>
      <c r="L406" t="s">
        <v>1302</v>
      </c>
      <c r="M406" t="s">
        <v>898</v>
      </c>
      <c r="N406" t="s">
        <v>1302</v>
      </c>
      <c r="O406" t="s">
        <v>671</v>
      </c>
      <c r="P406" t="s">
        <v>1302</v>
      </c>
      <c r="Q406" t="s">
        <v>1302</v>
      </c>
      <c r="R406" t="s">
        <v>1302</v>
      </c>
    </row>
    <row r="407" ht="52.2" customHeight="1" spans="1:18" x14ac:dyDescent="0.25">
      <c r="A407" t="s">
        <v>480</v>
      </c>
      <c r="B407" t="s">
        <v>481</v>
      </c>
      <c r="C407" t="s">
        <v>1079</v>
      </c>
      <c r="D407" t="s">
        <v>670</v>
      </c>
      <c r="E407" t="s">
        <v>669</v>
      </c>
      <c r="F407" t="s">
        <v>669</v>
      </c>
      <c r="G407">
        <v>1</v>
      </c>
      <c r="H407">
        <v>3.85</v>
      </c>
      <c r="I407">
        <v>1</v>
      </c>
      <c r="J407">
        <v>0</v>
      </c>
      <c r="K407">
        <v>1</v>
      </c>
      <c r="L407">
        <v>43628</v>
      </c>
      <c r="M407">
        <v>0</v>
      </c>
      <c r="N407">
        <v>43628</v>
      </c>
      <c r="O407" t="s">
        <v>671</v>
      </c>
      <c r="P407" t="s">
        <v>1302</v>
      </c>
      <c r="Q407" t="s">
        <v>1302</v>
      </c>
      <c r="R407" t="s">
        <v>1302</v>
      </c>
    </row>
    <row r="408" ht="52.2" customHeight="1" spans="1:18" x14ac:dyDescent="0.25">
      <c r="A408" t="s">
        <v>420</v>
      </c>
      <c r="B408" t="s">
        <v>421</v>
      </c>
      <c r="C408" t="s">
        <v>1079</v>
      </c>
      <c r="D408" t="s">
        <v>670</v>
      </c>
      <c r="E408" t="s">
        <v>669</v>
      </c>
      <c r="F408" t="s">
        <v>669</v>
      </c>
      <c r="G408" t="s">
        <v>671</v>
      </c>
      <c r="H408" t="s">
        <v>1578</v>
      </c>
      <c r="I408" t="s">
        <v>671</v>
      </c>
      <c r="J408" t="s">
        <v>898</v>
      </c>
      <c r="K408" t="s">
        <v>671</v>
      </c>
      <c r="L408" t="s">
        <v>1813</v>
      </c>
      <c r="M408" t="s">
        <v>898</v>
      </c>
      <c r="N408" t="s">
        <v>1813</v>
      </c>
      <c r="O408" t="s">
        <v>671</v>
      </c>
      <c r="P408" t="s">
        <v>1813</v>
      </c>
      <c r="Q408" t="s">
        <v>1813</v>
      </c>
      <c r="R408" t="s">
        <v>1813</v>
      </c>
    </row>
    <row r="409" ht="52.2" customHeight="1" spans="1:18" x14ac:dyDescent="0.25">
      <c r="A409" t="s">
        <v>424</v>
      </c>
      <c r="B409" t="s">
        <v>425</v>
      </c>
      <c r="C409" t="s">
        <v>1079</v>
      </c>
      <c r="D409" t="s">
        <v>670</v>
      </c>
      <c r="E409" t="s">
        <v>669</v>
      </c>
      <c r="F409" t="s">
        <v>669</v>
      </c>
      <c r="G409" t="s">
        <v>671</v>
      </c>
      <c r="H409" t="s">
        <v>1578</v>
      </c>
      <c r="I409" t="s">
        <v>671</v>
      </c>
      <c r="J409" t="s">
        <v>898</v>
      </c>
      <c r="K409" t="s">
        <v>671</v>
      </c>
      <c r="L409" t="s">
        <v>1816</v>
      </c>
      <c r="M409" t="s">
        <v>898</v>
      </c>
      <c r="N409" t="s">
        <v>1816</v>
      </c>
      <c r="O409" t="s">
        <v>671</v>
      </c>
      <c r="P409" t="s">
        <v>1816</v>
      </c>
      <c r="Q409" t="s">
        <v>1816</v>
      </c>
      <c r="R409" t="s">
        <v>1816</v>
      </c>
    </row>
    <row r="410" ht="52.2" customHeight="1" spans="1:18" x14ac:dyDescent="0.25">
      <c r="A410" t="s">
        <v>418</v>
      </c>
      <c r="B410" t="s">
        <v>419</v>
      </c>
      <c r="C410" t="s">
        <v>1079</v>
      </c>
      <c r="D410" t="s">
        <v>670</v>
      </c>
      <c r="E410" t="s">
        <v>669</v>
      </c>
      <c r="F410" t="s">
        <v>669</v>
      </c>
      <c r="G410" t="s">
        <v>671</v>
      </c>
      <c r="H410" t="s">
        <v>1578</v>
      </c>
      <c r="I410" t="s">
        <v>671</v>
      </c>
      <c r="J410" t="s">
        <v>898</v>
      </c>
      <c r="K410" t="s">
        <v>671</v>
      </c>
      <c r="L410" t="s">
        <v>1811</v>
      </c>
      <c r="M410" t="s">
        <v>898</v>
      </c>
      <c r="N410" t="s">
        <v>1811</v>
      </c>
      <c r="O410" t="s">
        <v>671</v>
      </c>
      <c r="P410" t="s">
        <v>1811</v>
      </c>
      <c r="Q410" t="s">
        <v>1811</v>
      </c>
      <c r="R410" t="s">
        <v>1811</v>
      </c>
    </row>
    <row r="411" ht="52.2" customHeight="1" spans="1:18" x14ac:dyDescent="0.25">
      <c r="A411" t="s">
        <v>422</v>
      </c>
      <c r="B411" t="s">
        <v>423</v>
      </c>
      <c r="C411" t="s">
        <v>1079</v>
      </c>
      <c r="D411" t="s">
        <v>670</v>
      </c>
      <c r="E411" t="s">
        <v>669</v>
      </c>
      <c r="F411" t="s">
        <v>669</v>
      </c>
      <c r="G411" t="s">
        <v>671</v>
      </c>
      <c r="H411" t="s">
        <v>1578</v>
      </c>
      <c r="I411" t="s">
        <v>671</v>
      </c>
      <c r="J411" t="s">
        <v>898</v>
      </c>
      <c r="K411" t="s">
        <v>671</v>
      </c>
      <c r="L411" t="s">
        <v>1811</v>
      </c>
      <c r="M411" t="s">
        <v>898</v>
      </c>
      <c r="N411" t="s">
        <v>1811</v>
      </c>
      <c r="O411" t="s">
        <v>671</v>
      </c>
      <c r="P411" t="s">
        <v>1811</v>
      </c>
      <c r="Q411" t="s">
        <v>1811</v>
      </c>
      <c r="R411" t="s">
        <v>1811</v>
      </c>
    </row>
    <row r="412" ht="39.55" customHeight="1" spans="1:18" x14ac:dyDescent="0.25">
      <c r="A412" t="s">
        <v>476</v>
      </c>
      <c r="B412" t="s">
        <v>477</v>
      </c>
      <c r="C412" t="s">
        <v>1079</v>
      </c>
      <c r="D412" t="s">
        <v>670</v>
      </c>
      <c r="E412" t="s">
        <v>669</v>
      </c>
      <c r="F412" t="s">
        <v>669</v>
      </c>
      <c r="G412">
        <v>1</v>
      </c>
      <c r="H412">
        <v>3.85</v>
      </c>
      <c r="I412">
        <v>1</v>
      </c>
      <c r="J412">
        <v>0</v>
      </c>
      <c r="K412">
        <v>1</v>
      </c>
      <c r="L412">
        <v>23742</v>
      </c>
      <c r="M412">
        <v>0</v>
      </c>
      <c r="N412">
        <v>23742</v>
      </c>
      <c r="O412" t="s">
        <v>671</v>
      </c>
      <c r="P412" t="s">
        <v>1814</v>
      </c>
      <c r="Q412" t="s">
        <v>1814</v>
      </c>
      <c r="R412" t="s">
        <v>1814</v>
      </c>
    </row>
    <row r="413" ht="26.85" customHeight="1" spans="1:18" x14ac:dyDescent="0.25">
      <c r="A413" t="s">
        <v>350</v>
      </c>
      <c r="B413" t="s">
        <v>351</v>
      </c>
      <c r="C413" t="s">
        <v>1079</v>
      </c>
      <c r="D413" t="s">
        <v>670</v>
      </c>
      <c r="E413" t="s">
        <v>669</v>
      </c>
      <c r="F413" t="s">
        <v>669</v>
      </c>
      <c r="G413">
        <v>1</v>
      </c>
      <c r="H413">
        <v>3.85</v>
      </c>
      <c r="I413">
        <v>1</v>
      </c>
      <c r="J413">
        <v>0</v>
      </c>
      <c r="K413">
        <v>1</v>
      </c>
      <c r="L413">
        <v>36136</v>
      </c>
      <c r="M413">
        <v>0</v>
      </c>
      <c r="N413">
        <v>36136</v>
      </c>
      <c r="O413" t="s">
        <v>671</v>
      </c>
      <c r="P413" t="s">
        <v>1512</v>
      </c>
      <c r="Q413" t="s">
        <v>1512</v>
      </c>
      <c r="R413" t="s">
        <v>1512</v>
      </c>
    </row>
    <row r="414" ht="39.55" customHeight="1" spans="1:18" x14ac:dyDescent="0.25">
      <c r="A414" t="s">
        <v>382</v>
      </c>
      <c r="B414" t="s">
        <v>383</v>
      </c>
      <c r="C414" t="s">
        <v>1079</v>
      </c>
      <c r="D414" t="s">
        <v>670</v>
      </c>
      <c r="E414" t="s">
        <v>669</v>
      </c>
      <c r="F414" t="s">
        <v>669</v>
      </c>
      <c r="G414">
        <v>1</v>
      </c>
      <c r="H414">
        <v>3.85</v>
      </c>
      <c r="I414">
        <v>1</v>
      </c>
      <c r="J414">
        <v>0</v>
      </c>
      <c r="K414">
        <v>1</v>
      </c>
      <c r="L414">
        <v>36136</v>
      </c>
      <c r="M414">
        <v>0</v>
      </c>
      <c r="N414">
        <v>36136</v>
      </c>
      <c r="O414" t="s">
        <v>671</v>
      </c>
      <c r="P414" t="s">
        <v>1512</v>
      </c>
      <c r="Q414" t="s">
        <v>1512</v>
      </c>
      <c r="R414" t="s">
        <v>1512</v>
      </c>
    </row>
    <row r="415" ht="52.2" customHeight="1" spans="1:18" x14ac:dyDescent="0.25">
      <c r="A415" t="s">
        <v>364</v>
      </c>
      <c r="B415" t="s">
        <v>365</v>
      </c>
      <c r="C415" t="s">
        <v>1079</v>
      </c>
      <c r="D415" t="s">
        <v>670</v>
      </c>
      <c r="E415" t="s">
        <v>669</v>
      </c>
      <c r="F415" t="s">
        <v>669</v>
      </c>
      <c r="G415">
        <v>1</v>
      </c>
      <c r="H415">
        <v>3.85</v>
      </c>
      <c r="I415">
        <v>1</v>
      </c>
      <c r="J415">
        <v>0</v>
      </c>
      <c r="K415">
        <v>1</v>
      </c>
      <c r="L415">
        <v>36136</v>
      </c>
      <c r="M415">
        <v>0</v>
      </c>
      <c r="N415">
        <v>36136</v>
      </c>
      <c r="O415" t="s">
        <v>671</v>
      </c>
      <c r="P415" t="s">
        <v>1512</v>
      </c>
      <c r="Q415" t="s">
        <v>1512</v>
      </c>
      <c r="R415" t="s">
        <v>1512</v>
      </c>
    </row>
    <row r="416" ht="39.55" customHeight="1" spans="1:18" x14ac:dyDescent="0.25">
      <c r="A416" t="s">
        <v>514</v>
      </c>
      <c r="B416" t="s">
        <v>515</v>
      </c>
      <c r="C416" t="s">
        <v>1079</v>
      </c>
      <c r="D416" t="s">
        <v>670</v>
      </c>
      <c r="E416" t="s">
        <v>669</v>
      </c>
      <c r="F416" t="s">
        <v>669</v>
      </c>
      <c r="G416">
        <v>1</v>
      </c>
      <c r="H416">
        <v>3.85</v>
      </c>
      <c r="I416">
        <v>1</v>
      </c>
      <c r="J416">
        <v>0</v>
      </c>
      <c r="K416">
        <v>1</v>
      </c>
      <c r="L416">
        <v>30768.75</v>
      </c>
      <c r="M416">
        <v>0</v>
      </c>
      <c r="N416">
        <v>30768.75</v>
      </c>
      <c r="O416" t="s">
        <v>671</v>
      </c>
      <c r="P416" t="s">
        <v>1817</v>
      </c>
      <c r="Q416" t="s">
        <v>1817</v>
      </c>
      <c r="R416" t="s">
        <v>1817</v>
      </c>
    </row>
    <row r="417" ht="39.55" customHeight="1" spans="1:18" x14ac:dyDescent="0.25">
      <c r="A417" t="s">
        <v>508</v>
      </c>
      <c r="B417" t="s">
        <v>509</v>
      </c>
      <c r="C417" t="s">
        <v>1079</v>
      </c>
      <c r="D417" t="s">
        <v>670</v>
      </c>
      <c r="E417" t="s">
        <v>669</v>
      </c>
      <c r="F417" t="s">
        <v>669</v>
      </c>
      <c r="G417">
        <v>1</v>
      </c>
      <c r="H417">
        <v>3.85</v>
      </c>
      <c r="I417">
        <v>1</v>
      </c>
      <c r="J417">
        <v>0</v>
      </c>
      <c r="K417">
        <v>1</v>
      </c>
      <c r="L417">
        <v>227.9</v>
      </c>
      <c r="M417">
        <v>0</v>
      </c>
      <c r="N417">
        <v>227.9</v>
      </c>
      <c r="O417" t="s">
        <v>671</v>
      </c>
      <c r="P417" t="s">
        <v>1818</v>
      </c>
      <c r="Q417" t="s">
        <v>1818</v>
      </c>
      <c r="R417" t="s">
        <v>1818</v>
      </c>
    </row>
    <row r="418" ht="39.55" customHeight="1" spans="1:18" x14ac:dyDescent="0.25">
      <c r="A418" t="s">
        <v>510</v>
      </c>
      <c r="B418" t="s">
        <v>511</v>
      </c>
      <c r="C418" t="s">
        <v>1079</v>
      </c>
      <c r="D418" t="s">
        <v>670</v>
      </c>
      <c r="E418" t="s">
        <v>669</v>
      </c>
      <c r="F418" t="s">
        <v>669</v>
      </c>
      <c r="G418">
        <v>1</v>
      </c>
      <c r="H418">
        <v>3.85</v>
      </c>
      <c r="I418">
        <v>1</v>
      </c>
      <c r="J418">
        <v>0</v>
      </c>
      <c r="K418">
        <v>1</v>
      </c>
      <c r="L418">
        <v>565.35</v>
      </c>
      <c r="M418">
        <v>0</v>
      </c>
      <c r="N418">
        <v>565.35</v>
      </c>
      <c r="O418" t="s">
        <v>671</v>
      </c>
      <c r="P418" t="s">
        <v>1819</v>
      </c>
      <c r="Q418" t="s">
        <v>1819</v>
      </c>
      <c r="R418" t="s">
        <v>1819</v>
      </c>
    </row>
    <row r="419" ht="26.85" customHeight="1" spans="1:18" x14ac:dyDescent="0.25">
      <c r="A419" t="s">
        <v>442</v>
      </c>
      <c r="B419" t="s">
        <v>443</v>
      </c>
      <c r="C419" t="s">
        <v>1079</v>
      </c>
      <c r="D419" t="s">
        <v>670</v>
      </c>
      <c r="E419" t="s">
        <v>669</v>
      </c>
      <c r="F419" t="s">
        <v>669</v>
      </c>
      <c r="G419">
        <v>1</v>
      </c>
      <c r="H419">
        <v>3.85</v>
      </c>
      <c r="I419">
        <v>1</v>
      </c>
      <c r="J419">
        <v>0</v>
      </c>
      <c r="K419">
        <v>1</v>
      </c>
      <c r="L419">
        <v>13340.05</v>
      </c>
      <c r="M419">
        <v>0</v>
      </c>
      <c r="N419">
        <v>13340.05</v>
      </c>
      <c r="O419" t="s">
        <v>671</v>
      </c>
      <c r="P419" t="s">
        <v>1367</v>
      </c>
      <c r="Q419" t="s">
        <v>1367</v>
      </c>
      <c r="R419" t="s">
        <v>1367</v>
      </c>
    </row>
    <row r="420" ht="26.85" customHeight="1" spans="1:18" x14ac:dyDescent="0.25">
      <c r="A420" t="s">
        <v>444</v>
      </c>
      <c r="B420" t="s">
        <v>445</v>
      </c>
      <c r="C420" t="s">
        <v>1079</v>
      </c>
      <c r="D420" t="s">
        <v>670</v>
      </c>
      <c r="E420" t="s">
        <v>669</v>
      </c>
      <c r="F420" t="s">
        <v>669</v>
      </c>
      <c r="G420">
        <v>1</v>
      </c>
      <c r="H420">
        <v>3.85</v>
      </c>
      <c r="I420">
        <v>1</v>
      </c>
      <c r="J420">
        <v>0</v>
      </c>
      <c r="K420">
        <v>1</v>
      </c>
      <c r="L420">
        <v>13340.05</v>
      </c>
      <c r="M420">
        <v>0</v>
      </c>
      <c r="N420">
        <v>13340.05</v>
      </c>
      <c r="O420" t="s">
        <v>671</v>
      </c>
      <c r="P420" t="s">
        <v>1367</v>
      </c>
      <c r="Q420" t="s">
        <v>1367</v>
      </c>
      <c r="R420" t="s">
        <v>1367</v>
      </c>
    </row>
    <row r="421" ht="26.85" customHeight="1" spans="1:18" x14ac:dyDescent="0.25">
      <c r="A421" t="s">
        <v>390</v>
      </c>
      <c r="B421" t="s">
        <v>391</v>
      </c>
      <c r="C421" t="s">
        <v>1079</v>
      </c>
      <c r="D421" t="s">
        <v>670</v>
      </c>
      <c r="E421" t="s">
        <v>669</v>
      </c>
      <c r="F421" t="s">
        <v>669</v>
      </c>
      <c r="G421">
        <v>1</v>
      </c>
      <c r="H421">
        <v>3.85</v>
      </c>
      <c r="I421">
        <v>1</v>
      </c>
      <c r="J421">
        <v>0</v>
      </c>
      <c r="K421">
        <v>1</v>
      </c>
      <c r="L421">
        <v>36130</v>
      </c>
      <c r="M421">
        <v>0</v>
      </c>
      <c r="N421">
        <v>36130</v>
      </c>
      <c r="O421" t="s">
        <v>671</v>
      </c>
      <c r="P421" t="s">
        <v>1369</v>
      </c>
      <c r="Q421" t="s">
        <v>1369</v>
      </c>
      <c r="R421" t="s">
        <v>1369</v>
      </c>
    </row>
    <row r="422" ht="26.85" customHeight="1" spans="1:18" x14ac:dyDescent="0.25">
      <c r="A422" t="s">
        <v>395</v>
      </c>
      <c r="B422" t="s">
        <v>396</v>
      </c>
      <c r="C422" t="s">
        <v>1079</v>
      </c>
      <c r="D422" t="s">
        <v>670</v>
      </c>
      <c r="E422" t="s">
        <v>669</v>
      </c>
      <c r="F422" t="s">
        <v>669</v>
      </c>
      <c r="G422">
        <v>1</v>
      </c>
      <c r="H422">
        <v>3.85</v>
      </c>
      <c r="I422">
        <v>1</v>
      </c>
      <c r="J422">
        <v>0</v>
      </c>
      <c r="K422">
        <v>1</v>
      </c>
      <c r="L422">
        <v>36130</v>
      </c>
      <c r="M422">
        <v>0</v>
      </c>
      <c r="N422">
        <v>36130</v>
      </c>
      <c r="O422" t="s">
        <v>671</v>
      </c>
      <c r="P422" t="s">
        <v>1369</v>
      </c>
      <c r="Q422" t="s">
        <v>1369</v>
      </c>
      <c r="R422" t="s">
        <v>1369</v>
      </c>
    </row>
    <row r="423" ht="26.85" customHeight="1" spans="1:18" x14ac:dyDescent="0.25">
      <c r="A423" t="s">
        <v>400</v>
      </c>
      <c r="B423" t="s">
        <v>401</v>
      </c>
      <c r="C423" t="s">
        <v>1079</v>
      </c>
      <c r="D423" t="s">
        <v>670</v>
      </c>
      <c r="E423" t="s">
        <v>669</v>
      </c>
      <c r="F423" t="s">
        <v>669</v>
      </c>
      <c r="G423">
        <v>1</v>
      </c>
      <c r="H423">
        <v>3.85</v>
      </c>
      <c r="I423">
        <v>1</v>
      </c>
      <c r="J423">
        <v>0</v>
      </c>
      <c r="K423">
        <v>1</v>
      </c>
      <c r="L423">
        <v>36130</v>
      </c>
      <c r="M423">
        <v>0</v>
      </c>
      <c r="N423">
        <v>36130</v>
      </c>
      <c r="O423" t="s">
        <v>671</v>
      </c>
      <c r="P423" t="s">
        <v>1369</v>
      </c>
      <c r="Q423" t="s">
        <v>1369</v>
      </c>
      <c r="R423" t="s">
        <v>1369</v>
      </c>
    </row>
    <row r="424" ht="39.55" customHeight="1" spans="1:18" x14ac:dyDescent="0.25">
      <c r="A424" t="s">
        <v>387</v>
      </c>
      <c r="B424" t="s">
        <v>388</v>
      </c>
      <c r="C424" t="s">
        <v>1079</v>
      </c>
      <c r="D424" t="s">
        <v>670</v>
      </c>
      <c r="E424" t="s">
        <v>669</v>
      </c>
      <c r="F424" t="s">
        <v>669</v>
      </c>
      <c r="G424">
        <v>1</v>
      </c>
      <c r="H424">
        <v>3.85</v>
      </c>
      <c r="I424">
        <v>1</v>
      </c>
      <c r="J424">
        <v>0</v>
      </c>
      <c r="K424">
        <v>1</v>
      </c>
      <c r="L424">
        <v>36130</v>
      </c>
      <c r="M424">
        <v>0</v>
      </c>
      <c r="N424">
        <v>36130</v>
      </c>
      <c r="O424" t="s">
        <v>671</v>
      </c>
      <c r="P424" t="s">
        <v>1369</v>
      </c>
      <c r="Q424" t="s">
        <v>1369</v>
      </c>
      <c r="R424" t="s">
        <v>1369</v>
      </c>
    </row>
    <row r="425" ht="26.85" customHeight="1" spans="1:18" x14ac:dyDescent="0.25">
      <c r="A425" t="s">
        <v>482</v>
      </c>
      <c r="B425" t="s">
        <v>483</v>
      </c>
      <c r="C425" t="s">
        <v>1079</v>
      </c>
      <c r="D425" t="s">
        <v>670</v>
      </c>
      <c r="E425" t="s">
        <v>669</v>
      </c>
      <c r="F425" t="s">
        <v>669</v>
      </c>
      <c r="G425">
        <v>1</v>
      </c>
      <c r="H425">
        <v>3.85</v>
      </c>
      <c r="I425">
        <v>1</v>
      </c>
      <c r="J425">
        <v>0</v>
      </c>
      <c r="K425">
        <v>1</v>
      </c>
      <c r="L425">
        <v>33924.98</v>
      </c>
      <c r="M425">
        <v>0</v>
      </c>
      <c r="N425">
        <v>33924.98</v>
      </c>
      <c r="O425" t="s">
        <v>671</v>
      </c>
      <c r="P425" t="s">
        <v>1820</v>
      </c>
      <c r="Q425" t="s">
        <v>1820</v>
      </c>
      <c r="R425" t="s">
        <v>1820</v>
      </c>
    </row>
    <row r="426" ht="26.85" customHeight="1" spans="1:18" x14ac:dyDescent="0.25">
      <c r="A426" t="s">
        <v>484</v>
      </c>
      <c r="B426" t="s">
        <v>485</v>
      </c>
      <c r="C426" t="s">
        <v>1079</v>
      </c>
      <c r="D426" t="s">
        <v>670</v>
      </c>
      <c r="E426" t="s">
        <v>669</v>
      </c>
      <c r="F426" t="s">
        <v>669</v>
      </c>
      <c r="G426">
        <v>1</v>
      </c>
      <c r="H426">
        <v>3.85</v>
      </c>
      <c r="I426">
        <v>1</v>
      </c>
      <c r="J426">
        <v>0</v>
      </c>
      <c r="K426">
        <v>1</v>
      </c>
      <c r="L426">
        <v>33925</v>
      </c>
      <c r="M426">
        <v>0</v>
      </c>
      <c r="N426">
        <v>33925</v>
      </c>
      <c r="O426" t="s">
        <v>671</v>
      </c>
      <c r="P426" t="s">
        <v>1821</v>
      </c>
      <c r="Q426" t="s">
        <v>1821</v>
      </c>
      <c r="R426" t="s">
        <v>1821</v>
      </c>
    </row>
    <row r="427" ht="26.85" customHeight="1" spans="1:18" x14ac:dyDescent="0.25">
      <c r="A427" t="s">
        <v>486</v>
      </c>
      <c r="B427" t="s">
        <v>487</v>
      </c>
      <c r="C427" t="s">
        <v>1079</v>
      </c>
      <c r="D427" t="s">
        <v>670</v>
      </c>
      <c r="E427" t="s">
        <v>669</v>
      </c>
      <c r="F427" t="s">
        <v>669</v>
      </c>
      <c r="G427">
        <v>1</v>
      </c>
      <c r="H427">
        <v>3.85</v>
      </c>
      <c r="I427">
        <v>1</v>
      </c>
      <c r="J427">
        <v>0</v>
      </c>
      <c r="K427">
        <v>1</v>
      </c>
      <c r="L427">
        <v>33925</v>
      </c>
      <c r="M427">
        <v>0</v>
      </c>
      <c r="N427">
        <v>33925</v>
      </c>
      <c r="O427" t="s">
        <v>671</v>
      </c>
      <c r="P427" t="s">
        <v>1821</v>
      </c>
      <c r="Q427" t="s">
        <v>1821</v>
      </c>
      <c r="R427" t="s">
        <v>1821</v>
      </c>
    </row>
    <row r="428" ht="39.55" customHeight="1" spans="1:18" x14ac:dyDescent="0.25">
      <c r="A428" t="s">
        <v>488</v>
      </c>
      <c r="B428" t="s">
        <v>489</v>
      </c>
      <c r="C428" t="s">
        <v>1079</v>
      </c>
      <c r="D428" t="s">
        <v>670</v>
      </c>
      <c r="E428" t="s">
        <v>669</v>
      </c>
      <c r="F428" t="s">
        <v>669</v>
      </c>
      <c r="G428">
        <v>1</v>
      </c>
      <c r="H428">
        <v>3.85</v>
      </c>
      <c r="I428">
        <v>1</v>
      </c>
      <c r="J428">
        <v>0</v>
      </c>
      <c r="K428">
        <v>1</v>
      </c>
      <c r="L428">
        <v>33925</v>
      </c>
      <c r="M428">
        <v>0</v>
      </c>
      <c r="N428">
        <v>33925</v>
      </c>
      <c r="O428" t="s">
        <v>671</v>
      </c>
      <c r="P428" t="s">
        <v>1821</v>
      </c>
      <c r="Q428" t="s">
        <v>1821</v>
      </c>
      <c r="R428" t="s">
        <v>1821</v>
      </c>
    </row>
    <row r="429" ht="26.85" customHeight="1" spans="1:18" x14ac:dyDescent="0.25">
      <c r="A429" t="s">
        <v>440</v>
      </c>
      <c r="B429" t="s">
        <v>441</v>
      </c>
      <c r="C429" t="s">
        <v>1079</v>
      </c>
      <c r="D429" t="s">
        <v>670</v>
      </c>
      <c r="E429" t="s">
        <v>669</v>
      </c>
      <c r="F429" t="s">
        <v>669</v>
      </c>
      <c r="G429" t="s">
        <v>671</v>
      </c>
      <c r="H429" t="s">
        <v>1578</v>
      </c>
      <c r="I429" t="s">
        <v>681</v>
      </c>
      <c r="J429" t="s">
        <v>898</v>
      </c>
      <c r="K429" t="s">
        <v>681</v>
      </c>
      <c r="L429" t="s">
        <v>1822</v>
      </c>
      <c r="M429" t="s">
        <v>898</v>
      </c>
      <c r="N429" t="s">
        <v>1822</v>
      </c>
      <c r="O429" t="s">
        <v>671</v>
      </c>
      <c r="P429" t="s">
        <v>1367</v>
      </c>
      <c r="Q429" t="s">
        <v>1367</v>
      </c>
      <c r="R429" t="s">
        <v>1367</v>
      </c>
    </row>
    <row r="430" ht="39.55" customHeight="1" spans="1:18" x14ac:dyDescent="0.25">
      <c r="A430" t="s">
        <v>446</v>
      </c>
      <c r="B430" t="s">
        <v>447</v>
      </c>
      <c r="C430" t="s">
        <v>1079</v>
      </c>
      <c r="D430" t="s">
        <v>670</v>
      </c>
      <c r="E430" t="s">
        <v>669</v>
      </c>
      <c r="F430" t="s">
        <v>669</v>
      </c>
      <c r="G430">
        <v>1</v>
      </c>
      <c r="H430">
        <v>3.85</v>
      </c>
      <c r="I430">
        <v>1</v>
      </c>
      <c r="J430">
        <v>0</v>
      </c>
      <c r="K430">
        <v>1</v>
      </c>
      <c r="L430">
        <v>13339.5</v>
      </c>
      <c r="M430">
        <v>0</v>
      </c>
      <c r="N430">
        <v>13339.5</v>
      </c>
      <c r="O430" t="s">
        <v>671</v>
      </c>
      <c r="P430" t="s">
        <v>1823</v>
      </c>
      <c r="Q430" t="s">
        <v>1823</v>
      </c>
      <c r="R430" t="s">
        <v>1823</v>
      </c>
    </row>
    <row r="431" ht="26.85" customHeight="1" spans="1:18" x14ac:dyDescent="0.25">
      <c r="A431" t="s">
        <v>464</v>
      </c>
      <c r="B431" t="s">
        <v>465</v>
      </c>
      <c r="C431" t="s">
        <v>1079</v>
      </c>
      <c r="D431" t="s">
        <v>670</v>
      </c>
      <c r="E431" t="s">
        <v>669</v>
      </c>
      <c r="F431" t="s">
        <v>669</v>
      </c>
      <c r="G431">
        <v>1</v>
      </c>
      <c r="H431">
        <v>3.85</v>
      </c>
      <c r="I431">
        <v>1</v>
      </c>
      <c r="J431">
        <v>0</v>
      </c>
      <c r="K431">
        <v>1</v>
      </c>
      <c r="L431">
        <v>0.02</v>
      </c>
      <c r="M431">
        <v>0</v>
      </c>
      <c r="N431">
        <v>0.02</v>
      </c>
      <c r="O431" t="s">
        <v>671</v>
      </c>
      <c r="P431" t="s">
        <v>1213</v>
      </c>
      <c r="Q431" t="s">
        <v>1213</v>
      </c>
      <c r="R431" t="s">
        <v>1213</v>
      </c>
    </row>
    <row r="432" ht="26.85" customHeight="1" spans="1:18" x14ac:dyDescent="0.25">
      <c r="A432" t="s">
        <v>468</v>
      </c>
      <c r="B432" t="s">
        <v>467</v>
      </c>
      <c r="C432" t="s">
        <v>1079</v>
      </c>
      <c r="D432" t="s">
        <v>670</v>
      </c>
      <c r="E432" t="s">
        <v>669</v>
      </c>
      <c r="F432" t="s">
        <v>669</v>
      </c>
      <c r="G432">
        <v>1</v>
      </c>
      <c r="H432">
        <v>3.85</v>
      </c>
      <c r="I432">
        <v>1</v>
      </c>
      <c r="J432">
        <v>0</v>
      </c>
      <c r="K432">
        <v>1</v>
      </c>
      <c r="L432">
        <v>0.1</v>
      </c>
      <c r="M432">
        <v>0</v>
      </c>
      <c r="N432">
        <v>0.1</v>
      </c>
      <c r="O432" t="s">
        <v>671</v>
      </c>
      <c r="P432" t="s">
        <v>1134</v>
      </c>
      <c r="Q432" t="s">
        <v>1134</v>
      </c>
      <c r="R432" t="s">
        <v>1134</v>
      </c>
    </row>
    <row r="433" ht="26.85" customHeight="1" spans="1:18" x14ac:dyDescent="0.25">
      <c r="A433" t="s">
        <v>470</v>
      </c>
      <c r="B433" t="s">
        <v>471</v>
      </c>
      <c r="C433" t="s">
        <v>1079</v>
      </c>
      <c r="D433" t="s">
        <v>670</v>
      </c>
      <c r="E433" t="s">
        <v>669</v>
      </c>
      <c r="F433" t="s">
        <v>669</v>
      </c>
      <c r="G433">
        <v>1</v>
      </c>
      <c r="H433">
        <v>3.85</v>
      </c>
      <c r="I433">
        <v>1</v>
      </c>
      <c r="J433">
        <v>0</v>
      </c>
      <c r="K433">
        <v>1</v>
      </c>
      <c r="L433">
        <v>5730</v>
      </c>
      <c r="M433">
        <v>0</v>
      </c>
      <c r="N433">
        <v>5730</v>
      </c>
      <c r="O433" t="s">
        <v>671</v>
      </c>
      <c r="P433" t="s">
        <v>1080</v>
      </c>
      <c r="Q433" t="s">
        <v>1080</v>
      </c>
      <c r="R433" t="s">
        <v>1080</v>
      </c>
    </row>
    <row r="434" ht="39.55" customHeight="1" spans="1:18" x14ac:dyDescent="0.25">
      <c r="A434" t="s">
        <v>458</v>
      </c>
      <c r="B434" t="s">
        <v>459</v>
      </c>
      <c r="C434" t="s">
        <v>1079</v>
      </c>
      <c r="D434" t="s">
        <v>670</v>
      </c>
      <c r="E434" t="s">
        <v>669</v>
      </c>
      <c r="F434" t="s">
        <v>669</v>
      </c>
      <c r="G434">
        <v>1</v>
      </c>
      <c r="H434">
        <v>3.85</v>
      </c>
      <c r="I434">
        <v>1</v>
      </c>
      <c r="J434">
        <v>0</v>
      </c>
      <c r="K434">
        <v>1</v>
      </c>
      <c r="L434">
        <v>13340.05</v>
      </c>
      <c r="M434">
        <v>0</v>
      </c>
      <c r="N434">
        <v>13340.05</v>
      </c>
      <c r="O434" t="s">
        <v>671</v>
      </c>
      <c r="P434" t="s">
        <v>1367</v>
      </c>
      <c r="Q434" t="s">
        <v>1367</v>
      </c>
      <c r="R434" t="s">
        <v>1367</v>
      </c>
    </row>
    <row r="435" ht="26.85" customHeight="1" spans="1:18" x14ac:dyDescent="0.25">
      <c r="A435" t="s">
        <v>409</v>
      </c>
      <c r="B435" t="s">
        <v>410</v>
      </c>
      <c r="C435" t="s">
        <v>1079</v>
      </c>
      <c r="D435" t="s">
        <v>670</v>
      </c>
      <c r="E435" t="s">
        <v>669</v>
      </c>
      <c r="F435" t="s">
        <v>669</v>
      </c>
      <c r="G435">
        <v>1</v>
      </c>
      <c r="H435">
        <v>3.85</v>
      </c>
      <c r="I435">
        <v>1</v>
      </c>
      <c r="J435">
        <v>0</v>
      </c>
      <c r="K435">
        <v>1</v>
      </c>
      <c r="L435">
        <v>36130</v>
      </c>
      <c r="M435">
        <v>0</v>
      </c>
      <c r="N435">
        <v>36130</v>
      </c>
      <c r="O435" t="s">
        <v>671</v>
      </c>
      <c r="P435" t="s">
        <v>1369</v>
      </c>
      <c r="Q435" t="s">
        <v>1369</v>
      </c>
      <c r="R435" t="s">
        <v>1369</v>
      </c>
    </row>
    <row r="436" ht="64.9" customHeight="1" spans="1:18" x14ac:dyDescent="0.25">
      <c r="A436" t="s">
        <v>406</v>
      </c>
      <c r="B436" t="s">
        <v>1824</v>
      </c>
      <c r="C436" t="s">
        <v>1079</v>
      </c>
      <c r="D436" t="s">
        <v>670</v>
      </c>
      <c r="E436" t="s">
        <v>669</v>
      </c>
      <c r="F436" t="s">
        <v>669</v>
      </c>
      <c r="G436" t="s">
        <v>671</v>
      </c>
      <c r="H436" t="s">
        <v>1578</v>
      </c>
      <c r="I436" t="s">
        <v>671</v>
      </c>
      <c r="J436" t="s">
        <v>898</v>
      </c>
      <c r="K436" t="s">
        <v>671</v>
      </c>
      <c r="L436" t="s">
        <v>1369</v>
      </c>
      <c r="M436" t="s">
        <v>898</v>
      </c>
      <c r="N436" t="s">
        <v>1369</v>
      </c>
      <c r="O436" t="s">
        <v>671</v>
      </c>
      <c r="P436" t="s">
        <v>1369</v>
      </c>
      <c r="Q436" t="s">
        <v>1369</v>
      </c>
      <c r="R436" t="s">
        <v>1369</v>
      </c>
    </row>
    <row r="437" ht="52.2" customHeight="1" spans="1:18" x14ac:dyDescent="0.25">
      <c r="A437" t="s">
        <v>412</v>
      </c>
      <c r="B437" t="s">
        <v>413</v>
      </c>
      <c r="C437" t="s">
        <v>1079</v>
      </c>
      <c r="D437" t="s">
        <v>670</v>
      </c>
      <c r="E437" t="s">
        <v>669</v>
      </c>
      <c r="F437" t="s">
        <v>669</v>
      </c>
      <c r="G437">
        <v>1</v>
      </c>
      <c r="H437">
        <v>3.85</v>
      </c>
      <c r="I437">
        <v>1</v>
      </c>
      <c r="J437">
        <v>0</v>
      </c>
      <c r="K437">
        <v>1</v>
      </c>
      <c r="L437">
        <v>36130</v>
      </c>
      <c r="M437">
        <v>0</v>
      </c>
      <c r="N437">
        <v>36130</v>
      </c>
      <c r="O437" t="s">
        <v>671</v>
      </c>
      <c r="P437" t="s">
        <v>1369</v>
      </c>
      <c r="Q437" t="s">
        <v>1369</v>
      </c>
      <c r="R437" t="s">
        <v>1369</v>
      </c>
    </row>
    <row r="438" ht="26.85" customHeight="1" spans="1:18" x14ac:dyDescent="0.25">
      <c r="A438" t="s">
        <v>452</v>
      </c>
      <c r="B438" t="s">
        <v>453</v>
      </c>
      <c r="C438" t="s">
        <v>1079</v>
      </c>
      <c r="D438" t="s">
        <v>670</v>
      </c>
      <c r="E438" t="s">
        <v>669</v>
      </c>
      <c r="F438" t="s">
        <v>669</v>
      </c>
      <c r="G438">
        <v>1</v>
      </c>
      <c r="H438">
        <v>3.85</v>
      </c>
      <c r="I438">
        <v>1</v>
      </c>
      <c r="J438">
        <v>0</v>
      </c>
      <c r="K438">
        <v>1</v>
      </c>
      <c r="L438">
        <v>13340.05</v>
      </c>
      <c r="M438">
        <v>0</v>
      </c>
      <c r="N438">
        <v>13340.05</v>
      </c>
      <c r="O438" t="s">
        <v>671</v>
      </c>
      <c r="P438" t="s">
        <v>1367</v>
      </c>
      <c r="Q438" t="s">
        <v>1367</v>
      </c>
      <c r="R438" t="s">
        <v>1367</v>
      </c>
    </row>
    <row r="439" ht="26.85" customHeight="1" spans="1:18" x14ac:dyDescent="0.25">
      <c r="A439" t="s">
        <v>450</v>
      </c>
      <c r="B439" t="s">
        <v>451</v>
      </c>
      <c r="C439" t="s">
        <v>1079</v>
      </c>
      <c r="D439" t="s">
        <v>670</v>
      </c>
      <c r="E439" t="s">
        <v>669</v>
      </c>
      <c r="F439" t="s">
        <v>669</v>
      </c>
      <c r="G439">
        <v>1</v>
      </c>
      <c r="H439">
        <v>3.85</v>
      </c>
      <c r="I439">
        <v>1</v>
      </c>
      <c r="J439">
        <v>0</v>
      </c>
      <c r="K439">
        <v>1</v>
      </c>
      <c r="L439">
        <v>13340</v>
      </c>
      <c r="M439">
        <v>0</v>
      </c>
      <c r="N439">
        <v>13340</v>
      </c>
      <c r="O439" t="s">
        <v>671</v>
      </c>
      <c r="P439" t="s">
        <v>1825</v>
      </c>
      <c r="Q439" t="s">
        <v>1825</v>
      </c>
      <c r="R439" t="s">
        <v>1825</v>
      </c>
    </row>
    <row r="440" ht="26.85" customHeight="1" spans="1:18" x14ac:dyDescent="0.25">
      <c r="A440" t="s">
        <v>448</v>
      </c>
      <c r="B440" t="s">
        <v>449</v>
      </c>
      <c r="C440" t="s">
        <v>1079</v>
      </c>
      <c r="D440" t="s">
        <v>670</v>
      </c>
      <c r="E440" t="s">
        <v>669</v>
      </c>
      <c r="F440" t="s">
        <v>669</v>
      </c>
      <c r="G440">
        <v>1</v>
      </c>
      <c r="H440">
        <v>3.85</v>
      </c>
      <c r="I440">
        <v>1</v>
      </c>
      <c r="J440">
        <v>0</v>
      </c>
      <c r="K440">
        <v>1</v>
      </c>
      <c r="L440">
        <v>13340.05</v>
      </c>
      <c r="M440">
        <v>0</v>
      </c>
      <c r="N440">
        <v>13340.05</v>
      </c>
      <c r="O440" t="s">
        <v>671</v>
      </c>
      <c r="P440" t="s">
        <v>1367</v>
      </c>
      <c r="Q440" t="s">
        <v>1367</v>
      </c>
      <c r="R440" t="s">
        <v>1367</v>
      </c>
    </row>
    <row r="441" ht="39.55" customHeight="1" spans="1:18" x14ac:dyDescent="0.25">
      <c r="A441" t="s">
        <v>460</v>
      </c>
      <c r="B441" t="s">
        <v>461</v>
      </c>
      <c r="C441" t="s">
        <v>1079</v>
      </c>
      <c r="D441" t="s">
        <v>670</v>
      </c>
      <c r="E441" t="s">
        <v>669</v>
      </c>
      <c r="F441" t="s">
        <v>669</v>
      </c>
      <c r="G441">
        <v>1</v>
      </c>
      <c r="H441">
        <v>3.85</v>
      </c>
      <c r="I441">
        <v>1</v>
      </c>
      <c r="J441">
        <v>0</v>
      </c>
      <c r="K441">
        <v>1</v>
      </c>
      <c r="L441">
        <v>13340.05</v>
      </c>
      <c r="M441">
        <v>0</v>
      </c>
      <c r="N441">
        <v>13340.05</v>
      </c>
      <c r="O441" t="s">
        <v>671</v>
      </c>
      <c r="P441" t="s">
        <v>1367</v>
      </c>
      <c r="Q441" t="s">
        <v>1367</v>
      </c>
      <c r="R441" t="s">
        <v>1367</v>
      </c>
    </row>
    <row r="442" ht="26.85" customHeight="1" spans="1:18" x14ac:dyDescent="0.25">
      <c r="A442" t="s">
        <v>490</v>
      </c>
      <c r="B442" t="s">
        <v>491</v>
      </c>
      <c r="C442" t="s">
        <v>1079</v>
      </c>
      <c r="D442" t="s">
        <v>670</v>
      </c>
      <c r="E442" t="s">
        <v>669</v>
      </c>
      <c r="F442" t="s">
        <v>669</v>
      </c>
      <c r="G442">
        <v>1</v>
      </c>
      <c r="H442">
        <v>3.85</v>
      </c>
      <c r="I442">
        <v>1</v>
      </c>
      <c r="J442">
        <v>0</v>
      </c>
      <c r="K442">
        <v>1</v>
      </c>
      <c r="L442">
        <v>23735.05</v>
      </c>
      <c r="M442">
        <v>0</v>
      </c>
      <c r="N442">
        <v>23735.05</v>
      </c>
      <c r="O442" t="s">
        <v>671</v>
      </c>
      <c r="P442" t="s">
        <v>1826</v>
      </c>
      <c r="Q442" t="s">
        <v>1826</v>
      </c>
      <c r="R442" t="s">
        <v>1826</v>
      </c>
    </row>
    <row r="443" ht="26.85" customHeight="1" spans="1:18" x14ac:dyDescent="0.25">
      <c r="A443" t="s">
        <v>492</v>
      </c>
      <c r="B443" t="s">
        <v>493</v>
      </c>
      <c r="C443" t="s">
        <v>1079</v>
      </c>
      <c r="D443" t="s">
        <v>670</v>
      </c>
      <c r="E443" t="s">
        <v>669</v>
      </c>
      <c r="F443" t="s">
        <v>669</v>
      </c>
      <c r="G443">
        <v>1</v>
      </c>
      <c r="H443">
        <v>3.85</v>
      </c>
      <c r="I443">
        <v>1</v>
      </c>
      <c r="J443">
        <v>0</v>
      </c>
      <c r="K443">
        <v>1</v>
      </c>
      <c r="L443">
        <v>39660</v>
      </c>
      <c r="M443">
        <v>0</v>
      </c>
      <c r="N443">
        <v>39660</v>
      </c>
      <c r="O443" t="s">
        <v>671</v>
      </c>
      <c r="P443" t="s">
        <v>1371</v>
      </c>
      <c r="Q443" t="s">
        <v>1371</v>
      </c>
      <c r="R443" t="s">
        <v>1371</v>
      </c>
    </row>
    <row r="444" ht="26.85" customHeight="1" spans="1:18" x14ac:dyDescent="0.25">
      <c r="A444" t="s">
        <v>494</v>
      </c>
      <c r="B444" t="s">
        <v>495</v>
      </c>
      <c r="C444" t="s">
        <v>1079</v>
      </c>
      <c r="D444" t="s">
        <v>670</v>
      </c>
      <c r="E444" t="s">
        <v>669</v>
      </c>
      <c r="F444" t="s">
        <v>669</v>
      </c>
      <c r="G444">
        <v>1</v>
      </c>
      <c r="H444">
        <v>3.85</v>
      </c>
      <c r="I444">
        <v>1</v>
      </c>
      <c r="J444">
        <v>0</v>
      </c>
      <c r="K444">
        <v>1</v>
      </c>
      <c r="L444">
        <v>39660</v>
      </c>
      <c r="M444">
        <v>0</v>
      </c>
      <c r="N444">
        <v>39660</v>
      </c>
      <c r="O444" t="s">
        <v>671</v>
      </c>
      <c r="P444" t="s">
        <v>1371</v>
      </c>
      <c r="Q444" t="s">
        <v>1371</v>
      </c>
      <c r="R444" t="s">
        <v>1371</v>
      </c>
    </row>
    <row r="445" ht="39.55" customHeight="1" spans="1:18" x14ac:dyDescent="0.25">
      <c r="A445" t="s">
        <v>496</v>
      </c>
      <c r="B445" t="s">
        <v>1827</v>
      </c>
      <c r="C445" t="s">
        <v>1079</v>
      </c>
      <c r="D445" t="s">
        <v>670</v>
      </c>
      <c r="E445" t="s">
        <v>669</v>
      </c>
      <c r="F445" t="s">
        <v>669</v>
      </c>
      <c r="G445">
        <v>1</v>
      </c>
      <c r="H445">
        <v>3.85</v>
      </c>
      <c r="I445">
        <v>1</v>
      </c>
      <c r="J445">
        <v>0</v>
      </c>
      <c r="K445">
        <v>1</v>
      </c>
      <c r="L445">
        <v>39660</v>
      </c>
      <c r="M445">
        <v>0</v>
      </c>
      <c r="N445">
        <v>39660</v>
      </c>
      <c r="O445" t="s">
        <v>671</v>
      </c>
      <c r="P445" t="s">
        <v>1371</v>
      </c>
      <c r="Q445" t="s">
        <v>1371</v>
      </c>
      <c r="R445" t="s">
        <v>1371</v>
      </c>
    </row>
    <row r="446" ht="39.55" customHeight="1" spans="1:18" x14ac:dyDescent="0.25">
      <c r="A446" t="s">
        <v>498</v>
      </c>
      <c r="B446" t="s">
        <v>499</v>
      </c>
      <c r="C446" t="s">
        <v>1079</v>
      </c>
      <c r="D446" t="s">
        <v>670</v>
      </c>
      <c r="E446" t="s">
        <v>669</v>
      </c>
      <c r="F446" t="s">
        <v>669</v>
      </c>
      <c r="G446">
        <v>1</v>
      </c>
      <c r="H446">
        <v>3.85</v>
      </c>
      <c r="I446">
        <v>1</v>
      </c>
      <c r="J446">
        <v>0</v>
      </c>
      <c r="K446">
        <v>1</v>
      </c>
      <c r="L446">
        <v>39660</v>
      </c>
      <c r="M446">
        <v>0</v>
      </c>
      <c r="N446">
        <v>39660</v>
      </c>
      <c r="O446" t="s">
        <v>671</v>
      </c>
      <c r="P446" t="s">
        <v>1371</v>
      </c>
      <c r="Q446" t="s">
        <v>1371</v>
      </c>
      <c r="R446" t="s">
        <v>1371</v>
      </c>
    </row>
    <row r="447" ht="39.55" customHeight="1" spans="1:18" x14ac:dyDescent="0.25">
      <c r="A447" t="s">
        <v>500</v>
      </c>
      <c r="B447" t="s">
        <v>501</v>
      </c>
      <c r="C447" t="s">
        <v>1079</v>
      </c>
      <c r="D447" t="s">
        <v>670</v>
      </c>
      <c r="E447" t="s">
        <v>669</v>
      </c>
      <c r="F447" t="s">
        <v>669</v>
      </c>
      <c r="G447">
        <v>1</v>
      </c>
      <c r="H447">
        <v>3.85</v>
      </c>
      <c r="I447">
        <v>1</v>
      </c>
      <c r="J447">
        <v>0</v>
      </c>
      <c r="K447">
        <v>1</v>
      </c>
      <c r="L447">
        <v>23735</v>
      </c>
      <c r="M447">
        <v>0</v>
      </c>
      <c r="N447">
        <v>23735</v>
      </c>
      <c r="O447" t="s">
        <v>671</v>
      </c>
      <c r="P447" t="s">
        <v>1828</v>
      </c>
      <c r="Q447" t="s">
        <v>1828</v>
      </c>
      <c r="R447" t="s">
        <v>1828</v>
      </c>
    </row>
    <row r="448" ht="39.55" customHeight="1" spans="1:18" x14ac:dyDescent="0.25">
      <c r="A448" t="s">
        <v>506</v>
      </c>
      <c r="B448" t="s">
        <v>507</v>
      </c>
      <c r="C448" t="s">
        <v>1079</v>
      </c>
      <c r="D448" t="s">
        <v>670</v>
      </c>
      <c r="E448" t="s">
        <v>669</v>
      </c>
      <c r="F448" t="s">
        <v>669</v>
      </c>
      <c r="G448">
        <v>1</v>
      </c>
      <c r="H448">
        <v>3.85</v>
      </c>
      <c r="I448">
        <v>1</v>
      </c>
      <c r="J448">
        <v>0</v>
      </c>
      <c r="K448">
        <v>1</v>
      </c>
      <c r="L448">
        <v>0.1</v>
      </c>
      <c r="M448">
        <v>0</v>
      </c>
      <c r="N448">
        <v>0.1</v>
      </c>
      <c r="O448" t="s">
        <v>671</v>
      </c>
      <c r="P448" t="s">
        <v>1134</v>
      </c>
      <c r="Q448" t="s">
        <v>1134</v>
      </c>
      <c r="R448" t="s">
        <v>1134</v>
      </c>
    </row>
    <row r="449" ht="39.55" customHeight="1" spans="1:18" x14ac:dyDescent="0.25">
      <c r="A449" t="s">
        <v>504</v>
      </c>
      <c r="B449" t="s">
        <v>1829</v>
      </c>
      <c r="C449" t="s">
        <v>1079</v>
      </c>
      <c r="D449" t="s">
        <v>670</v>
      </c>
      <c r="E449" t="s">
        <v>669</v>
      </c>
      <c r="F449" t="s">
        <v>669</v>
      </c>
      <c r="G449">
        <v>1</v>
      </c>
      <c r="H449">
        <v>3.85</v>
      </c>
      <c r="I449">
        <v>1</v>
      </c>
      <c r="J449">
        <v>0</v>
      </c>
      <c r="K449">
        <v>1</v>
      </c>
      <c r="L449">
        <v>0.02</v>
      </c>
      <c r="M449">
        <v>0</v>
      </c>
      <c r="N449">
        <v>0.02</v>
      </c>
      <c r="O449" t="s">
        <v>671</v>
      </c>
      <c r="P449" t="s">
        <v>1213</v>
      </c>
      <c r="Q449" t="s">
        <v>1213</v>
      </c>
      <c r="R449" t="s">
        <v>1213</v>
      </c>
    </row>
    <row r="450" ht="39.55" customHeight="1" spans="1:18" x14ac:dyDescent="0.25">
      <c r="A450" t="s">
        <v>454</v>
      </c>
      <c r="B450" t="s">
        <v>455</v>
      </c>
      <c r="C450" t="s">
        <v>1079</v>
      </c>
      <c r="D450" t="s">
        <v>670</v>
      </c>
      <c r="E450" t="s">
        <v>669</v>
      </c>
      <c r="F450" t="s">
        <v>669</v>
      </c>
      <c r="G450">
        <v>1</v>
      </c>
      <c r="H450">
        <v>3.85</v>
      </c>
      <c r="I450">
        <v>1</v>
      </c>
      <c r="J450">
        <v>0</v>
      </c>
      <c r="K450">
        <v>1</v>
      </c>
      <c r="L450">
        <v>13340</v>
      </c>
      <c r="M450">
        <v>0</v>
      </c>
      <c r="N450">
        <v>13340</v>
      </c>
      <c r="O450" t="s">
        <v>671</v>
      </c>
      <c r="P450" t="s">
        <v>1825</v>
      </c>
      <c r="Q450" t="s">
        <v>1825</v>
      </c>
      <c r="R450" t="s">
        <v>1825</v>
      </c>
    </row>
    <row r="451" ht="39.55" customHeight="1" spans="1:18" x14ac:dyDescent="0.25">
      <c r="A451" t="s">
        <v>456</v>
      </c>
      <c r="B451" t="s">
        <v>457</v>
      </c>
      <c r="C451" t="s">
        <v>1079</v>
      </c>
      <c r="D451" t="s">
        <v>670</v>
      </c>
      <c r="E451" t="s">
        <v>669</v>
      </c>
      <c r="F451" t="s">
        <v>669</v>
      </c>
      <c r="G451">
        <v>1</v>
      </c>
      <c r="H451">
        <v>3.85</v>
      </c>
      <c r="I451">
        <v>1</v>
      </c>
      <c r="J451">
        <v>0</v>
      </c>
      <c r="K451">
        <v>1</v>
      </c>
      <c r="L451">
        <v>13340.05</v>
      </c>
      <c r="M451">
        <v>0</v>
      </c>
      <c r="N451">
        <v>13340.05</v>
      </c>
      <c r="O451" t="s">
        <v>671</v>
      </c>
      <c r="P451" t="s">
        <v>1367</v>
      </c>
      <c r="Q451" t="s">
        <v>1367</v>
      </c>
      <c r="R451" t="s">
        <v>1367</v>
      </c>
    </row>
    <row r="452" ht="26.85" customHeight="1" spans="2:15" x14ac:dyDescent="0.25">
      <c r="B452" t="s">
        <v>1150</v>
      </c>
      <c r="C452" t="s">
        <v>692</v>
      </c>
      <c r="D452" t="s">
        <v>669</v>
      </c>
      <c r="E452" t="s">
        <v>669</v>
      </c>
      <c r="F452" t="s">
        <v>670</v>
      </c>
      <c r="G452" t="s">
        <v>671</v>
      </c>
      <c r="H452" t="s">
        <v>1578</v>
      </c>
      <c r="I452" t="s">
        <v>898</v>
      </c>
      <c r="J452" t="s">
        <v>898</v>
      </c>
      <c r="K452" t="s">
        <v>898</v>
      </c>
      <c r="L452" t="s">
        <v>898</v>
      </c>
      <c r="M452" t="s">
        <v>898</v>
      </c>
      <c r="N452" t="s">
        <v>898</v>
      </c>
      <c r="O452" t="s">
        <v>898</v>
      </c>
    </row>
    <row r="453" ht="26.85" customHeight="1" spans="2:15" x14ac:dyDescent="0.25">
      <c r="B453" t="s">
        <v>1830</v>
      </c>
      <c r="C453" t="s">
        <v>692</v>
      </c>
      <c r="D453" t="s">
        <v>669</v>
      </c>
      <c r="E453" t="s">
        <v>669</v>
      </c>
      <c r="F453" t="s">
        <v>670</v>
      </c>
      <c r="G453" t="s">
        <v>671</v>
      </c>
      <c r="H453" t="s">
        <v>1578</v>
      </c>
      <c r="I453" t="s">
        <v>898</v>
      </c>
      <c r="J453" t="s">
        <v>898</v>
      </c>
      <c r="K453" t="s">
        <v>898</v>
      </c>
      <c r="L453" t="s">
        <v>898</v>
      </c>
      <c r="M453" t="s">
        <v>898</v>
      </c>
      <c r="N453" t="s">
        <v>898</v>
      </c>
      <c r="O453" t="s">
        <v>898</v>
      </c>
    </row>
    <row r="454" ht="26.85" customHeight="1" spans="2:15" x14ac:dyDescent="0.25">
      <c r="B454" t="s">
        <v>941</v>
      </c>
      <c r="C454" t="s">
        <v>692</v>
      </c>
      <c r="D454" t="s">
        <v>669</v>
      </c>
      <c r="E454" t="s">
        <v>669</v>
      </c>
      <c r="F454" t="s">
        <v>670</v>
      </c>
      <c r="G454" t="s">
        <v>671</v>
      </c>
      <c r="H454" t="s">
        <v>1578</v>
      </c>
      <c r="I454" t="s">
        <v>898</v>
      </c>
      <c r="J454" t="s">
        <v>898</v>
      </c>
      <c r="K454" t="s">
        <v>898</v>
      </c>
      <c r="L454" t="s">
        <v>898</v>
      </c>
      <c r="M454" t="s">
        <v>898</v>
      </c>
      <c r="N454" t="s">
        <v>898</v>
      </c>
      <c r="O454" t="s">
        <v>898</v>
      </c>
    </row>
    <row r="455" ht="15" customHeight="1" spans="2:15" x14ac:dyDescent="0.25">
      <c r="B455" t="s">
        <v>700</v>
      </c>
      <c r="C455" t="s">
        <v>692</v>
      </c>
      <c r="D455" t="s">
        <v>669</v>
      </c>
      <c r="E455" t="s">
        <v>669</v>
      </c>
      <c r="F455" t="s">
        <v>670</v>
      </c>
      <c r="G455" t="s">
        <v>671</v>
      </c>
      <c r="H455" t="s">
        <v>1578</v>
      </c>
      <c r="I455" t="s">
        <v>898</v>
      </c>
      <c r="J455" t="s">
        <v>898</v>
      </c>
      <c r="K455" t="s">
        <v>898</v>
      </c>
      <c r="L455" t="s">
        <v>898</v>
      </c>
      <c r="M455" t="s">
        <v>898</v>
      </c>
      <c r="N455" t="s">
        <v>898</v>
      </c>
      <c r="O455" t="s">
        <v>898</v>
      </c>
    </row>
    <row r="456" ht="26.85" customHeight="1" spans="2:15" x14ac:dyDescent="0.25">
      <c r="B456" t="s">
        <v>1386</v>
      </c>
      <c r="C456" t="s">
        <v>692</v>
      </c>
      <c r="D456" t="s">
        <v>669</v>
      </c>
      <c r="E456" t="s">
        <v>669</v>
      </c>
      <c r="F456" t="s">
        <v>670</v>
      </c>
      <c r="G456" t="s">
        <v>671</v>
      </c>
      <c r="H456" t="s">
        <v>1578</v>
      </c>
      <c r="I456" t="s">
        <v>898</v>
      </c>
      <c r="J456" t="s">
        <v>898</v>
      </c>
      <c r="K456" t="s">
        <v>898</v>
      </c>
      <c r="L456" t="s">
        <v>898</v>
      </c>
      <c r="M456" t="s">
        <v>898</v>
      </c>
      <c r="N456" t="s">
        <v>898</v>
      </c>
      <c r="O456" t="s">
        <v>898</v>
      </c>
    </row>
    <row r="457" ht="15" customHeight="1" spans="2:15" x14ac:dyDescent="0.25">
      <c r="B457" t="s">
        <v>1057</v>
      </c>
      <c r="C457" t="s">
        <v>692</v>
      </c>
      <c r="D457" t="s">
        <v>669</v>
      </c>
      <c r="E457" t="s">
        <v>669</v>
      </c>
      <c r="F457" t="s">
        <v>670</v>
      </c>
      <c r="G457" t="s">
        <v>671</v>
      </c>
      <c r="H457" t="s">
        <v>1578</v>
      </c>
      <c r="I457" t="s">
        <v>898</v>
      </c>
      <c r="J457" t="s">
        <v>898</v>
      </c>
      <c r="K457" t="s">
        <v>898</v>
      </c>
      <c r="L457" t="s">
        <v>898</v>
      </c>
      <c r="M457" t="s">
        <v>898</v>
      </c>
      <c r="N457" t="s">
        <v>898</v>
      </c>
      <c r="O457" t="s">
        <v>898</v>
      </c>
    </row>
    <row r="458" ht="15" customHeight="1" spans="2:15" x14ac:dyDescent="0.25">
      <c r="B458" t="s">
        <v>1556</v>
      </c>
      <c r="C458" t="s">
        <v>692</v>
      </c>
      <c r="D458" t="s">
        <v>669</v>
      </c>
      <c r="E458" t="s">
        <v>669</v>
      </c>
      <c r="F458" t="s">
        <v>670</v>
      </c>
      <c r="G458" t="s">
        <v>671</v>
      </c>
      <c r="H458" t="s">
        <v>1578</v>
      </c>
      <c r="I458" t="s">
        <v>898</v>
      </c>
      <c r="J458" t="s">
        <v>898</v>
      </c>
      <c r="K458" t="s">
        <v>898</v>
      </c>
      <c r="L458" t="s">
        <v>898</v>
      </c>
      <c r="M458" t="s">
        <v>898</v>
      </c>
      <c r="N458" t="s">
        <v>898</v>
      </c>
      <c r="O458" t="s">
        <v>898</v>
      </c>
    </row>
    <row r="459" ht="26.85" customHeight="1" spans="2:15" x14ac:dyDescent="0.25">
      <c r="B459" t="s">
        <v>1831</v>
      </c>
      <c r="C459" t="s">
        <v>692</v>
      </c>
      <c r="D459" t="s">
        <v>669</v>
      </c>
      <c r="E459" t="s">
        <v>669</v>
      </c>
      <c r="F459" t="s">
        <v>670</v>
      </c>
      <c r="G459" t="s">
        <v>671</v>
      </c>
      <c r="H459" t="s">
        <v>1578</v>
      </c>
      <c r="I459" t="s">
        <v>898</v>
      </c>
      <c r="J459" t="s">
        <v>898</v>
      </c>
      <c r="K459" t="s">
        <v>898</v>
      </c>
      <c r="L459" t="s">
        <v>898</v>
      </c>
      <c r="M459" t="s">
        <v>898</v>
      </c>
      <c r="N459" t="s">
        <v>898</v>
      </c>
      <c r="O459" t="s">
        <v>898</v>
      </c>
    </row>
    <row r="460" ht="26.85" customHeight="1" spans="2:15" x14ac:dyDescent="0.25">
      <c r="B460" t="s">
        <v>711</v>
      </c>
      <c r="C460" t="s">
        <v>692</v>
      </c>
      <c r="D460" t="s">
        <v>669</v>
      </c>
      <c r="E460" t="s">
        <v>669</v>
      </c>
      <c r="F460" t="s">
        <v>670</v>
      </c>
      <c r="G460" t="s">
        <v>671</v>
      </c>
      <c r="H460" t="s">
        <v>1578</v>
      </c>
      <c r="I460" t="s">
        <v>898</v>
      </c>
      <c r="J460" t="s">
        <v>898</v>
      </c>
      <c r="K460" t="s">
        <v>898</v>
      </c>
      <c r="L460" t="s">
        <v>898</v>
      </c>
      <c r="M460" t="s">
        <v>898</v>
      </c>
      <c r="N460" t="s">
        <v>898</v>
      </c>
      <c r="O460" t="s">
        <v>898</v>
      </c>
    </row>
    <row r="461" ht="26.85" customHeight="1" spans="2:15" x14ac:dyDescent="0.25">
      <c r="B461" t="s">
        <v>815</v>
      </c>
      <c r="C461" t="s">
        <v>692</v>
      </c>
      <c r="D461" t="s">
        <v>669</v>
      </c>
      <c r="E461" t="s">
        <v>669</v>
      </c>
      <c r="F461" t="s">
        <v>670</v>
      </c>
      <c r="G461" t="s">
        <v>671</v>
      </c>
      <c r="H461" t="s">
        <v>1578</v>
      </c>
      <c r="I461" t="s">
        <v>898</v>
      </c>
      <c r="J461" t="s">
        <v>898</v>
      </c>
      <c r="K461" t="s">
        <v>898</v>
      </c>
      <c r="L461" t="s">
        <v>898</v>
      </c>
      <c r="M461" t="s">
        <v>898</v>
      </c>
      <c r="N461" t="s">
        <v>898</v>
      </c>
      <c r="O461" t="s">
        <v>898</v>
      </c>
    </row>
    <row r="462" ht="15" customHeight="1" spans="2:15" x14ac:dyDescent="0.25">
      <c r="B462" t="s">
        <v>1321</v>
      </c>
      <c r="C462" t="s">
        <v>692</v>
      </c>
      <c r="D462" t="s">
        <v>669</v>
      </c>
      <c r="E462" t="s">
        <v>669</v>
      </c>
      <c r="F462" t="s">
        <v>670</v>
      </c>
      <c r="G462" t="s">
        <v>671</v>
      </c>
      <c r="H462" t="s">
        <v>1578</v>
      </c>
      <c r="I462" t="s">
        <v>898</v>
      </c>
      <c r="J462" t="s">
        <v>898</v>
      </c>
      <c r="K462" t="s">
        <v>898</v>
      </c>
      <c r="L462" t="s">
        <v>898</v>
      </c>
      <c r="M462" t="s">
        <v>898</v>
      </c>
      <c r="N462" t="s">
        <v>898</v>
      </c>
      <c r="O462" t="s">
        <v>898</v>
      </c>
    </row>
    <row r="463" ht="15" customHeight="1" spans="1:18" x14ac:dyDescent="0.25">
      <c r="A463" t="s">
        <v>1832</v>
      </c>
      <c r="B463" t="s">
        <v>1833</v>
      </c>
      <c r="C463" t="s">
        <v>692</v>
      </c>
      <c r="D463" t="s">
        <v>670</v>
      </c>
      <c r="E463" t="s">
        <v>669</v>
      </c>
      <c r="F463" t="s">
        <v>669</v>
      </c>
      <c r="G463">
        <v>1</v>
      </c>
      <c r="H463">
        <v>3.85</v>
      </c>
      <c r="I463">
        <v>1</v>
      </c>
      <c r="J463">
        <v>0</v>
      </c>
      <c r="K463">
        <v>1</v>
      </c>
      <c r="L463">
        <v>818</v>
      </c>
      <c r="M463">
        <v>0</v>
      </c>
      <c r="N463">
        <v>818</v>
      </c>
      <c r="O463" t="s">
        <v>671</v>
      </c>
      <c r="P463" t="s">
        <v>1834</v>
      </c>
      <c r="Q463" t="s">
        <v>1834</v>
      </c>
      <c r="R463" t="s">
        <v>1834</v>
      </c>
    </row>
    <row r="464" ht="15" customHeight="1" spans="1:18" x14ac:dyDescent="0.25">
      <c r="A464" t="s">
        <v>1835</v>
      </c>
      <c r="B464" t="s">
        <v>1836</v>
      </c>
      <c r="C464" t="s">
        <v>692</v>
      </c>
      <c r="D464" t="s">
        <v>670</v>
      </c>
      <c r="E464" t="s">
        <v>669</v>
      </c>
      <c r="F464" t="s">
        <v>669</v>
      </c>
      <c r="G464">
        <v>1</v>
      </c>
      <c r="H464">
        <v>3.85</v>
      </c>
      <c r="I464">
        <v>2</v>
      </c>
      <c r="J464">
        <v>0</v>
      </c>
      <c r="K464">
        <v>2</v>
      </c>
      <c r="L464">
        <v>1629.38</v>
      </c>
      <c r="M464">
        <v>0</v>
      </c>
      <c r="N464">
        <v>1629.38</v>
      </c>
      <c r="O464" t="s">
        <v>671</v>
      </c>
      <c r="P464" t="s">
        <v>1837</v>
      </c>
      <c r="Q464" t="s">
        <v>1837</v>
      </c>
      <c r="R464" t="s">
        <v>1837</v>
      </c>
    </row>
    <row r="465" ht="15" customHeight="1" spans="1:18" x14ac:dyDescent="0.25">
      <c r="A465" t="s">
        <v>1838</v>
      </c>
      <c r="B465" t="s">
        <v>1839</v>
      </c>
      <c r="C465" t="s">
        <v>692</v>
      </c>
      <c r="D465" t="s">
        <v>670</v>
      </c>
      <c r="E465" t="s">
        <v>669</v>
      </c>
      <c r="F465" t="s">
        <v>669</v>
      </c>
      <c r="G465">
        <v>1</v>
      </c>
      <c r="H465">
        <v>3.85</v>
      </c>
      <c r="I465">
        <v>1</v>
      </c>
      <c r="J465">
        <v>0</v>
      </c>
      <c r="K465">
        <v>1</v>
      </c>
      <c r="L465">
        <v>2952</v>
      </c>
      <c r="M465">
        <v>0</v>
      </c>
      <c r="N465">
        <v>2952</v>
      </c>
      <c r="O465" t="s">
        <v>671</v>
      </c>
      <c r="P465" t="s">
        <v>1840</v>
      </c>
      <c r="Q465" t="s">
        <v>1840</v>
      </c>
      <c r="R465" t="s">
        <v>1840</v>
      </c>
    </row>
    <row r="466" ht="15" customHeight="1" spans="1:18" x14ac:dyDescent="0.25">
      <c r="A466" t="s">
        <v>1841</v>
      </c>
      <c r="B466" t="s">
        <v>1842</v>
      </c>
      <c r="C466" t="s">
        <v>692</v>
      </c>
      <c r="D466" t="s">
        <v>670</v>
      </c>
      <c r="E466" t="s">
        <v>669</v>
      </c>
      <c r="F466" t="s">
        <v>669</v>
      </c>
      <c r="G466">
        <v>1</v>
      </c>
      <c r="H466">
        <v>3.85</v>
      </c>
      <c r="I466">
        <v>3</v>
      </c>
      <c r="J466">
        <v>0</v>
      </c>
      <c r="K466">
        <v>3</v>
      </c>
      <c r="L466">
        <v>2160</v>
      </c>
      <c r="M466">
        <v>0</v>
      </c>
      <c r="N466">
        <v>2160</v>
      </c>
      <c r="O466" t="s">
        <v>671</v>
      </c>
      <c r="P466" t="s">
        <v>1843</v>
      </c>
      <c r="Q466" t="s">
        <v>1843</v>
      </c>
      <c r="R466" t="s">
        <v>1843</v>
      </c>
    </row>
    <row r="467" ht="15" customHeight="1" spans="1:18" x14ac:dyDescent="0.25">
      <c r="A467" t="s">
        <v>1844</v>
      </c>
      <c r="B467" t="s">
        <v>1845</v>
      </c>
      <c r="C467" t="s">
        <v>692</v>
      </c>
      <c r="D467" t="s">
        <v>670</v>
      </c>
      <c r="E467" t="s">
        <v>669</v>
      </c>
      <c r="F467" t="s">
        <v>669</v>
      </c>
      <c r="G467">
        <v>1</v>
      </c>
      <c r="H467">
        <v>3.85</v>
      </c>
      <c r="I467">
        <v>3</v>
      </c>
      <c r="J467">
        <v>0</v>
      </c>
      <c r="K467">
        <v>3</v>
      </c>
      <c r="L467">
        <v>1156.02</v>
      </c>
      <c r="M467">
        <v>0</v>
      </c>
      <c r="N467">
        <v>1156.02</v>
      </c>
      <c r="O467" t="s">
        <v>671</v>
      </c>
      <c r="P467" t="s">
        <v>1846</v>
      </c>
      <c r="Q467" t="s">
        <v>1846</v>
      </c>
      <c r="R467" t="s">
        <v>1846</v>
      </c>
    </row>
    <row r="468" ht="15" customHeight="1" spans="1:18" x14ac:dyDescent="0.25">
      <c r="A468" t="s">
        <v>1847</v>
      </c>
      <c r="B468" t="s">
        <v>1848</v>
      </c>
      <c r="C468" t="s">
        <v>692</v>
      </c>
      <c r="D468" t="s">
        <v>669</v>
      </c>
      <c r="E468" t="s">
        <v>670</v>
      </c>
      <c r="F468" t="s">
        <v>669</v>
      </c>
      <c r="G468">
        <v>1</v>
      </c>
      <c r="H468">
        <v>3.85</v>
      </c>
      <c r="I468">
        <v>0</v>
      </c>
      <c r="J468">
        <v>1</v>
      </c>
      <c r="K468">
        <v>1</v>
      </c>
      <c r="L468">
        <v>0</v>
      </c>
      <c r="M468">
        <v>2.81</v>
      </c>
      <c r="N468">
        <v>2.81</v>
      </c>
      <c r="O468" t="s">
        <v>671</v>
      </c>
      <c r="P468" t="s">
        <v>1849</v>
      </c>
      <c r="Q468" t="s">
        <v>1849</v>
      </c>
      <c r="R468" t="s">
        <v>1849</v>
      </c>
    </row>
    <row r="469" ht="26.85" customHeight="1" spans="1:18" x14ac:dyDescent="0.25">
      <c r="A469" t="s">
        <v>1850</v>
      </c>
      <c r="B469" t="s">
        <v>1851</v>
      </c>
      <c r="C469" t="s">
        <v>692</v>
      </c>
      <c r="D469" t="s">
        <v>670</v>
      </c>
      <c r="E469" t="s">
        <v>669</v>
      </c>
      <c r="F469" t="s">
        <v>669</v>
      </c>
      <c r="G469">
        <v>1</v>
      </c>
      <c r="H469">
        <v>3.85</v>
      </c>
      <c r="I469">
        <v>2</v>
      </c>
      <c r="J469">
        <v>0</v>
      </c>
      <c r="K469">
        <v>2</v>
      </c>
      <c r="L469">
        <v>240</v>
      </c>
      <c r="M469">
        <v>0</v>
      </c>
      <c r="N469">
        <v>240</v>
      </c>
      <c r="O469" t="s">
        <v>671</v>
      </c>
      <c r="P469" t="s">
        <v>1852</v>
      </c>
      <c r="Q469" t="s">
        <v>1852</v>
      </c>
      <c r="R469" t="s">
        <v>1852</v>
      </c>
    </row>
    <row r="470" ht="26.85" customHeight="1" spans="1:18" x14ac:dyDescent="0.25">
      <c r="A470" t="s">
        <v>1853</v>
      </c>
      <c r="B470" t="s">
        <v>1854</v>
      </c>
      <c r="C470" t="s">
        <v>692</v>
      </c>
      <c r="D470" t="s">
        <v>670</v>
      </c>
      <c r="E470" t="s">
        <v>669</v>
      </c>
      <c r="F470" t="s">
        <v>669</v>
      </c>
      <c r="G470">
        <v>1</v>
      </c>
      <c r="H470">
        <v>3.85</v>
      </c>
      <c r="I470">
        <v>2</v>
      </c>
      <c r="J470">
        <v>0</v>
      </c>
      <c r="K470">
        <v>2</v>
      </c>
      <c r="L470">
        <v>638</v>
      </c>
      <c r="M470">
        <v>0</v>
      </c>
      <c r="N470">
        <v>638</v>
      </c>
      <c r="O470" t="s">
        <v>671</v>
      </c>
      <c r="P470" t="s">
        <v>1855</v>
      </c>
      <c r="Q470" t="s">
        <v>1855</v>
      </c>
      <c r="R470" t="s">
        <v>1855</v>
      </c>
    </row>
    <row r="471" ht="15" customHeight="1" spans="1:18" x14ac:dyDescent="0.25">
      <c r="A471" t="s">
        <v>1856</v>
      </c>
      <c r="B471" t="s">
        <v>1857</v>
      </c>
      <c r="C471" t="s">
        <v>692</v>
      </c>
      <c r="D471" t="s">
        <v>669</v>
      </c>
      <c r="E471" t="s">
        <v>670</v>
      </c>
      <c r="F471" t="s">
        <v>669</v>
      </c>
      <c r="G471">
        <v>1</v>
      </c>
      <c r="H471">
        <v>3.85</v>
      </c>
      <c r="I471">
        <v>0</v>
      </c>
      <c r="J471">
        <v>1</v>
      </c>
      <c r="K471">
        <v>1</v>
      </c>
      <c r="L471">
        <v>0</v>
      </c>
      <c r="M471">
        <v>210.94</v>
      </c>
      <c r="N471">
        <v>210.94</v>
      </c>
      <c r="O471" t="s">
        <v>671</v>
      </c>
      <c r="P471" t="s">
        <v>1858</v>
      </c>
      <c r="Q471" t="s">
        <v>1858</v>
      </c>
      <c r="R471" t="s">
        <v>1858</v>
      </c>
    </row>
    <row r="472" ht="26.85" customHeight="1" spans="1:18" x14ac:dyDescent="0.25">
      <c r="A472" t="s">
        <v>1859</v>
      </c>
      <c r="B472" t="s">
        <v>1860</v>
      </c>
      <c r="C472" t="s">
        <v>692</v>
      </c>
      <c r="D472" t="s">
        <v>670</v>
      </c>
      <c r="E472" t="s">
        <v>669</v>
      </c>
      <c r="F472" t="s">
        <v>669</v>
      </c>
      <c r="G472">
        <v>1</v>
      </c>
      <c r="H472">
        <v>3.85</v>
      </c>
      <c r="I472">
        <v>1</v>
      </c>
      <c r="J472">
        <v>0</v>
      </c>
      <c r="K472">
        <v>1</v>
      </c>
      <c r="L472">
        <v>199.51</v>
      </c>
      <c r="M472">
        <v>0</v>
      </c>
      <c r="N472">
        <v>199.51</v>
      </c>
      <c r="O472" t="s">
        <v>671</v>
      </c>
      <c r="P472" t="s">
        <v>1861</v>
      </c>
      <c r="Q472" t="s">
        <v>1861</v>
      </c>
      <c r="R472" t="s">
        <v>1861</v>
      </c>
    </row>
    <row r="473" ht="26.85" customHeight="1" spans="1:18" x14ac:dyDescent="0.25">
      <c r="A473" t="s">
        <v>1862</v>
      </c>
      <c r="B473" t="s">
        <v>1863</v>
      </c>
      <c r="C473" t="s">
        <v>692</v>
      </c>
      <c r="D473" t="s">
        <v>670</v>
      </c>
      <c r="E473" t="s">
        <v>669</v>
      </c>
      <c r="F473" t="s">
        <v>669</v>
      </c>
      <c r="G473">
        <v>1</v>
      </c>
      <c r="H473">
        <v>3.85</v>
      </c>
      <c r="I473">
        <v>1</v>
      </c>
      <c r="J473">
        <v>0</v>
      </c>
      <c r="K473">
        <v>1</v>
      </c>
      <c r="L473">
        <v>995</v>
      </c>
      <c r="M473">
        <v>0</v>
      </c>
      <c r="N473">
        <v>995</v>
      </c>
      <c r="O473" t="s">
        <v>671</v>
      </c>
      <c r="P473" t="s">
        <v>1864</v>
      </c>
      <c r="Q473" t="s">
        <v>1864</v>
      </c>
      <c r="R473" t="s">
        <v>1864</v>
      </c>
    </row>
    <row r="474" ht="26.85" customHeight="1" spans="1:18" x14ac:dyDescent="0.25">
      <c r="A474" t="s">
        <v>1865</v>
      </c>
      <c r="B474" t="s">
        <v>205</v>
      </c>
      <c r="C474" t="s">
        <v>692</v>
      </c>
      <c r="D474" t="s">
        <v>670</v>
      </c>
      <c r="E474" t="s">
        <v>669</v>
      </c>
      <c r="F474" t="s">
        <v>669</v>
      </c>
      <c r="G474">
        <v>1</v>
      </c>
      <c r="H474">
        <v>3.85</v>
      </c>
      <c r="I474">
        <v>1</v>
      </c>
      <c r="J474">
        <v>0</v>
      </c>
      <c r="K474">
        <v>1</v>
      </c>
      <c r="L474">
        <v>27280</v>
      </c>
      <c r="M474">
        <v>0</v>
      </c>
      <c r="N474">
        <v>27280</v>
      </c>
      <c r="O474" t="s">
        <v>671</v>
      </c>
      <c r="P474" t="s">
        <v>1866</v>
      </c>
      <c r="Q474" t="s">
        <v>1866</v>
      </c>
      <c r="R474" t="s">
        <v>1866</v>
      </c>
    </row>
    <row r="475" ht="26.85" customHeight="1" spans="1:18" x14ac:dyDescent="0.25">
      <c r="A475" t="s">
        <v>1867</v>
      </c>
      <c r="B475" t="s">
        <v>1868</v>
      </c>
      <c r="C475" t="s">
        <v>692</v>
      </c>
      <c r="D475" t="s">
        <v>669</v>
      </c>
      <c r="E475" t="s">
        <v>670</v>
      </c>
      <c r="F475" t="s">
        <v>669</v>
      </c>
      <c r="G475">
        <v>1</v>
      </c>
      <c r="H475">
        <v>3.85</v>
      </c>
      <c r="I475">
        <v>0</v>
      </c>
      <c r="J475">
        <v>1</v>
      </c>
      <c r="K475">
        <v>1</v>
      </c>
      <c r="L475">
        <v>0</v>
      </c>
      <c r="M475">
        <v>447</v>
      </c>
      <c r="N475">
        <v>447</v>
      </c>
      <c r="O475" t="s">
        <v>671</v>
      </c>
      <c r="P475" t="s">
        <v>1869</v>
      </c>
      <c r="Q475" t="s">
        <v>1869</v>
      </c>
      <c r="R475" t="s">
        <v>1869</v>
      </c>
    </row>
    <row r="476" ht="26.85" customHeight="1" spans="1:18" x14ac:dyDescent="0.25">
      <c r="A476" t="s">
        <v>1870</v>
      </c>
      <c r="B476" t="s">
        <v>1871</v>
      </c>
      <c r="C476" t="s">
        <v>692</v>
      </c>
      <c r="D476" t="s">
        <v>669</v>
      </c>
      <c r="E476" t="s">
        <v>670</v>
      </c>
      <c r="F476" t="s">
        <v>669</v>
      </c>
      <c r="G476">
        <v>1</v>
      </c>
      <c r="H476">
        <v>3.85</v>
      </c>
      <c r="I476">
        <v>0</v>
      </c>
      <c r="J476">
        <v>1</v>
      </c>
      <c r="K476">
        <v>1</v>
      </c>
      <c r="L476">
        <v>0</v>
      </c>
      <c r="M476">
        <v>356</v>
      </c>
      <c r="N476">
        <v>356</v>
      </c>
      <c r="O476" t="s">
        <v>671</v>
      </c>
      <c r="P476" t="s">
        <v>1872</v>
      </c>
      <c r="Q476" t="s">
        <v>1872</v>
      </c>
      <c r="R476" t="s">
        <v>1872</v>
      </c>
    </row>
    <row r="477" ht="26.85" customHeight="1" spans="1:18" x14ac:dyDescent="0.25">
      <c r="A477" t="s">
        <v>1873</v>
      </c>
      <c r="B477" t="s">
        <v>1874</v>
      </c>
      <c r="C477" t="s">
        <v>692</v>
      </c>
      <c r="D477" t="s">
        <v>670</v>
      </c>
      <c r="E477" t="s">
        <v>669</v>
      </c>
      <c r="F477" t="s">
        <v>669</v>
      </c>
      <c r="G477">
        <v>1</v>
      </c>
      <c r="H477">
        <v>3.85</v>
      </c>
      <c r="I477">
        <v>1</v>
      </c>
      <c r="J477">
        <v>0</v>
      </c>
      <c r="K477">
        <v>1</v>
      </c>
      <c r="L477">
        <v>331</v>
      </c>
      <c r="M477">
        <v>0</v>
      </c>
      <c r="N477">
        <v>331</v>
      </c>
      <c r="O477" t="s">
        <v>671</v>
      </c>
      <c r="P477" t="s">
        <v>1875</v>
      </c>
      <c r="Q477" t="s">
        <v>1875</v>
      </c>
      <c r="R477" t="s">
        <v>1875</v>
      </c>
    </row>
    <row r="478" ht="26.85" customHeight="1" spans="1:18" x14ac:dyDescent="0.25">
      <c r="A478" t="s">
        <v>1876</v>
      </c>
      <c r="B478" t="s">
        <v>1830</v>
      </c>
      <c r="C478" t="s">
        <v>692</v>
      </c>
      <c r="D478" t="s">
        <v>669</v>
      </c>
      <c r="E478" t="s">
        <v>670</v>
      </c>
      <c r="F478" t="s">
        <v>670</v>
      </c>
      <c r="G478">
        <v>1</v>
      </c>
      <c r="H478">
        <v>3.85</v>
      </c>
      <c r="I478">
        <v>0</v>
      </c>
      <c r="J478">
        <v>0</v>
      </c>
      <c r="K478">
        <v>0</v>
      </c>
      <c r="L478">
        <v>0</v>
      </c>
      <c r="M478">
        <v>0</v>
      </c>
      <c r="N478">
        <v>0</v>
      </c>
      <c r="O478" t="s">
        <v>671</v>
      </c>
      <c r="P478" t="s">
        <v>1877</v>
      </c>
      <c r="Q478" t="s">
        <v>1877</v>
      </c>
      <c r="R478" t="s">
        <v>1877</v>
      </c>
    </row>
    <row r="479" ht="15" customHeight="1" spans="1:18" x14ac:dyDescent="0.25">
      <c r="A479" t="s">
        <v>1878</v>
      </c>
      <c r="B479" t="s">
        <v>1879</v>
      </c>
      <c r="C479" t="s">
        <v>692</v>
      </c>
      <c r="D479" t="s">
        <v>669</v>
      </c>
      <c r="E479" t="s">
        <v>670</v>
      </c>
      <c r="F479" t="s">
        <v>669</v>
      </c>
      <c r="G479">
        <v>1</v>
      </c>
      <c r="H479">
        <v>3.85</v>
      </c>
      <c r="I479">
        <v>0</v>
      </c>
      <c r="J479">
        <v>2</v>
      </c>
      <c r="K479">
        <v>2</v>
      </c>
      <c r="L479">
        <v>0</v>
      </c>
      <c r="M479">
        <v>200</v>
      </c>
      <c r="N479">
        <v>200</v>
      </c>
      <c r="O479" t="s">
        <v>671</v>
      </c>
      <c r="P479" t="s">
        <v>1880</v>
      </c>
      <c r="Q479" t="s">
        <v>1880</v>
      </c>
      <c r="R479" t="s">
        <v>1880</v>
      </c>
    </row>
    <row r="480" ht="26.85" customHeight="1" spans="1:18" x14ac:dyDescent="0.25">
      <c r="A480" t="s">
        <v>1881</v>
      </c>
      <c r="B480" t="s">
        <v>1882</v>
      </c>
      <c r="C480" t="s">
        <v>692</v>
      </c>
      <c r="D480" t="s">
        <v>670</v>
      </c>
      <c r="E480" t="s">
        <v>669</v>
      </c>
      <c r="F480" t="s">
        <v>669</v>
      </c>
      <c r="G480">
        <v>1</v>
      </c>
      <c r="H480">
        <v>3.85</v>
      </c>
      <c r="I480">
        <v>20</v>
      </c>
      <c r="J480">
        <v>0</v>
      </c>
      <c r="K480">
        <v>20</v>
      </c>
      <c r="L480">
        <v>2341.9</v>
      </c>
      <c r="M480">
        <v>0</v>
      </c>
      <c r="N480">
        <v>2341.9</v>
      </c>
      <c r="O480" t="s">
        <v>681</v>
      </c>
      <c r="P480" t="s">
        <v>834</v>
      </c>
      <c r="Q480" t="s">
        <v>1219</v>
      </c>
      <c r="R480" t="s">
        <v>1220</v>
      </c>
    </row>
    <row r="481" ht="26.85" customHeight="1" spans="1:18" x14ac:dyDescent="0.25">
      <c r="A481" t="s">
        <v>1883</v>
      </c>
      <c r="B481" t="s">
        <v>1884</v>
      </c>
      <c r="C481" t="s">
        <v>692</v>
      </c>
      <c r="D481" t="s">
        <v>670</v>
      </c>
      <c r="E481" t="s">
        <v>669</v>
      </c>
      <c r="F481" t="s">
        <v>669</v>
      </c>
      <c r="G481">
        <v>1</v>
      </c>
      <c r="H481">
        <v>3.85</v>
      </c>
      <c r="I481">
        <v>1</v>
      </c>
      <c r="J481">
        <v>0</v>
      </c>
      <c r="K481">
        <v>1</v>
      </c>
      <c r="L481">
        <v>113.44</v>
      </c>
      <c r="M481">
        <v>0</v>
      </c>
      <c r="N481">
        <v>113.44</v>
      </c>
      <c r="O481" t="s">
        <v>671</v>
      </c>
      <c r="P481" t="s">
        <v>1885</v>
      </c>
      <c r="Q481" t="s">
        <v>1885</v>
      </c>
      <c r="R481" t="s">
        <v>1885</v>
      </c>
    </row>
    <row r="482" ht="26.85" customHeight="1" spans="1:18" x14ac:dyDescent="0.25">
      <c r="A482" t="s">
        <v>1886</v>
      </c>
      <c r="B482" t="s">
        <v>1887</v>
      </c>
      <c r="C482" t="s">
        <v>692</v>
      </c>
      <c r="D482" t="s">
        <v>670</v>
      </c>
      <c r="E482" t="s">
        <v>669</v>
      </c>
      <c r="F482" t="s">
        <v>669</v>
      </c>
      <c r="G482">
        <v>1</v>
      </c>
      <c r="H482">
        <v>3.85</v>
      </c>
      <c r="I482">
        <v>10</v>
      </c>
      <c r="J482">
        <v>0</v>
      </c>
      <c r="K482">
        <v>10</v>
      </c>
      <c r="L482">
        <v>1134.4</v>
      </c>
      <c r="M482">
        <v>0</v>
      </c>
      <c r="N482">
        <v>1134.4</v>
      </c>
      <c r="O482" t="s">
        <v>671</v>
      </c>
      <c r="P482" t="s">
        <v>1885</v>
      </c>
      <c r="Q482" t="s">
        <v>1885</v>
      </c>
      <c r="R482" t="s">
        <v>1885</v>
      </c>
    </row>
    <row r="483" ht="26.85" customHeight="1" spans="1:18" x14ac:dyDescent="0.25">
      <c r="A483" t="s">
        <v>1888</v>
      </c>
      <c r="B483" t="s">
        <v>1889</v>
      </c>
      <c r="C483" t="s">
        <v>692</v>
      </c>
      <c r="D483" t="s">
        <v>670</v>
      </c>
      <c r="E483" t="s">
        <v>669</v>
      </c>
      <c r="F483" t="s">
        <v>669</v>
      </c>
      <c r="G483">
        <v>1</v>
      </c>
      <c r="H483">
        <v>3.85</v>
      </c>
      <c r="I483">
        <v>10</v>
      </c>
      <c r="J483">
        <v>0</v>
      </c>
      <c r="K483">
        <v>10</v>
      </c>
      <c r="L483">
        <v>1181.2</v>
      </c>
      <c r="M483">
        <v>0</v>
      </c>
      <c r="N483">
        <v>1181.2</v>
      </c>
      <c r="O483" t="s">
        <v>671</v>
      </c>
      <c r="P483" t="s">
        <v>1890</v>
      </c>
      <c r="Q483" t="s">
        <v>1890</v>
      </c>
      <c r="R483" t="s">
        <v>1890</v>
      </c>
    </row>
    <row r="484" ht="15" customHeight="1" spans="1:18" x14ac:dyDescent="0.25">
      <c r="A484" t="s">
        <v>1891</v>
      </c>
      <c r="B484" t="s">
        <v>1892</v>
      </c>
      <c r="C484" t="s">
        <v>692</v>
      </c>
      <c r="D484" t="s">
        <v>669</v>
      </c>
      <c r="E484" t="s">
        <v>670</v>
      </c>
      <c r="F484" t="s">
        <v>669</v>
      </c>
      <c r="G484">
        <v>1</v>
      </c>
      <c r="H484">
        <v>3.85</v>
      </c>
      <c r="I484">
        <v>0</v>
      </c>
      <c r="J484">
        <v>1</v>
      </c>
      <c r="K484">
        <v>1</v>
      </c>
      <c r="L484">
        <v>0</v>
      </c>
      <c r="M484">
        <v>63</v>
      </c>
      <c r="N484">
        <v>63</v>
      </c>
      <c r="O484" t="s">
        <v>671</v>
      </c>
      <c r="P484" t="s">
        <v>821</v>
      </c>
      <c r="Q484" t="s">
        <v>821</v>
      </c>
      <c r="R484" t="s">
        <v>821</v>
      </c>
    </row>
    <row r="485" ht="15" customHeight="1" spans="1:18" x14ac:dyDescent="0.25">
      <c r="A485" t="s">
        <v>1893</v>
      </c>
      <c r="B485" t="s">
        <v>1894</v>
      </c>
      <c r="C485" t="s">
        <v>692</v>
      </c>
      <c r="D485" t="s">
        <v>670</v>
      </c>
      <c r="E485" t="s">
        <v>669</v>
      </c>
      <c r="F485" t="s">
        <v>669</v>
      </c>
      <c r="G485">
        <v>1</v>
      </c>
      <c r="H485">
        <v>3.85</v>
      </c>
      <c r="I485">
        <v>1</v>
      </c>
      <c r="J485">
        <v>0</v>
      </c>
      <c r="K485">
        <v>1</v>
      </c>
      <c r="L485">
        <v>164</v>
      </c>
      <c r="M485">
        <v>0</v>
      </c>
      <c r="N485">
        <v>164</v>
      </c>
      <c r="O485" t="s">
        <v>671</v>
      </c>
      <c r="P485" t="s">
        <v>1549</v>
      </c>
      <c r="Q485" t="s">
        <v>1549</v>
      </c>
      <c r="R485" t="s">
        <v>1549</v>
      </c>
    </row>
    <row r="486" ht="26.85" customHeight="1" spans="1:18" x14ac:dyDescent="0.25">
      <c r="A486" t="s">
        <v>1895</v>
      </c>
      <c r="B486" t="s">
        <v>1896</v>
      </c>
      <c r="C486" t="s">
        <v>692</v>
      </c>
      <c r="D486" t="s">
        <v>669</v>
      </c>
      <c r="E486" t="s">
        <v>670</v>
      </c>
      <c r="F486" t="s">
        <v>669</v>
      </c>
      <c r="G486">
        <v>1</v>
      </c>
      <c r="H486">
        <v>3.85</v>
      </c>
      <c r="I486">
        <v>0</v>
      </c>
      <c r="J486">
        <v>1</v>
      </c>
      <c r="K486">
        <v>1</v>
      </c>
      <c r="L486">
        <v>0</v>
      </c>
      <c r="M486">
        <v>259.5</v>
      </c>
      <c r="N486">
        <v>259.5</v>
      </c>
      <c r="O486" t="s">
        <v>671</v>
      </c>
      <c r="P486" t="s">
        <v>1897</v>
      </c>
      <c r="Q486" t="s">
        <v>1897</v>
      </c>
      <c r="R486" t="s">
        <v>1897</v>
      </c>
    </row>
    <row r="487" ht="26.85" customHeight="1" spans="1:18" x14ac:dyDescent="0.25">
      <c r="A487" t="s">
        <v>1898</v>
      </c>
      <c r="B487" t="s">
        <v>1899</v>
      </c>
      <c r="C487" t="s">
        <v>692</v>
      </c>
      <c r="D487" t="s">
        <v>670</v>
      </c>
      <c r="E487" t="s">
        <v>669</v>
      </c>
      <c r="F487" t="s">
        <v>669</v>
      </c>
      <c r="G487">
        <v>1</v>
      </c>
      <c r="H487">
        <v>3.85</v>
      </c>
      <c r="I487">
        <v>5</v>
      </c>
      <c r="J487">
        <v>0</v>
      </c>
      <c r="K487">
        <v>5</v>
      </c>
      <c r="L487">
        <v>45</v>
      </c>
      <c r="M487">
        <v>0</v>
      </c>
      <c r="N487">
        <v>45</v>
      </c>
      <c r="O487" t="s">
        <v>671</v>
      </c>
      <c r="P487" t="s">
        <v>1069</v>
      </c>
      <c r="Q487" t="s">
        <v>1069</v>
      </c>
      <c r="R487" t="s">
        <v>1069</v>
      </c>
    </row>
    <row r="488" ht="26.85" customHeight="1" spans="1:18" x14ac:dyDescent="0.25">
      <c r="A488" t="s">
        <v>1900</v>
      </c>
      <c r="B488" t="s">
        <v>1901</v>
      </c>
      <c r="C488" t="s">
        <v>692</v>
      </c>
      <c r="D488" t="s">
        <v>670</v>
      </c>
      <c r="E488" t="s">
        <v>669</v>
      </c>
      <c r="F488" t="s">
        <v>669</v>
      </c>
      <c r="G488">
        <v>1</v>
      </c>
      <c r="H488">
        <v>3.85</v>
      </c>
      <c r="I488">
        <v>5</v>
      </c>
      <c r="J488">
        <v>0</v>
      </c>
      <c r="K488">
        <v>5</v>
      </c>
      <c r="L488">
        <v>129.4</v>
      </c>
      <c r="M488">
        <v>0</v>
      </c>
      <c r="N488">
        <v>129.4</v>
      </c>
      <c r="O488" t="s">
        <v>671</v>
      </c>
      <c r="P488" t="s">
        <v>1902</v>
      </c>
      <c r="Q488" t="s">
        <v>1902</v>
      </c>
      <c r="R488" t="s">
        <v>1902</v>
      </c>
    </row>
    <row r="489" ht="26.85" customHeight="1" spans="1:18" x14ac:dyDescent="0.25">
      <c r="A489" t="s">
        <v>1903</v>
      </c>
      <c r="B489" t="s">
        <v>1904</v>
      </c>
      <c r="C489" t="s">
        <v>692</v>
      </c>
      <c r="D489" t="s">
        <v>670</v>
      </c>
      <c r="E489" t="s">
        <v>669</v>
      </c>
      <c r="F489" t="s">
        <v>669</v>
      </c>
      <c r="G489">
        <v>1</v>
      </c>
      <c r="H489">
        <v>3.85</v>
      </c>
      <c r="I489">
        <v>1</v>
      </c>
      <c r="J489">
        <v>0</v>
      </c>
      <c r="K489">
        <v>1</v>
      </c>
      <c r="L489">
        <v>1649</v>
      </c>
      <c r="M489">
        <v>0</v>
      </c>
      <c r="N489">
        <v>1649</v>
      </c>
      <c r="O489" t="s">
        <v>671</v>
      </c>
      <c r="P489" t="s">
        <v>1905</v>
      </c>
      <c r="Q489" t="s">
        <v>1905</v>
      </c>
      <c r="R489" t="s">
        <v>1905</v>
      </c>
    </row>
    <row r="490" ht="26.85" customHeight="1" spans="1:18" x14ac:dyDescent="0.25">
      <c r="A490" t="s">
        <v>1906</v>
      </c>
      <c r="B490" t="s">
        <v>1907</v>
      </c>
      <c r="C490" t="s">
        <v>692</v>
      </c>
      <c r="D490" t="s">
        <v>670</v>
      </c>
      <c r="E490" t="s">
        <v>669</v>
      </c>
      <c r="F490" t="s">
        <v>669</v>
      </c>
      <c r="G490">
        <v>1</v>
      </c>
      <c r="H490">
        <v>3.85</v>
      </c>
      <c r="I490">
        <v>1</v>
      </c>
      <c r="J490">
        <v>0</v>
      </c>
      <c r="K490">
        <v>1</v>
      </c>
      <c r="L490">
        <v>18</v>
      </c>
      <c r="M490">
        <v>0</v>
      </c>
      <c r="N490">
        <v>18</v>
      </c>
      <c r="O490" t="s">
        <v>671</v>
      </c>
      <c r="P490" t="s">
        <v>936</v>
      </c>
      <c r="Q490" t="s">
        <v>936</v>
      </c>
      <c r="R490" t="s">
        <v>936</v>
      </c>
    </row>
    <row r="491" ht="15" customHeight="1" spans="1:18" x14ac:dyDescent="0.25">
      <c r="A491" t="s">
        <v>1908</v>
      </c>
      <c r="B491" t="s">
        <v>1909</v>
      </c>
      <c r="C491" t="s">
        <v>692</v>
      </c>
      <c r="D491" t="s">
        <v>669</v>
      </c>
      <c r="E491" t="s">
        <v>670</v>
      </c>
      <c r="F491" t="s">
        <v>669</v>
      </c>
      <c r="G491">
        <v>1</v>
      </c>
      <c r="H491">
        <v>3.85</v>
      </c>
      <c r="I491">
        <v>0</v>
      </c>
      <c r="J491">
        <v>1</v>
      </c>
      <c r="K491">
        <v>1</v>
      </c>
      <c r="L491">
        <v>0</v>
      </c>
      <c r="M491">
        <v>380</v>
      </c>
      <c r="N491">
        <v>380</v>
      </c>
      <c r="O491" t="s">
        <v>671</v>
      </c>
      <c r="P491" t="s">
        <v>1910</v>
      </c>
      <c r="Q491" t="s">
        <v>1910</v>
      </c>
      <c r="R491" t="s">
        <v>1910</v>
      </c>
    </row>
    <row r="492" ht="26.85" customHeight="1" spans="1:18" x14ac:dyDescent="0.25">
      <c r="A492" t="s">
        <v>1911</v>
      </c>
      <c r="B492" t="s">
        <v>1912</v>
      </c>
      <c r="C492" t="s">
        <v>692</v>
      </c>
      <c r="D492" t="s">
        <v>670</v>
      </c>
      <c r="E492" t="s">
        <v>669</v>
      </c>
      <c r="F492" t="s">
        <v>669</v>
      </c>
      <c r="G492">
        <v>1</v>
      </c>
      <c r="H492">
        <v>3.85</v>
      </c>
      <c r="I492">
        <v>1</v>
      </c>
      <c r="J492">
        <v>0</v>
      </c>
      <c r="K492">
        <v>1</v>
      </c>
      <c r="L492">
        <v>1295</v>
      </c>
      <c r="M492">
        <v>0</v>
      </c>
      <c r="N492">
        <v>1295</v>
      </c>
      <c r="O492" t="s">
        <v>671</v>
      </c>
      <c r="P492" t="s">
        <v>1913</v>
      </c>
      <c r="Q492" t="s">
        <v>1913</v>
      </c>
      <c r="R492" t="s">
        <v>1913</v>
      </c>
    </row>
    <row r="493" ht="39.55" customHeight="1" spans="1:18" x14ac:dyDescent="0.25">
      <c r="A493" t="s">
        <v>1914</v>
      </c>
      <c r="B493" t="s">
        <v>1915</v>
      </c>
      <c r="C493" t="s">
        <v>692</v>
      </c>
      <c r="D493" t="s">
        <v>670</v>
      </c>
      <c r="E493" t="s">
        <v>669</v>
      </c>
      <c r="F493" t="s">
        <v>669</v>
      </c>
      <c r="G493">
        <v>1</v>
      </c>
      <c r="H493">
        <v>3.85</v>
      </c>
      <c r="I493">
        <v>1</v>
      </c>
      <c r="J493">
        <v>0</v>
      </c>
      <c r="K493">
        <v>1</v>
      </c>
      <c r="L493">
        <v>211</v>
      </c>
      <c r="M493">
        <v>0</v>
      </c>
      <c r="N493">
        <v>211</v>
      </c>
      <c r="O493" t="s">
        <v>671</v>
      </c>
      <c r="P493" t="s">
        <v>1916</v>
      </c>
      <c r="Q493" t="s">
        <v>1916</v>
      </c>
      <c r="R493" t="s">
        <v>1916</v>
      </c>
    </row>
    <row r="494" ht="26.85" customHeight="1" spans="1:18" x14ac:dyDescent="0.25">
      <c r="A494" t="s">
        <v>1917</v>
      </c>
      <c r="B494" t="s">
        <v>1918</v>
      </c>
      <c r="C494" t="s">
        <v>692</v>
      </c>
      <c r="D494" t="s">
        <v>670</v>
      </c>
      <c r="E494" t="s">
        <v>669</v>
      </c>
      <c r="F494" t="s">
        <v>669</v>
      </c>
      <c r="G494">
        <v>1</v>
      </c>
      <c r="H494">
        <v>3.85</v>
      </c>
      <c r="I494">
        <v>1</v>
      </c>
      <c r="J494">
        <v>0</v>
      </c>
      <c r="K494">
        <v>1</v>
      </c>
      <c r="L494">
        <v>890</v>
      </c>
      <c r="M494">
        <v>0</v>
      </c>
      <c r="N494">
        <v>890</v>
      </c>
      <c r="O494" t="s">
        <v>671</v>
      </c>
      <c r="P494" t="s">
        <v>1919</v>
      </c>
      <c r="Q494" t="s">
        <v>1919</v>
      </c>
      <c r="R494" t="s">
        <v>1919</v>
      </c>
    </row>
    <row r="495" ht="26.85" customHeight="1" spans="1:18" x14ac:dyDescent="0.25">
      <c r="A495" t="s">
        <v>1920</v>
      </c>
      <c r="B495" t="s">
        <v>1921</v>
      </c>
      <c r="C495" t="s">
        <v>692</v>
      </c>
      <c r="D495" t="s">
        <v>669</v>
      </c>
      <c r="E495" t="s">
        <v>670</v>
      </c>
      <c r="F495" t="s">
        <v>669</v>
      </c>
      <c r="G495">
        <v>1</v>
      </c>
      <c r="H495">
        <v>3.85</v>
      </c>
      <c r="I495">
        <v>0</v>
      </c>
      <c r="J495">
        <v>1</v>
      </c>
      <c r="K495">
        <v>1</v>
      </c>
      <c r="L495">
        <v>0</v>
      </c>
      <c r="M495">
        <v>1013.44</v>
      </c>
      <c r="N495">
        <v>1013.44</v>
      </c>
      <c r="O495" t="s">
        <v>671</v>
      </c>
      <c r="P495" t="s">
        <v>1922</v>
      </c>
      <c r="Q495" t="s">
        <v>1922</v>
      </c>
      <c r="R495" t="s">
        <v>1922</v>
      </c>
    </row>
    <row r="496" ht="26.85" customHeight="1" spans="1:18" x14ac:dyDescent="0.25">
      <c r="A496" t="s">
        <v>1923</v>
      </c>
      <c r="B496" t="s">
        <v>1924</v>
      </c>
      <c r="C496" t="s">
        <v>692</v>
      </c>
      <c r="D496" t="s">
        <v>669</v>
      </c>
      <c r="E496" t="s">
        <v>670</v>
      </c>
      <c r="F496" t="s">
        <v>669</v>
      </c>
      <c r="G496">
        <v>1</v>
      </c>
      <c r="H496">
        <v>3.85</v>
      </c>
      <c r="I496">
        <v>0</v>
      </c>
      <c r="J496">
        <v>1</v>
      </c>
      <c r="K496">
        <v>1</v>
      </c>
      <c r="L496">
        <v>0</v>
      </c>
      <c r="M496">
        <v>569</v>
      </c>
      <c r="N496">
        <v>569</v>
      </c>
      <c r="O496" t="s">
        <v>671</v>
      </c>
      <c r="P496" t="s">
        <v>1925</v>
      </c>
      <c r="Q496" t="s">
        <v>1925</v>
      </c>
      <c r="R496" t="s">
        <v>1925</v>
      </c>
    </row>
    <row r="497" ht="15" customHeight="1" spans="1:18" x14ac:dyDescent="0.25">
      <c r="A497" t="s">
        <v>1926</v>
      </c>
      <c r="B497" t="s">
        <v>1927</v>
      </c>
      <c r="C497" t="s">
        <v>692</v>
      </c>
      <c r="D497" t="s">
        <v>670</v>
      </c>
      <c r="E497" t="s">
        <v>669</v>
      </c>
      <c r="F497" t="s">
        <v>669</v>
      </c>
      <c r="G497">
        <v>1</v>
      </c>
      <c r="H497">
        <v>3.85</v>
      </c>
      <c r="I497">
        <v>4</v>
      </c>
      <c r="J497">
        <v>0</v>
      </c>
      <c r="K497">
        <v>4</v>
      </c>
      <c r="L497">
        <v>896.25</v>
      </c>
      <c r="M497">
        <v>0</v>
      </c>
      <c r="N497">
        <v>896.25</v>
      </c>
      <c r="O497" t="s">
        <v>671</v>
      </c>
      <c r="P497" t="s">
        <v>1928</v>
      </c>
      <c r="Q497" t="s">
        <v>1928</v>
      </c>
      <c r="R497" t="s">
        <v>1928</v>
      </c>
    </row>
    <row r="498" ht="26.85" customHeight="1" spans="1:18" x14ac:dyDescent="0.25">
      <c r="A498" t="s">
        <v>1385</v>
      </c>
      <c r="B498" t="s">
        <v>1929</v>
      </c>
      <c r="C498" t="s">
        <v>692</v>
      </c>
      <c r="D498" t="s">
        <v>669</v>
      </c>
      <c r="E498" t="s">
        <v>670</v>
      </c>
      <c r="F498" t="s">
        <v>669</v>
      </c>
      <c r="G498">
        <v>1</v>
      </c>
      <c r="H498">
        <v>3.85</v>
      </c>
      <c r="I498">
        <v>0</v>
      </c>
      <c r="J498">
        <v>1</v>
      </c>
      <c r="K498">
        <v>1</v>
      </c>
      <c r="L498">
        <v>0</v>
      </c>
      <c r="M498">
        <v>768</v>
      </c>
      <c r="N498">
        <v>768</v>
      </c>
      <c r="O498" t="s">
        <v>671</v>
      </c>
      <c r="P498" t="s">
        <v>1387</v>
      </c>
      <c r="Q498" t="s">
        <v>1387</v>
      </c>
      <c r="R498" t="s">
        <v>1387</v>
      </c>
    </row>
    <row r="499" ht="26.85" customHeight="1" spans="1:18" x14ac:dyDescent="0.25">
      <c r="A499" t="s">
        <v>1930</v>
      </c>
      <c r="B499" t="s">
        <v>1931</v>
      </c>
      <c r="C499" t="s">
        <v>692</v>
      </c>
      <c r="D499" t="s">
        <v>669</v>
      </c>
      <c r="E499" t="s">
        <v>670</v>
      </c>
      <c r="F499" t="s">
        <v>669</v>
      </c>
      <c r="G499">
        <v>1</v>
      </c>
      <c r="H499">
        <v>3.85</v>
      </c>
      <c r="I499">
        <v>0</v>
      </c>
      <c r="J499">
        <v>1</v>
      </c>
      <c r="K499">
        <v>1</v>
      </c>
      <c r="L499">
        <v>0</v>
      </c>
      <c r="M499">
        <v>225</v>
      </c>
      <c r="N499">
        <v>225</v>
      </c>
      <c r="O499" t="s">
        <v>671</v>
      </c>
      <c r="P499" t="s">
        <v>1932</v>
      </c>
      <c r="Q499" t="s">
        <v>1932</v>
      </c>
      <c r="R499" t="s">
        <v>1932</v>
      </c>
    </row>
    <row r="500" ht="15" customHeight="1" spans="1:18" x14ac:dyDescent="0.25">
      <c r="A500" t="s">
        <v>1933</v>
      </c>
      <c r="B500" t="s">
        <v>1934</v>
      </c>
      <c r="C500" t="s">
        <v>692</v>
      </c>
      <c r="D500" t="s">
        <v>669</v>
      </c>
      <c r="E500" t="s">
        <v>670</v>
      </c>
      <c r="F500" t="s">
        <v>669</v>
      </c>
      <c r="G500">
        <v>1</v>
      </c>
      <c r="H500">
        <v>3.85</v>
      </c>
      <c r="I500">
        <v>0</v>
      </c>
      <c r="J500">
        <v>1</v>
      </c>
      <c r="K500">
        <v>1</v>
      </c>
      <c r="L500">
        <v>0</v>
      </c>
      <c r="M500">
        <v>229.69</v>
      </c>
      <c r="N500">
        <v>229.69</v>
      </c>
      <c r="O500" t="s">
        <v>671</v>
      </c>
      <c r="P500" t="s">
        <v>1935</v>
      </c>
      <c r="Q500" t="s">
        <v>1935</v>
      </c>
      <c r="R500" t="s">
        <v>1935</v>
      </c>
    </row>
    <row r="501" ht="26.85" customHeight="1" spans="1:18" x14ac:dyDescent="0.25">
      <c r="A501" t="s">
        <v>1936</v>
      </c>
      <c r="B501" t="s">
        <v>1937</v>
      </c>
      <c r="C501" t="s">
        <v>692</v>
      </c>
      <c r="D501" t="s">
        <v>670</v>
      </c>
      <c r="E501" t="s">
        <v>669</v>
      </c>
      <c r="F501" t="s">
        <v>669</v>
      </c>
      <c r="G501">
        <v>1</v>
      </c>
      <c r="H501">
        <v>3.85</v>
      </c>
      <c r="I501">
        <v>1</v>
      </c>
      <c r="J501">
        <v>0</v>
      </c>
      <c r="K501">
        <v>1</v>
      </c>
      <c r="L501">
        <v>3.28</v>
      </c>
      <c r="M501">
        <v>0</v>
      </c>
      <c r="N501">
        <v>3.28</v>
      </c>
      <c r="O501" t="s">
        <v>671</v>
      </c>
      <c r="P501" t="s">
        <v>1938</v>
      </c>
      <c r="Q501" t="s">
        <v>1938</v>
      </c>
      <c r="R501" t="s">
        <v>1938</v>
      </c>
    </row>
    <row r="502" ht="15" customHeight="1" spans="1:18" x14ac:dyDescent="0.25">
      <c r="A502" t="s">
        <v>1939</v>
      </c>
      <c r="B502" t="s">
        <v>1940</v>
      </c>
      <c r="C502" t="s">
        <v>692</v>
      </c>
      <c r="D502" t="s">
        <v>670</v>
      </c>
      <c r="E502" t="s">
        <v>669</v>
      </c>
      <c r="F502" t="s">
        <v>669</v>
      </c>
      <c r="G502">
        <v>1</v>
      </c>
      <c r="H502">
        <v>3.85</v>
      </c>
      <c r="I502">
        <v>1</v>
      </c>
      <c r="J502">
        <v>0</v>
      </c>
      <c r="K502">
        <v>1</v>
      </c>
      <c r="L502">
        <v>4</v>
      </c>
      <c r="M502">
        <v>0</v>
      </c>
      <c r="N502">
        <v>4</v>
      </c>
      <c r="O502" t="s">
        <v>671</v>
      </c>
      <c r="P502" t="s">
        <v>731</v>
      </c>
      <c r="Q502" t="s">
        <v>731</v>
      </c>
      <c r="R502" t="s">
        <v>731</v>
      </c>
    </row>
    <row r="503" ht="26.85" customHeight="1" spans="1:18" x14ac:dyDescent="0.25">
      <c r="A503" t="s">
        <v>1941</v>
      </c>
      <c r="B503" t="s">
        <v>1942</v>
      </c>
      <c r="C503" t="s">
        <v>692</v>
      </c>
      <c r="D503" t="s">
        <v>670</v>
      </c>
      <c r="E503" t="s">
        <v>669</v>
      </c>
      <c r="F503" t="s">
        <v>669</v>
      </c>
      <c r="G503">
        <v>1</v>
      </c>
      <c r="H503">
        <v>3.85</v>
      </c>
      <c r="I503">
        <v>1</v>
      </c>
      <c r="J503">
        <v>0</v>
      </c>
      <c r="K503">
        <v>1</v>
      </c>
      <c r="L503">
        <v>1546.88</v>
      </c>
      <c r="M503">
        <v>0</v>
      </c>
      <c r="N503">
        <v>1546.88</v>
      </c>
      <c r="O503" t="s">
        <v>671</v>
      </c>
      <c r="P503" t="s">
        <v>1943</v>
      </c>
      <c r="Q503" t="s">
        <v>1943</v>
      </c>
      <c r="R503" t="s">
        <v>1943</v>
      </c>
    </row>
    <row r="504" ht="15" customHeight="1" spans="1:18" x14ac:dyDescent="0.25">
      <c r="A504" t="s">
        <v>1944</v>
      </c>
      <c r="B504" t="s">
        <v>1945</v>
      </c>
      <c r="C504" t="s">
        <v>692</v>
      </c>
      <c r="D504" t="s">
        <v>670</v>
      </c>
      <c r="E504" t="s">
        <v>669</v>
      </c>
      <c r="F504" t="s">
        <v>669</v>
      </c>
      <c r="G504">
        <v>1</v>
      </c>
      <c r="H504">
        <v>3.85</v>
      </c>
      <c r="I504">
        <v>1</v>
      </c>
      <c r="J504">
        <v>0</v>
      </c>
      <c r="K504">
        <v>1</v>
      </c>
      <c r="L504">
        <v>510</v>
      </c>
      <c r="M504">
        <v>0</v>
      </c>
      <c r="N504">
        <v>510</v>
      </c>
      <c r="O504" t="s">
        <v>671</v>
      </c>
      <c r="P504" t="s">
        <v>939</v>
      </c>
      <c r="Q504" t="s">
        <v>939</v>
      </c>
      <c r="R504" t="s">
        <v>939</v>
      </c>
    </row>
    <row r="505" ht="15" customHeight="1" spans="1:18" x14ac:dyDescent="0.25">
      <c r="A505" t="s">
        <v>1946</v>
      </c>
      <c r="B505" t="s">
        <v>1947</v>
      </c>
      <c r="C505" t="s">
        <v>692</v>
      </c>
      <c r="D505" t="s">
        <v>669</v>
      </c>
      <c r="E505" t="s">
        <v>670</v>
      </c>
      <c r="F505" t="s">
        <v>669</v>
      </c>
      <c r="G505">
        <v>1</v>
      </c>
      <c r="H505">
        <v>3.85</v>
      </c>
      <c r="I505">
        <v>0</v>
      </c>
      <c r="J505">
        <v>1</v>
      </c>
      <c r="K505">
        <v>1</v>
      </c>
      <c r="L505">
        <v>0</v>
      </c>
      <c r="M505">
        <v>999</v>
      </c>
      <c r="N505">
        <v>999</v>
      </c>
      <c r="O505" t="s">
        <v>671</v>
      </c>
      <c r="P505" t="s">
        <v>1948</v>
      </c>
      <c r="Q505" t="s">
        <v>1948</v>
      </c>
      <c r="R505" t="s">
        <v>1948</v>
      </c>
    </row>
    <row r="506" ht="15" customHeight="1" spans="1:18" x14ac:dyDescent="0.25">
      <c r="A506" t="s">
        <v>1949</v>
      </c>
      <c r="B506" t="s">
        <v>1950</v>
      </c>
      <c r="C506" t="s">
        <v>692</v>
      </c>
      <c r="D506" t="s">
        <v>670</v>
      </c>
      <c r="E506" t="s">
        <v>669</v>
      </c>
      <c r="F506" t="s">
        <v>669</v>
      </c>
      <c r="G506">
        <v>1</v>
      </c>
      <c r="H506">
        <v>3.85</v>
      </c>
      <c r="I506">
        <v>4</v>
      </c>
      <c r="J506">
        <v>0</v>
      </c>
      <c r="K506">
        <v>4</v>
      </c>
      <c r="L506">
        <v>1880</v>
      </c>
      <c r="M506">
        <v>0</v>
      </c>
      <c r="N506">
        <v>1880</v>
      </c>
      <c r="O506" t="s">
        <v>671</v>
      </c>
      <c r="P506" t="s">
        <v>1554</v>
      </c>
      <c r="Q506" t="s">
        <v>1554</v>
      </c>
      <c r="R506" t="s">
        <v>1554</v>
      </c>
    </row>
    <row r="507" ht="26.85" customHeight="1" spans="1:18" x14ac:dyDescent="0.25">
      <c r="A507" t="s">
        <v>1560</v>
      </c>
      <c r="B507" t="s">
        <v>1951</v>
      </c>
      <c r="C507" t="s">
        <v>692</v>
      </c>
      <c r="D507" t="s">
        <v>670</v>
      </c>
      <c r="E507" t="s">
        <v>669</v>
      </c>
      <c r="F507" t="s">
        <v>669</v>
      </c>
      <c r="G507">
        <v>1</v>
      </c>
      <c r="H507">
        <v>3.85</v>
      </c>
      <c r="I507">
        <v>1</v>
      </c>
      <c r="J507">
        <v>0</v>
      </c>
      <c r="K507">
        <v>1</v>
      </c>
      <c r="L507">
        <v>8250</v>
      </c>
      <c r="M507">
        <v>0</v>
      </c>
      <c r="N507">
        <v>8250</v>
      </c>
      <c r="O507" t="s">
        <v>671</v>
      </c>
      <c r="P507" t="s">
        <v>1952</v>
      </c>
      <c r="Q507" t="s">
        <v>1952</v>
      </c>
      <c r="R507" t="s">
        <v>1952</v>
      </c>
    </row>
    <row r="508" ht="15" customHeight="1" spans="1:18" x14ac:dyDescent="0.25">
      <c r="A508" t="s">
        <v>1953</v>
      </c>
      <c r="B508" t="s">
        <v>1954</v>
      </c>
      <c r="C508" t="s">
        <v>692</v>
      </c>
      <c r="D508" t="s">
        <v>670</v>
      </c>
      <c r="E508" t="s">
        <v>669</v>
      </c>
      <c r="F508" t="s">
        <v>669</v>
      </c>
      <c r="G508">
        <v>1</v>
      </c>
      <c r="H508">
        <v>3.85</v>
      </c>
      <c r="I508">
        <v>1</v>
      </c>
      <c r="J508">
        <v>0</v>
      </c>
      <c r="K508">
        <v>1</v>
      </c>
      <c r="L508">
        <v>928</v>
      </c>
      <c r="M508">
        <v>0</v>
      </c>
      <c r="N508">
        <v>928</v>
      </c>
      <c r="O508" t="s">
        <v>671</v>
      </c>
      <c r="P508" t="s">
        <v>1955</v>
      </c>
      <c r="Q508" t="s">
        <v>1955</v>
      </c>
      <c r="R508" t="s">
        <v>1955</v>
      </c>
    </row>
    <row r="509" ht="26.85" customHeight="1" spans="1:18" x14ac:dyDescent="0.25">
      <c r="A509" t="s">
        <v>1956</v>
      </c>
      <c r="B509" t="s">
        <v>1957</v>
      </c>
      <c r="C509" t="s">
        <v>692</v>
      </c>
      <c r="D509" t="s">
        <v>670</v>
      </c>
      <c r="E509" t="s">
        <v>669</v>
      </c>
      <c r="F509" t="s">
        <v>669</v>
      </c>
      <c r="G509">
        <v>1</v>
      </c>
      <c r="H509">
        <v>3.85</v>
      </c>
      <c r="I509">
        <v>1</v>
      </c>
      <c r="J509">
        <v>0</v>
      </c>
      <c r="K509">
        <v>1</v>
      </c>
      <c r="L509">
        <v>112.5</v>
      </c>
      <c r="M509">
        <v>0</v>
      </c>
      <c r="N509">
        <v>112.5</v>
      </c>
      <c r="O509" t="s">
        <v>671</v>
      </c>
      <c r="P509" t="s">
        <v>1958</v>
      </c>
      <c r="Q509" t="s">
        <v>1958</v>
      </c>
      <c r="R509" t="s">
        <v>1958</v>
      </c>
    </row>
    <row r="510" ht="26.85" customHeight="1" spans="1:18" x14ac:dyDescent="0.25">
      <c r="A510" t="s">
        <v>1959</v>
      </c>
      <c r="B510" t="s">
        <v>1831</v>
      </c>
      <c r="C510" t="s">
        <v>692</v>
      </c>
      <c r="D510" t="s">
        <v>670</v>
      </c>
      <c r="E510" t="s">
        <v>669</v>
      </c>
      <c r="F510" t="s">
        <v>670</v>
      </c>
      <c r="G510">
        <v>1</v>
      </c>
      <c r="H510">
        <v>3.85</v>
      </c>
      <c r="I510">
        <v>0</v>
      </c>
      <c r="J510">
        <v>0</v>
      </c>
      <c r="K510">
        <v>0</v>
      </c>
      <c r="L510">
        <v>0</v>
      </c>
      <c r="M510">
        <v>0</v>
      </c>
      <c r="N510">
        <v>0</v>
      </c>
      <c r="O510" t="s">
        <v>671</v>
      </c>
      <c r="P510" t="s">
        <v>1960</v>
      </c>
      <c r="Q510" t="s">
        <v>1960</v>
      </c>
      <c r="R510" t="s">
        <v>1960</v>
      </c>
    </row>
    <row r="511" ht="26.85" customHeight="1" spans="1:18" x14ac:dyDescent="0.25">
      <c r="A511" t="s">
        <v>1961</v>
      </c>
      <c r="B511" t="s">
        <v>1962</v>
      </c>
      <c r="C511" t="s">
        <v>692</v>
      </c>
      <c r="D511" t="s">
        <v>670</v>
      </c>
      <c r="E511" t="s">
        <v>669</v>
      </c>
      <c r="F511" t="s">
        <v>669</v>
      </c>
      <c r="G511">
        <v>1</v>
      </c>
      <c r="H511">
        <v>3.85</v>
      </c>
      <c r="I511">
        <v>1</v>
      </c>
      <c r="J511">
        <v>0</v>
      </c>
      <c r="K511">
        <v>1</v>
      </c>
      <c r="L511">
        <v>1593.75</v>
      </c>
      <c r="M511">
        <v>0</v>
      </c>
      <c r="N511">
        <v>1593.75</v>
      </c>
      <c r="O511" t="s">
        <v>671</v>
      </c>
      <c r="P511" t="s">
        <v>1963</v>
      </c>
      <c r="Q511" t="s">
        <v>1963</v>
      </c>
      <c r="R511" t="s">
        <v>1963</v>
      </c>
    </row>
    <row r="512" ht="39.55" customHeight="1" spans="1:18" x14ac:dyDescent="0.25">
      <c r="A512" t="s">
        <v>1964</v>
      </c>
      <c r="B512" t="s">
        <v>1965</v>
      </c>
      <c r="C512" t="s">
        <v>692</v>
      </c>
      <c r="D512" t="s">
        <v>670</v>
      </c>
      <c r="E512" t="s">
        <v>669</v>
      </c>
      <c r="F512" t="s">
        <v>669</v>
      </c>
      <c r="G512">
        <v>1</v>
      </c>
      <c r="H512">
        <v>3.85</v>
      </c>
      <c r="I512">
        <v>2</v>
      </c>
      <c r="J512">
        <v>0</v>
      </c>
      <c r="K512">
        <v>2</v>
      </c>
      <c r="L512">
        <v>1500</v>
      </c>
      <c r="M512">
        <v>0</v>
      </c>
      <c r="N512">
        <v>1500</v>
      </c>
      <c r="O512" t="s">
        <v>671</v>
      </c>
      <c r="P512" t="s">
        <v>1966</v>
      </c>
      <c r="Q512" t="s">
        <v>1966</v>
      </c>
      <c r="R512" t="s">
        <v>1966</v>
      </c>
    </row>
    <row r="513" ht="26.85" customHeight="1" spans="1:18" x14ac:dyDescent="0.25">
      <c r="A513" t="s">
        <v>1967</v>
      </c>
      <c r="B513" t="s">
        <v>1968</v>
      </c>
      <c r="C513" t="s">
        <v>692</v>
      </c>
      <c r="D513" t="s">
        <v>670</v>
      </c>
      <c r="E513" t="s">
        <v>669</v>
      </c>
      <c r="F513" t="s">
        <v>669</v>
      </c>
      <c r="G513">
        <v>1</v>
      </c>
      <c r="H513">
        <v>3.85</v>
      </c>
      <c r="I513">
        <v>2</v>
      </c>
      <c r="J513">
        <v>0</v>
      </c>
      <c r="K513">
        <v>2</v>
      </c>
      <c r="L513">
        <v>632</v>
      </c>
      <c r="M513">
        <v>0</v>
      </c>
      <c r="N513">
        <v>632</v>
      </c>
      <c r="O513" t="s">
        <v>671</v>
      </c>
      <c r="P513" t="s">
        <v>1969</v>
      </c>
      <c r="Q513" t="s">
        <v>1969</v>
      </c>
      <c r="R513" t="s">
        <v>1969</v>
      </c>
    </row>
    <row r="514" ht="15" customHeight="1" spans="1:18" x14ac:dyDescent="0.25">
      <c r="A514" t="s">
        <v>1255</v>
      </c>
      <c r="B514" t="s">
        <v>1970</v>
      </c>
      <c r="C514" t="s">
        <v>692</v>
      </c>
      <c r="D514" t="s">
        <v>670</v>
      </c>
      <c r="E514" t="s">
        <v>669</v>
      </c>
      <c r="F514" t="s">
        <v>669</v>
      </c>
      <c r="G514">
        <v>1</v>
      </c>
      <c r="H514">
        <v>3.85</v>
      </c>
      <c r="I514">
        <v>1</v>
      </c>
      <c r="J514">
        <v>0</v>
      </c>
      <c r="K514">
        <v>1</v>
      </c>
      <c r="L514">
        <v>3500</v>
      </c>
      <c r="M514">
        <v>0</v>
      </c>
      <c r="N514">
        <v>3500</v>
      </c>
      <c r="O514" t="s">
        <v>671</v>
      </c>
      <c r="P514" t="s">
        <v>1258</v>
      </c>
      <c r="Q514" t="s">
        <v>1258</v>
      </c>
      <c r="R514" t="s">
        <v>1258</v>
      </c>
    </row>
    <row r="515" ht="15" customHeight="1" spans="1:18" x14ac:dyDescent="0.25">
      <c r="A515" t="s">
        <v>1971</v>
      </c>
      <c r="B515" t="s">
        <v>1972</v>
      </c>
      <c r="C515" t="s">
        <v>692</v>
      </c>
      <c r="D515" t="s">
        <v>670</v>
      </c>
      <c r="E515" t="s">
        <v>669</v>
      </c>
      <c r="F515" t="s">
        <v>669</v>
      </c>
      <c r="G515">
        <v>1</v>
      </c>
      <c r="H515">
        <v>3.85</v>
      </c>
      <c r="I515">
        <v>1</v>
      </c>
      <c r="J515">
        <v>0</v>
      </c>
      <c r="K515">
        <v>1</v>
      </c>
      <c r="L515">
        <v>967</v>
      </c>
      <c r="M515">
        <v>0</v>
      </c>
      <c r="N515">
        <v>967</v>
      </c>
      <c r="O515" t="s">
        <v>671</v>
      </c>
      <c r="P515" t="s">
        <v>1973</v>
      </c>
      <c r="Q515" t="s">
        <v>1973</v>
      </c>
      <c r="R515" t="s">
        <v>1973</v>
      </c>
    </row>
    <row r="516" ht="15" customHeight="1" spans="1:18" x14ac:dyDescent="0.25">
      <c r="A516" t="s">
        <v>1974</v>
      </c>
      <c r="B516" t="s">
        <v>1975</v>
      </c>
      <c r="C516" t="s">
        <v>692</v>
      </c>
      <c r="D516" t="s">
        <v>670</v>
      </c>
      <c r="E516" t="s">
        <v>669</v>
      </c>
      <c r="F516" t="s">
        <v>669</v>
      </c>
      <c r="G516">
        <v>1</v>
      </c>
      <c r="H516">
        <v>3.85</v>
      </c>
      <c r="I516">
        <v>2</v>
      </c>
      <c r="J516">
        <v>0</v>
      </c>
      <c r="K516">
        <v>2</v>
      </c>
      <c r="L516">
        <v>1471.88</v>
      </c>
      <c r="M516">
        <v>0</v>
      </c>
      <c r="N516">
        <v>1471.88</v>
      </c>
      <c r="O516" t="s">
        <v>671</v>
      </c>
      <c r="P516" t="s">
        <v>1976</v>
      </c>
      <c r="Q516" t="s">
        <v>1976</v>
      </c>
      <c r="R516" t="s">
        <v>1976</v>
      </c>
    </row>
    <row r="517" ht="15" customHeight="1" spans="1:18" x14ac:dyDescent="0.25">
      <c r="A517" t="s">
        <v>1977</v>
      </c>
      <c r="B517" t="s">
        <v>1978</v>
      </c>
      <c r="C517" t="s">
        <v>692</v>
      </c>
      <c r="D517" t="s">
        <v>670</v>
      </c>
      <c r="E517" t="s">
        <v>669</v>
      </c>
      <c r="F517" t="s">
        <v>669</v>
      </c>
      <c r="G517">
        <v>1</v>
      </c>
      <c r="H517">
        <v>3.85</v>
      </c>
      <c r="I517">
        <v>2</v>
      </c>
      <c r="J517">
        <v>0</v>
      </c>
      <c r="K517">
        <v>2</v>
      </c>
      <c r="L517">
        <v>1642.5</v>
      </c>
      <c r="M517">
        <v>0</v>
      </c>
      <c r="N517">
        <v>1642.5</v>
      </c>
      <c r="O517" t="s">
        <v>671</v>
      </c>
      <c r="P517" t="s">
        <v>1979</v>
      </c>
      <c r="Q517" t="s">
        <v>1979</v>
      </c>
      <c r="R517" t="s">
        <v>1979</v>
      </c>
    </row>
    <row r="518" ht="26.85" customHeight="1" spans="1:18" x14ac:dyDescent="0.25">
      <c r="A518" t="s">
        <v>1980</v>
      </c>
      <c r="B518" t="s">
        <v>1981</v>
      </c>
      <c r="C518" t="s">
        <v>692</v>
      </c>
      <c r="D518" t="s">
        <v>669</v>
      </c>
      <c r="E518" t="s">
        <v>670</v>
      </c>
      <c r="F518" t="s">
        <v>669</v>
      </c>
      <c r="G518">
        <v>1</v>
      </c>
      <c r="H518">
        <v>3.85</v>
      </c>
      <c r="I518">
        <v>0</v>
      </c>
      <c r="J518">
        <v>2</v>
      </c>
      <c r="K518">
        <v>2</v>
      </c>
      <c r="L518">
        <v>0</v>
      </c>
      <c r="M518">
        <v>202</v>
      </c>
      <c r="N518">
        <v>202</v>
      </c>
      <c r="O518" t="s">
        <v>671</v>
      </c>
      <c r="P518" t="s">
        <v>1982</v>
      </c>
      <c r="Q518" t="s">
        <v>1982</v>
      </c>
      <c r="R518" t="s">
        <v>1982</v>
      </c>
    </row>
    <row r="519" ht="15" customHeight="1" spans="1:18" x14ac:dyDescent="0.25">
      <c r="A519" t="s">
        <v>1983</v>
      </c>
      <c r="B519" t="s">
        <v>1984</v>
      </c>
      <c r="C519" t="s">
        <v>692</v>
      </c>
      <c r="D519" t="s">
        <v>669</v>
      </c>
      <c r="E519" t="s">
        <v>670</v>
      </c>
      <c r="F519" t="s">
        <v>669</v>
      </c>
      <c r="G519">
        <v>1</v>
      </c>
      <c r="H519">
        <v>3.85</v>
      </c>
      <c r="I519">
        <v>0</v>
      </c>
      <c r="J519">
        <v>1</v>
      </c>
      <c r="K519">
        <v>1</v>
      </c>
      <c r="L519">
        <v>0</v>
      </c>
      <c r="M519">
        <v>321.09</v>
      </c>
      <c r="N519">
        <v>321.09</v>
      </c>
      <c r="O519" t="s">
        <v>671</v>
      </c>
      <c r="P519" t="s">
        <v>843</v>
      </c>
      <c r="Q519" t="s">
        <v>843</v>
      </c>
      <c r="R519" t="s">
        <v>843</v>
      </c>
    </row>
    <row r="520" ht="15" customHeight="1" spans="1:18" x14ac:dyDescent="0.25">
      <c r="A520" s="40" t="s">
        <v>1985</v>
      </c>
      <c r="B520" s="40" t="s">
        <v>1986</v>
      </c>
      <c r="C520" s="40" t="s">
        <v>692</v>
      </c>
      <c r="D520" s="40" t="s">
        <v>669</v>
      </c>
      <c r="E520" s="40" t="s">
        <v>670</v>
      </c>
      <c r="F520" s="40" t="s">
        <v>669</v>
      </c>
      <c r="G520" s="40">
        <v>1</v>
      </c>
      <c r="H520" s="43">
        <v>3.85</v>
      </c>
      <c r="I520" s="32">
        <v>0</v>
      </c>
      <c r="J520" s="32">
        <v>1</v>
      </c>
      <c r="K520" s="32">
        <v>1</v>
      </c>
      <c r="L520" s="32">
        <v>0</v>
      </c>
      <c r="M520" s="32">
        <v>2625</v>
      </c>
      <c r="N520" s="32">
        <v>2625</v>
      </c>
      <c r="O520" s="32" t="s">
        <v>671</v>
      </c>
      <c r="P520" s="32" t="s">
        <v>1987</v>
      </c>
      <c r="Q520" s="32" t="s">
        <v>1987</v>
      </c>
      <c r="R520" s="40" t="s">
        <v>1987</v>
      </c>
    </row>
  </sheetData>
  <autoFilter ref="A3:R520"/>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
  <sheetViews>
    <sheetView workbookViewId="0" showGridLines="0" zoomScale="100"/>
  </sheetViews>
  <sheetFormatPr defaultRowHeight="15" outlineLevelRow="0" outlineLevelCol="0" x14ac:dyDescent="55"/>
  <cols>
    <col min="1" max="1" width="14" customWidth="1"/>
    <col min="2" max="2" width="40" customWidth="1"/>
    <col min="3" max="3" width="24" customWidth="1"/>
    <col min="5" max="5" width="10" customWidth="1"/>
    <col min="6" max="6" width="12" customWidth="1"/>
    <col min="7" max="7" width="10" customWidth="1"/>
    <col min="11" max="11" width="14" customWidth="1"/>
    <col min="15" max="15" width="16" customWidth="1"/>
    <col min="16" max="16" width="14" customWidth="1"/>
  </cols>
  <sheetData>
    <row r="1" ht="15" customHeight="1" spans="1:16" x14ac:dyDescent="0.25">
      <c r="A1" s="1" t="s">
        <v>1988</v>
      </c>
      <c r="B1" s="1"/>
      <c r="C1" s="1"/>
      <c r="D1" s="1"/>
      <c r="E1" s="1"/>
      <c r="F1" s="1"/>
      <c r="G1" s="1"/>
      <c r="H1" s="1"/>
      <c r="I1" s="1"/>
      <c r="J1" s="1"/>
      <c r="K1" s="1"/>
      <c r="L1" s="1"/>
      <c r="M1" s="1"/>
      <c r="N1" s="1"/>
      <c r="O1" s="1"/>
      <c r="P1" s="1"/>
    </row>
    <row r="3" ht="26.85" customHeight="1" spans="1:16" x14ac:dyDescent="0.25">
      <c r="A3" s="36" t="s">
        <v>323</v>
      </c>
      <c r="B3" s="36" t="s">
        <v>324</v>
      </c>
      <c r="C3" s="36" t="s">
        <v>302</v>
      </c>
      <c r="D3" s="36" t="s">
        <v>210</v>
      </c>
      <c r="E3" s="36" t="s">
        <v>655</v>
      </c>
      <c r="F3" s="36" t="s">
        <v>192</v>
      </c>
      <c r="G3" s="36" t="s">
        <v>211</v>
      </c>
      <c r="H3" s="36" t="s">
        <v>212</v>
      </c>
      <c r="I3" s="36" t="s">
        <v>213</v>
      </c>
      <c r="J3" s="36" t="s">
        <v>1989</v>
      </c>
      <c r="K3" s="36" t="s">
        <v>1990</v>
      </c>
      <c r="L3" s="36" t="s">
        <v>1991</v>
      </c>
      <c r="M3" s="36" t="s">
        <v>1992</v>
      </c>
      <c r="N3" s="36" t="s">
        <v>1993</v>
      </c>
      <c r="O3" s="36" t="s">
        <v>191</v>
      </c>
      <c r="P3" s="36" t="s">
        <v>1994</v>
      </c>
    </row>
    <row r="4" ht="15" customHeight="1" spans="1:16" x14ac:dyDescent="0.25">
      <c r="A4" s="40" t="s">
        <v>290</v>
      </c>
      <c r="B4" s="14" t="s">
        <v>289</v>
      </c>
      <c r="C4" s="14" t="s">
        <v>81</v>
      </c>
      <c r="D4" s="14" t="s">
        <v>289</v>
      </c>
      <c r="E4" s="40">
        <v>1</v>
      </c>
      <c r="F4" s="43">
        <v>3.85</v>
      </c>
      <c r="G4" s="32">
        <v>1</v>
      </c>
      <c r="H4" s="32">
        <v>1</v>
      </c>
      <c r="I4" s="32">
        <v>1</v>
      </c>
      <c r="J4" s="40" t="s">
        <v>1995</v>
      </c>
      <c r="K4" s="32">
        <v>420</v>
      </c>
      <c r="L4" s="32">
        <v>460</v>
      </c>
      <c r="M4" s="32">
        <v>500</v>
      </c>
      <c r="N4" s="32">
        <v>500</v>
      </c>
      <c r="O4" s="32">
        <v>500</v>
      </c>
      <c r="P4" s="40" t="s">
        <v>25</v>
      </c>
    </row>
    <row r="5" ht="15" customHeight="1" spans="1:16" x14ac:dyDescent="0.25">
      <c r="A5" s="40" t="s">
        <v>275</v>
      </c>
      <c r="B5" s="14" t="s">
        <v>273</v>
      </c>
      <c r="C5" s="14" t="s">
        <v>81</v>
      </c>
      <c r="D5" s="14" t="s">
        <v>274</v>
      </c>
      <c r="E5" s="40">
        <v>1</v>
      </c>
      <c r="F5" s="43">
        <v>3.85</v>
      </c>
      <c r="G5" s="32">
        <v>1</v>
      </c>
      <c r="H5" s="32">
        <v>1</v>
      </c>
      <c r="I5" s="32">
        <v>1</v>
      </c>
      <c r="J5" s="40" t="s">
        <v>1995</v>
      </c>
      <c r="K5" s="32">
        <v>1000</v>
      </c>
      <c r="L5" s="32">
        <v>1110</v>
      </c>
      <c r="M5" s="32">
        <v>1200</v>
      </c>
      <c r="N5" s="32">
        <v>1200</v>
      </c>
      <c r="O5" s="32">
        <v>1200</v>
      </c>
      <c r="P5" s="40" t="s">
        <v>25</v>
      </c>
    </row>
    <row r="6" ht="15" customHeight="1" spans="1:16" x14ac:dyDescent="0.25">
      <c r="A6" s="40" t="s">
        <v>298</v>
      </c>
      <c r="B6" s="14" t="s">
        <v>297</v>
      </c>
      <c r="C6" s="14" t="s">
        <v>81</v>
      </c>
      <c r="D6" s="14" t="s">
        <v>274</v>
      </c>
      <c r="E6" s="40">
        <v>2</v>
      </c>
      <c r="F6" s="43">
        <v>7.69</v>
      </c>
      <c r="G6" s="32">
        <v>1</v>
      </c>
      <c r="H6" s="32">
        <v>1</v>
      </c>
      <c r="I6" s="32">
        <v>1</v>
      </c>
      <c r="J6" s="40" t="s">
        <v>1995</v>
      </c>
      <c r="K6" s="32">
        <v>1</v>
      </c>
      <c r="L6" s="32">
        <v>1</v>
      </c>
      <c r="M6" s="32">
        <v>1</v>
      </c>
      <c r="N6" s="32">
        <v>1</v>
      </c>
      <c r="O6" s="32">
        <v>410.5</v>
      </c>
      <c r="P6" s="40" t="s">
        <v>25</v>
      </c>
    </row>
    <row r="7" ht="26.85" customHeight="1" spans="1:16" x14ac:dyDescent="0.25">
      <c r="A7" s="40" t="s">
        <v>286</v>
      </c>
      <c r="B7" s="14" t="s">
        <v>284</v>
      </c>
      <c r="C7" s="14" t="s">
        <v>81</v>
      </c>
      <c r="D7" s="14" t="s">
        <v>285</v>
      </c>
      <c r="E7" s="40">
        <v>1</v>
      </c>
      <c r="F7" s="43">
        <v>3.85</v>
      </c>
      <c r="G7" s="32">
        <v>1</v>
      </c>
      <c r="H7" s="32">
        <v>1</v>
      </c>
      <c r="I7" s="32">
        <v>1</v>
      </c>
      <c r="J7" s="40" t="s">
        <v>1995</v>
      </c>
      <c r="K7" s="32">
        <v>680</v>
      </c>
      <c r="L7" s="32">
        <v>750</v>
      </c>
      <c r="M7" s="32">
        <v>810</v>
      </c>
      <c r="N7" s="32">
        <v>810</v>
      </c>
      <c r="O7" s="32">
        <v>940</v>
      </c>
      <c r="P7" s="40" t="s">
        <v>25</v>
      </c>
    </row>
    <row r="8" ht="15" customHeight="1" spans="1:16" x14ac:dyDescent="0.25">
      <c r="A8" s="40" t="s">
        <v>272</v>
      </c>
      <c r="B8" s="14" t="s">
        <v>270</v>
      </c>
      <c r="C8" s="14" t="s">
        <v>81</v>
      </c>
      <c r="D8" s="14" t="s">
        <v>271</v>
      </c>
      <c r="E8" s="40">
        <v>1</v>
      </c>
      <c r="F8" s="43">
        <v>3.85</v>
      </c>
      <c r="G8" s="32">
        <v>1</v>
      </c>
      <c r="H8" s="32">
        <v>1</v>
      </c>
      <c r="I8" s="32">
        <v>1</v>
      </c>
      <c r="J8" s="40" t="s">
        <v>1995</v>
      </c>
      <c r="K8" s="32">
        <v>1430</v>
      </c>
      <c r="L8" s="32">
        <v>1580</v>
      </c>
      <c r="M8" s="32">
        <v>1710</v>
      </c>
      <c r="N8" s="32">
        <v>1710</v>
      </c>
      <c r="O8" s="32">
        <v>1710</v>
      </c>
      <c r="P8" s="40" t="s">
        <v>25</v>
      </c>
    </row>
    <row r="9" ht="15" customHeight="1" spans="1:16" x14ac:dyDescent="0.25">
      <c r="A9" s="40" t="s">
        <v>283</v>
      </c>
      <c r="B9" s="14" t="s">
        <v>281</v>
      </c>
      <c r="C9" s="14" t="s">
        <v>81</v>
      </c>
      <c r="D9" s="14" t="s">
        <v>282</v>
      </c>
      <c r="E9" s="40">
        <v>2</v>
      </c>
      <c r="F9" s="43">
        <v>7.69</v>
      </c>
      <c r="G9" s="32">
        <v>1</v>
      </c>
      <c r="H9" s="32">
        <v>1</v>
      </c>
      <c r="I9" s="32">
        <v>1</v>
      </c>
      <c r="J9" s="40" t="s">
        <v>1995</v>
      </c>
      <c r="K9" s="32">
        <v>360</v>
      </c>
      <c r="L9" s="32">
        <v>400</v>
      </c>
      <c r="M9" s="32">
        <v>430</v>
      </c>
      <c r="N9" s="32">
        <v>430</v>
      </c>
      <c r="O9" s="32">
        <v>415</v>
      </c>
      <c r="P9" s="40" t="s">
        <v>25</v>
      </c>
    </row>
    <row r="10" ht="15" customHeight="1" spans="1:16" x14ac:dyDescent="0.25">
      <c r="A10" s="40" t="s">
        <v>267</v>
      </c>
      <c r="B10" s="14" t="s">
        <v>265</v>
      </c>
      <c r="C10" s="14" t="s">
        <v>81</v>
      </c>
      <c r="D10" s="14" t="s">
        <v>266</v>
      </c>
      <c r="E10" s="40">
        <v>1</v>
      </c>
      <c r="F10" s="43">
        <v>3.85</v>
      </c>
      <c r="G10" s="32">
        <v>1</v>
      </c>
      <c r="H10" s="32">
        <v>1</v>
      </c>
      <c r="I10" s="32">
        <v>1</v>
      </c>
      <c r="J10" s="40" t="s">
        <v>1995</v>
      </c>
      <c r="K10" s="32">
        <v>1920</v>
      </c>
      <c r="L10" s="32">
        <v>2120</v>
      </c>
      <c r="M10" s="32">
        <v>2290</v>
      </c>
      <c r="N10" s="32">
        <v>2290</v>
      </c>
      <c r="O10" s="32">
        <v>2290</v>
      </c>
      <c r="P10" s="40" t="s">
        <v>25</v>
      </c>
    </row>
    <row r="11" ht="15" customHeight="1" spans="1:16" x14ac:dyDescent="0.25">
      <c r="A11" s="40" t="s">
        <v>258</v>
      </c>
      <c r="B11" s="14" t="s">
        <v>256</v>
      </c>
      <c r="C11" s="14" t="s">
        <v>81</v>
      </c>
      <c r="D11" s="14" t="s">
        <v>257</v>
      </c>
      <c r="E11" s="40">
        <v>1</v>
      </c>
      <c r="F11" s="43">
        <v>3.85</v>
      </c>
      <c r="G11" s="32">
        <v>1</v>
      </c>
      <c r="H11" s="32">
        <v>1</v>
      </c>
      <c r="I11" s="32">
        <v>1</v>
      </c>
      <c r="J11" s="40" t="s">
        <v>1995</v>
      </c>
      <c r="K11" s="32">
        <v>2910</v>
      </c>
      <c r="L11" s="32">
        <v>3220</v>
      </c>
      <c r="M11" s="32">
        <v>3470</v>
      </c>
      <c r="N11" s="32">
        <v>3470</v>
      </c>
      <c r="O11" s="32">
        <v>3470</v>
      </c>
      <c r="P11" s="40" t="s">
        <v>25</v>
      </c>
    </row>
    <row r="12" ht="15" customHeight="1" spans="1:16" x14ac:dyDescent="0.25">
      <c r="A12" s="40" t="s">
        <v>222</v>
      </c>
      <c r="B12" s="14" t="s">
        <v>220</v>
      </c>
      <c r="C12" s="14" t="s">
        <v>81</v>
      </c>
      <c r="D12" s="14" t="s">
        <v>221</v>
      </c>
      <c r="E12" s="40">
        <v>16</v>
      </c>
      <c r="F12" s="43">
        <v>61.54</v>
      </c>
      <c r="G12" s="32">
        <v>1.75</v>
      </c>
      <c r="H12" s="32">
        <v>2</v>
      </c>
      <c r="I12" s="32">
        <v>2</v>
      </c>
      <c r="J12" s="40" t="s">
        <v>1995</v>
      </c>
      <c r="K12" s="32">
        <v>2430</v>
      </c>
      <c r="L12" s="32">
        <v>2690</v>
      </c>
      <c r="M12" s="32">
        <v>2900</v>
      </c>
      <c r="N12" s="32">
        <v>2900</v>
      </c>
      <c r="O12" s="32">
        <v>5590</v>
      </c>
      <c r="P12" s="40" t="s">
        <v>25</v>
      </c>
    </row>
    <row r="13" ht="26.85" customHeight="1" spans="1:16" x14ac:dyDescent="0.25">
      <c r="A13" s="40" t="s">
        <v>233</v>
      </c>
      <c r="B13" s="14" t="s">
        <v>231</v>
      </c>
      <c r="C13" s="14" t="s">
        <v>81</v>
      </c>
      <c r="D13" s="14" t="s">
        <v>232</v>
      </c>
      <c r="E13" s="40">
        <v>14</v>
      </c>
      <c r="F13" s="43">
        <v>53.85</v>
      </c>
      <c r="G13" s="32">
        <v>1</v>
      </c>
      <c r="H13" s="32">
        <v>1</v>
      </c>
      <c r="I13" s="32">
        <v>1</v>
      </c>
      <c r="J13" s="40" t="s">
        <v>1995</v>
      </c>
      <c r="K13" s="32">
        <v>1110</v>
      </c>
      <c r="L13" s="32">
        <v>1220</v>
      </c>
      <c r="M13" s="32">
        <v>1320</v>
      </c>
      <c r="N13" s="32">
        <v>1320</v>
      </c>
      <c r="O13" s="32">
        <v>1320</v>
      </c>
      <c r="P13" s="40" t="s">
        <v>25</v>
      </c>
    </row>
    <row r="14" ht="15" customHeight="1" spans="1:16" x14ac:dyDescent="0.25">
      <c r="A14" s="40" t="s">
        <v>225</v>
      </c>
      <c r="B14" s="14" t="s">
        <v>223</v>
      </c>
      <c r="C14" s="14" t="s">
        <v>81</v>
      </c>
      <c r="D14" s="14" t="s">
        <v>224</v>
      </c>
      <c r="E14" s="40">
        <v>10</v>
      </c>
      <c r="F14" s="43">
        <v>38.46</v>
      </c>
      <c r="G14" s="32">
        <v>1</v>
      </c>
      <c r="H14" s="32">
        <v>1</v>
      </c>
      <c r="I14" s="32">
        <v>2.75</v>
      </c>
      <c r="J14" s="40" t="s">
        <v>1995</v>
      </c>
      <c r="K14" s="32">
        <v>2730</v>
      </c>
      <c r="L14" s="32">
        <v>3020</v>
      </c>
      <c r="M14" s="32">
        <v>3260</v>
      </c>
      <c r="N14" s="32">
        <v>3260</v>
      </c>
      <c r="O14" s="32">
        <v>3260</v>
      </c>
      <c r="P14" s="40" t="s">
        <v>25</v>
      </c>
    </row>
    <row r="15" ht="15" customHeight="1" spans="1:16" x14ac:dyDescent="0.25">
      <c r="A15" s="40" t="s">
        <v>288</v>
      </c>
      <c r="B15" s="14" t="s">
        <v>287</v>
      </c>
      <c r="C15" s="14" t="s">
        <v>81</v>
      </c>
      <c r="D15" s="14" t="s">
        <v>236</v>
      </c>
      <c r="E15" s="40">
        <v>1</v>
      </c>
      <c r="F15" s="43">
        <v>3.85</v>
      </c>
      <c r="G15" s="32">
        <v>1</v>
      </c>
      <c r="H15" s="32">
        <v>1</v>
      </c>
      <c r="I15" s="32">
        <v>1</v>
      </c>
      <c r="J15" s="40" t="s">
        <v>1995</v>
      </c>
      <c r="K15" s="32">
        <v>450</v>
      </c>
      <c r="L15" s="32">
        <v>530</v>
      </c>
      <c r="M15" s="32">
        <v>580</v>
      </c>
      <c r="N15" s="32">
        <v>580</v>
      </c>
      <c r="O15" s="32">
        <v>580</v>
      </c>
      <c r="P15" s="40" t="s">
        <v>25</v>
      </c>
    </row>
    <row r="16" ht="15" customHeight="1" spans="1:16" x14ac:dyDescent="0.25">
      <c r="A16" s="40" t="s">
        <v>269</v>
      </c>
      <c r="B16" s="14" t="s">
        <v>268</v>
      </c>
      <c r="C16" s="14" t="s">
        <v>81</v>
      </c>
      <c r="D16" s="14" t="s">
        <v>236</v>
      </c>
      <c r="E16" s="40">
        <v>7</v>
      </c>
      <c r="F16" s="43">
        <v>26.92</v>
      </c>
      <c r="G16" s="32">
        <v>1</v>
      </c>
      <c r="H16" s="32">
        <v>1</v>
      </c>
      <c r="I16" s="32">
        <v>1</v>
      </c>
      <c r="J16" s="40" t="s">
        <v>1995</v>
      </c>
      <c r="K16" s="32">
        <v>280</v>
      </c>
      <c r="L16" s="32">
        <v>280</v>
      </c>
      <c r="M16" s="32">
        <v>280</v>
      </c>
      <c r="N16" s="32">
        <v>280</v>
      </c>
      <c r="O16" s="32">
        <v>280</v>
      </c>
      <c r="P16" s="40" t="s">
        <v>25</v>
      </c>
    </row>
    <row r="17" ht="15" customHeight="1" spans="1:16" x14ac:dyDescent="0.25">
      <c r="A17" s="40" t="s">
        <v>237</v>
      </c>
      <c r="B17" s="14" t="s">
        <v>235</v>
      </c>
      <c r="C17" s="14" t="s">
        <v>81</v>
      </c>
      <c r="D17" s="14" t="s">
        <v>236</v>
      </c>
      <c r="E17" s="40">
        <v>5</v>
      </c>
      <c r="F17" s="43">
        <v>19.23</v>
      </c>
      <c r="G17" s="32">
        <v>1</v>
      </c>
      <c r="H17" s="32">
        <v>1</v>
      </c>
      <c r="I17" s="32">
        <v>1</v>
      </c>
      <c r="J17" s="40" t="s">
        <v>1995</v>
      </c>
      <c r="K17" s="32">
        <v>2650</v>
      </c>
      <c r="L17" s="32">
        <v>2650</v>
      </c>
      <c r="M17" s="32">
        <v>2650</v>
      </c>
      <c r="N17" s="32">
        <v>2650</v>
      </c>
      <c r="O17" s="32">
        <v>2650</v>
      </c>
      <c r="P17" s="40" t="s">
        <v>25</v>
      </c>
    </row>
    <row r="18" ht="15" customHeight="1" spans="1:16" x14ac:dyDescent="0.25">
      <c r="A18" s="40" t="s">
        <v>249</v>
      </c>
      <c r="B18" s="14" t="s">
        <v>247</v>
      </c>
      <c r="C18" s="14" t="s">
        <v>81</v>
      </c>
      <c r="D18" s="14" t="s">
        <v>248</v>
      </c>
      <c r="E18" s="40">
        <v>14</v>
      </c>
      <c r="F18" s="43">
        <v>53.85</v>
      </c>
      <c r="G18" s="32">
        <v>1</v>
      </c>
      <c r="H18" s="32">
        <v>1</v>
      </c>
      <c r="I18" s="32">
        <v>1</v>
      </c>
      <c r="J18" s="40" t="s">
        <v>1995</v>
      </c>
      <c r="K18" s="32">
        <v>310</v>
      </c>
      <c r="L18" s="32">
        <v>340</v>
      </c>
      <c r="M18" s="32">
        <v>370</v>
      </c>
      <c r="N18" s="32">
        <v>370</v>
      </c>
      <c r="O18" s="32">
        <v>370</v>
      </c>
      <c r="P18" s="40" t="s">
        <v>25</v>
      </c>
    </row>
    <row r="19" ht="15" customHeight="1" spans="1:16" x14ac:dyDescent="0.25">
      <c r="A19" s="40" t="s">
        <v>293</v>
      </c>
      <c r="B19" s="14" t="s">
        <v>291</v>
      </c>
      <c r="C19" s="14" t="s">
        <v>81</v>
      </c>
      <c r="D19" s="14" t="s">
        <v>292</v>
      </c>
      <c r="E19" s="40">
        <v>1</v>
      </c>
      <c r="F19" s="43">
        <v>3.85</v>
      </c>
      <c r="G19" s="32">
        <v>1</v>
      </c>
      <c r="H19" s="32">
        <v>1</v>
      </c>
      <c r="I19" s="32">
        <v>1</v>
      </c>
      <c r="J19" s="40" t="s">
        <v>1995</v>
      </c>
      <c r="K19" s="32">
        <v>330</v>
      </c>
      <c r="L19" s="32">
        <v>370</v>
      </c>
      <c r="M19" s="32">
        <v>400</v>
      </c>
      <c r="N19" s="32">
        <v>400</v>
      </c>
      <c r="O19" s="32">
        <v>460</v>
      </c>
      <c r="P19" s="40" t="s">
        <v>25</v>
      </c>
    </row>
    <row r="20" ht="15" customHeight="1" spans="1:16" x14ac:dyDescent="0.25">
      <c r="A20" s="40" t="s">
        <v>280</v>
      </c>
      <c r="B20" s="14" t="s">
        <v>279</v>
      </c>
      <c r="C20" s="14" t="s">
        <v>81</v>
      </c>
      <c r="D20" s="14" t="s">
        <v>248</v>
      </c>
      <c r="E20" s="40">
        <v>1</v>
      </c>
      <c r="F20" s="43">
        <v>3.85</v>
      </c>
      <c r="G20" s="32">
        <v>1</v>
      </c>
      <c r="H20" s="32">
        <v>1</v>
      </c>
      <c r="I20" s="32">
        <v>1</v>
      </c>
      <c r="J20" s="40" t="s">
        <v>1995</v>
      </c>
      <c r="K20" s="32">
        <v>860</v>
      </c>
      <c r="L20" s="32">
        <v>950</v>
      </c>
      <c r="M20" s="32">
        <v>1020</v>
      </c>
      <c r="N20" s="32">
        <v>1020</v>
      </c>
      <c r="O20" s="32">
        <v>545</v>
      </c>
      <c r="P20" s="40" t="s">
        <v>25</v>
      </c>
    </row>
    <row r="21" ht="26.85" customHeight="1" spans="1:16" x14ac:dyDescent="0.25">
      <c r="A21" s="40" t="s">
        <v>264</v>
      </c>
      <c r="B21" s="14" t="s">
        <v>262</v>
      </c>
      <c r="C21" s="14" t="s">
        <v>99</v>
      </c>
      <c r="D21" s="14" t="s">
        <v>263</v>
      </c>
      <c r="E21" s="40">
        <v>3</v>
      </c>
      <c r="F21" s="43">
        <v>11.54</v>
      </c>
      <c r="G21" s="32">
        <v>1</v>
      </c>
      <c r="H21" s="32">
        <v>1</v>
      </c>
      <c r="I21" s="32">
        <v>1</v>
      </c>
      <c r="J21" s="40" t="s">
        <v>1995</v>
      </c>
      <c r="K21" s="32">
        <v>680</v>
      </c>
      <c r="L21" s="32">
        <v>750</v>
      </c>
      <c r="M21" s="32">
        <v>810</v>
      </c>
      <c r="N21" s="32">
        <v>810</v>
      </c>
      <c r="O21" s="32">
        <v>810</v>
      </c>
      <c r="P21" s="40" t="s">
        <v>25</v>
      </c>
    </row>
    <row r="22" ht="15" customHeight="1" spans="1:16" x14ac:dyDescent="0.25">
      <c r="A22" s="40" t="s">
        <v>278</v>
      </c>
      <c r="B22" s="14" t="s">
        <v>276</v>
      </c>
      <c r="C22" s="14" t="s">
        <v>88</v>
      </c>
      <c r="D22" s="14" t="s">
        <v>277</v>
      </c>
      <c r="E22" s="40">
        <v>1</v>
      </c>
      <c r="F22" s="43">
        <v>3.85</v>
      </c>
      <c r="G22" s="32">
        <v>1</v>
      </c>
      <c r="H22" s="32">
        <v>1</v>
      </c>
      <c r="I22" s="32">
        <v>1</v>
      </c>
      <c r="J22" s="40" t="s">
        <v>1995</v>
      </c>
      <c r="K22" s="32">
        <v>930</v>
      </c>
      <c r="L22" s="32">
        <v>1030</v>
      </c>
      <c r="M22" s="32">
        <v>1110</v>
      </c>
      <c r="N22" s="32">
        <v>1110</v>
      </c>
      <c r="O22" s="32">
        <v>1110</v>
      </c>
      <c r="P22" s="40" t="s">
        <v>25</v>
      </c>
    </row>
    <row r="23" ht="15" customHeight="1" spans="1:16" x14ac:dyDescent="0.25">
      <c r="A23" s="40" t="s">
        <v>240</v>
      </c>
      <c r="B23" s="14" t="s">
        <v>238</v>
      </c>
      <c r="C23" s="14" t="s">
        <v>90</v>
      </c>
      <c r="D23" s="14" t="s">
        <v>239</v>
      </c>
      <c r="E23" s="40">
        <v>1</v>
      </c>
      <c r="F23" s="43">
        <v>3.85</v>
      </c>
      <c r="G23" s="32">
        <v>2</v>
      </c>
      <c r="H23" s="32">
        <v>2</v>
      </c>
      <c r="I23" s="32">
        <v>2</v>
      </c>
      <c r="J23" s="40" t="s">
        <v>1995</v>
      </c>
      <c r="K23" s="32">
        <v>3620</v>
      </c>
      <c r="L23" s="32">
        <v>3620</v>
      </c>
      <c r="M23" s="32">
        <v>3620</v>
      </c>
      <c r="N23" s="32">
        <v>3620</v>
      </c>
      <c r="O23" s="32">
        <v>7240</v>
      </c>
      <c r="P23" s="40" t="s">
        <v>25</v>
      </c>
    </row>
    <row r="24" ht="15" customHeight="1" spans="1:16" x14ac:dyDescent="0.25">
      <c r="A24" s="40" t="s">
        <v>252</v>
      </c>
      <c r="B24" s="14" t="s">
        <v>250</v>
      </c>
      <c r="C24" s="14" t="s">
        <v>90</v>
      </c>
      <c r="D24" s="14" t="s">
        <v>251</v>
      </c>
      <c r="E24" s="40">
        <v>4</v>
      </c>
      <c r="F24" s="43">
        <v>15.38</v>
      </c>
      <c r="G24" s="32">
        <v>1</v>
      </c>
      <c r="H24" s="32">
        <v>1</v>
      </c>
      <c r="I24" s="32">
        <v>1</v>
      </c>
      <c r="J24" s="40" t="s">
        <v>1995</v>
      </c>
      <c r="K24" s="32">
        <v>890</v>
      </c>
      <c r="L24" s="32">
        <v>890</v>
      </c>
      <c r="M24" s="32">
        <v>890</v>
      </c>
      <c r="N24" s="32">
        <v>890</v>
      </c>
      <c r="O24" s="32">
        <v>890</v>
      </c>
      <c r="P24" s="40" t="s">
        <v>25</v>
      </c>
    </row>
    <row r="25" ht="15" customHeight="1" spans="1:16" x14ac:dyDescent="0.25">
      <c r="A25" s="40" t="s">
        <v>229</v>
      </c>
      <c r="B25" s="14" t="s">
        <v>227</v>
      </c>
      <c r="C25" s="14" t="s">
        <v>90</v>
      </c>
      <c r="D25" s="14" t="s">
        <v>228</v>
      </c>
      <c r="E25" s="40">
        <v>15</v>
      </c>
      <c r="F25" s="43">
        <v>57.69</v>
      </c>
      <c r="G25" s="32">
        <v>5</v>
      </c>
      <c r="H25" s="32">
        <v>5</v>
      </c>
      <c r="I25" s="32">
        <v>7</v>
      </c>
      <c r="J25" s="40" t="s">
        <v>1995</v>
      </c>
      <c r="K25" s="32">
        <v>270</v>
      </c>
      <c r="L25" s="32">
        <v>300</v>
      </c>
      <c r="M25" s="32">
        <v>330</v>
      </c>
      <c r="N25" s="32">
        <v>350</v>
      </c>
      <c r="O25" s="32">
        <v>1690</v>
      </c>
      <c r="P25" s="40" t="s">
        <v>25</v>
      </c>
    </row>
    <row r="26" ht="15" customHeight="1" spans="1:16" x14ac:dyDescent="0.25">
      <c r="A26" s="40" t="s">
        <v>246</v>
      </c>
      <c r="B26" s="14" t="s">
        <v>244</v>
      </c>
      <c r="C26" s="14" t="s">
        <v>90</v>
      </c>
      <c r="D26" s="14" t="s">
        <v>245</v>
      </c>
      <c r="E26" s="40">
        <v>4</v>
      </c>
      <c r="F26" s="43">
        <v>15.38</v>
      </c>
      <c r="G26" s="32">
        <v>1</v>
      </c>
      <c r="H26" s="32">
        <v>1.5</v>
      </c>
      <c r="I26" s="32">
        <v>2.25</v>
      </c>
      <c r="J26" s="40" t="s">
        <v>1995</v>
      </c>
      <c r="K26" s="32">
        <v>730</v>
      </c>
      <c r="L26" s="32">
        <v>800</v>
      </c>
      <c r="M26" s="32">
        <v>870</v>
      </c>
      <c r="N26" s="32">
        <v>870</v>
      </c>
      <c r="O26" s="32">
        <v>1305</v>
      </c>
      <c r="P26" s="40" t="s">
        <v>25</v>
      </c>
    </row>
    <row r="27" ht="26.85" customHeight="1" spans="1:16" x14ac:dyDescent="0.25">
      <c r="A27" s="40" t="s">
        <v>255</v>
      </c>
      <c r="B27" s="14" t="s">
        <v>253</v>
      </c>
      <c r="C27" s="14" t="s">
        <v>90</v>
      </c>
      <c r="D27" s="14" t="s">
        <v>254</v>
      </c>
      <c r="E27" s="40">
        <v>3</v>
      </c>
      <c r="F27" s="43">
        <v>11.54</v>
      </c>
      <c r="G27" s="32">
        <v>1</v>
      </c>
      <c r="H27" s="32">
        <v>1</v>
      </c>
      <c r="I27" s="32">
        <v>1</v>
      </c>
      <c r="J27" s="40" t="s">
        <v>1995</v>
      </c>
      <c r="K27" s="32">
        <v>980</v>
      </c>
      <c r="L27" s="32">
        <v>1080</v>
      </c>
      <c r="M27" s="32">
        <v>1170</v>
      </c>
      <c r="N27" s="32">
        <v>1170</v>
      </c>
      <c r="O27" s="32">
        <v>980</v>
      </c>
      <c r="P27" s="40" t="s">
        <v>25</v>
      </c>
    </row>
    <row r="28" ht="26.85" customHeight="1" spans="1:16" x14ac:dyDescent="0.25">
      <c r="A28" s="40" t="s">
        <v>243</v>
      </c>
      <c r="B28" s="14" t="s">
        <v>241</v>
      </c>
      <c r="C28" s="14" t="s">
        <v>90</v>
      </c>
      <c r="D28" s="14" t="s">
        <v>242</v>
      </c>
      <c r="E28" s="40">
        <v>5</v>
      </c>
      <c r="F28" s="43">
        <v>19.23</v>
      </c>
      <c r="G28" s="32">
        <v>1</v>
      </c>
      <c r="H28" s="32">
        <v>1</v>
      </c>
      <c r="I28" s="32">
        <v>1</v>
      </c>
      <c r="J28" s="40" t="s">
        <v>1995</v>
      </c>
      <c r="K28" s="32">
        <v>1250</v>
      </c>
      <c r="L28" s="32">
        <v>1250</v>
      </c>
      <c r="M28" s="32">
        <v>1250</v>
      </c>
      <c r="N28" s="32">
        <v>1250</v>
      </c>
      <c r="O28" s="32">
        <v>1250</v>
      </c>
      <c r="P28" s="40" t="s">
        <v>25</v>
      </c>
    </row>
    <row r="29" ht="15" customHeight="1" spans="1:16" x14ac:dyDescent="0.25">
      <c r="A29" s="40" t="s">
        <v>261</v>
      </c>
      <c r="B29" s="14" t="s">
        <v>259</v>
      </c>
      <c r="C29" s="14" t="s">
        <v>88</v>
      </c>
      <c r="D29" s="14" t="s">
        <v>260</v>
      </c>
      <c r="E29" s="40">
        <v>3</v>
      </c>
      <c r="F29" s="43">
        <v>11.54</v>
      </c>
      <c r="G29" s="32">
        <v>1</v>
      </c>
      <c r="H29" s="32">
        <v>1</v>
      </c>
      <c r="I29" s="32">
        <v>1</v>
      </c>
      <c r="J29" s="40" t="s">
        <v>1995</v>
      </c>
      <c r="K29" s="32">
        <v>860</v>
      </c>
      <c r="L29" s="32">
        <v>950</v>
      </c>
      <c r="M29" s="32">
        <v>1020</v>
      </c>
      <c r="N29" s="32">
        <v>1020</v>
      </c>
      <c r="O29" s="32">
        <v>1020</v>
      </c>
      <c r="P29" s="40" t="s">
        <v>25</v>
      </c>
    </row>
    <row r="30" ht="15" customHeight="1" spans="1:16" x14ac:dyDescent="0.25">
      <c r="A30" s="40" t="s">
        <v>296</v>
      </c>
      <c r="B30" s="14" t="s">
        <v>294</v>
      </c>
      <c r="C30" s="14" t="s">
        <v>88</v>
      </c>
      <c r="D30" s="14" t="s">
        <v>295</v>
      </c>
      <c r="E30" s="40">
        <v>2</v>
      </c>
      <c r="F30" s="43">
        <v>7.69</v>
      </c>
      <c r="G30" s="32">
        <v>1</v>
      </c>
      <c r="H30" s="32">
        <v>1</v>
      </c>
      <c r="I30" s="32">
        <v>1</v>
      </c>
      <c r="J30" s="40" t="s">
        <v>1995</v>
      </c>
      <c r="K30" s="32">
        <v>150</v>
      </c>
      <c r="L30" s="32">
        <v>150</v>
      </c>
      <c r="M30" s="32">
        <v>150</v>
      </c>
      <c r="N30" s="32">
        <v>150</v>
      </c>
      <c r="O30" s="32">
        <v>150</v>
      </c>
      <c r="P30" s="40" t="s">
        <v>25</v>
      </c>
    </row>
  </sheetData>
  <autoFilter ref="A3:P30"/>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
  <sheetViews>
    <sheetView workbookViewId="0" showGridLines="0" zoomScale="100"/>
  </sheetViews>
  <sheetFormatPr defaultRowHeight="15" outlineLevelRow="0" outlineLevelCol="0" x14ac:dyDescent="55"/>
  <cols>
    <col min="1" max="1" width="16" customWidth="1"/>
    <col min="2" max="2" width="28" customWidth="1"/>
    <col min="3" max="3" width="10" customWidth="1"/>
    <col min="5" max="5" width="14" customWidth="1"/>
    <col min="6" max="6" width="18" customWidth="1"/>
    <col min="7" max="7" width="14" customWidth="1"/>
    <col min="8" max="8" width="12" customWidth="1"/>
    <col min="9" max="9" width="14" customWidth="1"/>
    <col min="10" max="10" width="12" customWidth="1"/>
    <col min="11" max="11" width="18" customWidth="1"/>
    <col min="12" max="12" width="12" customWidth="1"/>
    <col min="13" max="13" width="14" customWidth="1"/>
    <col min="14" max="14" width="12" customWidth="1"/>
    <col min="15" max="15" width="18" customWidth="1"/>
    <col min="16" max="16" width="12" customWidth="1"/>
    <col min="18" max="18" width="14" customWidth="1"/>
  </cols>
  <sheetData>
    <row r="1" ht="15" customHeight="1" spans="1:18" x14ac:dyDescent="0.25">
      <c r="A1" s="1" t="s">
        <v>1996</v>
      </c>
      <c r="B1" s="1"/>
      <c r="C1" s="1"/>
      <c r="D1" s="1"/>
      <c r="E1" s="1"/>
      <c r="F1" s="1"/>
      <c r="G1" s="1"/>
      <c r="H1" s="1"/>
      <c r="I1" s="1"/>
      <c r="J1" s="1"/>
      <c r="K1" s="1"/>
      <c r="L1" s="1"/>
      <c r="M1" s="1"/>
      <c r="N1" s="1"/>
      <c r="O1" s="1"/>
      <c r="P1" s="1"/>
      <c r="Q1" s="1"/>
      <c r="R1" s="1"/>
    </row>
    <row r="3" ht="77.6" customHeight="1" spans="1:18" x14ac:dyDescent="0.25">
      <c r="A3" s="36" t="s">
        <v>1997</v>
      </c>
      <c r="B3" s="36" t="s">
        <v>1998</v>
      </c>
      <c r="C3" s="36" t="s">
        <v>142</v>
      </c>
      <c r="D3" s="36" t="s">
        <v>39</v>
      </c>
      <c r="E3" s="36" t="s">
        <v>1999</v>
      </c>
      <c r="F3" s="36" t="s">
        <v>2000</v>
      </c>
      <c r="G3" s="36" t="s">
        <v>2001</v>
      </c>
      <c r="H3" s="36" t="s">
        <v>2002</v>
      </c>
      <c r="I3" s="36" t="s">
        <v>2003</v>
      </c>
      <c r="J3" s="36" t="s">
        <v>2004</v>
      </c>
      <c r="K3" s="36" t="s">
        <v>2005</v>
      </c>
      <c r="L3" s="36" t="s">
        <v>2006</v>
      </c>
      <c r="M3" s="36" t="s">
        <v>2007</v>
      </c>
      <c r="N3" s="36" t="s">
        <v>2008</v>
      </c>
      <c r="O3" s="36" t="s">
        <v>2009</v>
      </c>
      <c r="P3" s="36" t="s">
        <v>2010</v>
      </c>
      <c r="Q3" s="36" t="s">
        <v>2011</v>
      </c>
      <c r="R3" s="36" t="s">
        <v>2012</v>
      </c>
    </row>
    <row r="4" ht="26.85" customHeight="1" spans="1:18" x14ac:dyDescent="0.25">
      <c r="A4" s="40" t="s">
        <v>2013</v>
      </c>
      <c r="B4" s="14" t="s">
        <v>2014</v>
      </c>
      <c r="C4" s="32">
        <v>3</v>
      </c>
      <c r="D4" s="32">
        <v>2.5</v>
      </c>
      <c r="E4" s="32"/>
      <c r="F4" s="32"/>
      <c r="G4" s="32">
        <v>100338</v>
      </c>
      <c r="H4" s="32">
        <v>5</v>
      </c>
      <c r="I4" s="32">
        <v>8930.22</v>
      </c>
      <c r="J4" s="32">
        <v>20</v>
      </c>
      <c r="K4" s="32">
        <v>10878.38</v>
      </c>
      <c r="L4" s="32">
        <v>20</v>
      </c>
      <c r="M4" s="32">
        <v>7679.97</v>
      </c>
      <c r="N4" s="32">
        <v>14</v>
      </c>
      <c r="O4" s="32">
        <v>81029.12</v>
      </c>
      <c r="P4" s="40">
        <v>43</v>
      </c>
      <c r="Q4" s="32">
        <v>27</v>
      </c>
      <c r="R4" s="32">
        <v>0</v>
      </c>
    </row>
    <row r="5" ht="26.85" customHeight="1" spans="1:18" x14ac:dyDescent="0.25">
      <c r="A5" s="40" t="s">
        <v>2015</v>
      </c>
      <c r="B5" s="14" t="s">
        <v>2016</v>
      </c>
      <c r="C5" s="32">
        <v>5</v>
      </c>
      <c r="D5" s="32">
        <v>3</v>
      </c>
      <c r="E5" s="32"/>
      <c r="F5" s="32"/>
      <c r="G5" s="32">
        <v>89358.15</v>
      </c>
      <c r="H5" s="32">
        <v>6</v>
      </c>
      <c r="I5" s="32">
        <v>15632.76</v>
      </c>
      <c r="J5" s="32">
        <v>34</v>
      </c>
      <c r="K5" s="32">
        <v>16357.87</v>
      </c>
      <c r="L5" s="32">
        <v>25</v>
      </c>
      <c r="M5" s="32">
        <v>10608.04</v>
      </c>
      <c r="N5" s="32">
        <v>25</v>
      </c>
      <c r="O5" s="32">
        <v>69035.6</v>
      </c>
      <c r="P5" s="40">
        <v>41</v>
      </c>
      <c r="Q5" s="32">
        <v>43</v>
      </c>
      <c r="R5" s="32">
        <v>0</v>
      </c>
    </row>
    <row r="6" ht="26.85" customHeight="1" spans="1:18" x14ac:dyDescent="0.25">
      <c r="A6" s="40" t="s">
        <v>2017</v>
      </c>
      <c r="B6" s="14" t="s">
        <v>2018</v>
      </c>
      <c r="C6" s="32">
        <v>3</v>
      </c>
      <c r="D6" s="32">
        <v>3</v>
      </c>
      <c r="E6" s="32"/>
      <c r="F6" s="32"/>
      <c r="G6" s="32">
        <v>89130.17</v>
      </c>
      <c r="H6" s="32">
        <v>5</v>
      </c>
      <c r="I6" s="32">
        <v>6509.33</v>
      </c>
      <c r="J6" s="32">
        <v>18</v>
      </c>
      <c r="K6" s="32">
        <v>9126.94</v>
      </c>
      <c r="L6" s="32">
        <v>23</v>
      </c>
      <c r="M6" s="32">
        <v>8576.26</v>
      </c>
      <c r="N6" s="32">
        <v>20</v>
      </c>
      <c r="O6" s="32">
        <v>74332.61</v>
      </c>
      <c r="P6" s="40">
        <v>45</v>
      </c>
      <c r="Q6" s="32">
        <v>12</v>
      </c>
      <c r="R6" s="32">
        <v>0</v>
      </c>
    </row>
    <row r="7" ht="26.85" customHeight="1" spans="1:18" x14ac:dyDescent="0.25">
      <c r="A7" s="40" t="s">
        <v>2019</v>
      </c>
      <c r="B7" s="14" t="s">
        <v>2020</v>
      </c>
      <c r="C7" s="32">
        <v>3</v>
      </c>
      <c r="D7" s="32">
        <v>2.5</v>
      </c>
      <c r="E7" s="32"/>
      <c r="F7" s="32"/>
      <c r="G7" s="32">
        <v>89130.1</v>
      </c>
      <c r="H7" s="32">
        <v>4</v>
      </c>
      <c r="I7" s="32">
        <v>8390.67</v>
      </c>
      <c r="J7" s="32">
        <v>25</v>
      </c>
      <c r="K7" s="32">
        <v>10519.79</v>
      </c>
      <c r="L7" s="32">
        <v>24</v>
      </c>
      <c r="M7" s="32">
        <v>11504.37</v>
      </c>
      <c r="N7" s="32">
        <v>23</v>
      </c>
      <c r="O7" s="32">
        <v>68450.42</v>
      </c>
      <c r="P7" s="40">
        <v>44</v>
      </c>
      <c r="Q7" s="32">
        <v>12</v>
      </c>
      <c r="R7" s="32">
        <v>0</v>
      </c>
    </row>
    <row r="8" ht="26.85" customHeight="1" spans="1:18" x14ac:dyDescent="0.25">
      <c r="A8" s="40" t="s">
        <v>2021</v>
      </c>
      <c r="B8" s="14" t="s">
        <v>2022</v>
      </c>
      <c r="C8" s="32">
        <v>3</v>
      </c>
      <c r="D8" s="32">
        <v>2</v>
      </c>
      <c r="E8" s="32"/>
      <c r="F8" s="32"/>
      <c r="G8" s="32">
        <v>114163.9</v>
      </c>
      <c r="H8" s="32">
        <v>5</v>
      </c>
      <c r="I8" s="32">
        <v>6078.53</v>
      </c>
      <c r="J8" s="32">
        <v>18</v>
      </c>
      <c r="K8" s="32">
        <v>6306.92</v>
      </c>
      <c r="L8" s="32">
        <v>16</v>
      </c>
      <c r="M8" s="32">
        <v>5583.38</v>
      </c>
      <c r="N8" s="32">
        <v>14</v>
      </c>
      <c r="O8" s="32">
        <v>79942.2</v>
      </c>
      <c r="P8" s="40">
        <v>42</v>
      </c>
      <c r="Q8" s="32">
        <v>12</v>
      </c>
      <c r="R8" s="32">
        <v>0</v>
      </c>
    </row>
    <row r="9" ht="26.85" customHeight="1" spans="1:18" x14ac:dyDescent="0.25">
      <c r="A9" s="40" t="s">
        <v>2023</v>
      </c>
      <c r="B9" s="14" t="s">
        <v>2024</v>
      </c>
      <c r="C9" s="32">
        <v>3</v>
      </c>
      <c r="D9" s="32">
        <v>3</v>
      </c>
      <c r="E9" s="32"/>
      <c r="F9" s="32"/>
      <c r="G9" s="32">
        <v>89130.14</v>
      </c>
      <c r="H9" s="32">
        <v>4</v>
      </c>
      <c r="I9" s="32">
        <v>6667.52</v>
      </c>
      <c r="J9" s="32">
        <v>23</v>
      </c>
      <c r="K9" s="32">
        <v>10777.38</v>
      </c>
      <c r="L9" s="32">
        <v>21</v>
      </c>
      <c r="M9" s="32">
        <v>8463.47</v>
      </c>
      <c r="N9" s="32">
        <v>19</v>
      </c>
      <c r="O9" s="32">
        <v>70433.19</v>
      </c>
      <c r="P9" s="40">
        <v>44</v>
      </c>
      <c r="Q9" s="32">
        <v>31</v>
      </c>
      <c r="R9" s="32">
        <v>0</v>
      </c>
    </row>
    <row r="10" ht="26.85" customHeight="1" spans="1:18" x14ac:dyDescent="0.25">
      <c r="A10" s="40" t="s">
        <v>2025</v>
      </c>
      <c r="B10" s="14" t="s">
        <v>2026</v>
      </c>
      <c r="C10" s="32">
        <v>4</v>
      </c>
      <c r="D10" s="32">
        <v>3.5</v>
      </c>
      <c r="E10" s="32"/>
      <c r="F10" s="32"/>
      <c r="G10" s="32">
        <v>89130.15</v>
      </c>
      <c r="H10" s="32">
        <v>4</v>
      </c>
      <c r="I10" s="32">
        <v>11224.27</v>
      </c>
      <c r="J10" s="32">
        <v>25</v>
      </c>
      <c r="K10" s="32">
        <v>9660.1</v>
      </c>
      <c r="L10" s="32">
        <v>21</v>
      </c>
      <c r="M10" s="32">
        <v>9713.08</v>
      </c>
      <c r="N10" s="32">
        <v>20</v>
      </c>
      <c r="O10" s="32">
        <v>61871.43</v>
      </c>
      <c r="P10" s="40">
        <v>40</v>
      </c>
      <c r="Q10" s="32">
        <v>23</v>
      </c>
      <c r="R10" s="32">
        <v>0</v>
      </c>
    </row>
    <row r="11" ht="26.85" customHeight="1" spans="1:18" x14ac:dyDescent="0.25">
      <c r="A11" s="40" t="s">
        <v>2027</v>
      </c>
      <c r="B11" s="14" t="s">
        <v>2028</v>
      </c>
      <c r="C11" s="32">
        <v>3</v>
      </c>
      <c r="D11" s="32">
        <v>2.5</v>
      </c>
      <c r="E11" s="32"/>
      <c r="F11" s="32"/>
      <c r="G11" s="32">
        <v>73205.2</v>
      </c>
      <c r="H11" s="32">
        <v>4</v>
      </c>
      <c r="I11" s="32">
        <v>10318.53</v>
      </c>
      <c r="J11" s="32">
        <v>14</v>
      </c>
      <c r="K11" s="32">
        <v>9581.4</v>
      </c>
      <c r="L11" s="32">
        <v>19</v>
      </c>
      <c r="M11" s="32">
        <v>9304.66</v>
      </c>
      <c r="N11" s="32">
        <v>21</v>
      </c>
      <c r="O11" s="32">
        <v>66884.8</v>
      </c>
      <c r="P11" s="40">
        <v>46</v>
      </c>
      <c r="Q11" s="32">
        <v>26</v>
      </c>
      <c r="R11" s="32">
        <v>0</v>
      </c>
    </row>
    <row r="12" ht="26.85" customHeight="1" spans="1:18" x14ac:dyDescent="0.25">
      <c r="A12" s="40" t="s">
        <v>2029</v>
      </c>
      <c r="B12" s="14" t="s">
        <v>2030</v>
      </c>
      <c r="C12" s="32">
        <v>3</v>
      </c>
      <c r="D12" s="32">
        <v>3</v>
      </c>
      <c r="E12" s="32"/>
      <c r="F12" s="32"/>
      <c r="G12" s="32">
        <v>83395.13</v>
      </c>
      <c r="H12" s="32">
        <v>4</v>
      </c>
      <c r="I12" s="32">
        <v>9813.31</v>
      </c>
      <c r="J12" s="32">
        <v>28</v>
      </c>
      <c r="K12" s="32">
        <v>11607.61</v>
      </c>
      <c r="L12" s="32">
        <v>25</v>
      </c>
      <c r="M12" s="32">
        <v>9010.46</v>
      </c>
      <c r="N12" s="32">
        <v>21</v>
      </c>
      <c r="O12" s="32">
        <v>49210.94</v>
      </c>
      <c r="P12" s="40">
        <v>40</v>
      </c>
      <c r="Q12" s="32">
        <v>2</v>
      </c>
      <c r="R12" s="32">
        <v>0</v>
      </c>
    </row>
    <row r="13" ht="26.85" customHeight="1" spans="1:18" x14ac:dyDescent="0.25">
      <c r="A13" s="40" t="s">
        <v>2031</v>
      </c>
      <c r="B13" s="14" t="s">
        <v>2032</v>
      </c>
      <c r="C13" s="32">
        <v>3</v>
      </c>
      <c r="D13" s="32">
        <v>3.5</v>
      </c>
      <c r="E13" s="32"/>
      <c r="F13" s="32"/>
      <c r="G13" s="32">
        <v>96735.12</v>
      </c>
      <c r="H13" s="32">
        <v>4</v>
      </c>
      <c r="I13" s="32">
        <v>5055.58</v>
      </c>
      <c r="J13" s="32">
        <v>9</v>
      </c>
      <c r="K13" s="32">
        <v>7374.36</v>
      </c>
      <c r="L13" s="32">
        <v>19</v>
      </c>
      <c r="M13" s="32">
        <v>9574.41</v>
      </c>
      <c r="N13" s="32">
        <v>18</v>
      </c>
      <c r="O13" s="32">
        <v>69854.54</v>
      </c>
      <c r="P13" s="40">
        <v>42</v>
      </c>
      <c r="Q13" s="32">
        <v>33</v>
      </c>
      <c r="R13" s="32">
        <v>0</v>
      </c>
    </row>
    <row r="14" ht="26.85" customHeight="1" spans="1:18" x14ac:dyDescent="0.25">
      <c r="A14" s="40" t="s">
        <v>2033</v>
      </c>
      <c r="B14" s="14" t="s">
        <v>2034</v>
      </c>
      <c r="C14" s="32">
        <v>4</v>
      </c>
      <c r="D14" s="32">
        <v>2.5</v>
      </c>
      <c r="E14" s="32"/>
      <c r="F14" s="32"/>
      <c r="G14" s="32">
        <v>80452.09</v>
      </c>
      <c r="H14" s="32">
        <v>5</v>
      </c>
      <c r="I14" s="32">
        <v>13957.52</v>
      </c>
      <c r="J14" s="32">
        <v>33</v>
      </c>
      <c r="K14" s="32">
        <v>11220.9</v>
      </c>
      <c r="L14" s="32">
        <v>27</v>
      </c>
      <c r="M14" s="32">
        <v>12176.99</v>
      </c>
      <c r="N14" s="32">
        <v>18</v>
      </c>
      <c r="O14" s="32">
        <v>127140.2</v>
      </c>
      <c r="P14" s="40">
        <v>52</v>
      </c>
      <c r="Q14" s="32">
        <v>17</v>
      </c>
      <c r="R14" s="32">
        <v>0</v>
      </c>
    </row>
    <row r="15" ht="26.85" customHeight="1" spans="1:18" x14ac:dyDescent="0.25">
      <c r="A15" s="40" t="s">
        <v>2035</v>
      </c>
      <c r="B15" s="14" t="s">
        <v>2036</v>
      </c>
      <c r="C15" s="32">
        <v>3</v>
      </c>
      <c r="D15" s="32">
        <v>3.5</v>
      </c>
      <c r="E15" s="32"/>
      <c r="F15" s="32"/>
      <c r="G15" s="32">
        <v>100338</v>
      </c>
      <c r="H15" s="32">
        <v>5</v>
      </c>
      <c r="I15" s="32">
        <v>11122.24</v>
      </c>
      <c r="J15" s="32">
        <v>19</v>
      </c>
      <c r="K15" s="32">
        <v>10645.23</v>
      </c>
      <c r="L15" s="32">
        <v>23</v>
      </c>
      <c r="M15" s="32">
        <v>12373.33</v>
      </c>
      <c r="N15" s="32">
        <v>18</v>
      </c>
      <c r="O15" s="32">
        <v>92911.23</v>
      </c>
      <c r="P15" s="40">
        <v>41</v>
      </c>
      <c r="Q15" s="32">
        <v>7</v>
      </c>
      <c r="R15" s="32">
        <v>0</v>
      </c>
    </row>
    <row r="16" ht="26.85" customHeight="1" spans="1:18" x14ac:dyDescent="0.25">
      <c r="A16" s="40" t="s">
        <v>2037</v>
      </c>
      <c r="B16" s="14" t="s">
        <v>2038</v>
      </c>
      <c r="C16" s="32">
        <v>3</v>
      </c>
      <c r="D16" s="32">
        <v>3</v>
      </c>
      <c r="E16" s="32"/>
      <c r="F16" s="32"/>
      <c r="G16" s="32">
        <v>98838.05</v>
      </c>
      <c r="H16" s="32">
        <v>4</v>
      </c>
      <c r="I16" s="32">
        <v>8614.22</v>
      </c>
      <c r="J16" s="32">
        <v>17</v>
      </c>
      <c r="K16" s="32">
        <v>9728.55</v>
      </c>
      <c r="L16" s="32">
        <v>21</v>
      </c>
      <c r="M16" s="32">
        <v>14791.84</v>
      </c>
      <c r="N16" s="32">
        <v>18</v>
      </c>
      <c r="O16" s="32">
        <v>117772.13</v>
      </c>
      <c r="P16" s="40">
        <v>44</v>
      </c>
      <c r="Q16" s="32">
        <v>59</v>
      </c>
      <c r="R16" s="32">
        <v>0</v>
      </c>
    </row>
    <row r="17" ht="26.85" customHeight="1" spans="1:18" x14ac:dyDescent="0.25">
      <c r="A17" s="40" t="s">
        <v>2039</v>
      </c>
      <c r="B17" s="14" t="s">
        <v>2040</v>
      </c>
      <c r="C17" s="32">
        <v>4</v>
      </c>
      <c r="D17" s="32">
        <v>3</v>
      </c>
      <c r="E17" s="32"/>
      <c r="F17" s="32"/>
      <c r="G17" s="32">
        <v>100244.26</v>
      </c>
      <c r="H17" s="32">
        <v>5</v>
      </c>
      <c r="I17" s="32">
        <v>9190.65</v>
      </c>
      <c r="J17" s="32">
        <v>21</v>
      </c>
      <c r="K17" s="32">
        <v>14279.95</v>
      </c>
      <c r="L17" s="32">
        <v>28</v>
      </c>
      <c r="M17" s="32">
        <v>8199.17</v>
      </c>
      <c r="N17" s="32">
        <v>17</v>
      </c>
      <c r="O17" s="32">
        <v>119309.28</v>
      </c>
      <c r="P17" s="40">
        <v>44</v>
      </c>
      <c r="Q17" s="32">
        <v>58</v>
      </c>
      <c r="R17" s="32">
        <v>0</v>
      </c>
    </row>
    <row r="18" ht="26.85" customHeight="1" spans="1:18" x14ac:dyDescent="0.25">
      <c r="A18" s="40" t="s">
        <v>2041</v>
      </c>
      <c r="B18" s="14" t="s">
        <v>2042</v>
      </c>
      <c r="C18" s="32">
        <v>3</v>
      </c>
      <c r="D18" s="32">
        <v>3</v>
      </c>
      <c r="E18" s="32"/>
      <c r="F18" s="32"/>
      <c r="G18" s="32">
        <v>89130.07</v>
      </c>
      <c r="H18" s="32">
        <v>4</v>
      </c>
      <c r="I18" s="32">
        <v>7651.15</v>
      </c>
      <c r="J18" s="32">
        <v>14</v>
      </c>
      <c r="K18" s="32">
        <v>11204.25</v>
      </c>
      <c r="L18" s="32">
        <v>20</v>
      </c>
      <c r="M18" s="32">
        <v>8485</v>
      </c>
      <c r="N18" s="32">
        <v>21</v>
      </c>
      <c r="O18" s="32">
        <v>64100.79</v>
      </c>
      <c r="P18" s="40">
        <v>45</v>
      </c>
      <c r="Q18" s="32">
        <v>12</v>
      </c>
      <c r="R18" s="32">
        <v>0</v>
      </c>
    </row>
    <row r="19" ht="26.85" customHeight="1" spans="1:18" x14ac:dyDescent="0.25">
      <c r="A19" s="40" t="s">
        <v>2043</v>
      </c>
      <c r="B19" s="14" t="s">
        <v>2044</v>
      </c>
      <c r="C19" s="32">
        <v>4</v>
      </c>
      <c r="D19" s="32">
        <v>2.5</v>
      </c>
      <c r="E19" s="32"/>
      <c r="F19" s="32"/>
      <c r="G19" s="32">
        <v>83394.52</v>
      </c>
      <c r="H19" s="32">
        <v>4</v>
      </c>
      <c r="I19" s="32">
        <v>11469.39</v>
      </c>
      <c r="J19" s="32">
        <v>21</v>
      </c>
      <c r="K19" s="32">
        <v>13907.96</v>
      </c>
      <c r="L19" s="32">
        <v>25</v>
      </c>
      <c r="M19" s="32">
        <v>11165.28</v>
      </c>
      <c r="N19" s="32">
        <v>18</v>
      </c>
      <c r="O19" s="32">
        <v>62171.09</v>
      </c>
      <c r="P19" s="40">
        <v>48</v>
      </c>
      <c r="Q19" s="32">
        <v>21</v>
      </c>
      <c r="R19" s="32">
        <v>0</v>
      </c>
    </row>
    <row r="20" ht="26.85" customHeight="1" spans="1:18" x14ac:dyDescent="0.25">
      <c r="A20" s="40" t="s">
        <v>2045</v>
      </c>
      <c r="B20" s="14" t="s">
        <v>2046</v>
      </c>
      <c r="C20" s="32">
        <v>4</v>
      </c>
      <c r="D20" s="32">
        <v>2.5</v>
      </c>
      <c r="E20" s="32"/>
      <c r="F20" s="32"/>
      <c r="G20" s="32">
        <v>80358.25</v>
      </c>
      <c r="H20" s="32">
        <v>5</v>
      </c>
      <c r="I20" s="32">
        <v>9419.37</v>
      </c>
      <c r="J20" s="32">
        <v>25</v>
      </c>
      <c r="K20" s="32">
        <v>15355.5</v>
      </c>
      <c r="L20" s="32">
        <v>31</v>
      </c>
      <c r="M20" s="32">
        <v>10286.18</v>
      </c>
      <c r="N20" s="32">
        <v>23</v>
      </c>
      <c r="O20" s="32">
        <v>111342.12</v>
      </c>
      <c r="P20" s="40">
        <v>43</v>
      </c>
      <c r="Q20" s="32">
        <v>11</v>
      </c>
      <c r="R20" s="32">
        <v>0</v>
      </c>
    </row>
    <row r="21" ht="26.85" customHeight="1" spans="1:18" x14ac:dyDescent="0.25">
      <c r="A21" s="40" t="s">
        <v>2047</v>
      </c>
      <c r="B21" s="14" t="s">
        <v>2048</v>
      </c>
      <c r="C21" s="32">
        <v>3</v>
      </c>
      <c r="D21" s="32">
        <v>2.5</v>
      </c>
      <c r="E21" s="32"/>
      <c r="F21" s="32"/>
      <c r="G21" s="32">
        <v>73205.15</v>
      </c>
      <c r="H21" s="32">
        <v>4</v>
      </c>
      <c r="I21" s="32">
        <v>8868.66</v>
      </c>
      <c r="J21" s="32">
        <v>19</v>
      </c>
      <c r="K21" s="32">
        <v>10142</v>
      </c>
      <c r="L21" s="32">
        <v>21</v>
      </c>
      <c r="M21" s="32">
        <v>10487.93</v>
      </c>
      <c r="N21" s="32">
        <v>15</v>
      </c>
      <c r="O21" s="32">
        <v>67101.6</v>
      </c>
      <c r="P21" s="40">
        <v>44</v>
      </c>
      <c r="Q21" s="32">
        <v>11</v>
      </c>
      <c r="R21" s="32">
        <v>0</v>
      </c>
    </row>
    <row r="22" ht="26.85" customHeight="1" spans="1:18" x14ac:dyDescent="0.25">
      <c r="A22" s="40" t="s">
        <v>2049</v>
      </c>
      <c r="B22" s="14" t="s">
        <v>2050</v>
      </c>
      <c r="C22" s="32">
        <v>3</v>
      </c>
      <c r="D22" s="32">
        <v>3</v>
      </c>
      <c r="E22" s="32"/>
      <c r="F22" s="32"/>
      <c r="G22" s="32">
        <v>100244.26</v>
      </c>
      <c r="H22" s="32">
        <v>5</v>
      </c>
      <c r="I22" s="32">
        <v>7377.74</v>
      </c>
      <c r="J22" s="32">
        <v>13</v>
      </c>
      <c r="K22" s="32">
        <v>9085.41</v>
      </c>
      <c r="L22" s="32">
        <v>22</v>
      </c>
      <c r="M22" s="32">
        <v>11078.96</v>
      </c>
      <c r="N22" s="32">
        <v>19</v>
      </c>
      <c r="O22" s="32">
        <v>112267.85</v>
      </c>
      <c r="P22" s="40">
        <v>42</v>
      </c>
      <c r="Q22" s="32">
        <v>35</v>
      </c>
      <c r="R22" s="32">
        <v>0</v>
      </c>
    </row>
    <row r="23" ht="26.85" customHeight="1" spans="1:18" x14ac:dyDescent="0.25">
      <c r="A23" s="40" t="s">
        <v>2051</v>
      </c>
      <c r="B23" s="14" t="s">
        <v>2052</v>
      </c>
      <c r="C23" s="32">
        <v>4</v>
      </c>
      <c r="D23" s="32">
        <v>2</v>
      </c>
      <c r="E23" s="32"/>
      <c r="F23" s="32"/>
      <c r="G23" s="32">
        <v>89130.15</v>
      </c>
      <c r="H23" s="32">
        <v>4</v>
      </c>
      <c r="I23" s="32">
        <v>11570.32</v>
      </c>
      <c r="J23" s="32">
        <v>24</v>
      </c>
      <c r="K23" s="32">
        <v>12449.04</v>
      </c>
      <c r="L23" s="32">
        <v>25</v>
      </c>
      <c r="M23" s="32">
        <v>8629.16</v>
      </c>
      <c r="N23" s="32">
        <v>18</v>
      </c>
      <c r="O23" s="32">
        <v>65759.12</v>
      </c>
      <c r="P23" s="40">
        <v>37</v>
      </c>
      <c r="Q23" s="32">
        <v>41</v>
      </c>
      <c r="R23" s="32">
        <v>0</v>
      </c>
    </row>
    <row r="24" ht="26.85" customHeight="1" spans="1:18" x14ac:dyDescent="0.25">
      <c r="A24" s="40" t="s">
        <v>2053</v>
      </c>
      <c r="B24" s="14" t="s">
        <v>2054</v>
      </c>
      <c r="C24" s="32">
        <v>3</v>
      </c>
      <c r="D24" s="32">
        <v>2.5</v>
      </c>
      <c r="E24" s="32"/>
      <c r="F24" s="32"/>
      <c r="G24" s="32">
        <v>98838.05</v>
      </c>
      <c r="H24" s="32">
        <v>4</v>
      </c>
      <c r="I24" s="32">
        <v>8529.87</v>
      </c>
      <c r="J24" s="32">
        <v>19</v>
      </c>
      <c r="K24" s="32">
        <v>11781.15</v>
      </c>
      <c r="L24" s="32">
        <v>23</v>
      </c>
      <c r="M24" s="32">
        <v>5459.76</v>
      </c>
      <c r="N24" s="32">
        <v>13</v>
      </c>
      <c r="O24" s="32">
        <v>107787.47</v>
      </c>
      <c r="P24" s="40">
        <v>39</v>
      </c>
      <c r="Q24" s="32">
        <v>9</v>
      </c>
      <c r="R24" s="32">
        <v>0</v>
      </c>
    </row>
    <row r="25" ht="26.85" customHeight="1" spans="1:18" x14ac:dyDescent="0.25">
      <c r="A25" s="40" t="s">
        <v>2055</v>
      </c>
      <c r="B25" s="14" t="s">
        <v>2056</v>
      </c>
      <c r="C25" s="32">
        <v>3</v>
      </c>
      <c r="D25" s="32">
        <v>3</v>
      </c>
      <c r="E25" s="32"/>
      <c r="F25" s="32"/>
      <c r="G25" s="32">
        <v>89130.12</v>
      </c>
      <c r="H25" s="32">
        <v>5</v>
      </c>
      <c r="I25" s="32">
        <v>10732.62</v>
      </c>
      <c r="J25" s="32">
        <v>29</v>
      </c>
      <c r="K25" s="32">
        <v>11988.44</v>
      </c>
      <c r="L25" s="32">
        <v>27</v>
      </c>
      <c r="M25" s="32">
        <v>11824.32</v>
      </c>
      <c r="N25" s="32">
        <v>20</v>
      </c>
      <c r="O25" s="32">
        <v>64814.78</v>
      </c>
      <c r="P25" s="40">
        <v>39</v>
      </c>
      <c r="Q25" s="32">
        <v>28</v>
      </c>
      <c r="R25" s="32">
        <v>0</v>
      </c>
    </row>
    <row r="26" ht="26.85" customHeight="1" spans="1:18" x14ac:dyDescent="0.25">
      <c r="A26" s="40" t="s">
        <v>2057</v>
      </c>
      <c r="B26" s="14" t="s">
        <v>2058</v>
      </c>
      <c r="C26" s="32">
        <v>3</v>
      </c>
      <c r="D26" s="32">
        <v>3</v>
      </c>
      <c r="E26" s="32"/>
      <c r="F26" s="32"/>
      <c r="G26" s="32">
        <v>98838.05</v>
      </c>
      <c r="H26" s="32">
        <v>4</v>
      </c>
      <c r="I26" s="32">
        <v>9666.48</v>
      </c>
      <c r="J26" s="32">
        <v>18</v>
      </c>
      <c r="K26" s="32">
        <v>13178.9</v>
      </c>
      <c r="L26" s="32">
        <v>22</v>
      </c>
      <c r="M26" s="32">
        <v>11830.71</v>
      </c>
      <c r="N26" s="32">
        <v>15</v>
      </c>
      <c r="O26" s="32">
        <v>142365.98</v>
      </c>
      <c r="P26" s="40">
        <v>43</v>
      </c>
      <c r="Q26" s="32">
        <v>8</v>
      </c>
      <c r="R26" s="32">
        <v>0</v>
      </c>
    </row>
    <row r="27" ht="26.85" customHeight="1" spans="1:18" x14ac:dyDescent="0.25">
      <c r="A27" s="40" t="s">
        <v>2059</v>
      </c>
      <c r="B27" s="14" t="s">
        <v>2060</v>
      </c>
      <c r="C27" s="32">
        <v>3</v>
      </c>
      <c r="D27" s="32">
        <v>3</v>
      </c>
      <c r="E27" s="32"/>
      <c r="F27" s="32"/>
      <c r="G27" s="32">
        <v>89130.15</v>
      </c>
      <c r="H27" s="32">
        <v>4</v>
      </c>
      <c r="I27" s="32">
        <v>9712.99</v>
      </c>
      <c r="J27" s="32">
        <v>19</v>
      </c>
      <c r="K27" s="32">
        <v>10539.5</v>
      </c>
      <c r="L27" s="32">
        <v>25</v>
      </c>
      <c r="M27" s="32">
        <v>8388.17</v>
      </c>
      <c r="N27" s="32">
        <v>20</v>
      </c>
      <c r="O27" s="32">
        <v>60384.01</v>
      </c>
      <c r="P27" s="40">
        <v>36</v>
      </c>
      <c r="Q27" s="32">
        <v>28</v>
      </c>
      <c r="R27" s="32">
        <v>0</v>
      </c>
    </row>
    <row r="28" ht="26.85" customHeight="1" spans="1:18" x14ac:dyDescent="0.25">
      <c r="A28" s="40" t="s">
        <v>2061</v>
      </c>
      <c r="B28" s="14" t="s">
        <v>2062</v>
      </c>
      <c r="C28" s="32">
        <v>3</v>
      </c>
      <c r="D28" s="32">
        <v>5</v>
      </c>
      <c r="E28" s="32"/>
      <c r="F28" s="32"/>
      <c r="G28" s="32">
        <v>89130.25</v>
      </c>
      <c r="H28" s="32">
        <v>5</v>
      </c>
      <c r="I28" s="32">
        <v>6166.94</v>
      </c>
      <c r="J28" s="32">
        <v>21</v>
      </c>
      <c r="K28" s="32">
        <v>10035.53</v>
      </c>
      <c r="L28" s="32">
        <v>25</v>
      </c>
      <c r="M28" s="32">
        <v>8570.36</v>
      </c>
      <c r="N28" s="32">
        <v>21</v>
      </c>
      <c r="O28" s="32">
        <v>75938.12</v>
      </c>
      <c r="P28" s="40">
        <v>43</v>
      </c>
      <c r="Q28" s="32">
        <v>31</v>
      </c>
      <c r="R28" s="32">
        <v>0</v>
      </c>
    </row>
    <row r="29" ht="26.85" customHeight="1" spans="1:18" x14ac:dyDescent="0.25">
      <c r="A29" s="40" t="s">
        <v>2063</v>
      </c>
      <c r="B29" s="14" t="s">
        <v>2064</v>
      </c>
      <c r="C29" s="32">
        <v>3</v>
      </c>
      <c r="D29" s="32">
        <v>2.5</v>
      </c>
      <c r="E29" s="32"/>
      <c r="F29" s="32"/>
      <c r="G29" s="32">
        <v>100809.61</v>
      </c>
      <c r="H29" s="32">
        <v>6</v>
      </c>
      <c r="I29" s="32">
        <v>8256.57</v>
      </c>
      <c r="J29" s="32">
        <v>19</v>
      </c>
      <c r="K29" s="32">
        <v>8990.75</v>
      </c>
      <c r="L29" s="32">
        <v>22</v>
      </c>
      <c r="M29" s="32">
        <v>7577.87</v>
      </c>
      <c r="N29" s="32">
        <v>14</v>
      </c>
      <c r="O29" s="32">
        <v>106892.11</v>
      </c>
      <c r="P29" s="40">
        <v>37</v>
      </c>
      <c r="Q29" s="32">
        <v>16</v>
      </c>
      <c r="R29" s="32">
        <v>0</v>
      </c>
    </row>
  </sheetData>
  <autoFilter ref="A3:R29"/>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0"/>
  <sheetViews>
    <sheetView workbookViewId="0" showGridLines="0" zoomScale="100"/>
  </sheetViews>
  <sheetFormatPr defaultRowHeight="15" outlineLevelRow="0" outlineLevelCol="0" x14ac:dyDescent="55"/>
  <cols>
    <col min="1" max="1" width="16" customWidth="1"/>
    <col min="2" max="2" width="28" customWidth="1"/>
    <col min="3" max="3" width="18" customWidth="1"/>
    <col min="4" max="4" width="24" customWidth="1"/>
    <col min="5" max="5" width="16" customWidth="1"/>
    <col min="6" max="6" width="14" customWidth="1"/>
    <col min="7" max="7" width="10" customWidth="1"/>
    <col min="11" max="11" width="14" customWidth="1"/>
    <col min="13" max="13" width="16" customWidth="1"/>
    <col min="14" max="14" width="14" customWidth="1"/>
    <col min="15" max="15" width="18" customWidth="1"/>
    <col min="16" max="16" width="16" customWidth="1"/>
    <col min="18" max="18" width="12" customWidth="1"/>
    <col min="19" max="19" width="14" customWidth="1"/>
    <col min="21" max="21" width="16" customWidth="1"/>
    <col min="22" max="22" width="12" customWidth="1"/>
    <col min="23" max="23" width="14" customWidth="1"/>
    <col min="25" max="25" width="18" customWidth="1"/>
    <col min="28" max="28" width="20" customWidth="1"/>
    <col min="29" max="29" width="18" customWidth="1"/>
  </cols>
  <sheetData>
    <row r="1" ht="15" customHeight="1" spans="1:32" x14ac:dyDescent="0.25">
      <c r="A1" s="1" t="s">
        <v>2065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ht="267.9" customHeight="1" spans="1:32" x14ac:dyDescent="0.25">
      <c r="A2" s="14" t="s">
        <v>2066</v>
      </c>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row>
    <row r="4" ht="141" customHeight="1" spans="1:32" x14ac:dyDescent="0.25">
      <c r="A4" s="36" t="s">
        <v>1997</v>
      </c>
      <c r="B4" s="36" t="s">
        <v>1998</v>
      </c>
      <c r="C4" s="36" t="s">
        <v>2067</v>
      </c>
      <c r="D4" s="36" t="s">
        <v>2068</v>
      </c>
      <c r="E4" s="36" t="s">
        <v>2069</v>
      </c>
      <c r="F4" s="36" t="s">
        <v>2070</v>
      </c>
      <c r="G4" s="36" t="s">
        <v>2071</v>
      </c>
      <c r="H4" s="36" t="s">
        <v>2072</v>
      </c>
      <c r="I4" s="36" t="s">
        <v>142</v>
      </c>
      <c r="J4" s="36" t="s">
        <v>37</v>
      </c>
      <c r="K4" s="36" t="s">
        <v>38</v>
      </c>
      <c r="L4" s="36" t="s">
        <v>39</v>
      </c>
      <c r="M4" s="36" t="s">
        <v>143</v>
      </c>
      <c r="N4" s="36" t="s">
        <v>79</v>
      </c>
      <c r="O4" s="36" t="s">
        <v>144</v>
      </c>
      <c r="P4" s="36" t="s">
        <v>81</v>
      </c>
      <c r="Q4" s="36" t="s">
        <v>88</v>
      </c>
      <c r="R4" s="36" t="s">
        <v>90</v>
      </c>
      <c r="S4" s="36" t="s">
        <v>99</v>
      </c>
      <c r="T4" s="36" t="s">
        <v>145</v>
      </c>
      <c r="U4" s="36" t="s">
        <v>89</v>
      </c>
      <c r="V4" s="36" t="s">
        <v>146</v>
      </c>
      <c r="W4" s="36" t="s">
        <v>92</v>
      </c>
      <c r="X4" s="36" t="s">
        <v>95</v>
      </c>
      <c r="Y4" s="36" t="s">
        <v>98</v>
      </c>
      <c r="Z4" s="36" t="s">
        <v>101</v>
      </c>
      <c r="AA4" s="36" t="s">
        <v>147</v>
      </c>
      <c r="AB4" s="36" t="s">
        <v>96</v>
      </c>
      <c r="AC4" s="36" t="s">
        <v>2073</v>
      </c>
      <c r="AD4" s="36" t="s">
        <v>2074</v>
      </c>
      <c r="AE4" s="36" t="s">
        <v>2075</v>
      </c>
      <c r="AF4" s="36" t="s">
        <v>150</v>
      </c>
    </row>
    <row r="5" ht="26.85" customHeight="1" spans="1:32" x14ac:dyDescent="0.25">
      <c r="A5" s="40" t="s">
        <v>2013</v>
      </c>
      <c r="B5" s="14" t="s">
        <v>2014</v>
      </c>
      <c r="C5" s="40" t="s">
        <v>82</v>
      </c>
      <c r="D5" s="40" t="s">
        <v>64</v>
      </c>
      <c r="E5" s="40" t="s">
        <v>2076</v>
      </c>
      <c r="F5" s="40" t="s">
        <v>2077</v>
      </c>
      <c r="G5" s="32" t="s">
        <v>11</v>
      </c>
      <c r="H5" s="32"/>
      <c r="I5" s="32">
        <v>3</v>
      </c>
      <c r="J5" s="32">
        <v>3</v>
      </c>
      <c r="K5" s="32">
        <v>0</v>
      </c>
      <c r="L5" s="32">
        <v>2.5</v>
      </c>
      <c r="M5" s="32">
        <v>37</v>
      </c>
      <c r="N5" s="32">
        <v>45064</v>
      </c>
      <c r="O5" s="32">
        <v>15021.33</v>
      </c>
      <c r="P5" s="32">
        <v>13220</v>
      </c>
      <c r="Q5" s="32">
        <v>155900</v>
      </c>
      <c r="R5" s="32">
        <v>3590</v>
      </c>
      <c r="S5" s="32">
        <v>61630</v>
      </c>
      <c r="T5" s="32">
        <v>8930.22</v>
      </c>
      <c r="U5" s="32">
        <v>2976.74</v>
      </c>
      <c r="V5" s="32">
        <v>10878.38</v>
      </c>
      <c r="W5" s="32">
        <v>3626.13</v>
      </c>
      <c r="X5" s="32">
        <v>7679.97</v>
      </c>
      <c r="Y5" s="32">
        <v>81029.12</v>
      </c>
      <c r="Z5" s="32">
        <v>100338</v>
      </c>
      <c r="AA5" s="32">
        <v>208855.69</v>
      </c>
      <c r="AB5" s="32">
        <v>26106.96</v>
      </c>
      <c r="AC5" s="32">
        <v>279404</v>
      </c>
      <c r="AD5" s="40">
        <v>0</v>
      </c>
      <c r="AE5" s="40">
        <v>4128.27</v>
      </c>
      <c r="AF5" s="40">
        <v>514366.65</v>
      </c>
    </row>
    <row r="6" ht="26.85" customHeight="1" spans="1:32" x14ac:dyDescent="0.25">
      <c r="A6" s="40" t="s">
        <v>2015</v>
      </c>
      <c r="B6" s="14" t="s">
        <v>2016</v>
      </c>
      <c r="C6" s="40" t="s">
        <v>82</v>
      </c>
      <c r="D6" s="40" t="s">
        <v>64</v>
      </c>
      <c r="E6" s="40" t="s">
        <v>2076</v>
      </c>
      <c r="F6" s="40" t="s">
        <v>2077</v>
      </c>
      <c r="G6" s="32" t="s">
        <v>11</v>
      </c>
      <c r="H6" s="32"/>
      <c r="I6" s="32">
        <v>5</v>
      </c>
      <c r="J6" s="32">
        <v>4</v>
      </c>
      <c r="K6" s="32">
        <v>1</v>
      </c>
      <c r="L6" s="32">
        <v>3</v>
      </c>
      <c r="M6" s="32">
        <v>43</v>
      </c>
      <c r="N6" s="32">
        <v>77056</v>
      </c>
      <c r="O6" s="32">
        <v>15411.2</v>
      </c>
      <c r="P6" s="32">
        <v>24950</v>
      </c>
      <c r="Q6" s="32">
        <v>160140</v>
      </c>
      <c r="R6" s="32">
        <v>17540</v>
      </c>
      <c r="S6" s="32">
        <v>111442</v>
      </c>
      <c r="T6" s="32">
        <v>15632.76</v>
      </c>
      <c r="U6" s="32">
        <v>3126.55</v>
      </c>
      <c r="V6" s="32">
        <v>16357.87</v>
      </c>
      <c r="W6" s="32">
        <v>3271.57</v>
      </c>
      <c r="X6" s="32">
        <v>10608.04</v>
      </c>
      <c r="Y6" s="32">
        <v>69035.6</v>
      </c>
      <c r="Z6" s="32">
        <v>89358.15</v>
      </c>
      <c r="AA6" s="32">
        <v>200992.42</v>
      </c>
      <c r="AB6" s="32">
        <v>25124.05</v>
      </c>
      <c r="AC6" s="32">
        <v>391128</v>
      </c>
      <c r="AD6" s="40">
        <v>0</v>
      </c>
      <c r="AE6" s="40">
        <v>2669.9</v>
      </c>
      <c r="AF6" s="40">
        <v>617244.47</v>
      </c>
    </row>
    <row r="7" ht="26.85" customHeight="1" spans="1:32" x14ac:dyDescent="0.25">
      <c r="A7" s="40" t="s">
        <v>2017</v>
      </c>
      <c r="B7" s="14" t="s">
        <v>2018</v>
      </c>
      <c r="C7" s="40" t="s">
        <v>82</v>
      </c>
      <c r="D7" s="40" t="s">
        <v>64</v>
      </c>
      <c r="E7" s="40" t="s">
        <v>2076</v>
      </c>
      <c r="F7" s="40" t="s">
        <v>2077</v>
      </c>
      <c r="G7" s="32" t="s">
        <v>11</v>
      </c>
      <c r="H7" s="32"/>
      <c r="I7" s="32">
        <v>3</v>
      </c>
      <c r="J7" s="32">
        <v>3</v>
      </c>
      <c r="K7" s="32">
        <v>0</v>
      </c>
      <c r="L7" s="32">
        <v>3</v>
      </c>
      <c r="M7" s="32">
        <v>34</v>
      </c>
      <c r="N7" s="32">
        <v>45064</v>
      </c>
      <c r="O7" s="32">
        <v>15021.33</v>
      </c>
      <c r="P7" s="32">
        <v>6900</v>
      </c>
      <c r="Q7" s="32">
        <v>160140</v>
      </c>
      <c r="R7" s="32">
        <v>4270</v>
      </c>
      <c r="S7" s="32">
        <v>96442</v>
      </c>
      <c r="T7" s="32">
        <v>6509.33</v>
      </c>
      <c r="U7" s="32">
        <v>2169.78</v>
      </c>
      <c r="V7" s="32">
        <v>9126.94</v>
      </c>
      <c r="W7" s="32">
        <v>3042.31</v>
      </c>
      <c r="X7" s="32">
        <v>8576.26</v>
      </c>
      <c r="Y7" s="32">
        <v>74332.61</v>
      </c>
      <c r="Z7" s="32">
        <v>89130.17</v>
      </c>
      <c r="AA7" s="32">
        <v>187675.31</v>
      </c>
      <c r="AB7" s="32">
        <v>23459.41</v>
      </c>
      <c r="AC7" s="32">
        <v>312816</v>
      </c>
      <c r="AD7" s="40">
        <v>0</v>
      </c>
      <c r="AE7" s="40">
        <v>381.3</v>
      </c>
      <c r="AF7" s="40">
        <v>523950.72</v>
      </c>
    </row>
    <row r="8" ht="26.85" customHeight="1" spans="1:32" x14ac:dyDescent="0.25">
      <c r="A8" s="40" t="s">
        <v>2019</v>
      </c>
      <c r="B8" s="14" t="s">
        <v>2020</v>
      </c>
      <c r="C8" s="40" t="s">
        <v>82</v>
      </c>
      <c r="D8" s="40" t="s">
        <v>64</v>
      </c>
      <c r="E8" s="40" t="s">
        <v>2076</v>
      </c>
      <c r="F8" s="40" t="s">
        <v>2077</v>
      </c>
      <c r="G8" s="32" t="s">
        <v>11</v>
      </c>
      <c r="H8" s="32"/>
      <c r="I8" s="32">
        <v>3</v>
      </c>
      <c r="J8" s="32">
        <v>3</v>
      </c>
      <c r="K8" s="32">
        <v>0</v>
      </c>
      <c r="L8" s="32">
        <v>2.5</v>
      </c>
      <c r="M8" s="32">
        <v>34</v>
      </c>
      <c r="N8" s="32">
        <v>45064</v>
      </c>
      <c r="O8" s="32">
        <v>15021.33</v>
      </c>
      <c r="P8" s="32">
        <v>6470</v>
      </c>
      <c r="Q8" s="32">
        <v>154880</v>
      </c>
      <c r="R8" s="32">
        <v>5490</v>
      </c>
      <c r="S8" s="32">
        <v>96442</v>
      </c>
      <c r="T8" s="32">
        <v>8390.67</v>
      </c>
      <c r="U8" s="32">
        <v>2796.89</v>
      </c>
      <c r="V8" s="32">
        <v>10519.79</v>
      </c>
      <c r="W8" s="32">
        <v>3506.6</v>
      </c>
      <c r="X8" s="32">
        <v>11504.37</v>
      </c>
      <c r="Y8" s="32">
        <v>68450.42</v>
      </c>
      <c r="Z8" s="32">
        <v>89130.1</v>
      </c>
      <c r="AA8" s="32">
        <v>187995.35</v>
      </c>
      <c r="AB8" s="32">
        <v>23499.42</v>
      </c>
      <c r="AC8" s="32">
        <v>308346</v>
      </c>
      <c r="AD8" s="40">
        <v>0</v>
      </c>
      <c r="AE8" s="40">
        <v>1580.84</v>
      </c>
      <c r="AF8" s="40">
        <v>519840.77</v>
      </c>
    </row>
    <row r="9" ht="26.85" customHeight="1" spans="1:32" x14ac:dyDescent="0.25">
      <c r="A9" s="40" t="s">
        <v>2021</v>
      </c>
      <c r="B9" s="14" t="s">
        <v>2022</v>
      </c>
      <c r="C9" s="40" t="s">
        <v>82</v>
      </c>
      <c r="D9" s="40" t="s">
        <v>64</v>
      </c>
      <c r="E9" s="40" t="s">
        <v>2076</v>
      </c>
      <c r="F9" s="40" t="s">
        <v>2077</v>
      </c>
      <c r="G9" s="32" t="s">
        <v>67</v>
      </c>
      <c r="H9" s="32"/>
      <c r="I9" s="32">
        <v>3</v>
      </c>
      <c r="J9" s="32">
        <v>2</v>
      </c>
      <c r="K9" s="32">
        <v>1</v>
      </c>
      <c r="L9" s="32">
        <v>2</v>
      </c>
      <c r="M9" s="32">
        <v>37</v>
      </c>
      <c r="N9" s="32">
        <v>31220</v>
      </c>
      <c r="O9" s="32">
        <v>10406.67</v>
      </c>
      <c r="P9" s="32">
        <v>7220</v>
      </c>
      <c r="Q9" s="32">
        <v>142770</v>
      </c>
      <c r="R9" s="32">
        <v>4200</v>
      </c>
      <c r="S9" s="32">
        <v>98442</v>
      </c>
      <c r="T9" s="32">
        <v>6078.53</v>
      </c>
      <c r="U9" s="32">
        <v>2026.18</v>
      </c>
      <c r="V9" s="32">
        <v>6306.92</v>
      </c>
      <c r="W9" s="32">
        <v>2102.31</v>
      </c>
      <c r="X9" s="32">
        <v>5583.38</v>
      </c>
      <c r="Y9" s="32">
        <v>79942.2</v>
      </c>
      <c r="Z9" s="32">
        <v>114163.9</v>
      </c>
      <c r="AA9" s="32">
        <v>212074.93</v>
      </c>
      <c r="AB9" s="32">
        <v>26509.37</v>
      </c>
      <c r="AC9" s="32">
        <v>283852</v>
      </c>
      <c r="AD9" s="40">
        <v>0</v>
      </c>
      <c r="AE9" s="40">
        <v>2304.68</v>
      </c>
      <c r="AF9" s="40">
        <v>522436.3</v>
      </c>
    </row>
    <row r="10" ht="26.85" customHeight="1" spans="1:32" x14ac:dyDescent="0.25">
      <c r="A10" s="40" t="s">
        <v>2023</v>
      </c>
      <c r="B10" s="14" t="s">
        <v>2024</v>
      </c>
      <c r="C10" s="40" t="s">
        <v>82</v>
      </c>
      <c r="D10" s="40" t="s">
        <v>64</v>
      </c>
      <c r="E10" s="40" t="s">
        <v>2076</v>
      </c>
      <c r="F10" s="40" t="s">
        <v>2077</v>
      </c>
      <c r="G10" s="32" t="s">
        <v>11</v>
      </c>
      <c r="H10" s="32"/>
      <c r="I10" s="32">
        <v>3</v>
      </c>
      <c r="J10" s="32">
        <v>2</v>
      </c>
      <c r="K10" s="32">
        <v>1</v>
      </c>
      <c r="L10" s="32">
        <v>3</v>
      </c>
      <c r="M10" s="32">
        <v>35</v>
      </c>
      <c r="N10" s="32">
        <v>38528</v>
      </c>
      <c r="O10" s="32">
        <v>12842.67</v>
      </c>
      <c r="P10" s="32">
        <v>7330</v>
      </c>
      <c r="Q10" s="32">
        <v>160140</v>
      </c>
      <c r="R10" s="32">
        <v>3020</v>
      </c>
      <c r="S10" s="32">
        <v>97942</v>
      </c>
      <c r="T10" s="32">
        <v>6667.52</v>
      </c>
      <c r="U10" s="32">
        <v>2222.51</v>
      </c>
      <c r="V10" s="32">
        <v>10777.38</v>
      </c>
      <c r="W10" s="32">
        <v>3592.46</v>
      </c>
      <c r="X10" s="32">
        <v>8463.47</v>
      </c>
      <c r="Y10" s="32">
        <v>70433.19</v>
      </c>
      <c r="Z10" s="32">
        <v>89130.14</v>
      </c>
      <c r="AA10" s="32">
        <v>185471.7</v>
      </c>
      <c r="AB10" s="32">
        <v>23183.96</v>
      </c>
      <c r="AC10" s="32">
        <v>306960</v>
      </c>
      <c r="AD10" s="40">
        <v>0</v>
      </c>
      <c r="AE10" s="40">
        <v>2164.22</v>
      </c>
      <c r="AF10" s="40">
        <v>515615.66</v>
      </c>
    </row>
    <row r="11" ht="26.85" customHeight="1" spans="1:32" x14ac:dyDescent="0.25">
      <c r="A11" s="40" t="s">
        <v>2025</v>
      </c>
      <c r="B11" s="14" t="s">
        <v>2026</v>
      </c>
      <c r="C11" s="40" t="s">
        <v>82</v>
      </c>
      <c r="D11" s="40" t="s">
        <v>64</v>
      </c>
      <c r="E11" s="40" t="s">
        <v>2076</v>
      </c>
      <c r="F11" s="40" t="s">
        <v>2077</v>
      </c>
      <c r="G11" s="32" t="s">
        <v>11</v>
      </c>
      <c r="H11" s="32"/>
      <c r="I11" s="32">
        <v>4</v>
      </c>
      <c r="J11" s="32">
        <v>4</v>
      </c>
      <c r="K11" s="32">
        <v>0</v>
      </c>
      <c r="L11" s="32">
        <v>3.5</v>
      </c>
      <c r="M11" s="32">
        <v>41</v>
      </c>
      <c r="N11" s="32">
        <v>55728</v>
      </c>
      <c r="O11" s="32">
        <v>13932</v>
      </c>
      <c r="P11" s="32">
        <v>16771</v>
      </c>
      <c r="Q11" s="32">
        <v>165000</v>
      </c>
      <c r="R11" s="32">
        <v>6630</v>
      </c>
      <c r="S11" s="32">
        <v>97942</v>
      </c>
      <c r="T11" s="32">
        <v>11224.27</v>
      </c>
      <c r="U11" s="32">
        <v>2806.07</v>
      </c>
      <c r="V11" s="32">
        <v>9660.1</v>
      </c>
      <c r="W11" s="32">
        <v>2415.03</v>
      </c>
      <c r="X11" s="32">
        <v>9713.08</v>
      </c>
      <c r="Y11" s="32">
        <v>61871.43</v>
      </c>
      <c r="Z11" s="32">
        <v>89130.15</v>
      </c>
      <c r="AA11" s="32">
        <v>181599.03</v>
      </c>
      <c r="AB11" s="32">
        <v>22699.88</v>
      </c>
      <c r="AC11" s="32">
        <v>342071</v>
      </c>
      <c r="AD11" s="40">
        <v>0</v>
      </c>
      <c r="AE11" s="40">
        <v>2146.67</v>
      </c>
      <c r="AF11" s="40">
        <v>546369.91</v>
      </c>
    </row>
    <row r="12" ht="26.85" customHeight="1" spans="1:32" x14ac:dyDescent="0.25">
      <c r="A12" s="40" t="s">
        <v>2027</v>
      </c>
      <c r="B12" s="14" t="s">
        <v>2028</v>
      </c>
      <c r="C12" s="40" t="s">
        <v>82</v>
      </c>
      <c r="D12" s="40" t="s">
        <v>64</v>
      </c>
      <c r="E12" s="40" t="s">
        <v>2076</v>
      </c>
      <c r="F12" s="40" t="s">
        <v>2077</v>
      </c>
      <c r="G12" s="32" t="s">
        <v>11</v>
      </c>
      <c r="H12" s="32"/>
      <c r="I12" s="32">
        <v>3</v>
      </c>
      <c r="J12" s="32">
        <v>2</v>
      </c>
      <c r="K12" s="32">
        <v>1</v>
      </c>
      <c r="L12" s="32">
        <v>2.5</v>
      </c>
      <c r="M12" s="32">
        <v>34</v>
      </c>
      <c r="N12" s="32">
        <v>39366</v>
      </c>
      <c r="O12" s="32">
        <v>13122</v>
      </c>
      <c r="P12" s="32">
        <v>6350</v>
      </c>
      <c r="Q12" s="32">
        <v>155090</v>
      </c>
      <c r="R12" s="32">
        <v>2925</v>
      </c>
      <c r="S12" s="32">
        <v>96442</v>
      </c>
      <c r="T12" s="32">
        <v>10318.53</v>
      </c>
      <c r="U12" s="32">
        <v>3439.51</v>
      </c>
      <c r="V12" s="32">
        <v>9581.4</v>
      </c>
      <c r="W12" s="32">
        <v>3193.8</v>
      </c>
      <c r="X12" s="32">
        <v>9304.66</v>
      </c>
      <c r="Y12" s="32">
        <v>66884.8</v>
      </c>
      <c r="Z12" s="32">
        <v>73205.2</v>
      </c>
      <c r="AA12" s="32">
        <v>169294.59</v>
      </c>
      <c r="AB12" s="32">
        <v>21161.82</v>
      </c>
      <c r="AC12" s="32">
        <v>300173</v>
      </c>
      <c r="AD12" s="40">
        <v>0</v>
      </c>
      <c r="AE12" s="40">
        <v>1741.28</v>
      </c>
      <c r="AF12" s="40">
        <v>490629.41</v>
      </c>
    </row>
    <row r="13" ht="26.85" customHeight="1" spans="1:32" x14ac:dyDescent="0.25">
      <c r="A13" s="40" t="s">
        <v>2029</v>
      </c>
      <c r="B13" s="14" t="s">
        <v>2030</v>
      </c>
      <c r="C13" s="40" t="s">
        <v>82</v>
      </c>
      <c r="D13" s="40" t="s">
        <v>64</v>
      </c>
      <c r="E13" s="40" t="s">
        <v>2076</v>
      </c>
      <c r="F13" s="40" t="s">
        <v>2077</v>
      </c>
      <c r="G13" s="32" t="s">
        <v>11</v>
      </c>
      <c r="H13" s="32"/>
      <c r="I13" s="32">
        <v>3</v>
      </c>
      <c r="J13" s="32">
        <v>3</v>
      </c>
      <c r="K13" s="32">
        <v>0</v>
      </c>
      <c r="L13" s="32">
        <v>3</v>
      </c>
      <c r="M13" s="32">
        <v>39</v>
      </c>
      <c r="N13" s="32">
        <v>45064</v>
      </c>
      <c r="O13" s="32">
        <v>15021.33</v>
      </c>
      <c r="P13" s="32">
        <v>8900</v>
      </c>
      <c r="Q13" s="32">
        <v>160140</v>
      </c>
      <c r="R13" s="32">
        <v>7020</v>
      </c>
      <c r="S13" s="32">
        <v>99942</v>
      </c>
      <c r="T13" s="32">
        <v>9813.31</v>
      </c>
      <c r="U13" s="32">
        <v>3271.1</v>
      </c>
      <c r="V13" s="32">
        <v>11607.61</v>
      </c>
      <c r="W13" s="32">
        <v>3869.2</v>
      </c>
      <c r="X13" s="32">
        <v>9010.46</v>
      </c>
      <c r="Y13" s="32">
        <v>49210.94</v>
      </c>
      <c r="Z13" s="32">
        <v>83395.13</v>
      </c>
      <c r="AA13" s="32">
        <v>163037.45</v>
      </c>
      <c r="AB13" s="32">
        <v>20379.68</v>
      </c>
      <c r="AC13" s="32">
        <v>321066</v>
      </c>
      <c r="AD13" s="40">
        <v>0</v>
      </c>
      <c r="AE13" s="40">
        <v>1269</v>
      </c>
      <c r="AF13" s="40">
        <v>504483.13</v>
      </c>
    </row>
    <row r="14" ht="26.85" customHeight="1" spans="1:32" x14ac:dyDescent="0.25">
      <c r="A14" s="40" t="s">
        <v>2031</v>
      </c>
      <c r="B14" s="14" t="s">
        <v>2032</v>
      </c>
      <c r="C14" s="40" t="s">
        <v>82</v>
      </c>
      <c r="D14" s="40" t="s">
        <v>64</v>
      </c>
      <c r="E14" s="40" t="s">
        <v>2076</v>
      </c>
      <c r="F14" s="40" t="s">
        <v>2077</v>
      </c>
      <c r="G14" s="32" t="s">
        <v>11</v>
      </c>
      <c r="H14" s="32"/>
      <c r="I14" s="32">
        <v>3</v>
      </c>
      <c r="J14" s="32">
        <v>3</v>
      </c>
      <c r="K14" s="32">
        <v>0</v>
      </c>
      <c r="L14" s="32">
        <v>3.5</v>
      </c>
      <c r="M14" s="32">
        <v>35</v>
      </c>
      <c r="N14" s="32">
        <v>41910</v>
      </c>
      <c r="O14" s="32">
        <v>13970</v>
      </c>
      <c r="P14" s="32">
        <v>9410</v>
      </c>
      <c r="Q14" s="32">
        <v>160840</v>
      </c>
      <c r="R14" s="32">
        <v>5160</v>
      </c>
      <c r="S14" s="32">
        <v>97942</v>
      </c>
      <c r="T14" s="32">
        <v>5055.58</v>
      </c>
      <c r="U14" s="32">
        <v>1685.19</v>
      </c>
      <c r="V14" s="32">
        <v>7374.36</v>
      </c>
      <c r="W14" s="32">
        <v>2458.12</v>
      </c>
      <c r="X14" s="32">
        <v>9574.41</v>
      </c>
      <c r="Y14" s="32">
        <v>69854.54</v>
      </c>
      <c r="Z14" s="32">
        <v>96735.12</v>
      </c>
      <c r="AA14" s="32">
        <v>188594.01</v>
      </c>
      <c r="AB14" s="32">
        <v>23574.25</v>
      </c>
      <c r="AC14" s="32">
        <v>315262</v>
      </c>
      <c r="AD14" s="40">
        <v>0</v>
      </c>
      <c r="AE14" s="40">
        <v>2578.5</v>
      </c>
      <c r="AF14" s="40">
        <v>527430.26</v>
      </c>
    </row>
    <row r="15" ht="26.85" customHeight="1" spans="1:32" x14ac:dyDescent="0.25">
      <c r="A15" s="40" t="s">
        <v>2033</v>
      </c>
      <c r="B15" s="14" t="s">
        <v>2034</v>
      </c>
      <c r="C15" s="40" t="s">
        <v>82</v>
      </c>
      <c r="D15" s="40" t="s">
        <v>64</v>
      </c>
      <c r="E15" s="40" t="s">
        <v>2076</v>
      </c>
      <c r="F15" s="40" t="s">
        <v>2077</v>
      </c>
      <c r="G15" s="32" t="s">
        <v>11</v>
      </c>
      <c r="H15" s="32"/>
      <c r="I15" s="32">
        <v>4</v>
      </c>
      <c r="J15" s="32">
        <v>4</v>
      </c>
      <c r="K15" s="32">
        <v>0</v>
      </c>
      <c r="L15" s="32">
        <v>2.5</v>
      </c>
      <c r="M15" s="32">
        <v>45</v>
      </c>
      <c r="N15" s="32">
        <v>49020</v>
      </c>
      <c r="O15" s="32">
        <v>12255</v>
      </c>
      <c r="P15" s="32">
        <v>24260</v>
      </c>
      <c r="Q15" s="32">
        <v>151610</v>
      </c>
      <c r="R15" s="32">
        <v>7470</v>
      </c>
      <c r="S15" s="32">
        <v>99942</v>
      </c>
      <c r="T15" s="32">
        <v>13957.52</v>
      </c>
      <c r="U15" s="32">
        <v>3489.38</v>
      </c>
      <c r="V15" s="32">
        <v>11220.9</v>
      </c>
      <c r="W15" s="32">
        <v>2805.23</v>
      </c>
      <c r="X15" s="32">
        <v>12176.99</v>
      </c>
      <c r="Y15" s="32">
        <v>127140.2</v>
      </c>
      <c r="Z15" s="32">
        <v>80452.09</v>
      </c>
      <c r="AA15" s="32">
        <v>244947.7</v>
      </c>
      <c r="AB15" s="32">
        <v>30618.46</v>
      </c>
      <c r="AC15" s="32">
        <v>332302</v>
      </c>
      <c r="AD15" s="40">
        <v>0</v>
      </c>
      <c r="AE15" s="40">
        <v>2814.1</v>
      </c>
      <c r="AF15" s="40">
        <v>607868.16</v>
      </c>
    </row>
    <row r="16" ht="26.85" customHeight="1" spans="1:32" x14ac:dyDescent="0.25">
      <c r="A16" s="40" t="s">
        <v>2035</v>
      </c>
      <c r="B16" s="14" t="s">
        <v>2036</v>
      </c>
      <c r="C16" s="40" t="s">
        <v>82</v>
      </c>
      <c r="D16" s="40" t="s">
        <v>64</v>
      </c>
      <c r="E16" s="40" t="s">
        <v>2076</v>
      </c>
      <c r="F16" s="40" t="s">
        <v>2077</v>
      </c>
      <c r="G16" s="32" t="s">
        <v>2078</v>
      </c>
      <c r="H16" s="32"/>
      <c r="I16" s="32">
        <v>3</v>
      </c>
      <c r="J16" s="32">
        <v>2</v>
      </c>
      <c r="K16" s="32">
        <v>1</v>
      </c>
      <c r="L16" s="32">
        <v>3.5</v>
      </c>
      <c r="M16" s="32">
        <v>41</v>
      </c>
      <c r="N16" s="32">
        <v>41910</v>
      </c>
      <c r="O16" s="32">
        <v>13970</v>
      </c>
      <c r="P16" s="32">
        <v>16350</v>
      </c>
      <c r="Q16" s="32">
        <v>160490</v>
      </c>
      <c r="R16" s="32">
        <v>5460</v>
      </c>
      <c r="S16" s="32">
        <v>97942</v>
      </c>
      <c r="T16" s="32">
        <v>11122.24</v>
      </c>
      <c r="U16" s="32">
        <v>3707.41</v>
      </c>
      <c r="V16" s="32">
        <v>10645.23</v>
      </c>
      <c r="W16" s="32">
        <v>3548.41</v>
      </c>
      <c r="X16" s="32">
        <v>12373.33</v>
      </c>
      <c r="Y16" s="32">
        <v>92911.23</v>
      </c>
      <c r="Z16" s="32">
        <v>100338</v>
      </c>
      <c r="AA16" s="32">
        <v>227390.03</v>
      </c>
      <c r="AB16" s="32">
        <v>28423.75</v>
      </c>
      <c r="AC16" s="32">
        <v>322152</v>
      </c>
      <c r="AD16" s="40">
        <v>0</v>
      </c>
      <c r="AE16" s="40">
        <v>645.32</v>
      </c>
      <c r="AF16" s="40">
        <v>577965.78</v>
      </c>
    </row>
    <row r="17" ht="26.85" customHeight="1" spans="1:32" x14ac:dyDescent="0.25">
      <c r="A17" s="40" t="s">
        <v>2037</v>
      </c>
      <c r="B17" s="14" t="s">
        <v>2038</v>
      </c>
      <c r="C17" s="40" t="s">
        <v>82</v>
      </c>
      <c r="D17" s="40" t="s">
        <v>64</v>
      </c>
      <c r="E17" s="40" t="s">
        <v>2076</v>
      </c>
      <c r="F17" s="40" t="s">
        <v>2077</v>
      </c>
      <c r="G17" s="32" t="s">
        <v>67</v>
      </c>
      <c r="H17" s="32"/>
      <c r="I17" s="32">
        <v>3</v>
      </c>
      <c r="J17" s="32">
        <v>1</v>
      </c>
      <c r="K17" s="32">
        <v>2</v>
      </c>
      <c r="L17" s="32">
        <v>3</v>
      </c>
      <c r="M17" s="32">
        <v>38</v>
      </c>
      <c r="N17" s="32">
        <v>38730</v>
      </c>
      <c r="O17" s="32">
        <v>12910</v>
      </c>
      <c r="P17" s="32">
        <v>17550</v>
      </c>
      <c r="Q17" s="32">
        <v>160140</v>
      </c>
      <c r="R17" s="32">
        <v>3020</v>
      </c>
      <c r="S17" s="32">
        <v>96382</v>
      </c>
      <c r="T17" s="32">
        <v>8614.22</v>
      </c>
      <c r="U17" s="32">
        <v>2871.41</v>
      </c>
      <c r="V17" s="32">
        <v>9728.55</v>
      </c>
      <c r="W17" s="32">
        <v>3242.85</v>
      </c>
      <c r="X17" s="32">
        <v>14791.84</v>
      </c>
      <c r="Y17" s="32">
        <v>117772.13</v>
      </c>
      <c r="Z17" s="32">
        <v>98838.05</v>
      </c>
      <c r="AA17" s="32">
        <v>249744.79</v>
      </c>
      <c r="AB17" s="32">
        <v>31218.1</v>
      </c>
      <c r="AC17" s="32">
        <v>315822</v>
      </c>
      <c r="AD17" s="40">
        <v>0</v>
      </c>
      <c r="AE17" s="40">
        <v>7058.96</v>
      </c>
      <c r="AF17" s="40">
        <v>596784.89</v>
      </c>
    </row>
    <row r="18" ht="26.85" customHeight="1" spans="1:32" x14ac:dyDescent="0.25">
      <c r="A18" s="40" t="s">
        <v>2039</v>
      </c>
      <c r="B18" s="14" t="s">
        <v>2040</v>
      </c>
      <c r="C18" s="40" t="s">
        <v>82</v>
      </c>
      <c r="D18" s="40" t="s">
        <v>64</v>
      </c>
      <c r="E18" s="40" t="s">
        <v>2076</v>
      </c>
      <c r="F18" s="40" t="s">
        <v>2077</v>
      </c>
      <c r="G18" s="32" t="s">
        <v>11</v>
      </c>
      <c r="H18" s="32"/>
      <c r="I18" s="32">
        <v>4</v>
      </c>
      <c r="J18" s="32">
        <v>2</v>
      </c>
      <c r="K18" s="32">
        <v>2</v>
      </c>
      <c r="L18" s="32">
        <v>3</v>
      </c>
      <c r="M18" s="32">
        <v>42</v>
      </c>
      <c r="N18" s="32">
        <v>49020</v>
      </c>
      <c r="O18" s="32">
        <v>12255</v>
      </c>
      <c r="P18" s="32">
        <v>19710</v>
      </c>
      <c r="Q18" s="32">
        <v>156310</v>
      </c>
      <c r="R18" s="32">
        <v>5570</v>
      </c>
      <c r="S18" s="32">
        <v>99442</v>
      </c>
      <c r="T18" s="32">
        <v>9190.65</v>
      </c>
      <c r="U18" s="32">
        <v>2297.66</v>
      </c>
      <c r="V18" s="32">
        <v>14279.95</v>
      </c>
      <c r="W18" s="32">
        <v>3569.99</v>
      </c>
      <c r="X18" s="32">
        <v>8199.17</v>
      </c>
      <c r="Y18" s="32">
        <v>119309.28</v>
      </c>
      <c r="Z18" s="32">
        <v>100244.26</v>
      </c>
      <c r="AA18" s="32">
        <v>251223.31</v>
      </c>
      <c r="AB18" s="32">
        <v>31402.91</v>
      </c>
      <c r="AC18" s="32">
        <v>330052</v>
      </c>
      <c r="AD18" s="40">
        <v>0</v>
      </c>
      <c r="AE18" s="40">
        <v>7755.38</v>
      </c>
      <c r="AF18" s="40">
        <v>612678.22</v>
      </c>
    </row>
    <row r="19" ht="26.85" customHeight="1" spans="1:32" x14ac:dyDescent="0.25">
      <c r="A19" s="40" t="s">
        <v>2041</v>
      </c>
      <c r="B19" s="14" t="s">
        <v>2042</v>
      </c>
      <c r="C19" s="40" t="s">
        <v>82</v>
      </c>
      <c r="D19" s="40" t="s">
        <v>64</v>
      </c>
      <c r="E19" s="40" t="s">
        <v>2076</v>
      </c>
      <c r="F19" s="40" t="s">
        <v>2077</v>
      </c>
      <c r="G19" s="32" t="s">
        <v>11</v>
      </c>
      <c r="H19" s="32"/>
      <c r="I19" s="32">
        <v>3</v>
      </c>
      <c r="J19" s="32">
        <v>2</v>
      </c>
      <c r="K19" s="32">
        <v>1</v>
      </c>
      <c r="L19" s="32">
        <v>3</v>
      </c>
      <c r="M19" s="32">
        <v>39</v>
      </c>
      <c r="N19" s="32">
        <v>56528</v>
      </c>
      <c r="O19" s="32">
        <v>18842.67</v>
      </c>
      <c r="P19" s="32">
        <v>14760</v>
      </c>
      <c r="Q19" s="32">
        <v>160140</v>
      </c>
      <c r="R19" s="32">
        <v>4340</v>
      </c>
      <c r="S19" s="32">
        <v>98752</v>
      </c>
      <c r="T19" s="32">
        <v>7651.15</v>
      </c>
      <c r="U19" s="32">
        <v>2550.38</v>
      </c>
      <c r="V19" s="32">
        <v>11204.25</v>
      </c>
      <c r="W19" s="32">
        <v>3734.75</v>
      </c>
      <c r="X19" s="32">
        <v>8485</v>
      </c>
      <c r="Y19" s="32">
        <v>64100.79</v>
      </c>
      <c r="Z19" s="32">
        <v>89130.07</v>
      </c>
      <c r="AA19" s="32">
        <v>180571.26</v>
      </c>
      <c r="AB19" s="32">
        <v>22571.41</v>
      </c>
      <c r="AC19" s="32">
        <v>334520</v>
      </c>
      <c r="AD19" s="40">
        <v>0</v>
      </c>
      <c r="AE19" s="40">
        <v>906.23</v>
      </c>
      <c r="AF19" s="40">
        <v>537662.67</v>
      </c>
    </row>
    <row r="20" ht="26.85" customHeight="1" spans="1:32" x14ac:dyDescent="0.25">
      <c r="A20" s="40" t="s">
        <v>2043</v>
      </c>
      <c r="B20" s="14" t="s">
        <v>2044</v>
      </c>
      <c r="C20" s="40" t="s">
        <v>82</v>
      </c>
      <c r="D20" s="40" t="s">
        <v>64</v>
      </c>
      <c r="E20" s="40" t="s">
        <v>2076</v>
      </c>
      <c r="F20" s="40" t="s">
        <v>2077</v>
      </c>
      <c r="G20" s="32" t="s">
        <v>67</v>
      </c>
      <c r="H20" s="32"/>
      <c r="I20" s="32">
        <v>4</v>
      </c>
      <c r="J20" s="32">
        <v>2</v>
      </c>
      <c r="K20" s="32">
        <v>2</v>
      </c>
      <c r="L20" s="32">
        <v>2.5</v>
      </c>
      <c r="M20" s="32">
        <v>40</v>
      </c>
      <c r="N20" s="32">
        <v>49020</v>
      </c>
      <c r="O20" s="32">
        <v>12255</v>
      </c>
      <c r="P20" s="32">
        <v>17550</v>
      </c>
      <c r="Q20" s="32">
        <v>154880</v>
      </c>
      <c r="R20" s="32">
        <v>6470</v>
      </c>
      <c r="S20" s="32">
        <v>98942</v>
      </c>
      <c r="T20" s="32">
        <v>11469.39</v>
      </c>
      <c r="U20" s="32">
        <v>2867.35</v>
      </c>
      <c r="V20" s="32">
        <v>13907.96</v>
      </c>
      <c r="W20" s="32">
        <v>3476.99</v>
      </c>
      <c r="X20" s="32">
        <v>11165.28</v>
      </c>
      <c r="Y20" s="32">
        <v>62171.09</v>
      </c>
      <c r="Z20" s="32">
        <v>83394.52</v>
      </c>
      <c r="AA20" s="32">
        <v>182108.24</v>
      </c>
      <c r="AB20" s="32">
        <v>22763.53</v>
      </c>
      <c r="AC20" s="32">
        <v>326862</v>
      </c>
      <c r="AD20" s="40">
        <v>0</v>
      </c>
      <c r="AE20" s="40">
        <v>1731.15</v>
      </c>
      <c r="AF20" s="40">
        <v>531733.77</v>
      </c>
    </row>
    <row r="21" ht="26.85" customHeight="1" spans="1:32" x14ac:dyDescent="0.25">
      <c r="A21" s="40" t="s">
        <v>2045</v>
      </c>
      <c r="B21" s="14" t="s">
        <v>2046</v>
      </c>
      <c r="C21" s="40" t="s">
        <v>82</v>
      </c>
      <c r="D21" s="40" t="s">
        <v>64</v>
      </c>
      <c r="E21" s="40" t="s">
        <v>2076</v>
      </c>
      <c r="F21" s="40" t="s">
        <v>2077</v>
      </c>
      <c r="G21" s="32" t="s">
        <v>11</v>
      </c>
      <c r="H21" s="32"/>
      <c r="I21" s="32">
        <v>4</v>
      </c>
      <c r="J21" s="32">
        <v>2</v>
      </c>
      <c r="K21" s="32">
        <v>2</v>
      </c>
      <c r="L21" s="32">
        <v>2.5</v>
      </c>
      <c r="M21" s="32">
        <v>46</v>
      </c>
      <c r="N21" s="32">
        <v>56528</v>
      </c>
      <c r="O21" s="32">
        <v>14132</v>
      </c>
      <c r="P21" s="32">
        <v>33830</v>
      </c>
      <c r="Q21" s="32">
        <v>154880</v>
      </c>
      <c r="R21" s="32">
        <v>6240</v>
      </c>
      <c r="S21" s="32">
        <v>99442</v>
      </c>
      <c r="T21" s="32">
        <v>9419.37</v>
      </c>
      <c r="U21" s="32">
        <v>2354.84</v>
      </c>
      <c r="V21" s="32">
        <v>15355.5</v>
      </c>
      <c r="W21" s="32">
        <v>3838.88</v>
      </c>
      <c r="X21" s="32">
        <v>10286.18</v>
      </c>
      <c r="Y21" s="32">
        <v>111342.12</v>
      </c>
      <c r="Z21" s="32">
        <v>80358.25</v>
      </c>
      <c r="AA21" s="32">
        <v>226761.42</v>
      </c>
      <c r="AB21" s="32">
        <v>28345.18</v>
      </c>
      <c r="AC21" s="32">
        <v>350920</v>
      </c>
      <c r="AD21" s="40">
        <v>0</v>
      </c>
      <c r="AE21" s="40">
        <v>1627.8</v>
      </c>
      <c r="AF21" s="40">
        <v>606026.6</v>
      </c>
    </row>
    <row r="22" ht="26.85" customHeight="1" spans="1:32" x14ac:dyDescent="0.25">
      <c r="A22" s="40" t="s">
        <v>2047</v>
      </c>
      <c r="B22" s="14" t="s">
        <v>2048</v>
      </c>
      <c r="C22" s="40" t="s">
        <v>82</v>
      </c>
      <c r="D22" s="40" t="s">
        <v>64</v>
      </c>
      <c r="E22" s="40" t="s">
        <v>2076</v>
      </c>
      <c r="F22" s="40" t="s">
        <v>2077</v>
      </c>
      <c r="G22" s="32" t="s">
        <v>11</v>
      </c>
      <c r="H22" s="32"/>
      <c r="I22" s="32">
        <v>3</v>
      </c>
      <c r="J22" s="32">
        <v>2</v>
      </c>
      <c r="K22" s="32">
        <v>1</v>
      </c>
      <c r="L22" s="32">
        <v>2.5</v>
      </c>
      <c r="M22" s="32">
        <v>41</v>
      </c>
      <c r="N22" s="32">
        <v>41910</v>
      </c>
      <c r="O22" s="32">
        <v>13970</v>
      </c>
      <c r="P22" s="32">
        <v>23310</v>
      </c>
      <c r="Q22" s="32">
        <v>154880</v>
      </c>
      <c r="R22" s="32">
        <v>4270</v>
      </c>
      <c r="S22" s="32">
        <v>101442</v>
      </c>
      <c r="T22" s="32">
        <v>8868.66</v>
      </c>
      <c r="U22" s="32">
        <v>2956.22</v>
      </c>
      <c r="V22" s="32">
        <v>10142</v>
      </c>
      <c r="W22" s="32">
        <v>3380.67</v>
      </c>
      <c r="X22" s="32">
        <v>10487.93</v>
      </c>
      <c r="Y22" s="32">
        <v>67101.6</v>
      </c>
      <c r="Z22" s="32">
        <v>73205.15</v>
      </c>
      <c r="AA22" s="32">
        <v>169805.34</v>
      </c>
      <c r="AB22" s="32">
        <v>21225.67</v>
      </c>
      <c r="AC22" s="32">
        <v>325812</v>
      </c>
      <c r="AD22" s="40">
        <v>0</v>
      </c>
      <c r="AE22" s="40">
        <v>486.63</v>
      </c>
      <c r="AF22" s="40">
        <v>516843.01</v>
      </c>
    </row>
    <row r="23" ht="26.85" customHeight="1" spans="1:32" x14ac:dyDescent="0.25">
      <c r="A23" s="40" t="s">
        <v>2049</v>
      </c>
      <c r="B23" s="14" t="s">
        <v>2050</v>
      </c>
      <c r="C23" s="40" t="s">
        <v>82</v>
      </c>
      <c r="D23" s="40" t="s">
        <v>64</v>
      </c>
      <c r="E23" s="40" t="s">
        <v>2076</v>
      </c>
      <c r="F23" s="40" t="s">
        <v>2077</v>
      </c>
      <c r="G23" s="32" t="s">
        <v>11</v>
      </c>
      <c r="H23" s="32"/>
      <c r="I23" s="32">
        <v>3</v>
      </c>
      <c r="J23" s="32">
        <v>2</v>
      </c>
      <c r="K23" s="32">
        <v>1</v>
      </c>
      <c r="L23" s="32">
        <v>3</v>
      </c>
      <c r="M23" s="32">
        <v>38</v>
      </c>
      <c r="N23" s="32">
        <v>45664</v>
      </c>
      <c r="O23" s="32">
        <v>15221.33</v>
      </c>
      <c r="P23" s="32">
        <v>15550</v>
      </c>
      <c r="Q23" s="32">
        <v>160140</v>
      </c>
      <c r="R23" s="32">
        <v>3020</v>
      </c>
      <c r="S23" s="32">
        <v>96442</v>
      </c>
      <c r="T23" s="32">
        <v>7377.74</v>
      </c>
      <c r="U23" s="32">
        <v>2459.25</v>
      </c>
      <c r="V23" s="32">
        <v>9085.41</v>
      </c>
      <c r="W23" s="32">
        <v>3028.47</v>
      </c>
      <c r="X23" s="32">
        <v>11078.96</v>
      </c>
      <c r="Y23" s="32">
        <v>112267.85</v>
      </c>
      <c r="Z23" s="32">
        <v>100244.26</v>
      </c>
      <c r="AA23" s="32">
        <v>240054.22</v>
      </c>
      <c r="AB23" s="32">
        <v>30006.78</v>
      </c>
      <c r="AC23" s="32">
        <v>320816</v>
      </c>
      <c r="AD23" s="40">
        <v>0</v>
      </c>
      <c r="AE23" s="40">
        <v>3403</v>
      </c>
      <c r="AF23" s="40">
        <v>590877</v>
      </c>
    </row>
    <row r="24" ht="26.85" customHeight="1" spans="1:32" x14ac:dyDescent="0.25">
      <c r="A24" s="40" t="s">
        <v>2051</v>
      </c>
      <c r="B24" s="14" t="s">
        <v>2052</v>
      </c>
      <c r="C24" s="40" t="s">
        <v>82</v>
      </c>
      <c r="D24" s="40" t="s">
        <v>64</v>
      </c>
      <c r="E24" s="40" t="s">
        <v>2076</v>
      </c>
      <c r="F24" s="40" t="s">
        <v>2077</v>
      </c>
      <c r="G24" s="32" t="s">
        <v>11</v>
      </c>
      <c r="H24" s="32"/>
      <c r="I24" s="32">
        <v>4</v>
      </c>
      <c r="J24" s="32">
        <v>2</v>
      </c>
      <c r="K24" s="32">
        <v>2</v>
      </c>
      <c r="L24" s="32">
        <v>2</v>
      </c>
      <c r="M24" s="32">
        <v>44</v>
      </c>
      <c r="N24" s="32">
        <v>56528</v>
      </c>
      <c r="O24" s="32">
        <v>14132</v>
      </c>
      <c r="P24" s="32">
        <v>18480</v>
      </c>
      <c r="Q24" s="32">
        <v>150170</v>
      </c>
      <c r="R24" s="32">
        <v>5720</v>
      </c>
      <c r="S24" s="32">
        <v>99442</v>
      </c>
      <c r="T24" s="32">
        <v>11570.32</v>
      </c>
      <c r="U24" s="32">
        <v>2892.58</v>
      </c>
      <c r="V24" s="32">
        <v>12449.04</v>
      </c>
      <c r="W24" s="32">
        <v>3112.26</v>
      </c>
      <c r="X24" s="32">
        <v>8629.16</v>
      </c>
      <c r="Y24" s="32">
        <v>65759.12</v>
      </c>
      <c r="Z24" s="32">
        <v>89130.15</v>
      </c>
      <c r="AA24" s="32">
        <v>187537.79</v>
      </c>
      <c r="AB24" s="32">
        <v>23442.22</v>
      </c>
      <c r="AC24" s="32">
        <v>330340</v>
      </c>
      <c r="AD24" s="40">
        <v>0</v>
      </c>
      <c r="AE24" s="40">
        <v>2088.38</v>
      </c>
      <c r="AF24" s="40">
        <v>541320.01</v>
      </c>
    </row>
    <row r="25" ht="26.85" customHeight="1" spans="1:32" x14ac:dyDescent="0.25">
      <c r="A25" s="40" t="s">
        <v>2053</v>
      </c>
      <c r="B25" s="14" t="s">
        <v>2054</v>
      </c>
      <c r="C25" s="40" t="s">
        <v>82</v>
      </c>
      <c r="D25" s="40" t="s">
        <v>64</v>
      </c>
      <c r="E25" s="40" t="s">
        <v>2076</v>
      </c>
      <c r="F25" s="40" t="s">
        <v>2077</v>
      </c>
      <c r="G25" s="32" t="s">
        <v>11</v>
      </c>
      <c r="H25" s="32"/>
      <c r="I25" s="32">
        <v>3</v>
      </c>
      <c r="J25" s="32">
        <v>2</v>
      </c>
      <c r="K25" s="32">
        <v>1</v>
      </c>
      <c r="L25" s="32">
        <v>2.5</v>
      </c>
      <c r="M25" s="32">
        <v>39</v>
      </c>
      <c r="N25" s="32">
        <v>56528</v>
      </c>
      <c r="O25" s="32">
        <v>18842.67</v>
      </c>
      <c r="P25" s="32">
        <v>20140</v>
      </c>
      <c r="Q25" s="32">
        <v>154880</v>
      </c>
      <c r="R25" s="32">
        <v>6930</v>
      </c>
      <c r="S25" s="32">
        <v>96442</v>
      </c>
      <c r="T25" s="32">
        <v>8529.87</v>
      </c>
      <c r="U25" s="32">
        <v>2843.29</v>
      </c>
      <c r="V25" s="32">
        <v>11781.15</v>
      </c>
      <c r="W25" s="32">
        <v>3927.05</v>
      </c>
      <c r="X25" s="32">
        <v>5459.76</v>
      </c>
      <c r="Y25" s="32">
        <v>107787.47</v>
      </c>
      <c r="Z25" s="32">
        <v>98838.05</v>
      </c>
      <c r="AA25" s="32">
        <v>232396.3</v>
      </c>
      <c r="AB25" s="32">
        <v>29049.54</v>
      </c>
      <c r="AC25" s="32">
        <v>334920</v>
      </c>
      <c r="AD25" s="40">
        <v>0</v>
      </c>
      <c r="AE25" s="40">
        <v>1053.55</v>
      </c>
      <c r="AF25" s="40">
        <v>596365.84</v>
      </c>
    </row>
    <row r="26" ht="26.85" customHeight="1" spans="1:32" x14ac:dyDescent="0.25">
      <c r="A26" s="40" t="s">
        <v>2055</v>
      </c>
      <c r="B26" s="14" t="s">
        <v>2056</v>
      </c>
      <c r="C26" s="40" t="s">
        <v>82</v>
      </c>
      <c r="D26" s="40" t="s">
        <v>64</v>
      </c>
      <c r="E26" s="40" t="s">
        <v>2076</v>
      </c>
      <c r="F26" s="40" t="s">
        <v>2077</v>
      </c>
      <c r="G26" s="32" t="s">
        <v>11</v>
      </c>
      <c r="H26" s="32"/>
      <c r="I26" s="32">
        <v>3</v>
      </c>
      <c r="J26" s="32">
        <v>1</v>
      </c>
      <c r="K26" s="32">
        <v>2</v>
      </c>
      <c r="L26" s="32">
        <v>3</v>
      </c>
      <c r="M26" s="32">
        <v>40</v>
      </c>
      <c r="N26" s="32">
        <v>39128</v>
      </c>
      <c r="O26" s="32">
        <v>13042.67</v>
      </c>
      <c r="P26" s="32">
        <v>13230</v>
      </c>
      <c r="Q26" s="32">
        <v>160140</v>
      </c>
      <c r="R26" s="32">
        <v>5880</v>
      </c>
      <c r="S26" s="32">
        <v>100252</v>
      </c>
      <c r="T26" s="32">
        <v>10732.62</v>
      </c>
      <c r="U26" s="32">
        <v>3577.54</v>
      </c>
      <c r="V26" s="32">
        <v>11988.44</v>
      </c>
      <c r="W26" s="32">
        <v>3996.15</v>
      </c>
      <c r="X26" s="32">
        <v>11824.32</v>
      </c>
      <c r="Y26" s="32">
        <v>64814.78</v>
      </c>
      <c r="Z26" s="32">
        <v>89130.12</v>
      </c>
      <c r="AA26" s="32">
        <v>188490.28</v>
      </c>
      <c r="AB26" s="32">
        <v>23561.28</v>
      </c>
      <c r="AC26" s="32">
        <v>318630</v>
      </c>
      <c r="AD26" s="40">
        <v>0</v>
      </c>
      <c r="AE26" s="40">
        <v>3607.78</v>
      </c>
      <c r="AF26" s="40">
        <v>530681.56</v>
      </c>
    </row>
    <row r="27" ht="26.85" customHeight="1" spans="1:32" x14ac:dyDescent="0.25">
      <c r="A27" s="40" t="s">
        <v>2057</v>
      </c>
      <c r="B27" s="14" t="s">
        <v>2058</v>
      </c>
      <c r="C27" s="40" t="s">
        <v>82</v>
      </c>
      <c r="D27" s="40" t="s">
        <v>64</v>
      </c>
      <c r="E27" s="40" t="s">
        <v>2076</v>
      </c>
      <c r="F27" s="40" t="s">
        <v>2077</v>
      </c>
      <c r="G27" s="32" t="s">
        <v>11</v>
      </c>
      <c r="H27" s="32"/>
      <c r="I27" s="32">
        <v>3</v>
      </c>
      <c r="J27" s="32">
        <v>2</v>
      </c>
      <c r="K27" s="32">
        <v>1</v>
      </c>
      <c r="L27" s="32">
        <v>3</v>
      </c>
      <c r="M27" s="32">
        <v>36</v>
      </c>
      <c r="N27" s="32">
        <v>56528</v>
      </c>
      <c r="O27" s="32">
        <v>18842.67</v>
      </c>
      <c r="P27" s="32">
        <v>15190</v>
      </c>
      <c r="Q27" s="32">
        <v>159960</v>
      </c>
      <c r="R27" s="32">
        <v>3020</v>
      </c>
      <c r="S27" s="32">
        <v>95562</v>
      </c>
      <c r="T27" s="32">
        <v>9666.48</v>
      </c>
      <c r="U27" s="32">
        <v>3222.16</v>
      </c>
      <c r="V27" s="32">
        <v>13178.9</v>
      </c>
      <c r="W27" s="32">
        <v>4392.97</v>
      </c>
      <c r="X27" s="32">
        <v>11830.71</v>
      </c>
      <c r="Y27" s="32">
        <v>142365.98</v>
      </c>
      <c r="Z27" s="32">
        <v>98838.05</v>
      </c>
      <c r="AA27" s="32">
        <v>275880.12</v>
      </c>
      <c r="AB27" s="32">
        <v>34485.01</v>
      </c>
      <c r="AC27" s="32">
        <v>330260</v>
      </c>
      <c r="AD27" s="40">
        <v>0</v>
      </c>
      <c r="AE27" s="40">
        <v>750.41</v>
      </c>
      <c r="AF27" s="40">
        <v>640625.13</v>
      </c>
    </row>
    <row r="28" ht="26.85" customHeight="1" spans="1:32" x14ac:dyDescent="0.25">
      <c r="A28" s="40" t="s">
        <v>2059</v>
      </c>
      <c r="B28" s="14" t="s">
        <v>2060</v>
      </c>
      <c r="C28" s="40" t="s">
        <v>82</v>
      </c>
      <c r="D28" s="40" t="s">
        <v>64</v>
      </c>
      <c r="E28" s="40" t="s">
        <v>2076</v>
      </c>
      <c r="F28" s="40" t="s">
        <v>2077</v>
      </c>
      <c r="G28" s="32" t="s">
        <v>67</v>
      </c>
      <c r="H28" s="32"/>
      <c r="I28" s="32">
        <v>3</v>
      </c>
      <c r="J28" s="32">
        <v>2</v>
      </c>
      <c r="K28" s="32">
        <v>1</v>
      </c>
      <c r="L28" s="32">
        <v>3</v>
      </c>
      <c r="M28" s="32">
        <v>40</v>
      </c>
      <c r="N28" s="32">
        <v>41910</v>
      </c>
      <c r="O28" s="32">
        <v>13970</v>
      </c>
      <c r="P28" s="32">
        <v>13210</v>
      </c>
      <c r="Q28" s="32">
        <v>158220</v>
      </c>
      <c r="R28" s="32">
        <v>4320</v>
      </c>
      <c r="S28" s="32">
        <v>99942</v>
      </c>
      <c r="T28" s="32">
        <v>9712.99</v>
      </c>
      <c r="U28" s="32">
        <v>3237.66</v>
      </c>
      <c r="V28" s="32">
        <v>10539.5</v>
      </c>
      <c r="W28" s="32">
        <v>3513.17</v>
      </c>
      <c r="X28" s="32">
        <v>8388.17</v>
      </c>
      <c r="Y28" s="32">
        <v>60384.01</v>
      </c>
      <c r="Z28" s="32">
        <v>89130.15</v>
      </c>
      <c r="AA28" s="32">
        <v>178154.82</v>
      </c>
      <c r="AB28" s="32">
        <v>22269.35</v>
      </c>
      <c r="AC28" s="32">
        <v>317602</v>
      </c>
      <c r="AD28" s="40">
        <v>0</v>
      </c>
      <c r="AE28" s="40">
        <v>1568.68</v>
      </c>
      <c r="AF28" s="40">
        <v>518026.17</v>
      </c>
    </row>
    <row r="29" ht="26.85" customHeight="1" spans="1:32" x14ac:dyDescent="0.25">
      <c r="A29" s="40" t="s">
        <v>2061</v>
      </c>
      <c r="B29" s="14" t="s">
        <v>2062</v>
      </c>
      <c r="C29" s="40" t="s">
        <v>82</v>
      </c>
      <c r="D29" s="40" t="s">
        <v>64</v>
      </c>
      <c r="E29" s="40" t="s">
        <v>2076</v>
      </c>
      <c r="F29" s="40" t="s">
        <v>2077</v>
      </c>
      <c r="G29" s="32" t="s">
        <v>11</v>
      </c>
      <c r="H29" s="32"/>
      <c r="I29" s="32">
        <v>3</v>
      </c>
      <c r="J29" s="32">
        <v>1</v>
      </c>
      <c r="K29" s="32">
        <v>2</v>
      </c>
      <c r="L29" s="32">
        <v>5</v>
      </c>
      <c r="M29" s="32">
        <v>33</v>
      </c>
      <c r="N29" s="32">
        <v>39128</v>
      </c>
      <c r="O29" s="32">
        <v>13042.67</v>
      </c>
      <c r="P29" s="32">
        <v>6370</v>
      </c>
      <c r="Q29" s="32">
        <v>175340</v>
      </c>
      <c r="R29" s="32">
        <v>4000</v>
      </c>
      <c r="S29" s="32">
        <v>161442</v>
      </c>
      <c r="T29" s="32">
        <v>6166.94</v>
      </c>
      <c r="U29" s="32">
        <v>2055.65</v>
      </c>
      <c r="V29" s="32">
        <v>10035.53</v>
      </c>
      <c r="W29" s="32">
        <v>3345.18</v>
      </c>
      <c r="X29" s="32">
        <v>8570.36</v>
      </c>
      <c r="Y29" s="32">
        <v>75938.12</v>
      </c>
      <c r="Z29" s="32">
        <v>89130.25</v>
      </c>
      <c r="AA29" s="32">
        <v>189841.2</v>
      </c>
      <c r="AB29" s="32">
        <v>23730.15</v>
      </c>
      <c r="AC29" s="32">
        <v>386280</v>
      </c>
      <c r="AD29" s="40">
        <v>0</v>
      </c>
      <c r="AE29" s="40">
        <v>4231.06</v>
      </c>
      <c r="AF29" s="40">
        <v>599851.35</v>
      </c>
    </row>
    <row r="30" ht="26.85" customHeight="1" spans="1:32" x14ac:dyDescent="0.25">
      <c r="A30" s="40" t="s">
        <v>2063</v>
      </c>
      <c r="B30" s="14" t="s">
        <v>2064</v>
      </c>
      <c r="C30" s="40" t="s">
        <v>82</v>
      </c>
      <c r="D30" s="40" t="s">
        <v>64</v>
      </c>
      <c r="E30" s="40" t="s">
        <v>2076</v>
      </c>
      <c r="F30" s="40" t="s">
        <v>2077</v>
      </c>
      <c r="G30" s="32" t="s">
        <v>11</v>
      </c>
      <c r="H30" s="32"/>
      <c r="I30" s="32">
        <v>3</v>
      </c>
      <c r="J30" s="32">
        <v>2</v>
      </c>
      <c r="K30" s="32">
        <v>1</v>
      </c>
      <c r="L30" s="32">
        <v>2.5</v>
      </c>
      <c r="M30" s="32">
        <v>39</v>
      </c>
      <c r="N30" s="32">
        <v>41910</v>
      </c>
      <c r="O30" s="32">
        <v>13970</v>
      </c>
      <c r="P30" s="32">
        <v>18170</v>
      </c>
      <c r="Q30" s="32">
        <v>152070</v>
      </c>
      <c r="R30" s="32">
        <v>5020</v>
      </c>
      <c r="S30" s="32">
        <v>97442</v>
      </c>
      <c r="T30" s="32">
        <v>8256.57</v>
      </c>
      <c r="U30" s="32">
        <v>2752.19</v>
      </c>
      <c r="V30" s="32">
        <v>8990.75</v>
      </c>
      <c r="W30" s="32">
        <v>2996.92</v>
      </c>
      <c r="X30" s="32">
        <v>7577.87</v>
      </c>
      <c r="Y30" s="32">
        <v>106892.11</v>
      </c>
      <c r="Z30" s="32">
        <v>100809.61</v>
      </c>
      <c r="AA30" s="32">
        <v>232526.91</v>
      </c>
      <c r="AB30" s="32">
        <v>29065.86</v>
      </c>
      <c r="AC30" s="32">
        <v>314612</v>
      </c>
      <c r="AD30" s="40">
        <v>0</v>
      </c>
      <c r="AE30" s="40">
        <v>1103.45</v>
      </c>
      <c r="AF30" s="40">
        <v>576204.77</v>
      </c>
    </row>
  </sheetData>
  <autoFilter ref="A4:AF30"/>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workbookViewId="0" showGridLines="0" zoomScale="100"/>
  </sheetViews>
  <sheetFormatPr defaultRowHeight="15" outlineLevelRow="0" outlineLevelCol="0" x14ac:dyDescent="55"/>
  <cols>
    <col min="1" max="1" width="28" customWidth="1"/>
    <col min="2" max="2" width="20" customWidth="1"/>
    <col min="13" max="13" width="24" customWidth="1"/>
    <col min="14" max="14" width="20" customWidth="1"/>
  </cols>
  <sheetData>
    <row r="1" ht="15" customHeight="1" spans="1:12" x14ac:dyDescent="0.25">
      <c r="A1" s="1" t="s">
        <v>2079</v>
      </c>
      <c r="B1" s="1"/>
      <c r="C1" s="1"/>
      <c r="D1" s="1"/>
      <c r="E1" s="1"/>
      <c r="F1" s="1"/>
      <c r="G1" s="1"/>
      <c r="H1" s="1"/>
      <c r="I1" s="1"/>
      <c r="J1" s="1"/>
      <c r="K1" s="1"/>
      <c r="L1" s="1"/>
    </row>
    <row r="2" ht="15" customHeight="1" spans="1:12" x14ac:dyDescent="0.25">
      <c r="A2" s="35" t="s">
        <v>2</v>
      </c>
      <c r="B2" s="35"/>
      <c r="C2" s="35"/>
      <c r="D2" s="35"/>
      <c r="E2" s="35"/>
      <c r="F2" s="35"/>
      <c r="G2" s="35"/>
      <c r="H2" s="35"/>
      <c r="I2" s="35"/>
      <c r="J2" s="35"/>
      <c r="K2" s="35"/>
      <c r="L2" s="35"/>
    </row>
    <row r="3" ht="52.2" customHeight="1" spans="1:12" x14ac:dyDescent="0.25">
      <c r="A3" s="48" t="s">
        <v>2080</v>
      </c>
      <c r="B3" s="48" t="s">
        <v>2081</v>
      </c>
      <c r="C3" s="48"/>
      <c r="D3" s="48"/>
      <c r="E3" s="48"/>
      <c r="F3" s="48"/>
      <c r="G3" s="48"/>
      <c r="H3" s="48"/>
      <c r="I3" s="48"/>
      <c r="J3" s="48"/>
      <c r="K3" s="48"/>
      <c r="L3" s="48"/>
    </row>
    <row r="4" ht="64.9" customHeight="1" spans="1:12" x14ac:dyDescent="0.25">
      <c r="A4" s="48" t="s">
        <v>2082</v>
      </c>
      <c r="B4" s="48" t="s">
        <v>2083</v>
      </c>
      <c r="C4" s="48"/>
      <c r="D4" s="48"/>
      <c r="E4" s="48"/>
      <c r="F4" s="48"/>
      <c r="G4" s="48"/>
      <c r="H4" s="48"/>
      <c r="I4" s="48"/>
      <c r="J4" s="48"/>
      <c r="K4" s="48"/>
      <c r="L4" s="48"/>
    </row>
    <row r="6" ht="15" customHeight="1" spans="1:12" x14ac:dyDescent="0.25">
      <c r="A6" s="5" t="s">
        <v>2084</v>
      </c>
      <c r="B6" s="5"/>
      <c r="C6" s="5"/>
      <c r="D6" s="5"/>
      <c r="E6" s="5"/>
      <c r="F6" s="5"/>
      <c r="G6" s="5"/>
      <c r="H6" s="5"/>
      <c r="I6" s="5"/>
      <c r="J6" s="5"/>
      <c r="K6" s="5"/>
      <c r="L6" s="5"/>
    </row>
    <row r="7" ht="15" customHeight="1" spans="1:12" x14ac:dyDescent="0.25">
      <c r="A7" s="48" t="s">
        <v>2085</v>
      </c>
      <c r="B7" s="48" t="s">
        <v>19</v>
      </c>
      <c r="C7" s="48"/>
      <c r="D7" s="48"/>
      <c r="E7" s="48"/>
      <c r="F7" s="48"/>
      <c r="G7" s="48"/>
      <c r="H7" s="48"/>
      <c r="I7" s="48"/>
      <c r="J7" s="48"/>
      <c r="K7" s="48"/>
      <c r="L7" s="48"/>
    </row>
    <row r="8" ht="15" customHeight="1" spans="1:12" x14ac:dyDescent="0.25">
      <c r="A8" s="48" t="s">
        <v>2086</v>
      </c>
      <c r="B8" s="48" t="s">
        <v>19</v>
      </c>
      <c r="C8" s="48"/>
      <c r="D8" s="48"/>
      <c r="E8" s="48"/>
      <c r="F8" s="48"/>
      <c r="G8" s="48"/>
      <c r="H8" s="48"/>
      <c r="I8" s="48"/>
      <c r="J8" s="48"/>
      <c r="K8" s="48"/>
      <c r="L8" s="48"/>
    </row>
    <row r="9" ht="15" customHeight="1" spans="1:12" x14ac:dyDescent="0.25">
      <c r="A9" s="48" t="s">
        <v>2087</v>
      </c>
      <c r="B9" s="48" t="s">
        <v>25</v>
      </c>
      <c r="C9" s="48"/>
      <c r="D9" s="48"/>
      <c r="E9" s="48"/>
      <c r="F9" s="48"/>
      <c r="G9" s="48"/>
      <c r="H9" s="48"/>
      <c r="I9" s="48"/>
      <c r="J9" s="48"/>
      <c r="K9" s="48"/>
      <c r="L9" s="48"/>
    </row>
    <row r="10" ht="26.85" customHeight="1" spans="1:12" x14ac:dyDescent="0.25">
      <c r="A10" s="48" t="s">
        <v>2088</v>
      </c>
      <c r="B10" s="48" t="s">
        <v>25</v>
      </c>
      <c r="C10" s="48"/>
      <c r="D10" s="48"/>
      <c r="E10" s="48"/>
      <c r="F10" s="48"/>
      <c r="G10" s="48"/>
      <c r="H10" s="48"/>
      <c r="I10" s="48"/>
      <c r="J10" s="48"/>
      <c r="K10" s="48"/>
      <c r="L10" s="48"/>
    </row>
    <row r="11" ht="64.9" customHeight="1" spans="1:12" x14ac:dyDescent="0.25">
      <c r="A11" s="48" t="s">
        <v>2089</v>
      </c>
      <c r="B11" s="48" t="s">
        <v>2090</v>
      </c>
      <c r="C11" s="48"/>
      <c r="D11" s="48"/>
      <c r="E11" s="48"/>
      <c r="F11" s="48"/>
      <c r="G11" s="48"/>
      <c r="H11" s="48"/>
      <c r="I11" s="48"/>
      <c r="J11" s="48"/>
      <c r="K11" s="48"/>
      <c r="L11" s="48"/>
    </row>
    <row r="13" ht="15" customHeight="1" spans="1:16" x14ac:dyDescent="0.25">
      <c r="A13" s="5" t="s">
        <v>2091</v>
      </c>
      <c r="B13" s="5"/>
      <c r="C13" s="5"/>
      <c r="D13" s="5"/>
      <c r="E13" s="5"/>
      <c r="F13" s="5"/>
      <c r="G13" s="5"/>
      <c r="H13" s="5"/>
      <c r="I13" s="5"/>
      <c r="J13" s="5"/>
      <c r="K13" s="5"/>
      <c r="L13" s="5"/>
      <c r="M13" s="5"/>
      <c r="N13" s="5"/>
      <c r="O13" s="5"/>
      <c r="P13" s="5"/>
    </row>
    <row r="14" ht="15" customHeight="1" spans="1:13" x14ac:dyDescent="0.25">
      <c r="A14" s="18" t="s">
        <v>2092</v>
      </c>
      <c r="B14" s="18" t="s">
        <v>2093</v>
      </c>
      <c r="C14" s="18" t="s">
        <v>2094</v>
      </c>
      <c r="D14" s="18" t="s">
        <v>2095</v>
      </c>
      <c r="E14" s="18" t="s">
        <v>2096</v>
      </c>
      <c r="F14" s="18" t="s">
        <v>2097</v>
      </c>
      <c r="G14" s="18" t="s">
        <v>2098</v>
      </c>
      <c r="H14" s="18" t="s">
        <v>2099</v>
      </c>
      <c r="I14" s="18" t="s">
        <v>2100</v>
      </c>
      <c r="J14" s="18" t="s">
        <v>2101</v>
      </c>
      <c r="K14" s="18" t="s">
        <v>2102</v>
      </c>
      <c r="L14" s="18" t="s">
        <v>2103</v>
      </c>
      <c r="M14" s="18" t="s">
        <v>2104</v>
      </c>
    </row>
    <row r="15" ht="15" customHeight="1" spans="1:13" x14ac:dyDescent="0.25">
      <c r="A15" s="48" t="s">
        <v>82</v>
      </c>
      <c r="B15" s="48">
        <v>26</v>
      </c>
      <c r="C15" s="48">
        <v>96442</v>
      </c>
      <c r="D15" s="48">
        <v>98192</v>
      </c>
      <c r="E15" s="48">
        <v>99817</v>
      </c>
      <c r="F15" s="48">
        <v>97062</v>
      </c>
      <c r="G15" s="48">
        <v>880</v>
      </c>
      <c r="H15" s="48" t="s">
        <v>1880</v>
      </c>
      <c r="I15" s="48" t="s">
        <v>1880</v>
      </c>
      <c r="J15" s="48" t="s">
        <v>1880</v>
      </c>
      <c r="K15" s="48" t="s">
        <v>1880</v>
      </c>
      <c r="L15" s="48" t="s">
        <v>2105</v>
      </c>
      <c r="M15" s="48" t="s">
        <v>2106</v>
      </c>
    </row>
    <row r="16" ht="15" customHeight="1" spans="1:13" x14ac:dyDescent="0.25">
      <c r="A16" s="48" t="s">
        <v>121</v>
      </c>
      <c r="B16" s="48">
        <v>0</v>
      </c>
      <c r="C16" s="48">
        <v>0</v>
      </c>
      <c r="D16" s="48">
        <v>0</v>
      </c>
      <c r="E16" s="48">
        <v>0</v>
      </c>
      <c r="F16" s="48">
        <v>0</v>
      </c>
      <c r="G16" s="48">
        <v>0</v>
      </c>
      <c r="H16" s="48" t="s">
        <v>898</v>
      </c>
      <c r="I16" s="48" t="s">
        <v>898</v>
      </c>
      <c r="J16" s="48" t="s">
        <v>898</v>
      </c>
      <c r="K16" s="48" t="s">
        <v>898</v>
      </c>
      <c r="L16" s="48" t="s">
        <v>898</v>
      </c>
      <c r="M16" s="48"/>
    </row>
    <row r="17" ht="15" customHeight="1" spans="1:13" x14ac:dyDescent="0.25">
      <c r="A17" s="48" t="s">
        <v>125</v>
      </c>
      <c r="B17" s="48">
        <v>0</v>
      </c>
      <c r="C17" s="48">
        <v>0</v>
      </c>
      <c r="D17" s="48">
        <v>0</v>
      </c>
      <c r="E17" s="48">
        <v>0</v>
      </c>
      <c r="F17" s="48">
        <v>0</v>
      </c>
      <c r="G17" s="48">
        <v>0</v>
      </c>
      <c r="H17" s="48" t="s">
        <v>898</v>
      </c>
      <c r="I17" s="48" t="s">
        <v>898</v>
      </c>
      <c r="J17" s="48" t="s">
        <v>898</v>
      </c>
      <c r="K17" s="48" t="s">
        <v>898</v>
      </c>
      <c r="L17" s="48" t="s">
        <v>898</v>
      </c>
      <c r="M17" s="48"/>
    </row>
    <row r="18" ht="15" customHeight="1" spans="1:13" x14ac:dyDescent="0.25">
      <c r="A18" s="48" t="s">
        <v>85</v>
      </c>
      <c r="B18" s="48">
        <v>0</v>
      </c>
      <c r="C18" s="48">
        <v>0</v>
      </c>
      <c r="D18" s="48">
        <v>0</v>
      </c>
      <c r="E18" s="48">
        <v>0</v>
      </c>
      <c r="F18" s="48">
        <v>0</v>
      </c>
      <c r="G18" s="48">
        <v>0</v>
      </c>
      <c r="H18" s="48" t="s">
        <v>898</v>
      </c>
      <c r="I18" s="48" t="s">
        <v>898</v>
      </c>
      <c r="J18" s="48" t="s">
        <v>898</v>
      </c>
      <c r="K18" s="48" t="s">
        <v>898</v>
      </c>
      <c r="L18" s="48" t="s">
        <v>898</v>
      </c>
      <c r="M18" s="48"/>
    </row>
    <row r="19" ht="15" customHeight="1" spans="1:13" x14ac:dyDescent="0.25">
      <c r="A19" s="48" t="s">
        <v>86</v>
      </c>
      <c r="B19" s="48">
        <v>0</v>
      </c>
      <c r="C19" s="48">
        <v>0</v>
      </c>
      <c r="D19" s="48">
        <v>0</v>
      </c>
      <c r="E19" s="48">
        <v>0</v>
      </c>
      <c r="F19" s="48">
        <v>0</v>
      </c>
      <c r="G19" s="48">
        <v>0</v>
      </c>
      <c r="H19" s="48" t="s">
        <v>898</v>
      </c>
      <c r="I19" s="48" t="s">
        <v>898</v>
      </c>
      <c r="J19" s="48" t="s">
        <v>898</v>
      </c>
      <c r="K19" s="48" t="s">
        <v>898</v>
      </c>
      <c r="L19" s="48" t="s">
        <v>898</v>
      </c>
      <c r="M19" s="48"/>
    </row>
    <row r="20" ht="15" customHeight="1" spans="1:13" x14ac:dyDescent="0.25">
      <c r="A20" s="48" t="s">
        <v>87</v>
      </c>
      <c r="B20" s="48">
        <v>26</v>
      </c>
      <c r="C20" s="48">
        <v>96442</v>
      </c>
      <c r="D20" s="48">
        <v>98192</v>
      </c>
      <c r="E20" s="48">
        <v>99817</v>
      </c>
      <c r="F20" s="48">
        <v>97062</v>
      </c>
      <c r="G20" s="48">
        <v>880</v>
      </c>
      <c r="H20" s="48" t="s">
        <v>1880</v>
      </c>
      <c r="I20" s="48" t="s">
        <v>1880</v>
      </c>
      <c r="J20" s="48" t="s">
        <v>1880</v>
      </c>
      <c r="K20" s="48" t="s">
        <v>1880</v>
      </c>
      <c r="L20" s="48" t="s">
        <v>2105</v>
      </c>
      <c r="M20" s="48" t="s">
        <v>2106</v>
      </c>
    </row>
    <row r="22" ht="15" customHeight="1" spans="1:12" x14ac:dyDescent="0.25">
      <c r="A22" s="5" t="s">
        <v>2107</v>
      </c>
      <c r="B22" s="5"/>
      <c r="C22" s="5"/>
      <c r="D22" s="5"/>
      <c r="E22" s="5"/>
      <c r="F22" s="5"/>
      <c r="G22" s="5"/>
      <c r="H22" s="5"/>
      <c r="I22" s="5"/>
      <c r="J22" s="5"/>
      <c r="K22" s="5"/>
      <c r="L22" s="5"/>
    </row>
    <row r="23" ht="15" customHeight="1" spans="1:12" x14ac:dyDescent="0.25">
      <c r="A23" s="49" t="s">
        <v>655</v>
      </c>
      <c r="B23" s="49">
        <v>26</v>
      </c>
      <c r="C23" s="49"/>
      <c r="D23" s="49"/>
      <c r="E23" s="49"/>
      <c r="F23" s="49"/>
      <c r="G23" s="49"/>
      <c r="H23" s="49"/>
      <c r="I23" s="49"/>
      <c r="J23" s="49"/>
      <c r="K23" s="49"/>
      <c r="L23" s="49"/>
    </row>
    <row r="24" ht="15" customHeight="1" spans="1:12" x14ac:dyDescent="0.25">
      <c r="A24" s="49" t="s">
        <v>2108</v>
      </c>
      <c r="B24" s="49">
        <v>96442</v>
      </c>
      <c r="C24" s="49"/>
      <c r="D24" s="49"/>
      <c r="E24" s="49"/>
      <c r="F24" s="49"/>
      <c r="G24" s="49"/>
      <c r="H24" s="49"/>
      <c r="I24" s="49"/>
      <c r="J24" s="49"/>
      <c r="K24" s="49"/>
      <c r="L24" s="49"/>
    </row>
    <row r="25" ht="15" customHeight="1" spans="1:12" x14ac:dyDescent="0.25">
      <c r="A25" s="49" t="s">
        <v>2109</v>
      </c>
      <c r="B25" s="49">
        <v>98192</v>
      </c>
      <c r="C25" s="49"/>
      <c r="D25" s="49"/>
      <c r="E25" s="49"/>
      <c r="F25" s="49"/>
      <c r="G25" s="49"/>
      <c r="H25" s="49"/>
      <c r="I25" s="49"/>
      <c r="J25" s="49"/>
      <c r="K25" s="49"/>
      <c r="L25" s="49"/>
    </row>
    <row r="26" ht="15" customHeight="1" spans="1:12" x14ac:dyDescent="0.25">
      <c r="A26" s="49" t="s">
        <v>2110</v>
      </c>
      <c r="B26" s="49">
        <v>99817</v>
      </c>
      <c r="C26" s="49"/>
      <c r="D26" s="49"/>
      <c r="E26" s="49"/>
      <c r="F26" s="49"/>
      <c r="G26" s="49"/>
      <c r="H26" s="49"/>
      <c r="I26" s="49"/>
      <c r="J26" s="49"/>
      <c r="K26" s="49"/>
      <c r="L26" s="49"/>
    </row>
    <row r="27" ht="15" customHeight="1" spans="1:12" x14ac:dyDescent="0.25">
      <c r="A27" s="49" t="s">
        <v>2111</v>
      </c>
      <c r="B27" s="49">
        <v>79533.49</v>
      </c>
      <c r="C27" s="49"/>
      <c r="D27" s="49"/>
      <c r="E27" s="49"/>
      <c r="F27" s="49"/>
      <c r="G27" s="49"/>
      <c r="H27" s="49"/>
      <c r="I27" s="49"/>
      <c r="J27" s="49"/>
      <c r="K27" s="49"/>
      <c r="L27" s="49"/>
    </row>
    <row r="28" ht="15" customHeight="1" spans="1:12" x14ac:dyDescent="0.25">
      <c r="A28" s="49" t="s">
        <v>2112</v>
      </c>
      <c r="B28" s="49">
        <v>82036.01</v>
      </c>
      <c r="C28" s="49"/>
      <c r="D28" s="49"/>
      <c r="E28" s="49"/>
      <c r="F28" s="49"/>
      <c r="G28" s="49"/>
      <c r="H28" s="49"/>
      <c r="I28" s="49"/>
      <c r="J28" s="49"/>
      <c r="K28" s="49"/>
      <c r="L28" s="49"/>
    </row>
    <row r="29" ht="15" customHeight="1" spans="1:12" x14ac:dyDescent="0.25">
      <c r="A29" s="49" t="s">
        <v>2113</v>
      </c>
      <c r="B29" s="49">
        <v>84994.8325</v>
      </c>
      <c r="C29" s="49"/>
      <c r="D29" s="49"/>
      <c r="E29" s="49"/>
      <c r="F29" s="49"/>
      <c r="G29" s="49"/>
      <c r="H29" s="49"/>
      <c r="I29" s="49"/>
      <c r="J29" s="49"/>
      <c r="K29" s="49"/>
      <c r="L29" s="49"/>
    </row>
    <row r="30" ht="15" customHeight="1" spans="1:12" x14ac:dyDescent="0.25">
      <c r="A30" s="49" t="s">
        <v>2114</v>
      </c>
      <c r="B30" s="49">
        <v>16015.185</v>
      </c>
      <c r="C30" s="49"/>
      <c r="D30" s="49"/>
      <c r="E30" s="49"/>
      <c r="F30" s="49"/>
      <c r="G30" s="49"/>
      <c r="H30" s="49"/>
      <c r="I30" s="49"/>
      <c r="J30" s="49"/>
      <c r="K30" s="49"/>
      <c r="L30" s="49"/>
    </row>
    <row r="31" ht="15" customHeight="1" spans="1:12" x14ac:dyDescent="0.25">
      <c r="A31" s="49" t="s">
        <v>2115</v>
      </c>
      <c r="B31" s="49">
        <v>17.185</v>
      </c>
      <c r="C31" s="49"/>
      <c r="D31" s="49"/>
      <c r="E31" s="49"/>
      <c r="F31" s="49"/>
      <c r="G31" s="49"/>
      <c r="H31" s="49"/>
      <c r="I31" s="49"/>
      <c r="J31" s="49"/>
      <c r="K31" s="49"/>
      <c r="L31" s="49"/>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J1035"/>
  <sheetViews>
    <sheetView workbookViewId="0" zoomScale="100"/>
  </sheetViews>
  <sheetFormatPr defaultRowHeight="15" outlineLevelRow="0" outlineLevelCol="0" x14ac:dyDescent="55"/>
  <cols>
    <col min="1" max="1" width="18" customWidth="1"/>
    <col min="2" max="2" width="36" customWidth="1"/>
    <col min="3" max="3" width="18" customWidth="1"/>
    <col min="10" max="10" width="12" customWidth="1"/>
    <col min="11" max="11" width="14" customWidth="1"/>
    <col min="12" max="12" width="12" customWidth="1"/>
    <col min="14" max="14" width="28" customWidth="1"/>
    <col min="15" max="15" width="12" customWidth="1"/>
    <col min="19" max="19" width="18" customWidth="1"/>
  </cols>
  <sheetData>
    <row r="1" ht="15" customHeight="1" spans="1:218" x14ac:dyDescent="0.25">
      <c r="A1" s="1" t="s">
        <v>2116</v>
      </c>
      <c r="AZ1" s="15" t="s">
        <v>2117</v>
      </c>
      <c r="BA1" s="15" t="s">
        <v>2118</v>
      </c>
      <c r="BB1" s="15" t="s">
        <v>2119</v>
      </c>
      <c r="BC1" s="15" t="s">
        <v>2120</v>
      </c>
      <c r="BD1" s="15" t="s">
        <v>2121</v>
      </c>
      <c r="BE1" s="15" t="s">
        <v>2122</v>
      </c>
      <c r="BF1" s="15" t="s">
        <v>2123</v>
      </c>
      <c r="BG1" s="15" t="s">
        <v>2124</v>
      </c>
      <c r="BH1" s="15" t="s">
        <v>2125</v>
      </c>
      <c r="BI1" s="15" t="s">
        <v>2126</v>
      </c>
      <c r="BJ1" s="15" t="s">
        <v>2127</v>
      </c>
      <c r="BK1" s="15" t="s">
        <v>2128</v>
      </c>
      <c r="BL1" s="15" t="s">
        <v>2129</v>
      </c>
      <c r="BM1" s="15" t="s">
        <v>2130</v>
      </c>
      <c r="BN1" s="15" t="s">
        <v>2131</v>
      </c>
      <c r="BO1" s="15" t="s">
        <v>2132</v>
      </c>
      <c r="BP1" s="15" t="s">
        <v>2133</v>
      </c>
      <c r="BQ1" s="15" t="s">
        <v>2134</v>
      </c>
      <c r="BR1" s="15" t="s">
        <v>2135</v>
      </c>
      <c r="BS1" s="15" t="s">
        <v>2136</v>
      </c>
      <c r="BT1" s="15" t="s">
        <v>2137</v>
      </c>
      <c r="BU1" s="15" t="s">
        <v>2138</v>
      </c>
      <c r="BV1" s="15" t="s">
        <v>2139</v>
      </c>
      <c r="BW1" s="15" t="s">
        <v>2140</v>
      </c>
      <c r="BX1" s="15" t="s">
        <v>2141</v>
      </c>
      <c r="BY1" s="15" t="s">
        <v>2142</v>
      </c>
      <c r="BZ1" s="15" t="s">
        <v>2143</v>
      </c>
      <c r="CA1" s="15" t="s">
        <v>2144</v>
      </c>
      <c r="CB1" s="15" t="s">
        <v>2145</v>
      </c>
      <c r="CC1" s="15" t="s">
        <v>2146</v>
      </c>
      <c r="CD1" s="15" t="s">
        <v>2147</v>
      </c>
      <c r="CE1" s="15" t="s">
        <v>2148</v>
      </c>
      <c r="CF1" s="15" t="s">
        <v>2149</v>
      </c>
      <c r="CG1" s="15" t="s">
        <v>2150</v>
      </c>
      <c r="CH1" s="15" t="s">
        <v>2151</v>
      </c>
      <c r="CI1" s="15" t="s">
        <v>2152</v>
      </c>
      <c r="CJ1" s="15" t="s">
        <v>2153</v>
      </c>
      <c r="CK1" s="15" t="s">
        <v>2154</v>
      </c>
      <c r="CL1" s="15" t="s">
        <v>2155</v>
      </c>
      <c r="CM1" s="15" t="s">
        <v>2156</v>
      </c>
      <c r="CN1" s="15" t="s">
        <v>2157</v>
      </c>
      <c r="CO1" s="15" t="s">
        <v>2158</v>
      </c>
      <c r="CP1" s="15" t="s">
        <v>2159</v>
      </c>
      <c r="CQ1" s="15" t="s">
        <v>2160</v>
      </c>
      <c r="CR1" s="15" t="s">
        <v>2117</v>
      </c>
      <c r="CS1" s="15" t="s">
        <v>2161</v>
      </c>
      <c r="CT1" s="15" t="s">
        <v>2162</v>
      </c>
      <c r="CU1" s="15" t="s">
        <v>2163</v>
      </c>
      <c r="CV1" s="15" t="s">
        <v>2164</v>
      </c>
      <c r="CW1" s="15" t="s">
        <v>2165</v>
      </c>
      <c r="CX1" s="15" t="s">
        <v>2166</v>
      </c>
      <c r="CY1" s="15" t="s">
        <v>2167</v>
      </c>
      <c r="CZ1" s="15" t="s">
        <v>2168</v>
      </c>
      <c r="DA1" s="15" t="s">
        <v>2169</v>
      </c>
      <c r="DB1" s="15" t="s">
        <v>2170</v>
      </c>
      <c r="DC1" s="15" t="s">
        <v>2171</v>
      </c>
      <c r="DD1" s="15" t="s">
        <v>2172</v>
      </c>
      <c r="DE1" s="15" t="s">
        <v>2173</v>
      </c>
      <c r="DG1" s="15" t="s">
        <v>2160</v>
      </c>
      <c r="DH1" s="15" t="s">
        <v>2117</v>
      </c>
      <c r="DI1" s="15" t="s">
        <v>2161</v>
      </c>
      <c r="DJ1" s="15" t="s">
        <v>2162</v>
      </c>
      <c r="DK1" s="15" t="s">
        <v>2174</v>
      </c>
      <c r="DL1" s="15" t="s">
        <v>2165</v>
      </c>
      <c r="DM1" s="15" t="s">
        <v>2175</v>
      </c>
      <c r="DN1" s="15" t="s">
        <v>2176</v>
      </c>
      <c r="DO1" s="15" t="s">
        <v>2177</v>
      </c>
      <c r="DP1" s="15" t="s">
        <v>2178</v>
      </c>
      <c r="DQ1" s="15" t="s">
        <v>2179</v>
      </c>
      <c r="DR1" s="15" t="s">
        <v>2180</v>
      </c>
      <c r="DT1" s="15" t="s">
        <v>2092</v>
      </c>
      <c r="DU1" s="15" t="s">
        <v>2181</v>
      </c>
      <c r="DV1" s="15" t="s">
        <v>2182</v>
      </c>
      <c r="DW1" s="15" t="s">
        <v>2183</v>
      </c>
      <c r="DX1" s="15" t="s">
        <v>2184</v>
      </c>
      <c r="DY1" s="15" t="s">
        <v>2185</v>
      </c>
      <c r="DZ1" s="15" t="s">
        <v>2186</v>
      </c>
      <c r="EB1" s="15" t="s">
        <v>2187</v>
      </c>
      <c r="EC1" s="15" t="s">
        <v>2184</v>
      </c>
      <c r="ED1" s="15" t="s">
        <v>2185</v>
      </c>
      <c r="EE1" s="15" t="s">
        <v>2161</v>
      </c>
      <c r="EF1" s="15" t="s">
        <v>2162</v>
      </c>
      <c r="EG1" s="15" t="s">
        <v>2188</v>
      </c>
      <c r="EH1" s="15" t="s">
        <v>2189</v>
      </c>
      <c r="EI1" s="15" t="s">
        <v>2190</v>
      </c>
      <c r="EJ1" s="15" t="s">
        <v>2191</v>
      </c>
      <c r="EL1" s="15" t="s">
        <v>2187</v>
      </c>
      <c r="EM1" s="15" t="s">
        <v>2184</v>
      </c>
      <c r="EN1" s="15" t="s">
        <v>2185</v>
      </c>
      <c r="EO1" s="15" t="s">
        <v>2192</v>
      </c>
      <c r="EP1" s="15" t="s">
        <v>2193</v>
      </c>
      <c r="EQ1" s="15" t="s">
        <v>2161</v>
      </c>
      <c r="ER1" s="15" t="s">
        <v>2162</v>
      </c>
      <c r="ES1" s="15" t="s">
        <v>2188</v>
      </c>
      <c r="ET1" s="15" t="s">
        <v>2189</v>
      </c>
      <c r="EU1" s="15" t="s">
        <v>2190</v>
      </c>
      <c r="EV1" s="15" t="s">
        <v>2191</v>
      </c>
      <c r="EX1" s="15" t="s">
        <v>2161</v>
      </c>
      <c r="EY1" s="15" t="s">
        <v>2194</v>
      </c>
      <c r="EZ1" s="15" t="s">
        <v>2195</v>
      </c>
      <c r="FA1" s="15" t="s">
        <v>2196</v>
      </c>
      <c r="FC1" s="15" t="s">
        <v>2092</v>
      </c>
      <c r="FD1" s="15" t="s">
        <v>2093</v>
      </c>
      <c r="FE1" s="15" t="s">
        <v>2094</v>
      </c>
      <c r="FF1" s="15" t="s">
        <v>2095</v>
      </c>
      <c r="FG1" s="15" t="s">
        <v>2096</v>
      </c>
      <c r="FH1" s="15" t="s">
        <v>2197</v>
      </c>
      <c r="FI1" s="15" t="s">
        <v>2097</v>
      </c>
      <c r="FJ1" s="15" t="s">
        <v>2198</v>
      </c>
      <c r="FK1" s="15" t="s">
        <v>2199</v>
      </c>
      <c r="FL1" s="15" t="s">
        <v>2098</v>
      </c>
      <c r="FM1" s="15" t="s">
        <v>2200</v>
      </c>
      <c r="FN1" s="15" t="s">
        <v>2201</v>
      </c>
      <c r="FO1" s="15" t="s">
        <v>2202</v>
      </c>
      <c r="FP1" s="15" t="s">
        <v>2203</v>
      </c>
      <c r="FQ1" s="15" t="s">
        <v>2204</v>
      </c>
      <c r="FR1" s="15" t="s">
        <v>2205</v>
      </c>
      <c r="FS1" s="15" t="s">
        <v>2206</v>
      </c>
      <c r="FT1" s="15" t="s">
        <v>2207</v>
      </c>
      <c r="FU1" s="15" t="s">
        <v>2208</v>
      </c>
      <c r="FV1" s="15" t="s">
        <v>2209</v>
      </c>
      <c r="FW1" s="15" t="s">
        <v>2210</v>
      </c>
      <c r="FX1" s="15" t="s">
        <v>2211</v>
      </c>
      <c r="FY1" s="15" t="s">
        <v>2212</v>
      </c>
      <c r="FZ1" s="15" t="s">
        <v>2213</v>
      </c>
      <c r="GA1" s="15" t="s">
        <v>2214</v>
      </c>
      <c r="GB1" s="15" t="s">
        <v>2215</v>
      </c>
      <c r="GC1" s="15" t="s">
        <v>2104</v>
      </c>
      <c r="GD1" s="15" t="s">
        <v>2216</v>
      </c>
      <c r="GE1" s="15" t="s">
        <v>2217</v>
      </c>
      <c r="GF1" s="15" t="s">
        <v>2218</v>
      </c>
      <c r="GG1" s="15" t="s">
        <v>2219</v>
      </c>
      <c r="GH1" s="15" t="s">
        <v>2186</v>
      </c>
      <c r="GI1" s="15" t="s">
        <v>2220</v>
      </c>
      <c r="GJ1" s="15" t="s">
        <v>2221</v>
      </c>
      <c r="GK1" s="15" t="s">
        <v>2222</v>
      </c>
      <c r="GL1" s="15" t="s">
        <v>2223</v>
      </c>
      <c r="GM1" s="15" t="s">
        <v>2224</v>
      </c>
      <c r="GN1" s="15" t="s">
        <v>2225</v>
      </c>
      <c r="GO1" s="15" t="s">
        <v>2226</v>
      </c>
      <c r="GP1" s="15" t="s">
        <v>2227</v>
      </c>
      <c r="GQ1" s="15" t="s">
        <v>2228</v>
      </c>
      <c r="GR1" s="15" t="s">
        <v>2229</v>
      </c>
      <c r="GS1" s="15" t="s">
        <v>2230</v>
      </c>
      <c r="HA1" s="15" t="s">
        <v>2216</v>
      </c>
      <c r="HB1" s="15" t="s">
        <v>2117</v>
      </c>
      <c r="HC1" s="15" t="s">
        <v>2231</v>
      </c>
      <c r="HD1" s="15" t="s">
        <v>2232</v>
      </c>
      <c r="HE1" s="15" t="s">
        <v>2233</v>
      </c>
      <c r="HF1" s="15" t="s">
        <v>2234</v>
      </c>
      <c r="HG1" s="15" t="s">
        <v>2235</v>
      </c>
      <c r="HH1" s="15" t="s">
        <v>2236</v>
      </c>
      <c r="HI1" s="15" t="s">
        <v>2237</v>
      </c>
      <c r="HJ1" s="15" t="s">
        <v>2238</v>
      </c>
    </row>
    <row r="2" ht="15" customHeight="1" spans="19:218" x14ac:dyDescent="0.25">
      <c r="S2" s="15" t="s">
        <v>2239</v>
      </c>
      <c r="AZ2" s="41" t="s">
        <v>82</v>
      </c>
      <c r="BA2" s="41">
        <v>26</v>
      </c>
      <c r="BB2" s="41">
        <v>26</v>
      </c>
      <c r="BC2" s="41">
        <v>0</v>
      </c>
      <c r="BD2" s="41">
        <v>0</v>
      </c>
      <c r="BE2" s="41">
        <v>0</v>
      </c>
      <c r="BF2" s="41">
        <v>3</v>
      </c>
      <c r="BG2" s="41">
        <v>3</v>
      </c>
      <c r="BH2" s="41">
        <v>3.75</v>
      </c>
      <c r="BI2" s="41">
        <v>2</v>
      </c>
      <c r="BJ2" s="41">
        <v>2</v>
      </c>
      <c r="BK2" s="41">
        <v>3</v>
      </c>
      <c r="BL2" s="41">
        <v>0.25</v>
      </c>
      <c r="BM2" s="41">
        <v>1</v>
      </c>
      <c r="BN2" s="41">
        <v>1.75</v>
      </c>
      <c r="BO2" s="41">
        <v>2.5</v>
      </c>
      <c r="BP2" s="41">
        <v>3</v>
      </c>
      <c r="BQ2" s="41">
        <v>3</v>
      </c>
      <c r="BR2" s="41">
        <v>36.25</v>
      </c>
      <c r="BS2" s="41">
        <v>39</v>
      </c>
      <c r="BT2" s="41">
        <v>41</v>
      </c>
      <c r="BU2" s="41">
        <v>7802.504999999999</v>
      </c>
      <c r="BV2" s="41">
        <v>9060.435</v>
      </c>
      <c r="BW2" s="41">
        <v>10629.0975</v>
      </c>
      <c r="BX2" s="41">
        <v>9677.2125</v>
      </c>
      <c r="BY2" s="41">
        <v>10711.305</v>
      </c>
      <c r="BZ2" s="41">
        <v>11936.6175</v>
      </c>
      <c r="CA2" s="41">
        <v>8468.852499999999</v>
      </c>
      <c r="CB2" s="41">
        <v>9439.535</v>
      </c>
      <c r="CC2" s="41">
        <v>11143.7</v>
      </c>
      <c r="CD2" s="41">
        <v>66040.54</v>
      </c>
      <c r="CE2" s="41">
        <v>72382.9</v>
      </c>
      <c r="CF2" s="41">
        <v>107563.63</v>
      </c>
      <c r="CG2" s="41">
        <v>89130.07750000001</v>
      </c>
      <c r="CH2" s="41">
        <v>89130.16</v>
      </c>
      <c r="CI2" s="41">
        <v>98838.05</v>
      </c>
      <c r="CJ2" s="41">
        <v>2380.9435416666665</v>
      </c>
      <c r="CK2" s="41">
        <v>2855.3187500000004</v>
      </c>
      <c r="CL2" s="41">
        <v>3198.258</v>
      </c>
      <c r="CM2" s="41">
        <v>3059.8</v>
      </c>
      <c r="CN2" s="41">
        <v>3428.828333333333</v>
      </c>
      <c r="CO2" s="41">
        <v>3617.71</v>
      </c>
      <c r="CP2" s="41" t="s">
        <v>898</v>
      </c>
      <c r="CQ2" s="41" t="s">
        <v>2240</v>
      </c>
      <c r="CR2" s="41" t="s">
        <v>82</v>
      </c>
      <c r="CS2" s="41" t="s">
        <v>290</v>
      </c>
      <c r="CT2" s="41" t="s">
        <v>289</v>
      </c>
      <c r="CU2" s="41" t="s">
        <v>81</v>
      </c>
      <c r="CV2" s="41" t="s">
        <v>289</v>
      </c>
      <c r="CW2" s="41">
        <v>3.85</v>
      </c>
      <c r="CX2" s="41">
        <v>1</v>
      </c>
      <c r="CY2" s="41">
        <v>1</v>
      </c>
      <c r="CZ2" s="41">
        <v>1</v>
      </c>
      <c r="DA2" s="41">
        <v>500</v>
      </c>
      <c r="DB2" s="41">
        <v>420</v>
      </c>
      <c r="DC2" s="41">
        <v>460</v>
      </c>
      <c r="DD2" s="41">
        <v>500</v>
      </c>
      <c r="DE2" s="41">
        <v>500</v>
      </c>
      <c r="DG2" s="41" t="s">
        <v>2241</v>
      </c>
      <c r="DH2" s="41" t="s">
        <v>82</v>
      </c>
      <c r="DI2" s="41" t="s">
        <v>666</v>
      </c>
      <c r="DJ2" s="41" t="s">
        <v>667</v>
      </c>
      <c r="DK2" s="41" t="s">
        <v>668</v>
      </c>
      <c r="DL2" s="41">
        <v>100</v>
      </c>
      <c r="DM2" s="41" t="s">
        <v>670</v>
      </c>
      <c r="DN2" s="41" t="s">
        <v>669</v>
      </c>
      <c r="DO2" s="41">
        <v>0</v>
      </c>
      <c r="DP2" s="41">
        <v>0</v>
      </c>
      <c r="DQ2" s="41">
        <v>270.7</v>
      </c>
      <c r="DR2" s="41" t="s">
        <v>2242</v>
      </c>
      <c r="DT2" s="41" t="s">
        <v>121</v>
      </c>
      <c r="DU2" s="41" t="s">
        <v>2243</v>
      </c>
      <c r="DV2" s="41" t="s">
        <v>2244</v>
      </c>
      <c r="DW2" s="41" t="s">
        <v>2245</v>
      </c>
      <c r="DX2" s="41" t="s">
        <v>2246</v>
      </c>
      <c r="DY2" s="41" t="s">
        <v>2247</v>
      </c>
      <c r="DZ2" s="41">
        <v>1688</v>
      </c>
      <c r="EB2" s="41" t="s">
        <v>2248</v>
      </c>
      <c r="EC2" s="41" t="s">
        <v>1995</v>
      </c>
      <c r="ED2" s="41" t="s">
        <v>2249</v>
      </c>
      <c r="EE2" s="41" t="s">
        <v>620</v>
      </c>
      <c r="EF2" s="41" t="s">
        <v>2250</v>
      </c>
      <c r="EG2" s="41">
        <v>360</v>
      </c>
      <c r="EH2" s="41">
        <v>400</v>
      </c>
      <c r="EI2" s="41">
        <v>430</v>
      </c>
      <c r="EJ2" s="41">
        <v>430</v>
      </c>
      <c r="EL2" s="41" t="s">
        <v>2251</v>
      </c>
      <c r="EM2" s="41" t="s">
        <v>1995</v>
      </c>
      <c r="EN2" s="41" t="s">
        <v>2249</v>
      </c>
      <c r="EO2" s="41">
        <v>0.5</v>
      </c>
      <c r="EP2" s="41" t="s">
        <v>2252</v>
      </c>
      <c r="EQ2" s="41" t="s">
        <v>2253</v>
      </c>
      <c r="ER2" s="41" t="s">
        <v>2254</v>
      </c>
      <c r="ES2" s="41">
        <v>5940</v>
      </c>
      <c r="ET2" s="41">
        <v>6540</v>
      </c>
      <c r="EU2" s="41">
        <v>7090</v>
      </c>
      <c r="EV2" s="41">
        <v>7090</v>
      </c>
      <c r="EX2" s="41" t="s">
        <v>2255</v>
      </c>
      <c r="EY2" s="41" t="s">
        <v>2256</v>
      </c>
      <c r="EZ2" s="41" t="s">
        <v>25</v>
      </c>
      <c r="FA2" s="41" t="s">
        <v>2257</v>
      </c>
      <c r="FC2" s="41" t="s">
        <v>82</v>
      </c>
      <c r="FD2" s="41">
        <v>26</v>
      </c>
      <c r="FE2" s="41">
        <v>96442</v>
      </c>
      <c r="FF2" s="41">
        <v>98192</v>
      </c>
      <c r="FG2" s="41">
        <v>99817</v>
      </c>
      <c r="FH2" s="41">
        <v>95562</v>
      </c>
      <c r="FI2" s="41">
        <v>97062</v>
      </c>
      <c r="FJ2" s="41">
        <v>98562</v>
      </c>
      <c r="FK2" s="41">
        <v>880</v>
      </c>
      <c r="FL2" s="41">
        <v>880</v>
      </c>
      <c r="FM2" s="41">
        <v>880</v>
      </c>
      <c r="FN2" s="41">
        <v>65000</v>
      </c>
      <c r="FO2" s="41">
        <v>65000</v>
      </c>
      <c r="FP2" s="41">
        <v>65000</v>
      </c>
      <c r="FQ2" s="41">
        <v>9750</v>
      </c>
      <c r="FR2" s="41">
        <v>9750</v>
      </c>
      <c r="FS2" s="41">
        <v>9750</v>
      </c>
      <c r="FT2" s="41">
        <v>16750</v>
      </c>
      <c r="FU2" s="41">
        <v>16750</v>
      </c>
      <c r="FV2" s="41">
        <v>16750</v>
      </c>
      <c r="FW2" s="41">
        <v>4062</v>
      </c>
      <c r="FX2" s="41">
        <v>4062</v>
      </c>
      <c r="FY2" s="41">
        <v>4062</v>
      </c>
      <c r="FZ2" s="41">
        <v>0</v>
      </c>
      <c r="GA2" s="41">
        <v>1500</v>
      </c>
      <c r="GB2" s="41">
        <v>3000</v>
      </c>
      <c r="GC2" s="41" t="s">
        <v>2106</v>
      </c>
      <c r="GD2" s="41" t="s">
        <v>2258</v>
      </c>
      <c r="GE2" s="41" t="s">
        <v>2259</v>
      </c>
      <c r="GF2" s="41" t="s">
        <v>82</v>
      </c>
      <c r="GG2" s="41" t="s">
        <v>82</v>
      </c>
      <c r="GH2" s="41">
        <v>26</v>
      </c>
      <c r="GI2" s="41">
        <v>36.25</v>
      </c>
      <c r="GJ2" s="41">
        <v>39</v>
      </c>
      <c r="GK2" s="41">
        <v>41</v>
      </c>
      <c r="GL2" s="41">
        <v>0.1218</v>
      </c>
      <c r="GM2" s="41">
        <v>39</v>
      </c>
      <c r="GN2" s="41">
        <v>0</v>
      </c>
      <c r="GO2" s="41" t="s">
        <v>2260</v>
      </c>
      <c r="GP2" s="41" t="s">
        <v>82</v>
      </c>
      <c r="GQ2" s="41">
        <v>26</v>
      </c>
      <c r="GR2" s="41" t="s">
        <v>2261</v>
      </c>
      <c r="GS2" s="41" t="s">
        <v>2262</v>
      </c>
      <c r="HA2" s="41" t="s">
        <v>2263</v>
      </c>
      <c r="HB2" s="41" t="s">
        <v>82</v>
      </c>
      <c r="HC2" s="41" t="s">
        <v>2264</v>
      </c>
      <c r="HD2" s="41" t="s">
        <v>142</v>
      </c>
      <c r="HE2" s="41">
        <v>3</v>
      </c>
      <c r="HF2" s="41">
        <v>5</v>
      </c>
      <c r="HG2" s="41">
        <v>3.3076923076923075</v>
      </c>
      <c r="HH2" s="41">
        <v>3</v>
      </c>
      <c r="HI2" s="41">
        <v>3</v>
      </c>
      <c r="HJ2" s="41">
        <v>3.75</v>
      </c>
    </row>
    <row r="3" ht="15" customHeight="1" spans="1:218" x14ac:dyDescent="0.25">
      <c r="A3" s="5" t="s">
        <v>2265</v>
      </c>
      <c r="S3" s="15" t="s">
        <v>2266</v>
      </c>
      <c r="T3" s="15" t="s">
        <v>2236</v>
      </c>
      <c r="U3" s="15" t="s">
        <v>2237</v>
      </c>
      <c r="V3" s="15" t="s">
        <v>2238</v>
      </c>
      <c r="AZ3" s="41" t="s">
        <v>121</v>
      </c>
      <c r="BA3" s="41">
        <v>0</v>
      </c>
      <c r="BB3" s="41">
        <v>0</v>
      </c>
      <c r="BC3" s="41">
        <v>0</v>
      </c>
      <c r="BD3" s="41">
        <v>0</v>
      </c>
      <c r="BE3" s="41">
        <v>0</v>
      </c>
      <c r="BF3" s="41">
        <v>0</v>
      </c>
      <c r="BG3" s="41">
        <v>0</v>
      </c>
      <c r="BH3" s="41">
        <v>0</v>
      </c>
      <c r="BI3" s="41">
        <v>0</v>
      </c>
      <c r="BJ3" s="41">
        <v>0</v>
      </c>
      <c r="BK3" s="41">
        <v>0</v>
      </c>
      <c r="BL3" s="41">
        <v>0</v>
      </c>
      <c r="BM3" s="41">
        <v>0</v>
      </c>
      <c r="BN3" s="41">
        <v>0</v>
      </c>
      <c r="BO3" s="41">
        <v>0</v>
      </c>
      <c r="BP3" s="41">
        <v>0</v>
      </c>
      <c r="BQ3" s="41">
        <v>0</v>
      </c>
      <c r="BR3" s="41">
        <v>0</v>
      </c>
      <c r="BS3" s="41">
        <v>0</v>
      </c>
      <c r="BT3" s="41">
        <v>0</v>
      </c>
      <c r="BU3" s="41">
        <v>0</v>
      </c>
      <c r="BV3" s="41">
        <v>0</v>
      </c>
      <c r="BW3" s="41">
        <v>0</v>
      </c>
      <c r="BX3" s="41">
        <v>0</v>
      </c>
      <c r="BY3" s="41">
        <v>0</v>
      </c>
      <c r="BZ3" s="41">
        <v>0</v>
      </c>
      <c r="CA3" s="41">
        <v>0</v>
      </c>
      <c r="CB3" s="41">
        <v>0</v>
      </c>
      <c r="CC3" s="41">
        <v>0</v>
      </c>
      <c r="CD3" s="41">
        <v>0</v>
      </c>
      <c r="CE3" s="41">
        <v>0</v>
      </c>
      <c r="CF3" s="41">
        <v>0</v>
      </c>
      <c r="CG3" s="41">
        <v>0</v>
      </c>
      <c r="CH3" s="41">
        <v>0</v>
      </c>
      <c r="CI3" s="41">
        <v>0</v>
      </c>
      <c r="CJ3" s="41">
        <v>0</v>
      </c>
      <c r="CK3" s="41">
        <v>0</v>
      </c>
      <c r="CL3" s="41">
        <v>0</v>
      </c>
      <c r="CM3" s="41">
        <v>0</v>
      </c>
      <c r="CN3" s="41">
        <v>0</v>
      </c>
      <c r="CO3" s="41">
        <v>0</v>
      </c>
      <c r="CP3" s="41" t="s">
        <v>898</v>
      </c>
      <c r="CQ3" s="41" t="s">
        <v>2267</v>
      </c>
      <c r="CR3" s="41" t="s">
        <v>82</v>
      </c>
      <c r="CS3" s="41" t="s">
        <v>275</v>
      </c>
      <c r="CT3" s="41" t="s">
        <v>273</v>
      </c>
      <c r="CU3" s="41" t="s">
        <v>81</v>
      </c>
      <c r="CV3" s="41" t="s">
        <v>274</v>
      </c>
      <c r="CW3" s="41">
        <v>3.85</v>
      </c>
      <c r="CX3" s="41">
        <v>1</v>
      </c>
      <c r="CY3" s="41">
        <v>1</v>
      </c>
      <c r="CZ3" s="41">
        <v>1</v>
      </c>
      <c r="DA3" s="41">
        <v>1200</v>
      </c>
      <c r="DB3" s="41">
        <v>1000</v>
      </c>
      <c r="DC3" s="41">
        <v>1110</v>
      </c>
      <c r="DD3" s="41">
        <v>1200</v>
      </c>
      <c r="DE3" s="41">
        <v>1200</v>
      </c>
      <c r="DG3" s="41" t="s">
        <v>2268</v>
      </c>
      <c r="DH3" s="41" t="s">
        <v>82</v>
      </c>
      <c r="DI3" s="41" t="s">
        <v>673</v>
      </c>
      <c r="DJ3" s="41" t="s">
        <v>674</v>
      </c>
      <c r="DK3" s="41" t="s">
        <v>668</v>
      </c>
      <c r="DL3" s="41">
        <v>100</v>
      </c>
      <c r="DM3" s="41" t="s">
        <v>670</v>
      </c>
      <c r="DN3" s="41" t="s">
        <v>669</v>
      </c>
      <c r="DO3" s="41">
        <v>0</v>
      </c>
      <c r="DP3" s="41">
        <v>0</v>
      </c>
      <c r="DQ3" s="41">
        <v>957.1</v>
      </c>
      <c r="DR3" s="41" t="s">
        <v>2269</v>
      </c>
      <c r="DT3" s="41" t="s">
        <v>121</v>
      </c>
      <c r="DU3" s="41" t="s">
        <v>2270</v>
      </c>
      <c r="DV3" s="41" t="s">
        <v>2271</v>
      </c>
      <c r="DW3" s="41" t="s">
        <v>2272</v>
      </c>
      <c r="DX3" s="41" t="s">
        <v>2246</v>
      </c>
      <c r="DY3" s="41" t="s">
        <v>2247</v>
      </c>
      <c r="DZ3" s="41">
        <v>675</v>
      </c>
      <c r="EB3" s="41" t="s">
        <v>2273</v>
      </c>
      <c r="EC3" s="41" t="s">
        <v>1995</v>
      </c>
      <c r="ED3" s="41" t="s">
        <v>2249</v>
      </c>
      <c r="EE3" s="41" t="s">
        <v>618</v>
      </c>
      <c r="EF3" s="41" t="s">
        <v>2274</v>
      </c>
      <c r="EG3" s="41">
        <v>580</v>
      </c>
      <c r="EH3" s="41">
        <v>660</v>
      </c>
      <c r="EI3" s="41">
        <v>760</v>
      </c>
      <c r="EJ3" s="41">
        <v>800</v>
      </c>
      <c r="EL3" s="41" t="s">
        <v>2275</v>
      </c>
      <c r="EM3" s="41" t="s">
        <v>1995</v>
      </c>
      <c r="EN3" s="41" t="s">
        <v>2249</v>
      </c>
      <c r="EO3" s="41">
        <v>0.5</v>
      </c>
      <c r="EP3" s="41" t="s">
        <v>2276</v>
      </c>
      <c r="EQ3" s="41" t="s">
        <v>2277</v>
      </c>
      <c r="ER3" s="41" t="s">
        <v>2278</v>
      </c>
      <c r="ES3" s="41">
        <v>6230</v>
      </c>
      <c r="ET3" s="41">
        <v>8220</v>
      </c>
      <c r="EU3" s="41">
        <v>8970</v>
      </c>
      <c r="EV3" s="41">
        <v>8970</v>
      </c>
      <c r="EX3" s="41" t="s">
        <v>2279</v>
      </c>
      <c r="EY3" s="41" t="s">
        <v>2256</v>
      </c>
      <c r="EZ3" s="41" t="s">
        <v>25</v>
      </c>
      <c r="FA3" s="41" t="s">
        <v>2257</v>
      </c>
      <c r="FC3" s="41" t="s">
        <v>121</v>
      </c>
      <c r="FD3" s="41">
        <v>0</v>
      </c>
      <c r="FE3" s="41">
        <v>0</v>
      </c>
      <c r="FF3" s="41">
        <v>0</v>
      </c>
      <c r="FG3" s="41">
        <v>0</v>
      </c>
      <c r="FH3" s="41">
        <v>0</v>
      </c>
      <c r="FI3" s="41">
        <v>0</v>
      </c>
      <c r="FJ3" s="41">
        <v>0</v>
      </c>
      <c r="FK3" s="41">
        <v>0</v>
      </c>
      <c r="FL3" s="41">
        <v>0</v>
      </c>
      <c r="FM3" s="41">
        <v>0</v>
      </c>
      <c r="FN3" s="41">
        <v>0</v>
      </c>
      <c r="FO3" s="41">
        <v>0</v>
      </c>
      <c r="FP3" s="41">
        <v>0</v>
      </c>
      <c r="FQ3" s="41">
        <v>0</v>
      </c>
      <c r="FR3" s="41">
        <v>0</v>
      </c>
      <c r="FS3" s="41">
        <v>0</v>
      </c>
      <c r="FT3" s="41">
        <v>0</v>
      </c>
      <c r="FU3" s="41">
        <v>0</v>
      </c>
      <c r="FV3" s="41">
        <v>0</v>
      </c>
      <c r="FW3" s="41">
        <v>0</v>
      </c>
      <c r="FX3" s="41">
        <v>0</v>
      </c>
      <c r="FY3" s="41">
        <v>0</v>
      </c>
      <c r="FZ3" s="41">
        <v>0</v>
      </c>
      <c r="GA3" s="41">
        <v>0</v>
      </c>
      <c r="GB3" s="41">
        <v>0</v>
      </c>
      <c r="GD3" s="41" t="s">
        <v>2258</v>
      </c>
      <c r="GE3" s="41" t="s">
        <v>2259</v>
      </c>
      <c r="GF3" s="41" t="s">
        <v>82</v>
      </c>
      <c r="GG3" s="41" t="s">
        <v>121</v>
      </c>
      <c r="GH3" s="41">
        <v>0</v>
      </c>
      <c r="GI3" s="41">
        <v>0</v>
      </c>
      <c r="GJ3" s="41">
        <v>0</v>
      </c>
      <c r="GK3" s="41">
        <v>0</v>
      </c>
      <c r="GL3" s="41">
        <v>0</v>
      </c>
      <c r="GM3" s="41">
        <v>0</v>
      </c>
      <c r="GN3" s="41">
        <v>1</v>
      </c>
      <c r="GO3" s="41" t="s">
        <v>2280</v>
      </c>
      <c r="GP3" s="41" t="s">
        <v>82</v>
      </c>
      <c r="GQ3" s="41">
        <v>26</v>
      </c>
      <c r="GR3" s="41" t="s">
        <v>2261</v>
      </c>
      <c r="GS3" s="41" t="s">
        <v>2262</v>
      </c>
      <c r="HA3" s="41" t="s">
        <v>2281</v>
      </c>
      <c r="HB3" s="41" t="s">
        <v>82</v>
      </c>
      <c r="HC3" s="41" t="s">
        <v>2282</v>
      </c>
      <c r="HD3" s="41" t="s">
        <v>37</v>
      </c>
      <c r="HE3" s="41">
        <v>1</v>
      </c>
      <c r="HF3" s="41">
        <v>4</v>
      </c>
      <c r="HG3" s="41">
        <v>2.3076923076923075</v>
      </c>
      <c r="HH3" s="41">
        <v>2</v>
      </c>
      <c r="HI3" s="41">
        <v>2</v>
      </c>
      <c r="HJ3" s="41">
        <v>3</v>
      </c>
    </row>
    <row r="4" ht="15" customHeight="1" spans="1:218" x14ac:dyDescent="0.25">
      <c r="A4" s="15" t="s">
        <v>2266</v>
      </c>
      <c r="B4" s="15" t="s">
        <v>2236</v>
      </c>
      <c r="C4" s="15" t="s">
        <v>2237</v>
      </c>
      <c r="D4" s="15" t="s">
        <v>2238</v>
      </c>
      <c r="S4" s="41" t="s">
        <v>2283</v>
      </c>
      <c r="T4" s="41">
        <v>0</v>
      </c>
      <c r="U4" s="41">
        <v>0</v>
      </c>
      <c r="V4" s="41">
        <v>0</v>
      </c>
      <c r="AZ4" s="41" t="s">
        <v>125</v>
      </c>
      <c r="BA4" s="41">
        <v>0</v>
      </c>
      <c r="BB4" s="41">
        <v>0</v>
      </c>
      <c r="BC4" s="41">
        <v>0</v>
      </c>
      <c r="BD4" s="41">
        <v>0</v>
      </c>
      <c r="BE4" s="41">
        <v>0</v>
      </c>
      <c r="BF4" s="41">
        <v>0</v>
      </c>
      <c r="BG4" s="41">
        <v>0</v>
      </c>
      <c r="BH4" s="41">
        <v>0</v>
      </c>
      <c r="BI4" s="41">
        <v>0</v>
      </c>
      <c r="BJ4" s="41">
        <v>0</v>
      </c>
      <c r="BK4" s="41">
        <v>0</v>
      </c>
      <c r="BL4" s="41">
        <v>0</v>
      </c>
      <c r="BM4" s="41">
        <v>0</v>
      </c>
      <c r="BN4" s="41">
        <v>0</v>
      </c>
      <c r="BO4" s="41">
        <v>0</v>
      </c>
      <c r="BP4" s="41">
        <v>0</v>
      </c>
      <c r="BQ4" s="41">
        <v>0</v>
      </c>
      <c r="BR4" s="41">
        <v>0</v>
      </c>
      <c r="BS4" s="41">
        <v>0</v>
      </c>
      <c r="BT4" s="41">
        <v>0</v>
      </c>
      <c r="BU4" s="41">
        <v>0</v>
      </c>
      <c r="BV4" s="41">
        <v>0</v>
      </c>
      <c r="BW4" s="41">
        <v>0</v>
      </c>
      <c r="BX4" s="41">
        <v>0</v>
      </c>
      <c r="BY4" s="41">
        <v>0</v>
      </c>
      <c r="BZ4" s="41">
        <v>0</v>
      </c>
      <c r="CA4" s="41">
        <v>0</v>
      </c>
      <c r="CB4" s="41">
        <v>0</v>
      </c>
      <c r="CC4" s="41">
        <v>0</v>
      </c>
      <c r="CD4" s="41">
        <v>0</v>
      </c>
      <c r="CE4" s="41">
        <v>0</v>
      </c>
      <c r="CF4" s="41">
        <v>0</v>
      </c>
      <c r="CG4" s="41">
        <v>0</v>
      </c>
      <c r="CH4" s="41">
        <v>0</v>
      </c>
      <c r="CI4" s="41">
        <v>0</v>
      </c>
      <c r="CJ4" s="41">
        <v>0</v>
      </c>
      <c r="CK4" s="41">
        <v>0</v>
      </c>
      <c r="CL4" s="41">
        <v>0</v>
      </c>
      <c r="CM4" s="41">
        <v>0</v>
      </c>
      <c r="CN4" s="41">
        <v>0</v>
      </c>
      <c r="CO4" s="41">
        <v>0</v>
      </c>
      <c r="CP4" s="41" t="s">
        <v>898</v>
      </c>
      <c r="CQ4" s="41" t="s">
        <v>2284</v>
      </c>
      <c r="CR4" s="41" t="s">
        <v>82</v>
      </c>
      <c r="CS4" s="41" t="s">
        <v>551</v>
      </c>
      <c r="CT4" s="41" t="s">
        <v>548</v>
      </c>
      <c r="CU4" s="41" t="s">
        <v>81</v>
      </c>
      <c r="CV4" s="41" t="s">
        <v>274</v>
      </c>
      <c r="CW4" s="41">
        <v>100</v>
      </c>
      <c r="CX4" s="41">
        <v>1</v>
      </c>
      <c r="CY4" s="41">
        <v>1</v>
      </c>
      <c r="CZ4" s="41">
        <v>1</v>
      </c>
      <c r="DA4" s="41">
        <v>1990</v>
      </c>
      <c r="DB4" s="41">
        <v>1670</v>
      </c>
      <c r="DC4" s="41">
        <v>1850</v>
      </c>
      <c r="DD4" s="41">
        <v>1990</v>
      </c>
      <c r="DE4" s="41">
        <v>1990</v>
      </c>
      <c r="DG4" s="41" t="s">
        <v>2285</v>
      </c>
      <c r="DH4" s="41" t="s">
        <v>82</v>
      </c>
      <c r="DI4" s="41" t="s">
        <v>676</v>
      </c>
      <c r="DJ4" s="41" t="s">
        <v>677</v>
      </c>
      <c r="DK4" s="41" t="s">
        <v>668</v>
      </c>
      <c r="DL4" s="41">
        <v>100</v>
      </c>
      <c r="DM4" s="41" t="s">
        <v>670</v>
      </c>
      <c r="DN4" s="41" t="s">
        <v>670</v>
      </c>
      <c r="DO4" s="41">
        <v>0</v>
      </c>
      <c r="DP4" s="41">
        <v>0</v>
      </c>
      <c r="DQ4" s="41">
        <v>215.56</v>
      </c>
      <c r="DR4" s="41" t="s">
        <v>2286</v>
      </c>
      <c r="DT4" s="41" t="s">
        <v>121</v>
      </c>
      <c r="DU4" s="41" t="s">
        <v>2287</v>
      </c>
      <c r="DV4" s="41" t="s">
        <v>2288</v>
      </c>
      <c r="DW4" s="41" t="s">
        <v>2289</v>
      </c>
      <c r="DX4" s="41" t="s">
        <v>2246</v>
      </c>
      <c r="DY4" s="41" t="s">
        <v>2247</v>
      </c>
      <c r="DZ4" s="41">
        <v>628</v>
      </c>
      <c r="EB4" s="41" t="s">
        <v>2290</v>
      </c>
      <c r="EC4" s="41" t="s">
        <v>1995</v>
      </c>
      <c r="ED4" s="41" t="s">
        <v>2249</v>
      </c>
      <c r="EE4" s="41" t="s">
        <v>616</v>
      </c>
      <c r="EF4" s="41" t="s">
        <v>2291</v>
      </c>
      <c r="EG4" s="41">
        <v>1230</v>
      </c>
      <c r="EH4" s="41">
        <v>1360</v>
      </c>
      <c r="EI4" s="41">
        <v>1470</v>
      </c>
      <c r="EJ4" s="41">
        <v>1470</v>
      </c>
      <c r="EL4" s="41" t="s">
        <v>2292</v>
      </c>
      <c r="EM4" s="41" t="s">
        <v>1995</v>
      </c>
      <c r="EN4" s="41" t="s">
        <v>2249</v>
      </c>
      <c r="EO4" s="41">
        <v>1</v>
      </c>
      <c r="EP4" s="41" t="s">
        <v>2252</v>
      </c>
      <c r="EQ4" s="41" t="s">
        <v>2293</v>
      </c>
      <c r="ER4" s="41" t="s">
        <v>2294</v>
      </c>
      <c r="ES4" s="41">
        <v>11880</v>
      </c>
      <c r="ET4" s="41">
        <v>13130</v>
      </c>
      <c r="EU4" s="41">
        <v>14180</v>
      </c>
      <c r="EV4" s="41">
        <v>14180</v>
      </c>
      <c r="EX4" s="41" t="s">
        <v>582</v>
      </c>
      <c r="EY4" s="41" t="s">
        <v>2256</v>
      </c>
      <c r="EZ4" s="41" t="s">
        <v>25</v>
      </c>
      <c r="FA4" s="41" t="s">
        <v>2257</v>
      </c>
      <c r="FC4" s="41" t="s">
        <v>125</v>
      </c>
      <c r="FD4" s="41">
        <v>0</v>
      </c>
      <c r="FE4" s="41">
        <v>0</v>
      </c>
      <c r="FF4" s="41">
        <v>0</v>
      </c>
      <c r="FG4" s="41">
        <v>0</v>
      </c>
      <c r="FH4" s="41">
        <v>0</v>
      </c>
      <c r="FI4" s="41">
        <v>0</v>
      </c>
      <c r="FJ4" s="41">
        <v>0</v>
      </c>
      <c r="FK4" s="41">
        <v>0</v>
      </c>
      <c r="FL4" s="41">
        <v>0</v>
      </c>
      <c r="FM4" s="41">
        <v>0</v>
      </c>
      <c r="FN4" s="41">
        <v>0</v>
      </c>
      <c r="FO4" s="41">
        <v>0</v>
      </c>
      <c r="FP4" s="41">
        <v>0</v>
      </c>
      <c r="FQ4" s="41">
        <v>0</v>
      </c>
      <c r="FR4" s="41">
        <v>0</v>
      </c>
      <c r="FS4" s="41">
        <v>0</v>
      </c>
      <c r="FT4" s="41">
        <v>0</v>
      </c>
      <c r="FU4" s="41">
        <v>0</v>
      </c>
      <c r="FV4" s="41">
        <v>0</v>
      </c>
      <c r="FW4" s="41">
        <v>0</v>
      </c>
      <c r="FX4" s="41">
        <v>0</v>
      </c>
      <c r="FY4" s="41">
        <v>0</v>
      </c>
      <c r="FZ4" s="41">
        <v>0</v>
      </c>
      <c r="GA4" s="41">
        <v>0</v>
      </c>
      <c r="GB4" s="41">
        <v>0</v>
      </c>
      <c r="GD4" s="41" t="s">
        <v>2258</v>
      </c>
      <c r="GE4" s="41" t="s">
        <v>2259</v>
      </c>
      <c r="GF4" s="41" t="s">
        <v>82</v>
      </c>
      <c r="GG4" s="41" t="s">
        <v>125</v>
      </c>
      <c r="GH4" s="41">
        <v>0</v>
      </c>
      <c r="GI4" s="41">
        <v>0</v>
      </c>
      <c r="GJ4" s="41">
        <v>0</v>
      </c>
      <c r="GK4" s="41">
        <v>0</v>
      </c>
      <c r="GL4" s="41">
        <v>0</v>
      </c>
      <c r="GM4" s="41">
        <v>0</v>
      </c>
      <c r="GN4" s="41">
        <v>1</v>
      </c>
      <c r="GO4" s="41" t="s">
        <v>2280</v>
      </c>
      <c r="GP4" s="41" t="s">
        <v>82</v>
      </c>
      <c r="GQ4" s="41">
        <v>26</v>
      </c>
      <c r="GR4" s="41" t="s">
        <v>2261</v>
      </c>
      <c r="GS4" s="41" t="s">
        <v>2262</v>
      </c>
      <c r="HA4" s="41" t="s">
        <v>2295</v>
      </c>
      <c r="HB4" s="41" t="s">
        <v>82</v>
      </c>
      <c r="HC4" s="41" t="s">
        <v>2296</v>
      </c>
      <c r="HD4" s="41" t="s">
        <v>38</v>
      </c>
      <c r="HE4" s="41">
        <v>0</v>
      </c>
      <c r="HF4" s="41">
        <v>2</v>
      </c>
      <c r="HG4" s="41">
        <v>1</v>
      </c>
      <c r="HH4" s="41">
        <v>0.25</v>
      </c>
      <c r="HI4" s="41">
        <v>1</v>
      </c>
      <c r="HJ4" s="41">
        <v>1.75</v>
      </c>
    </row>
    <row r="5" ht="15" customHeight="1" spans="1:218" x14ac:dyDescent="0.25">
      <c r="A5" t="s">
        <v>2264</v>
      </c>
      <c r="B5">
        <v>3</v>
      </c>
      <c r="C5">
        <v>3</v>
      </c>
      <c r="D5">
        <v>3.75</v>
      </c>
      <c r="AZ5" t="s">
        <v>85</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t="s">
        <v>898</v>
      </c>
      <c r="CQ5" t="s">
        <v>2297</v>
      </c>
      <c r="CR5" t="s">
        <v>82</v>
      </c>
      <c r="CS5" t="s">
        <v>298</v>
      </c>
      <c r="CT5" t="s">
        <v>297</v>
      </c>
      <c r="CU5" t="s">
        <v>81</v>
      </c>
      <c r="CV5" t="s">
        <v>274</v>
      </c>
      <c r="CW5">
        <v>7.69</v>
      </c>
      <c r="CX5">
        <v>1</v>
      </c>
      <c r="CY5">
        <v>1</v>
      </c>
      <c r="CZ5">
        <v>1</v>
      </c>
      <c r="DA5">
        <v>410.5</v>
      </c>
      <c r="DB5">
        <v>1</v>
      </c>
      <c r="DC5">
        <v>1</v>
      </c>
      <c r="DD5">
        <v>1</v>
      </c>
      <c r="DE5">
        <v>1</v>
      </c>
      <c r="DG5" t="s">
        <v>2298</v>
      </c>
      <c r="DH5" t="s">
        <v>82</v>
      </c>
      <c r="DI5" t="s">
        <v>679</v>
      </c>
      <c r="DJ5" t="s">
        <v>680</v>
      </c>
      <c r="DK5" t="s">
        <v>668</v>
      </c>
      <c r="DL5">
        <v>100</v>
      </c>
      <c r="DM5" t="s">
        <v>670</v>
      </c>
      <c r="DN5" t="s">
        <v>670</v>
      </c>
      <c r="DO5">
        <v>4</v>
      </c>
      <c r="DP5">
        <v>785.12</v>
      </c>
      <c r="DQ5">
        <v>785.12</v>
      </c>
      <c r="DR5" t="s">
        <v>2299</v>
      </c>
      <c r="DT5" t="s">
        <v>121</v>
      </c>
      <c r="DU5" t="s">
        <v>2300</v>
      </c>
      <c r="DV5" t="s">
        <v>2301</v>
      </c>
      <c r="DW5" t="s">
        <v>2302</v>
      </c>
      <c r="DX5" t="s">
        <v>2246</v>
      </c>
      <c r="DY5" t="s">
        <v>2247</v>
      </c>
      <c r="DZ5">
        <v>407</v>
      </c>
      <c r="EB5" t="s">
        <v>2303</v>
      </c>
      <c r="EC5" t="s">
        <v>1995</v>
      </c>
      <c r="ED5" t="s">
        <v>2249</v>
      </c>
      <c r="EE5" t="s">
        <v>614</v>
      </c>
      <c r="EF5" t="s">
        <v>2304</v>
      </c>
      <c r="EG5">
        <v>730</v>
      </c>
      <c r="EH5">
        <v>800</v>
      </c>
      <c r="EI5">
        <v>870</v>
      </c>
      <c r="EJ5">
        <v>870</v>
      </c>
      <c r="EL5" t="s">
        <v>2305</v>
      </c>
      <c r="EM5" t="s">
        <v>1995</v>
      </c>
      <c r="EN5" t="s">
        <v>2249</v>
      </c>
      <c r="EO5">
        <v>1</v>
      </c>
      <c r="EP5" t="s">
        <v>2276</v>
      </c>
      <c r="EQ5" t="s">
        <v>2306</v>
      </c>
      <c r="ER5" t="s">
        <v>2307</v>
      </c>
      <c r="ES5">
        <v>12460</v>
      </c>
      <c r="ET5">
        <v>16450</v>
      </c>
      <c r="EU5">
        <v>17940</v>
      </c>
      <c r="EV5">
        <v>17940</v>
      </c>
      <c r="EX5" t="s">
        <v>2308</v>
      </c>
      <c r="EY5" t="s">
        <v>2256</v>
      </c>
      <c r="EZ5" t="s">
        <v>25</v>
      </c>
      <c r="FA5" t="s">
        <v>2257</v>
      </c>
      <c r="FC5" t="s">
        <v>85</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D5" t="s">
        <v>2258</v>
      </c>
      <c r="GE5" t="s">
        <v>2259</v>
      </c>
      <c r="GF5" t="s">
        <v>82</v>
      </c>
      <c r="GG5" t="s">
        <v>85</v>
      </c>
      <c r="GH5">
        <v>0</v>
      </c>
      <c r="GI5">
        <v>0</v>
      </c>
      <c r="GJ5">
        <v>0</v>
      </c>
      <c r="GK5">
        <v>0</v>
      </c>
      <c r="GL5">
        <v>0</v>
      </c>
      <c r="GM5">
        <v>0</v>
      </c>
      <c r="GN5">
        <v>1</v>
      </c>
      <c r="GO5" t="s">
        <v>2280</v>
      </c>
      <c r="GP5" t="s">
        <v>82</v>
      </c>
      <c r="GQ5">
        <v>26</v>
      </c>
      <c r="GR5" t="s">
        <v>2261</v>
      </c>
      <c r="GS5" t="s">
        <v>2262</v>
      </c>
      <c r="HA5" t="s">
        <v>2309</v>
      </c>
      <c r="HB5" t="s">
        <v>82</v>
      </c>
      <c r="HC5" t="s">
        <v>2310</v>
      </c>
      <c r="HD5" t="s">
        <v>39</v>
      </c>
      <c r="HE5">
        <v>2</v>
      </c>
      <c r="HF5">
        <v>5</v>
      </c>
      <c r="HG5">
        <v>2.8846153846153846</v>
      </c>
      <c r="HH5">
        <v>2.5</v>
      </c>
      <c r="HI5">
        <v>3</v>
      </c>
      <c r="HJ5">
        <v>3</v>
      </c>
    </row>
    <row r="6" ht="15" customHeight="1" spans="1:218" x14ac:dyDescent="0.25">
      <c r="A6" t="s">
        <v>2282</v>
      </c>
      <c r="B6">
        <v>2</v>
      </c>
      <c r="C6">
        <v>2</v>
      </c>
      <c r="D6">
        <v>3</v>
      </c>
      <c r="AZ6" t="s">
        <v>86</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t="s">
        <v>898</v>
      </c>
      <c r="CQ6" t="s">
        <v>2311</v>
      </c>
      <c r="CR6" t="s">
        <v>82</v>
      </c>
      <c r="CS6" t="s">
        <v>620</v>
      </c>
      <c r="CT6" t="s">
        <v>2250</v>
      </c>
      <c r="CU6" t="s">
        <v>81</v>
      </c>
      <c r="CV6" t="s">
        <v>285</v>
      </c>
      <c r="CW6">
        <v>96.15</v>
      </c>
      <c r="CX6">
        <v>1</v>
      </c>
      <c r="CY6">
        <v>1</v>
      </c>
      <c r="CZ6">
        <v>1</v>
      </c>
      <c r="DA6">
        <v>430</v>
      </c>
      <c r="DB6">
        <v>360</v>
      </c>
      <c r="DC6">
        <v>400</v>
      </c>
      <c r="DD6">
        <v>430</v>
      </c>
      <c r="DE6">
        <v>430</v>
      </c>
      <c r="DG6" t="s">
        <v>2312</v>
      </c>
      <c r="DH6" t="s">
        <v>82</v>
      </c>
      <c r="DI6" t="s">
        <v>685</v>
      </c>
      <c r="DJ6" t="s">
        <v>686</v>
      </c>
      <c r="DK6" t="s">
        <v>668</v>
      </c>
      <c r="DL6">
        <v>100</v>
      </c>
      <c r="DM6" t="s">
        <v>670</v>
      </c>
      <c r="DN6" t="s">
        <v>669</v>
      </c>
      <c r="DO6">
        <v>0</v>
      </c>
      <c r="DP6">
        <v>0</v>
      </c>
      <c r="DQ6">
        <v>44.75</v>
      </c>
      <c r="DR6" t="s">
        <v>2313</v>
      </c>
      <c r="DT6" t="s">
        <v>125</v>
      </c>
      <c r="DU6" t="s">
        <v>2314</v>
      </c>
      <c r="DV6" t="s">
        <v>2315</v>
      </c>
      <c r="DW6" t="s">
        <v>2316</v>
      </c>
      <c r="DX6" t="s">
        <v>2317</v>
      </c>
      <c r="DY6" t="s">
        <v>2318</v>
      </c>
      <c r="DZ6">
        <v>849</v>
      </c>
      <c r="EB6" t="s">
        <v>2319</v>
      </c>
      <c r="EC6" t="s">
        <v>1995</v>
      </c>
      <c r="ED6" t="s">
        <v>2249</v>
      </c>
      <c r="EE6" t="s">
        <v>612</v>
      </c>
      <c r="EF6" t="s">
        <v>2320</v>
      </c>
      <c r="EG6">
        <v>360</v>
      </c>
      <c r="EH6">
        <v>400</v>
      </c>
      <c r="EI6">
        <v>430</v>
      </c>
      <c r="EJ6">
        <v>430</v>
      </c>
      <c r="EL6" t="s">
        <v>2321</v>
      </c>
      <c r="EM6" t="s">
        <v>1995</v>
      </c>
      <c r="EN6" t="s">
        <v>2249</v>
      </c>
      <c r="EO6">
        <v>1.5</v>
      </c>
      <c r="EP6" t="s">
        <v>2252</v>
      </c>
      <c r="EQ6" t="s">
        <v>2322</v>
      </c>
      <c r="ER6" t="s">
        <v>2323</v>
      </c>
      <c r="ES6">
        <v>17720</v>
      </c>
      <c r="ET6">
        <v>19570</v>
      </c>
      <c r="EU6">
        <v>21150</v>
      </c>
      <c r="EV6">
        <v>21150</v>
      </c>
      <c r="EX6" t="s">
        <v>2324</v>
      </c>
      <c r="EY6" t="s">
        <v>2256</v>
      </c>
      <c r="EZ6" t="s">
        <v>25</v>
      </c>
      <c r="FA6" t="s">
        <v>2257</v>
      </c>
      <c r="FC6" t="s">
        <v>86</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D6" t="s">
        <v>2258</v>
      </c>
      <c r="GE6" t="s">
        <v>2259</v>
      </c>
      <c r="GF6" t="s">
        <v>82</v>
      </c>
      <c r="GG6" t="s">
        <v>86</v>
      </c>
      <c r="GH6">
        <v>0</v>
      </c>
      <c r="GI6">
        <v>0</v>
      </c>
      <c r="GJ6">
        <v>0</v>
      </c>
      <c r="GK6">
        <v>0</v>
      </c>
      <c r="GL6">
        <v>0</v>
      </c>
      <c r="GM6">
        <v>0</v>
      </c>
      <c r="GN6">
        <v>1</v>
      </c>
      <c r="GO6" t="s">
        <v>2280</v>
      </c>
      <c r="GP6" t="s">
        <v>82</v>
      </c>
      <c r="GQ6">
        <v>26</v>
      </c>
      <c r="GR6" t="s">
        <v>2261</v>
      </c>
      <c r="GS6" t="s">
        <v>2262</v>
      </c>
      <c r="HA6" t="s">
        <v>2325</v>
      </c>
      <c r="HB6" t="s">
        <v>82</v>
      </c>
      <c r="HC6" t="s">
        <v>2326</v>
      </c>
      <c r="HD6" t="s">
        <v>143</v>
      </c>
      <c r="HE6">
        <v>33</v>
      </c>
      <c r="HF6">
        <v>46</v>
      </c>
      <c r="HG6">
        <v>38.84615384615385</v>
      </c>
      <c r="HH6">
        <v>36.25</v>
      </c>
      <c r="HI6">
        <v>39</v>
      </c>
      <c r="HJ6">
        <v>41</v>
      </c>
    </row>
    <row r="7" ht="15" customHeight="1" spans="1:218" x14ac:dyDescent="0.25">
      <c r="A7" t="s">
        <v>2296</v>
      </c>
      <c r="B7">
        <v>0.25</v>
      </c>
      <c r="C7">
        <v>1</v>
      </c>
      <c r="D7">
        <v>1.75</v>
      </c>
      <c r="AZ7" t="s">
        <v>87</v>
      </c>
      <c r="BA7">
        <v>26</v>
      </c>
      <c r="BB7">
        <v>26</v>
      </c>
      <c r="BC7">
        <v>0</v>
      </c>
      <c r="BD7">
        <v>0</v>
      </c>
      <c r="BE7">
        <v>0</v>
      </c>
      <c r="BF7">
        <v>3</v>
      </c>
      <c r="BG7">
        <v>3</v>
      </c>
      <c r="BH7">
        <v>3.75</v>
      </c>
      <c r="BI7">
        <v>2</v>
      </c>
      <c r="BJ7">
        <v>2</v>
      </c>
      <c r="BK7">
        <v>3</v>
      </c>
      <c r="BL7">
        <v>0.25</v>
      </c>
      <c r="BM7">
        <v>1</v>
      </c>
      <c r="BN7">
        <v>1.75</v>
      </c>
      <c r="BO7">
        <v>2.5</v>
      </c>
      <c r="BP7">
        <v>3</v>
      </c>
      <c r="BQ7">
        <v>3</v>
      </c>
      <c r="BR7">
        <v>36.25</v>
      </c>
      <c r="BS7">
        <v>39</v>
      </c>
      <c r="BT7">
        <v>41</v>
      </c>
      <c r="BU7">
        <v>7802.504999999999</v>
      </c>
      <c r="BV7">
        <v>9060.435</v>
      </c>
      <c r="BW7">
        <v>10629.0975</v>
      </c>
      <c r="BX7">
        <v>9677.2125</v>
      </c>
      <c r="BY7">
        <v>10711.305</v>
      </c>
      <c r="BZ7">
        <v>11936.6175</v>
      </c>
      <c r="CA7">
        <v>8468.852499999999</v>
      </c>
      <c r="CB7">
        <v>9439.535</v>
      </c>
      <c r="CC7">
        <v>11143.7</v>
      </c>
      <c r="CD7">
        <v>66040.54</v>
      </c>
      <c r="CE7">
        <v>72382.9</v>
      </c>
      <c r="CF7">
        <v>107563.63</v>
      </c>
      <c r="CG7">
        <v>89130.07750000001</v>
      </c>
      <c r="CH7">
        <v>89130.16</v>
      </c>
      <c r="CI7">
        <v>98838.05</v>
      </c>
      <c r="CJ7">
        <v>2380.9435416666665</v>
      </c>
      <c r="CK7">
        <v>2855.3187500000004</v>
      </c>
      <c r="CL7">
        <v>3198.258</v>
      </c>
      <c r="CM7">
        <v>3059.8</v>
      </c>
      <c r="CN7">
        <v>3428.828333333333</v>
      </c>
      <c r="CO7">
        <v>3617.71</v>
      </c>
      <c r="CP7" t="s">
        <v>898</v>
      </c>
      <c r="CQ7" t="s">
        <v>2327</v>
      </c>
      <c r="CR7" t="s">
        <v>82</v>
      </c>
      <c r="CS7" t="s">
        <v>618</v>
      </c>
      <c r="CT7" t="s">
        <v>2274</v>
      </c>
      <c r="CU7" t="s">
        <v>81</v>
      </c>
      <c r="CV7" t="s">
        <v>285</v>
      </c>
      <c r="CW7">
        <v>96.15</v>
      </c>
      <c r="CX7">
        <v>1</v>
      </c>
      <c r="CY7">
        <v>1</v>
      </c>
      <c r="CZ7">
        <v>1</v>
      </c>
      <c r="DA7">
        <v>800</v>
      </c>
      <c r="DB7">
        <v>580</v>
      </c>
      <c r="DC7">
        <v>660</v>
      </c>
      <c r="DD7">
        <v>760</v>
      </c>
      <c r="DE7">
        <v>800</v>
      </c>
      <c r="DG7" t="s">
        <v>2328</v>
      </c>
      <c r="DH7" t="s">
        <v>82</v>
      </c>
      <c r="DI7" t="s">
        <v>690</v>
      </c>
      <c r="DJ7" t="s">
        <v>691</v>
      </c>
      <c r="DK7" t="s">
        <v>692</v>
      </c>
      <c r="DL7">
        <v>100</v>
      </c>
      <c r="DM7" t="s">
        <v>669</v>
      </c>
      <c r="DN7" t="s">
        <v>670</v>
      </c>
      <c r="DO7">
        <v>1</v>
      </c>
      <c r="DP7">
        <v>913</v>
      </c>
      <c r="DQ7">
        <v>913</v>
      </c>
      <c r="DR7" t="s">
        <v>2329</v>
      </c>
      <c r="DT7" t="s">
        <v>125</v>
      </c>
      <c r="DU7" t="s">
        <v>2330</v>
      </c>
      <c r="DV7" t="s">
        <v>2331</v>
      </c>
      <c r="DW7" t="s">
        <v>2332</v>
      </c>
      <c r="DX7" t="s">
        <v>2333</v>
      </c>
      <c r="DY7" t="s">
        <v>2334</v>
      </c>
      <c r="DZ7">
        <v>719</v>
      </c>
      <c r="EB7" t="s">
        <v>2335</v>
      </c>
      <c r="EC7" t="s">
        <v>1995</v>
      </c>
      <c r="ED7" t="s">
        <v>2249</v>
      </c>
      <c r="EE7" t="s">
        <v>610</v>
      </c>
      <c r="EF7" t="s">
        <v>2336</v>
      </c>
      <c r="EG7">
        <v>480</v>
      </c>
      <c r="EH7">
        <v>530</v>
      </c>
      <c r="EI7">
        <v>570</v>
      </c>
      <c r="EJ7">
        <v>570</v>
      </c>
      <c r="EL7" t="s">
        <v>2337</v>
      </c>
      <c r="EM7" t="s">
        <v>1995</v>
      </c>
      <c r="EN7" t="s">
        <v>2249</v>
      </c>
      <c r="EO7">
        <v>1.5</v>
      </c>
      <c r="EP7" t="s">
        <v>2276</v>
      </c>
      <c r="EQ7" t="s">
        <v>2338</v>
      </c>
      <c r="ER7" t="s">
        <v>2339</v>
      </c>
      <c r="ES7">
        <v>18570</v>
      </c>
      <c r="ET7">
        <v>24510</v>
      </c>
      <c r="EU7">
        <v>26740</v>
      </c>
      <c r="EV7">
        <v>26740</v>
      </c>
      <c r="EX7" t="s">
        <v>601</v>
      </c>
      <c r="EY7" t="s">
        <v>2256</v>
      </c>
      <c r="EZ7" t="s">
        <v>25</v>
      </c>
      <c r="FA7" t="s">
        <v>2257</v>
      </c>
      <c r="FC7" t="s">
        <v>87</v>
      </c>
      <c r="FD7">
        <v>26</v>
      </c>
      <c r="FE7">
        <v>96442</v>
      </c>
      <c r="FF7">
        <v>98192</v>
      </c>
      <c r="FG7">
        <v>99817</v>
      </c>
      <c r="FH7">
        <v>95562</v>
      </c>
      <c r="FI7">
        <v>97062</v>
      </c>
      <c r="FJ7">
        <v>98562</v>
      </c>
      <c r="FK7">
        <v>880</v>
      </c>
      <c r="FL7">
        <v>880</v>
      </c>
      <c r="FM7">
        <v>880</v>
      </c>
      <c r="FN7">
        <v>65000</v>
      </c>
      <c r="FO7">
        <v>65000</v>
      </c>
      <c r="FP7">
        <v>65000</v>
      </c>
      <c r="FQ7">
        <v>9750</v>
      </c>
      <c r="FR7">
        <v>9750</v>
      </c>
      <c r="FS7">
        <v>9750</v>
      </c>
      <c r="FT7">
        <v>16750</v>
      </c>
      <c r="FU7">
        <v>16750</v>
      </c>
      <c r="FV7">
        <v>16750</v>
      </c>
      <c r="FW7">
        <v>4062</v>
      </c>
      <c r="FX7">
        <v>4062</v>
      </c>
      <c r="FY7">
        <v>4062</v>
      </c>
      <c r="FZ7">
        <v>0</v>
      </c>
      <c r="GA7">
        <v>1500</v>
      </c>
      <c r="GB7">
        <v>3000</v>
      </c>
      <c r="GC7" t="s">
        <v>2106</v>
      </c>
      <c r="GD7" t="s">
        <v>2258</v>
      </c>
      <c r="GE7" t="s">
        <v>2259</v>
      </c>
      <c r="GF7" t="s">
        <v>82</v>
      </c>
      <c r="GG7" t="s">
        <v>87</v>
      </c>
      <c r="GH7">
        <v>26</v>
      </c>
      <c r="GI7">
        <v>36.25</v>
      </c>
      <c r="GJ7">
        <v>39</v>
      </c>
      <c r="GK7">
        <v>41</v>
      </c>
      <c r="GL7">
        <v>0.1218</v>
      </c>
      <c r="GM7">
        <v>39</v>
      </c>
      <c r="GN7">
        <v>0</v>
      </c>
      <c r="GO7" t="s">
        <v>2340</v>
      </c>
      <c r="GP7" t="s">
        <v>82</v>
      </c>
      <c r="GQ7">
        <v>26</v>
      </c>
      <c r="GR7" t="s">
        <v>2261</v>
      </c>
      <c r="GS7" t="s">
        <v>2262</v>
      </c>
      <c r="HA7" t="s">
        <v>2341</v>
      </c>
      <c r="HB7" t="s">
        <v>82</v>
      </c>
      <c r="HC7" t="s">
        <v>2342</v>
      </c>
      <c r="HD7" t="s">
        <v>79</v>
      </c>
      <c r="HE7">
        <v>31220</v>
      </c>
      <c r="HF7">
        <v>77056</v>
      </c>
      <c r="HG7">
        <v>47079</v>
      </c>
      <c r="HH7">
        <v>41910</v>
      </c>
      <c r="HI7">
        <v>45064</v>
      </c>
      <c r="HJ7">
        <v>54051</v>
      </c>
    </row>
    <row r="8" ht="15" customHeight="1" spans="1:218" x14ac:dyDescent="0.25">
      <c r="A8" t="s">
        <v>2310</v>
      </c>
      <c r="B8">
        <v>2.5</v>
      </c>
      <c r="C8">
        <v>3</v>
      </c>
      <c r="D8">
        <v>3</v>
      </c>
      <c r="CQ8" t="s">
        <v>2343</v>
      </c>
      <c r="CR8" t="s">
        <v>82</v>
      </c>
      <c r="CS8" t="s">
        <v>616</v>
      </c>
      <c r="CT8" t="s">
        <v>2291</v>
      </c>
      <c r="CU8" t="s">
        <v>81</v>
      </c>
      <c r="CV8" t="s">
        <v>285</v>
      </c>
      <c r="CW8">
        <v>100</v>
      </c>
      <c r="CX8">
        <v>1</v>
      </c>
      <c r="CY8">
        <v>1</v>
      </c>
      <c r="CZ8">
        <v>1</v>
      </c>
      <c r="DA8">
        <v>1470</v>
      </c>
      <c r="DB8">
        <v>1230</v>
      </c>
      <c r="DC8">
        <v>1360</v>
      </c>
      <c r="DD8">
        <v>1470</v>
      </c>
      <c r="DE8">
        <v>1470</v>
      </c>
      <c r="DG8" t="s">
        <v>2344</v>
      </c>
      <c r="DH8" t="s">
        <v>82</v>
      </c>
      <c r="DI8" t="s">
        <v>696</v>
      </c>
      <c r="DJ8" t="s">
        <v>697</v>
      </c>
      <c r="DK8" t="s">
        <v>692</v>
      </c>
      <c r="DL8">
        <v>100</v>
      </c>
      <c r="DM8" t="s">
        <v>669</v>
      </c>
      <c r="DN8" t="s">
        <v>670</v>
      </c>
      <c r="DO8">
        <v>1</v>
      </c>
      <c r="DP8">
        <v>61.88</v>
      </c>
      <c r="DQ8">
        <v>61.88</v>
      </c>
      <c r="DR8" t="s">
        <v>2345</v>
      </c>
      <c r="DT8" t="s">
        <v>125</v>
      </c>
      <c r="DU8" t="s">
        <v>2346</v>
      </c>
      <c r="DV8" t="s">
        <v>2347</v>
      </c>
      <c r="DW8" t="s">
        <v>2348</v>
      </c>
      <c r="DX8" t="s">
        <v>2349</v>
      </c>
      <c r="DY8" t="s">
        <v>2350</v>
      </c>
      <c r="DZ8">
        <v>535</v>
      </c>
      <c r="EB8" t="s">
        <v>2351</v>
      </c>
      <c r="EC8" t="s">
        <v>1995</v>
      </c>
      <c r="ED8" t="s">
        <v>2249</v>
      </c>
      <c r="EE8" t="s">
        <v>608</v>
      </c>
      <c r="EF8" t="s">
        <v>2352</v>
      </c>
      <c r="EG8">
        <v>980</v>
      </c>
      <c r="EH8">
        <v>1080</v>
      </c>
      <c r="EI8">
        <v>1170</v>
      </c>
      <c r="EJ8">
        <v>1170</v>
      </c>
      <c r="EL8" t="s">
        <v>2353</v>
      </c>
      <c r="EM8" t="s">
        <v>1995</v>
      </c>
      <c r="EN8" t="s">
        <v>2249</v>
      </c>
      <c r="EO8">
        <v>2</v>
      </c>
      <c r="EP8" t="s">
        <v>2252</v>
      </c>
      <c r="EQ8" t="s">
        <v>2354</v>
      </c>
      <c r="ER8" t="s">
        <v>2355</v>
      </c>
      <c r="ES8">
        <v>22890</v>
      </c>
      <c r="ET8">
        <v>25290</v>
      </c>
      <c r="EU8">
        <v>27320</v>
      </c>
      <c r="EV8">
        <v>27320</v>
      </c>
      <c r="EX8" t="s">
        <v>2356</v>
      </c>
      <c r="EY8" t="s">
        <v>2256</v>
      </c>
      <c r="EZ8" t="s">
        <v>25</v>
      </c>
      <c r="FA8" t="s">
        <v>2257</v>
      </c>
      <c r="GD8" t="s">
        <v>2357</v>
      </c>
      <c r="GE8" t="s">
        <v>2358</v>
      </c>
      <c r="GF8" t="s">
        <v>82</v>
      </c>
      <c r="GG8" t="s">
        <v>82</v>
      </c>
      <c r="GH8">
        <v>26</v>
      </c>
      <c r="GI8">
        <v>7802.505</v>
      </c>
      <c r="GJ8">
        <v>9060.435</v>
      </c>
      <c r="GK8">
        <v>10629.097</v>
      </c>
      <c r="GL8">
        <v>0.312</v>
      </c>
      <c r="GM8">
        <v>9060.435</v>
      </c>
      <c r="GN8">
        <v>0</v>
      </c>
      <c r="GO8" t="s">
        <v>2260</v>
      </c>
      <c r="GP8" t="s">
        <v>82</v>
      </c>
      <c r="GQ8">
        <v>26</v>
      </c>
      <c r="GR8" t="s">
        <v>2261</v>
      </c>
      <c r="GS8" t="s">
        <v>2359</v>
      </c>
      <c r="HA8" t="s">
        <v>2360</v>
      </c>
      <c r="HB8" t="s">
        <v>82</v>
      </c>
      <c r="HC8" t="s">
        <v>2361</v>
      </c>
      <c r="HD8" t="s">
        <v>144</v>
      </c>
      <c r="HE8">
        <v>10406.666666666666</v>
      </c>
      <c r="HF8">
        <v>18842.666666666668</v>
      </c>
      <c r="HG8">
        <v>14285.520512820514</v>
      </c>
      <c r="HH8">
        <v>13042.666666666666</v>
      </c>
      <c r="HI8">
        <v>13970</v>
      </c>
      <c r="HJ8">
        <v>15021.333333333334</v>
      </c>
    </row>
    <row r="9" ht="15" customHeight="1" spans="95:218" x14ac:dyDescent="0.25">
      <c r="CQ9" t="s">
        <v>2362</v>
      </c>
      <c r="CR9" t="s">
        <v>82</v>
      </c>
      <c r="CS9" t="s">
        <v>614</v>
      </c>
      <c r="CT9" t="s">
        <v>2304</v>
      </c>
      <c r="CU9" t="s">
        <v>81</v>
      </c>
      <c r="CV9" t="s">
        <v>285</v>
      </c>
      <c r="CW9">
        <v>76.92</v>
      </c>
      <c r="CX9">
        <v>1</v>
      </c>
      <c r="CY9">
        <v>1</v>
      </c>
      <c r="CZ9">
        <v>1</v>
      </c>
      <c r="DA9">
        <v>870</v>
      </c>
      <c r="DB9">
        <v>730</v>
      </c>
      <c r="DC9">
        <v>800</v>
      </c>
      <c r="DD9">
        <v>870</v>
      </c>
      <c r="DE9">
        <v>870</v>
      </c>
      <c r="DG9" t="s">
        <v>2363</v>
      </c>
      <c r="DH9" t="s">
        <v>82</v>
      </c>
      <c r="DI9" t="s">
        <v>699</v>
      </c>
      <c r="DJ9" t="s">
        <v>700</v>
      </c>
      <c r="DK9" t="s">
        <v>692</v>
      </c>
      <c r="DL9">
        <v>100</v>
      </c>
      <c r="DM9" t="s">
        <v>670</v>
      </c>
      <c r="DN9" t="s">
        <v>670</v>
      </c>
      <c r="DO9">
        <v>3</v>
      </c>
      <c r="DP9">
        <v>105</v>
      </c>
      <c r="DQ9">
        <v>105</v>
      </c>
      <c r="DR9" t="s">
        <v>2364</v>
      </c>
      <c r="DT9" t="s">
        <v>125</v>
      </c>
      <c r="DU9" t="s">
        <v>2365</v>
      </c>
      <c r="DV9" t="s">
        <v>2366</v>
      </c>
      <c r="DW9" t="s">
        <v>2367</v>
      </c>
      <c r="DX9" t="s">
        <v>2368</v>
      </c>
      <c r="DY9" t="s">
        <v>2369</v>
      </c>
      <c r="DZ9">
        <v>427</v>
      </c>
      <c r="EB9" t="s">
        <v>2370</v>
      </c>
      <c r="EC9" t="s">
        <v>1995</v>
      </c>
      <c r="ED9" t="s">
        <v>2249</v>
      </c>
      <c r="EE9" t="s">
        <v>606</v>
      </c>
      <c r="EF9" t="s">
        <v>2371</v>
      </c>
      <c r="EG9">
        <v>740</v>
      </c>
      <c r="EH9">
        <v>820</v>
      </c>
      <c r="EI9">
        <v>880</v>
      </c>
      <c r="EJ9">
        <v>880</v>
      </c>
      <c r="EL9" t="s">
        <v>2372</v>
      </c>
      <c r="EM9" t="s">
        <v>1995</v>
      </c>
      <c r="EN9" t="s">
        <v>2249</v>
      </c>
      <c r="EO9">
        <v>2</v>
      </c>
      <c r="EP9" t="s">
        <v>2276</v>
      </c>
      <c r="EQ9" t="s">
        <v>2373</v>
      </c>
      <c r="ER9" t="s">
        <v>2374</v>
      </c>
      <c r="ES9">
        <v>23980</v>
      </c>
      <c r="ET9">
        <v>31650</v>
      </c>
      <c r="EU9">
        <v>34530</v>
      </c>
      <c r="EV9">
        <v>34530</v>
      </c>
      <c r="EX9" t="s">
        <v>261</v>
      </c>
      <c r="EY9" t="s">
        <v>2256</v>
      </c>
      <c r="EZ9" t="s">
        <v>25</v>
      </c>
      <c r="FA9" t="s">
        <v>2257</v>
      </c>
      <c r="GD9" t="s">
        <v>2357</v>
      </c>
      <c r="GE9" t="s">
        <v>2358</v>
      </c>
      <c r="GF9" t="s">
        <v>82</v>
      </c>
      <c r="GG9" t="s">
        <v>121</v>
      </c>
      <c r="GH9">
        <v>0</v>
      </c>
      <c r="GI9">
        <v>0</v>
      </c>
      <c r="GJ9">
        <v>0</v>
      </c>
      <c r="GK9">
        <v>0</v>
      </c>
      <c r="GL9">
        <v>0</v>
      </c>
      <c r="GM9">
        <v>0</v>
      </c>
      <c r="GN9">
        <v>1</v>
      </c>
      <c r="GO9" t="s">
        <v>2280</v>
      </c>
      <c r="GP9" t="s">
        <v>82</v>
      </c>
      <c r="GQ9">
        <v>26</v>
      </c>
      <c r="GR9" t="s">
        <v>2261</v>
      </c>
      <c r="GS9" t="s">
        <v>2359</v>
      </c>
      <c r="HA9" t="s">
        <v>2375</v>
      </c>
      <c r="HB9" t="s">
        <v>82</v>
      </c>
      <c r="HC9" t="s">
        <v>2376</v>
      </c>
      <c r="HD9" t="s">
        <v>81</v>
      </c>
      <c r="HE9">
        <v>6350</v>
      </c>
      <c r="HF9">
        <v>33830</v>
      </c>
      <c r="HG9">
        <v>15199.26923076923</v>
      </c>
      <c r="HH9">
        <v>9027.5</v>
      </c>
      <c r="HI9">
        <v>15370</v>
      </c>
      <c r="HJ9">
        <v>18402.5</v>
      </c>
    </row>
    <row r="10" ht="15" customHeight="1" spans="1:218" x14ac:dyDescent="0.25">
      <c r="A10" t="s">
        <v>2377</v>
      </c>
      <c r="CQ10" t="s">
        <v>2378</v>
      </c>
      <c r="CR10" t="s">
        <v>82</v>
      </c>
      <c r="CS10" t="s">
        <v>286</v>
      </c>
      <c r="CT10" t="s">
        <v>284</v>
      </c>
      <c r="CU10" t="s">
        <v>81</v>
      </c>
      <c r="CV10" t="s">
        <v>285</v>
      </c>
      <c r="CW10">
        <v>3.85</v>
      </c>
      <c r="CX10">
        <v>1</v>
      </c>
      <c r="CY10">
        <v>1</v>
      </c>
      <c r="CZ10">
        <v>1</v>
      </c>
      <c r="DA10">
        <v>940</v>
      </c>
      <c r="DB10">
        <v>680</v>
      </c>
      <c r="DC10">
        <v>750</v>
      </c>
      <c r="DD10">
        <v>810</v>
      </c>
      <c r="DE10">
        <v>810</v>
      </c>
      <c r="DG10" t="s">
        <v>2379</v>
      </c>
      <c r="DH10" t="s">
        <v>82</v>
      </c>
      <c r="DI10" t="s">
        <v>702</v>
      </c>
      <c r="DJ10" t="s">
        <v>703</v>
      </c>
      <c r="DK10" t="s">
        <v>692</v>
      </c>
      <c r="DL10">
        <v>100</v>
      </c>
      <c r="DM10" t="s">
        <v>669</v>
      </c>
      <c r="DN10" t="s">
        <v>670</v>
      </c>
      <c r="DO10">
        <v>1</v>
      </c>
      <c r="DP10">
        <v>1903</v>
      </c>
      <c r="DQ10">
        <v>1903</v>
      </c>
      <c r="DR10" t="s">
        <v>2380</v>
      </c>
      <c r="DT10" t="s">
        <v>125</v>
      </c>
      <c r="DU10" t="s">
        <v>2381</v>
      </c>
      <c r="DV10" t="s">
        <v>2382</v>
      </c>
      <c r="DW10" t="s">
        <v>2383</v>
      </c>
      <c r="DX10" t="s">
        <v>2384</v>
      </c>
      <c r="DY10" t="s">
        <v>2385</v>
      </c>
      <c r="DZ10">
        <v>426</v>
      </c>
      <c r="EB10" t="s">
        <v>2386</v>
      </c>
      <c r="EC10" t="s">
        <v>1995</v>
      </c>
      <c r="ED10" t="s">
        <v>2249</v>
      </c>
      <c r="EE10" t="s">
        <v>603</v>
      </c>
      <c r="EF10" t="s">
        <v>2387</v>
      </c>
      <c r="EG10">
        <v>350</v>
      </c>
      <c r="EH10">
        <v>350</v>
      </c>
      <c r="EI10">
        <v>350</v>
      </c>
      <c r="EJ10">
        <v>350</v>
      </c>
      <c r="EL10" t="s">
        <v>2388</v>
      </c>
      <c r="EM10" t="s">
        <v>1995</v>
      </c>
      <c r="EN10" t="s">
        <v>2249</v>
      </c>
      <c r="EO10">
        <v>2.5</v>
      </c>
      <c r="EP10" t="s">
        <v>2252</v>
      </c>
      <c r="EQ10" t="s">
        <v>2389</v>
      </c>
      <c r="ER10" t="s">
        <v>2390</v>
      </c>
      <c r="ES10">
        <v>27690</v>
      </c>
      <c r="ET10">
        <v>30590</v>
      </c>
      <c r="EU10">
        <v>33050</v>
      </c>
      <c r="EV10">
        <v>33050</v>
      </c>
      <c r="EX10" t="s">
        <v>2391</v>
      </c>
      <c r="EY10" t="s">
        <v>2256</v>
      </c>
      <c r="EZ10" t="s">
        <v>25</v>
      </c>
      <c r="FA10" t="s">
        <v>2257</v>
      </c>
      <c r="GD10" t="s">
        <v>2357</v>
      </c>
      <c r="GE10" t="s">
        <v>2358</v>
      </c>
      <c r="GF10" t="s">
        <v>82</v>
      </c>
      <c r="GG10" t="s">
        <v>125</v>
      </c>
      <c r="GH10">
        <v>0</v>
      </c>
      <c r="GI10">
        <v>0</v>
      </c>
      <c r="GJ10">
        <v>0</v>
      </c>
      <c r="GK10">
        <v>0</v>
      </c>
      <c r="GL10">
        <v>0</v>
      </c>
      <c r="GM10">
        <v>0</v>
      </c>
      <c r="GN10">
        <v>1</v>
      </c>
      <c r="GO10" t="s">
        <v>2280</v>
      </c>
      <c r="GP10" t="s">
        <v>82</v>
      </c>
      <c r="GQ10">
        <v>26</v>
      </c>
      <c r="GR10" t="s">
        <v>2261</v>
      </c>
      <c r="GS10" t="s">
        <v>2359</v>
      </c>
      <c r="HA10" t="s">
        <v>2392</v>
      </c>
      <c r="HB10" t="s">
        <v>82</v>
      </c>
      <c r="HC10" t="s">
        <v>2393</v>
      </c>
      <c r="HD10" t="s">
        <v>88</v>
      </c>
      <c r="HE10">
        <v>142770</v>
      </c>
      <c r="HF10">
        <v>175340</v>
      </c>
      <c r="HG10">
        <v>157665</v>
      </c>
      <c r="HH10">
        <v>154880</v>
      </c>
      <c r="HI10">
        <v>159090</v>
      </c>
      <c r="HJ10">
        <v>160140</v>
      </c>
    </row>
    <row r="11" ht="15" customHeight="1" spans="1:218" x14ac:dyDescent="0.25">
      <c r="A11" t="s">
        <v>2394</v>
      </c>
      <c r="B11" t="s">
        <v>2236</v>
      </c>
      <c r="C11" t="s">
        <v>2237</v>
      </c>
      <c r="D11" t="s">
        <v>2238</v>
      </c>
      <c r="CQ11" t="s">
        <v>2395</v>
      </c>
      <c r="CR11" t="s">
        <v>82</v>
      </c>
      <c r="CS11" t="s">
        <v>272</v>
      </c>
      <c r="CT11" t="s">
        <v>270</v>
      </c>
      <c r="CU11" t="s">
        <v>81</v>
      </c>
      <c r="CV11" t="s">
        <v>271</v>
      </c>
      <c r="CW11">
        <v>3.85</v>
      </c>
      <c r="CX11">
        <v>1</v>
      </c>
      <c r="CY11">
        <v>1</v>
      </c>
      <c r="CZ11">
        <v>1</v>
      </c>
      <c r="DA11">
        <v>1710</v>
      </c>
      <c r="DB11">
        <v>1430</v>
      </c>
      <c r="DC11">
        <v>1580</v>
      </c>
      <c r="DD11">
        <v>1710</v>
      </c>
      <c r="DE11">
        <v>1710</v>
      </c>
      <c r="DG11" t="s">
        <v>2396</v>
      </c>
      <c r="DH11" t="s">
        <v>82</v>
      </c>
      <c r="DI11" t="s">
        <v>705</v>
      </c>
      <c r="DJ11" t="s">
        <v>706</v>
      </c>
      <c r="DK11" t="s">
        <v>692</v>
      </c>
      <c r="DL11">
        <v>100</v>
      </c>
      <c r="DM11" t="s">
        <v>670</v>
      </c>
      <c r="DN11" t="s">
        <v>670</v>
      </c>
      <c r="DO11">
        <v>0</v>
      </c>
      <c r="DP11">
        <v>0</v>
      </c>
      <c r="DQ11">
        <v>1769</v>
      </c>
      <c r="DR11" t="s">
        <v>2397</v>
      </c>
      <c r="DT11" t="s">
        <v>125</v>
      </c>
      <c r="DU11" t="s">
        <v>2398</v>
      </c>
      <c r="DV11" t="s">
        <v>2399</v>
      </c>
      <c r="DW11" t="s">
        <v>2400</v>
      </c>
      <c r="DX11" t="s">
        <v>2401</v>
      </c>
      <c r="DY11" t="s">
        <v>2402</v>
      </c>
      <c r="DZ11">
        <v>317</v>
      </c>
      <c r="EB11" t="s">
        <v>2403</v>
      </c>
      <c r="EC11" t="s">
        <v>1995</v>
      </c>
      <c r="ED11" t="s">
        <v>2249</v>
      </c>
      <c r="EE11" t="s">
        <v>601</v>
      </c>
      <c r="EF11" t="s">
        <v>2404</v>
      </c>
      <c r="EG11">
        <v>850</v>
      </c>
      <c r="EH11">
        <v>850</v>
      </c>
      <c r="EI11">
        <v>850</v>
      </c>
      <c r="EJ11">
        <v>850</v>
      </c>
      <c r="EL11" t="s">
        <v>2405</v>
      </c>
      <c r="EM11" t="s">
        <v>1995</v>
      </c>
      <c r="EN11" t="s">
        <v>2249</v>
      </c>
      <c r="EO11">
        <v>2.5</v>
      </c>
      <c r="EP11" t="s">
        <v>2276</v>
      </c>
      <c r="EQ11" t="s">
        <v>2406</v>
      </c>
      <c r="ER11" t="s">
        <v>2407</v>
      </c>
      <c r="ES11">
        <v>29000</v>
      </c>
      <c r="ET11">
        <v>38280</v>
      </c>
      <c r="EU11">
        <v>41760</v>
      </c>
      <c r="EV11">
        <v>41760</v>
      </c>
      <c r="EX11" t="s">
        <v>2408</v>
      </c>
      <c r="EY11" t="s">
        <v>2256</v>
      </c>
      <c r="EZ11" t="s">
        <v>25</v>
      </c>
      <c r="FA11" t="s">
        <v>2257</v>
      </c>
      <c r="GD11" t="s">
        <v>2357</v>
      </c>
      <c r="GE11" t="s">
        <v>2358</v>
      </c>
      <c r="GF11" t="s">
        <v>82</v>
      </c>
      <c r="GG11" t="s">
        <v>85</v>
      </c>
      <c r="GH11">
        <v>0</v>
      </c>
      <c r="GI11">
        <v>0</v>
      </c>
      <c r="GJ11">
        <v>0</v>
      </c>
      <c r="GK11">
        <v>0</v>
      </c>
      <c r="GL11">
        <v>0</v>
      </c>
      <c r="GM11">
        <v>0</v>
      </c>
      <c r="GN11">
        <v>1</v>
      </c>
      <c r="GO11" t="s">
        <v>2280</v>
      </c>
      <c r="GP11" t="s">
        <v>82</v>
      </c>
      <c r="GQ11">
        <v>26</v>
      </c>
      <c r="GR11" t="s">
        <v>2261</v>
      </c>
      <c r="GS11" t="s">
        <v>2359</v>
      </c>
      <c r="HA11" t="s">
        <v>2409</v>
      </c>
      <c r="HB11" t="s">
        <v>82</v>
      </c>
      <c r="HC11" t="s">
        <v>2410</v>
      </c>
      <c r="HD11" t="s">
        <v>90</v>
      </c>
      <c r="HE11">
        <v>2925</v>
      </c>
      <c r="HF11">
        <v>17540</v>
      </c>
      <c r="HG11">
        <v>5407.5</v>
      </c>
      <c r="HH11">
        <v>4050</v>
      </c>
      <c r="HI11">
        <v>5090</v>
      </c>
      <c r="HJ11">
        <v>6150</v>
      </c>
    </row>
    <row r="12" ht="15" customHeight="1" spans="1:218" x14ac:dyDescent="0.25">
      <c r="A12" t="s">
        <v>2411</v>
      </c>
      <c r="B12">
        <v>7802.504999999999</v>
      </c>
      <c r="C12">
        <v>9060.435</v>
      </c>
      <c r="D12">
        <v>10629.0975</v>
      </c>
      <c r="CQ12" t="s">
        <v>2412</v>
      </c>
      <c r="CR12" t="s">
        <v>82</v>
      </c>
      <c r="CS12" t="s">
        <v>283</v>
      </c>
      <c r="CT12" t="s">
        <v>281</v>
      </c>
      <c r="CU12" t="s">
        <v>81</v>
      </c>
      <c r="CV12" t="s">
        <v>282</v>
      </c>
      <c r="CW12">
        <v>7.69</v>
      </c>
      <c r="CX12">
        <v>1</v>
      </c>
      <c r="CY12">
        <v>1</v>
      </c>
      <c r="CZ12">
        <v>1</v>
      </c>
      <c r="DA12">
        <v>415</v>
      </c>
      <c r="DB12">
        <v>360</v>
      </c>
      <c r="DC12">
        <v>400</v>
      </c>
      <c r="DD12">
        <v>430</v>
      </c>
      <c r="DE12">
        <v>430</v>
      </c>
      <c r="DG12" t="s">
        <v>2413</v>
      </c>
      <c r="DH12" t="s">
        <v>82</v>
      </c>
      <c r="DI12" t="s">
        <v>710</v>
      </c>
      <c r="DJ12" t="s">
        <v>711</v>
      </c>
      <c r="DK12" t="s">
        <v>692</v>
      </c>
      <c r="DL12">
        <v>100</v>
      </c>
      <c r="DM12" t="s">
        <v>670</v>
      </c>
      <c r="DN12" t="s">
        <v>670</v>
      </c>
      <c r="DO12">
        <v>5.5</v>
      </c>
      <c r="DP12">
        <v>561</v>
      </c>
      <c r="DQ12">
        <v>561</v>
      </c>
      <c r="DR12" t="s">
        <v>2414</v>
      </c>
      <c r="DT12" t="s">
        <v>125</v>
      </c>
      <c r="DU12" t="s">
        <v>2415</v>
      </c>
      <c r="DV12" t="s">
        <v>2416</v>
      </c>
      <c r="DW12" t="s">
        <v>2417</v>
      </c>
      <c r="DX12" t="s">
        <v>2418</v>
      </c>
      <c r="DY12" t="s">
        <v>2419</v>
      </c>
      <c r="DZ12">
        <v>259</v>
      </c>
      <c r="EB12" t="s">
        <v>2420</v>
      </c>
      <c r="EC12" t="s">
        <v>1995</v>
      </c>
      <c r="ED12" t="s">
        <v>2249</v>
      </c>
      <c r="EE12" t="s">
        <v>599</v>
      </c>
      <c r="EF12" t="s">
        <v>2421</v>
      </c>
      <c r="EG12">
        <v>930</v>
      </c>
      <c r="EH12">
        <v>930</v>
      </c>
      <c r="EI12">
        <v>930</v>
      </c>
      <c r="EJ12">
        <v>930</v>
      </c>
      <c r="EL12" t="s">
        <v>2422</v>
      </c>
      <c r="EM12" t="s">
        <v>1995</v>
      </c>
      <c r="EN12" t="s">
        <v>2249</v>
      </c>
      <c r="EO12">
        <v>3</v>
      </c>
      <c r="EP12" t="s">
        <v>2252</v>
      </c>
      <c r="EQ12" t="s">
        <v>2423</v>
      </c>
      <c r="ER12" t="s">
        <v>2424</v>
      </c>
      <c r="ES12">
        <v>32090</v>
      </c>
      <c r="ET12">
        <v>35440</v>
      </c>
      <c r="EU12">
        <v>38310</v>
      </c>
      <c r="EV12">
        <v>38310</v>
      </c>
      <c r="EX12" t="s">
        <v>569</v>
      </c>
      <c r="EY12" t="s">
        <v>2256</v>
      </c>
      <c r="EZ12" t="s">
        <v>25</v>
      </c>
      <c r="FA12" t="s">
        <v>2257</v>
      </c>
      <c r="GD12" t="s">
        <v>2357</v>
      </c>
      <c r="GE12" t="s">
        <v>2358</v>
      </c>
      <c r="GF12" t="s">
        <v>82</v>
      </c>
      <c r="GG12" t="s">
        <v>86</v>
      </c>
      <c r="GH12">
        <v>0</v>
      </c>
      <c r="GI12">
        <v>0</v>
      </c>
      <c r="GJ12">
        <v>0</v>
      </c>
      <c r="GK12">
        <v>0</v>
      </c>
      <c r="GL12">
        <v>0</v>
      </c>
      <c r="GM12">
        <v>0</v>
      </c>
      <c r="GN12">
        <v>1</v>
      </c>
      <c r="GO12" t="s">
        <v>2280</v>
      </c>
      <c r="GP12" t="s">
        <v>82</v>
      </c>
      <c r="GQ12">
        <v>26</v>
      </c>
      <c r="GR12" t="s">
        <v>2261</v>
      </c>
      <c r="GS12" t="s">
        <v>2359</v>
      </c>
      <c r="HA12" t="s">
        <v>2425</v>
      </c>
      <c r="HB12" t="s">
        <v>82</v>
      </c>
      <c r="HC12" t="s">
        <v>2426</v>
      </c>
      <c r="HD12" t="s">
        <v>99</v>
      </c>
      <c r="HE12">
        <v>61630</v>
      </c>
      <c r="HF12">
        <v>161442</v>
      </c>
      <c r="HG12">
        <v>99763.84615384616</v>
      </c>
      <c r="HH12">
        <v>96442</v>
      </c>
      <c r="HI12">
        <v>98192</v>
      </c>
      <c r="HJ12">
        <v>99817</v>
      </c>
    </row>
    <row r="13" ht="15" customHeight="1" spans="1:218" x14ac:dyDescent="0.25">
      <c r="A13" t="s">
        <v>2427</v>
      </c>
      <c r="B13">
        <v>9677.2125</v>
      </c>
      <c r="C13">
        <v>10711.305</v>
      </c>
      <c r="D13">
        <v>11936.6175</v>
      </c>
      <c r="CQ13" t="s">
        <v>2428</v>
      </c>
      <c r="CR13" t="s">
        <v>82</v>
      </c>
      <c r="CS13" t="s">
        <v>267</v>
      </c>
      <c r="CT13" t="s">
        <v>265</v>
      </c>
      <c r="CU13" t="s">
        <v>81</v>
      </c>
      <c r="CV13" t="s">
        <v>266</v>
      </c>
      <c r="CW13">
        <v>3.85</v>
      </c>
      <c r="CX13">
        <v>1</v>
      </c>
      <c r="CY13">
        <v>1</v>
      </c>
      <c r="CZ13">
        <v>1</v>
      </c>
      <c r="DA13">
        <v>2290</v>
      </c>
      <c r="DB13">
        <v>1920</v>
      </c>
      <c r="DC13">
        <v>2120</v>
      </c>
      <c r="DD13">
        <v>2290</v>
      </c>
      <c r="DE13">
        <v>2290</v>
      </c>
      <c r="DG13" t="s">
        <v>2429</v>
      </c>
      <c r="DH13" t="s">
        <v>82</v>
      </c>
      <c r="DI13" t="s">
        <v>713</v>
      </c>
      <c r="DJ13" t="s">
        <v>714</v>
      </c>
      <c r="DK13" t="s">
        <v>692</v>
      </c>
      <c r="DL13">
        <v>100</v>
      </c>
      <c r="DM13" t="s">
        <v>669</v>
      </c>
      <c r="DN13" t="s">
        <v>670</v>
      </c>
      <c r="DO13">
        <v>1</v>
      </c>
      <c r="DP13">
        <v>7.67</v>
      </c>
      <c r="DQ13">
        <v>7.67</v>
      </c>
      <c r="DR13" t="s">
        <v>2430</v>
      </c>
      <c r="DT13" t="s">
        <v>125</v>
      </c>
      <c r="DU13" t="s">
        <v>2431</v>
      </c>
      <c r="DV13" t="s">
        <v>2432</v>
      </c>
      <c r="DW13" t="s">
        <v>2433</v>
      </c>
      <c r="DX13" t="s">
        <v>2434</v>
      </c>
      <c r="DY13" t="s">
        <v>2435</v>
      </c>
      <c r="DZ13">
        <v>175</v>
      </c>
      <c r="EB13" t="s">
        <v>2436</v>
      </c>
      <c r="EC13" t="s">
        <v>1995</v>
      </c>
      <c r="ED13" t="s">
        <v>2249</v>
      </c>
      <c r="EE13" t="s">
        <v>623</v>
      </c>
      <c r="EF13" t="s">
        <v>2437</v>
      </c>
      <c r="EG13">
        <v>1200</v>
      </c>
      <c r="EH13">
        <v>1200</v>
      </c>
      <c r="EI13">
        <v>1200</v>
      </c>
      <c r="EJ13">
        <v>1200</v>
      </c>
      <c r="EL13" t="s">
        <v>2438</v>
      </c>
      <c r="EM13" t="s">
        <v>1995</v>
      </c>
      <c r="EN13" t="s">
        <v>2249</v>
      </c>
      <c r="EO13">
        <v>3</v>
      </c>
      <c r="EP13" t="s">
        <v>2276</v>
      </c>
      <c r="EQ13" t="s">
        <v>2439</v>
      </c>
      <c r="ER13" t="s">
        <v>2440</v>
      </c>
      <c r="ES13">
        <v>33630</v>
      </c>
      <c r="ET13">
        <v>44390</v>
      </c>
      <c r="EU13">
        <v>48430</v>
      </c>
      <c r="EV13">
        <v>48430</v>
      </c>
      <c r="EX13" t="s">
        <v>561</v>
      </c>
      <c r="EY13" t="s">
        <v>2256</v>
      </c>
      <c r="EZ13" t="s">
        <v>25</v>
      </c>
      <c r="FA13" t="s">
        <v>2257</v>
      </c>
      <c r="GD13" t="s">
        <v>2357</v>
      </c>
      <c r="GE13" t="s">
        <v>2358</v>
      </c>
      <c r="GF13" t="s">
        <v>82</v>
      </c>
      <c r="GG13" t="s">
        <v>87</v>
      </c>
      <c r="GH13">
        <v>26</v>
      </c>
      <c r="GI13">
        <v>7802.505</v>
      </c>
      <c r="GJ13">
        <v>9060.435</v>
      </c>
      <c r="GK13">
        <v>10629.097</v>
      </c>
      <c r="GL13">
        <v>0.312</v>
      </c>
      <c r="GM13">
        <v>9060.435</v>
      </c>
      <c r="GN13">
        <v>0</v>
      </c>
      <c r="GO13" t="s">
        <v>2340</v>
      </c>
      <c r="GP13" t="s">
        <v>82</v>
      </c>
      <c r="GQ13">
        <v>26</v>
      </c>
      <c r="GR13" t="s">
        <v>2261</v>
      </c>
      <c r="GS13" t="s">
        <v>2359</v>
      </c>
      <c r="HA13" t="s">
        <v>2441</v>
      </c>
      <c r="HB13" t="s">
        <v>82</v>
      </c>
      <c r="HC13" t="s">
        <v>2411</v>
      </c>
      <c r="HD13" t="s">
        <v>145</v>
      </c>
      <c r="HE13">
        <v>5055.58</v>
      </c>
      <c r="HF13">
        <v>15632.76</v>
      </c>
      <c r="HG13">
        <v>9266.440384615385</v>
      </c>
      <c r="HH13">
        <v>7802.504999999999</v>
      </c>
      <c r="HI13">
        <v>9060.435</v>
      </c>
      <c r="HJ13">
        <v>10629.0975</v>
      </c>
    </row>
    <row r="14" ht="15" customHeight="1" spans="1:218" x14ac:dyDescent="0.25">
      <c r="A14" t="s">
        <v>2442</v>
      </c>
      <c r="B14">
        <v>8468.852499999999</v>
      </c>
      <c r="C14">
        <v>9439.535</v>
      </c>
      <c r="D14">
        <v>11143.7</v>
      </c>
      <c r="CQ14" t="s">
        <v>2443</v>
      </c>
      <c r="CR14" t="s">
        <v>82</v>
      </c>
      <c r="CS14" t="s">
        <v>258</v>
      </c>
      <c r="CT14" t="s">
        <v>256</v>
      </c>
      <c r="CU14" t="s">
        <v>81</v>
      </c>
      <c r="CV14" t="s">
        <v>257</v>
      </c>
      <c r="CW14">
        <v>3.85</v>
      </c>
      <c r="CX14">
        <v>1</v>
      </c>
      <c r="CY14">
        <v>1</v>
      </c>
      <c r="CZ14">
        <v>1</v>
      </c>
      <c r="DA14">
        <v>3470</v>
      </c>
      <c r="DB14">
        <v>2910</v>
      </c>
      <c r="DC14">
        <v>3220</v>
      </c>
      <c r="DD14">
        <v>3470</v>
      </c>
      <c r="DE14">
        <v>3470</v>
      </c>
      <c r="DG14" t="s">
        <v>2444</v>
      </c>
      <c r="DH14" t="s">
        <v>82</v>
      </c>
      <c r="DI14" t="s">
        <v>718</v>
      </c>
      <c r="DJ14" t="s">
        <v>719</v>
      </c>
      <c r="DK14" t="s">
        <v>692</v>
      </c>
      <c r="DL14">
        <v>100</v>
      </c>
      <c r="DM14" t="s">
        <v>669</v>
      </c>
      <c r="DN14" t="s">
        <v>670</v>
      </c>
      <c r="DO14">
        <v>2</v>
      </c>
      <c r="DP14">
        <v>15.34</v>
      </c>
      <c r="DQ14">
        <v>15.34</v>
      </c>
      <c r="DR14" t="s">
        <v>2445</v>
      </c>
      <c r="DT14" t="s">
        <v>125</v>
      </c>
      <c r="DU14" t="s">
        <v>2446</v>
      </c>
      <c r="DV14" t="s">
        <v>2447</v>
      </c>
      <c r="DW14" t="s">
        <v>2448</v>
      </c>
      <c r="DX14" t="s">
        <v>2449</v>
      </c>
      <c r="DY14" t="s">
        <v>2450</v>
      </c>
      <c r="DZ14">
        <v>154</v>
      </c>
      <c r="EB14" t="s">
        <v>2451</v>
      </c>
      <c r="EC14" t="s">
        <v>1995</v>
      </c>
      <c r="ED14" t="s">
        <v>2249</v>
      </c>
      <c r="EE14" t="s">
        <v>596</v>
      </c>
      <c r="EF14" t="s">
        <v>2452</v>
      </c>
      <c r="EG14">
        <v>350</v>
      </c>
      <c r="EH14">
        <v>350</v>
      </c>
      <c r="EI14">
        <v>350</v>
      </c>
      <c r="EJ14">
        <v>350</v>
      </c>
      <c r="EL14" t="s">
        <v>2453</v>
      </c>
      <c r="EM14" t="s">
        <v>1995</v>
      </c>
      <c r="EN14" t="s">
        <v>2249</v>
      </c>
      <c r="EO14">
        <v>3.5</v>
      </c>
      <c r="EP14" t="s">
        <v>2252</v>
      </c>
      <c r="EQ14" t="s">
        <v>2454</v>
      </c>
      <c r="ER14" t="s">
        <v>2455</v>
      </c>
      <c r="ES14">
        <v>36170</v>
      </c>
      <c r="ET14">
        <v>39970</v>
      </c>
      <c r="EU14">
        <v>43170</v>
      </c>
      <c r="EV14">
        <v>43170</v>
      </c>
      <c r="EX14" t="s">
        <v>580</v>
      </c>
      <c r="EY14" t="s">
        <v>2256</v>
      </c>
      <c r="EZ14" t="s">
        <v>25</v>
      </c>
      <c r="FA14" t="s">
        <v>2257</v>
      </c>
      <c r="GD14" t="s">
        <v>2456</v>
      </c>
      <c r="GE14" t="s">
        <v>2457</v>
      </c>
      <c r="GF14" t="s">
        <v>82</v>
      </c>
      <c r="GG14" t="s">
        <v>82</v>
      </c>
      <c r="GH14">
        <v>26</v>
      </c>
      <c r="GI14">
        <v>96442</v>
      </c>
      <c r="GJ14">
        <v>98192</v>
      </c>
      <c r="GK14">
        <v>99817</v>
      </c>
      <c r="GL14">
        <v>0.0344</v>
      </c>
      <c r="GM14">
        <v>98192</v>
      </c>
      <c r="GN14">
        <v>0</v>
      </c>
      <c r="GO14" t="s">
        <v>2260</v>
      </c>
      <c r="GP14" t="s">
        <v>82</v>
      </c>
      <c r="GQ14">
        <v>26</v>
      </c>
      <c r="GR14" t="s">
        <v>2261</v>
      </c>
      <c r="GS14" t="s">
        <v>2458</v>
      </c>
      <c r="HA14" t="s">
        <v>2459</v>
      </c>
      <c r="HB14" t="s">
        <v>82</v>
      </c>
      <c r="HC14" t="s">
        <v>2460</v>
      </c>
      <c r="HD14" t="s">
        <v>89</v>
      </c>
      <c r="HE14">
        <v>1685.1933333333334</v>
      </c>
      <c r="HF14">
        <v>3707.4133333333334</v>
      </c>
      <c r="HG14">
        <v>2794.4418717948715</v>
      </c>
      <c r="HH14">
        <v>2380.9435416666665</v>
      </c>
      <c r="HI14">
        <v>2855.3187500000004</v>
      </c>
      <c r="HJ14">
        <v>3198.258</v>
      </c>
    </row>
    <row r="15" ht="15" customHeight="1" spans="1:218" x14ac:dyDescent="0.25">
      <c r="A15" t="s">
        <v>2461</v>
      </c>
      <c r="B15">
        <v>66040.54</v>
      </c>
      <c r="C15">
        <v>72382.9</v>
      </c>
      <c r="D15">
        <v>107563.63</v>
      </c>
      <c r="CQ15" t="s">
        <v>2462</v>
      </c>
      <c r="CR15" t="s">
        <v>82</v>
      </c>
      <c r="CS15" t="s">
        <v>222</v>
      </c>
      <c r="CT15" t="s">
        <v>220</v>
      </c>
      <c r="CU15" t="s">
        <v>81</v>
      </c>
      <c r="CV15" t="s">
        <v>221</v>
      </c>
      <c r="CW15">
        <v>61.54</v>
      </c>
      <c r="CX15">
        <v>1.75</v>
      </c>
      <c r="CY15">
        <v>2</v>
      </c>
      <c r="CZ15">
        <v>2</v>
      </c>
      <c r="DA15">
        <v>5590</v>
      </c>
      <c r="DB15">
        <v>2430</v>
      </c>
      <c r="DC15">
        <v>2690</v>
      </c>
      <c r="DD15">
        <v>2900</v>
      </c>
      <c r="DE15">
        <v>2900</v>
      </c>
      <c r="DG15" t="s">
        <v>2463</v>
      </c>
      <c r="DH15" t="s">
        <v>82</v>
      </c>
      <c r="DI15" t="s">
        <v>720</v>
      </c>
      <c r="DJ15" t="s">
        <v>721</v>
      </c>
      <c r="DK15" t="s">
        <v>692</v>
      </c>
      <c r="DL15">
        <v>100</v>
      </c>
      <c r="DM15" t="s">
        <v>670</v>
      </c>
      <c r="DN15" t="s">
        <v>670</v>
      </c>
      <c r="DO15">
        <v>3</v>
      </c>
      <c r="DP15">
        <v>998.4</v>
      </c>
      <c r="DQ15">
        <v>998.4</v>
      </c>
      <c r="DR15" t="s">
        <v>2464</v>
      </c>
      <c r="DT15" t="s">
        <v>125</v>
      </c>
      <c r="DU15" t="s">
        <v>2465</v>
      </c>
      <c r="DV15" t="s">
        <v>2466</v>
      </c>
      <c r="DW15" t="s">
        <v>2467</v>
      </c>
      <c r="DX15" t="s">
        <v>2368</v>
      </c>
      <c r="DY15" t="s">
        <v>2369</v>
      </c>
      <c r="DZ15">
        <v>148</v>
      </c>
      <c r="EB15" t="s">
        <v>2468</v>
      </c>
      <c r="EC15" t="s">
        <v>1995</v>
      </c>
      <c r="ED15" t="s">
        <v>2249</v>
      </c>
      <c r="EE15" t="s">
        <v>593</v>
      </c>
      <c r="EF15" t="s">
        <v>2469</v>
      </c>
      <c r="EG15">
        <v>1500</v>
      </c>
      <c r="EH15">
        <v>1500</v>
      </c>
      <c r="EI15">
        <v>1500</v>
      </c>
      <c r="EJ15">
        <v>1500</v>
      </c>
      <c r="EL15" t="s">
        <v>2470</v>
      </c>
      <c r="EM15" t="s">
        <v>1995</v>
      </c>
      <c r="EN15" t="s">
        <v>2249</v>
      </c>
      <c r="EO15">
        <v>3.5</v>
      </c>
      <c r="EP15" t="s">
        <v>2276</v>
      </c>
      <c r="EQ15" t="s">
        <v>2471</v>
      </c>
      <c r="ER15" t="s">
        <v>2472</v>
      </c>
      <c r="ES15">
        <v>37860</v>
      </c>
      <c r="ET15">
        <v>49980</v>
      </c>
      <c r="EU15">
        <v>54520</v>
      </c>
      <c r="EV15">
        <v>54520</v>
      </c>
      <c r="EX15" t="s">
        <v>2473</v>
      </c>
      <c r="EY15" t="s">
        <v>2256</v>
      </c>
      <c r="EZ15" t="s">
        <v>25</v>
      </c>
      <c r="FA15" t="s">
        <v>2257</v>
      </c>
      <c r="GD15" t="s">
        <v>2456</v>
      </c>
      <c r="GE15" t="s">
        <v>2457</v>
      </c>
      <c r="GF15" t="s">
        <v>82</v>
      </c>
      <c r="GG15" t="s">
        <v>121</v>
      </c>
      <c r="GH15">
        <v>0</v>
      </c>
      <c r="GI15">
        <v>0</v>
      </c>
      <c r="GJ15">
        <v>0</v>
      </c>
      <c r="GK15">
        <v>0</v>
      </c>
      <c r="GL15">
        <v>0</v>
      </c>
      <c r="GM15">
        <v>0</v>
      </c>
      <c r="GN15">
        <v>1</v>
      </c>
      <c r="GO15" t="s">
        <v>2280</v>
      </c>
      <c r="GP15" t="s">
        <v>82</v>
      </c>
      <c r="GQ15">
        <v>26</v>
      </c>
      <c r="GR15" t="s">
        <v>2261</v>
      </c>
      <c r="GS15" t="s">
        <v>2458</v>
      </c>
      <c r="HA15" t="s">
        <v>2474</v>
      </c>
      <c r="HB15" t="s">
        <v>82</v>
      </c>
      <c r="HC15" t="s">
        <v>2427</v>
      </c>
      <c r="HD15" t="s">
        <v>146</v>
      </c>
      <c r="HE15">
        <v>6306.92</v>
      </c>
      <c r="HF15">
        <v>16357.87</v>
      </c>
      <c r="HG15">
        <v>11027.838846153849</v>
      </c>
      <c r="HH15">
        <v>9677.2125</v>
      </c>
      <c r="HI15">
        <v>10711.305</v>
      </c>
      <c r="HJ15">
        <v>11936.6175</v>
      </c>
    </row>
    <row r="16" ht="15" customHeight="1" spans="1:218" x14ac:dyDescent="0.25">
      <c r="A16" t="s">
        <v>2475</v>
      </c>
      <c r="B16">
        <v>89130.07750000001</v>
      </c>
      <c r="C16">
        <v>89130.16</v>
      </c>
      <c r="D16">
        <v>98838.05</v>
      </c>
      <c r="CQ16" t="s">
        <v>2476</v>
      </c>
      <c r="CR16" t="s">
        <v>82</v>
      </c>
      <c r="CS16" t="s">
        <v>233</v>
      </c>
      <c r="CT16" t="s">
        <v>231</v>
      </c>
      <c r="CU16" t="s">
        <v>81</v>
      </c>
      <c r="CV16" t="s">
        <v>232</v>
      </c>
      <c r="CW16">
        <v>53.85</v>
      </c>
      <c r="CX16">
        <v>1</v>
      </c>
      <c r="CY16">
        <v>1</v>
      </c>
      <c r="CZ16">
        <v>1</v>
      </c>
      <c r="DA16">
        <v>1320</v>
      </c>
      <c r="DB16">
        <v>1110</v>
      </c>
      <c r="DC16">
        <v>1220</v>
      </c>
      <c r="DD16">
        <v>1320</v>
      </c>
      <c r="DE16">
        <v>1320</v>
      </c>
      <c r="DG16" t="s">
        <v>2477</v>
      </c>
      <c r="DH16" t="s">
        <v>82</v>
      </c>
      <c r="DI16" t="s">
        <v>723</v>
      </c>
      <c r="DJ16" t="s">
        <v>724</v>
      </c>
      <c r="DK16" t="s">
        <v>692</v>
      </c>
      <c r="DL16">
        <v>100</v>
      </c>
      <c r="DM16" t="s">
        <v>670</v>
      </c>
      <c r="DN16" t="s">
        <v>670</v>
      </c>
      <c r="DO16">
        <v>2</v>
      </c>
      <c r="DP16">
        <v>76.4</v>
      </c>
      <c r="DQ16">
        <v>382</v>
      </c>
      <c r="DR16" t="s">
        <v>2478</v>
      </c>
      <c r="DT16" t="s">
        <v>125</v>
      </c>
      <c r="DU16" t="s">
        <v>2479</v>
      </c>
      <c r="DV16" t="s">
        <v>2480</v>
      </c>
      <c r="DW16" t="s">
        <v>2481</v>
      </c>
      <c r="DX16" t="s">
        <v>2434</v>
      </c>
      <c r="DY16" t="s">
        <v>2435</v>
      </c>
      <c r="DZ16">
        <v>128</v>
      </c>
      <c r="EB16" t="s">
        <v>2482</v>
      </c>
      <c r="EC16" t="s">
        <v>1995</v>
      </c>
      <c r="ED16" t="s">
        <v>2249</v>
      </c>
      <c r="EE16" t="s">
        <v>591</v>
      </c>
      <c r="EF16" t="s">
        <v>2483</v>
      </c>
      <c r="EG16">
        <v>3000</v>
      </c>
      <c r="EH16">
        <v>3000</v>
      </c>
      <c r="EI16">
        <v>3000</v>
      </c>
      <c r="EJ16">
        <v>3000</v>
      </c>
      <c r="EL16" t="s">
        <v>2484</v>
      </c>
      <c r="EM16" t="s">
        <v>1995</v>
      </c>
      <c r="EN16" t="s">
        <v>2249</v>
      </c>
      <c r="EO16">
        <v>4</v>
      </c>
      <c r="EP16" t="s">
        <v>2252</v>
      </c>
      <c r="EQ16" t="s">
        <v>2485</v>
      </c>
      <c r="ER16" t="s">
        <v>2486</v>
      </c>
      <c r="ES16">
        <v>39780</v>
      </c>
      <c r="ET16">
        <v>43930</v>
      </c>
      <c r="EU16">
        <v>47480</v>
      </c>
      <c r="EV16">
        <v>47480</v>
      </c>
      <c r="EX16" t="s">
        <v>593</v>
      </c>
      <c r="EY16" t="s">
        <v>2256</v>
      </c>
      <c r="EZ16" t="s">
        <v>25</v>
      </c>
      <c r="FA16" t="s">
        <v>2257</v>
      </c>
      <c r="GD16" t="s">
        <v>2456</v>
      </c>
      <c r="GE16" t="s">
        <v>2457</v>
      </c>
      <c r="GF16" t="s">
        <v>82</v>
      </c>
      <c r="GG16" t="s">
        <v>125</v>
      </c>
      <c r="GH16">
        <v>0</v>
      </c>
      <c r="GI16">
        <v>0</v>
      </c>
      <c r="GJ16">
        <v>0</v>
      </c>
      <c r="GK16">
        <v>0</v>
      </c>
      <c r="GL16">
        <v>0</v>
      </c>
      <c r="GM16">
        <v>0</v>
      </c>
      <c r="GN16">
        <v>1</v>
      </c>
      <c r="GO16" t="s">
        <v>2280</v>
      </c>
      <c r="GP16" t="s">
        <v>82</v>
      </c>
      <c r="GQ16">
        <v>26</v>
      </c>
      <c r="GR16" t="s">
        <v>2261</v>
      </c>
      <c r="GS16" t="s">
        <v>2458</v>
      </c>
      <c r="HA16" t="s">
        <v>2487</v>
      </c>
      <c r="HB16" t="s">
        <v>82</v>
      </c>
      <c r="HC16" t="s">
        <v>2488</v>
      </c>
      <c r="HD16" t="s">
        <v>92</v>
      </c>
      <c r="HE16">
        <v>2102.306666666667</v>
      </c>
      <c r="HF16">
        <v>4392.966666666666</v>
      </c>
      <c r="HG16">
        <v>3345.6705064102566</v>
      </c>
      <c r="HH16">
        <v>3059.8</v>
      </c>
      <c r="HI16">
        <v>3428.828333333333</v>
      </c>
      <c r="HJ16">
        <v>3617.71</v>
      </c>
    </row>
    <row r="17" ht="15" customHeight="1" spans="95:218" x14ac:dyDescent="0.25">
      <c r="CQ17" t="s">
        <v>2489</v>
      </c>
      <c r="CR17" t="s">
        <v>82</v>
      </c>
      <c r="CS17" t="s">
        <v>612</v>
      </c>
      <c r="CT17" t="s">
        <v>2320</v>
      </c>
      <c r="CU17" t="s">
        <v>81</v>
      </c>
      <c r="CV17" t="s">
        <v>2490</v>
      </c>
      <c r="CW17">
        <v>76.92</v>
      </c>
      <c r="CX17">
        <v>1</v>
      </c>
      <c r="CY17">
        <v>1</v>
      </c>
      <c r="CZ17">
        <v>1</v>
      </c>
      <c r="DA17">
        <v>430</v>
      </c>
      <c r="DB17">
        <v>360</v>
      </c>
      <c r="DC17">
        <v>400</v>
      </c>
      <c r="DD17">
        <v>430</v>
      </c>
      <c r="DE17">
        <v>430</v>
      </c>
      <c r="DG17" t="s">
        <v>2491</v>
      </c>
      <c r="DH17" t="s">
        <v>82</v>
      </c>
      <c r="DI17" t="s">
        <v>726</v>
      </c>
      <c r="DJ17" t="s">
        <v>727</v>
      </c>
      <c r="DK17" t="s">
        <v>692</v>
      </c>
      <c r="DL17">
        <v>100</v>
      </c>
      <c r="DM17" t="s">
        <v>670</v>
      </c>
      <c r="DN17" t="s">
        <v>670</v>
      </c>
      <c r="DO17">
        <v>3</v>
      </c>
      <c r="DP17">
        <v>51.3</v>
      </c>
      <c r="DQ17">
        <v>94.05</v>
      </c>
      <c r="DR17" t="s">
        <v>2492</v>
      </c>
      <c r="DT17" t="s">
        <v>125</v>
      </c>
      <c r="DU17" t="s">
        <v>2493</v>
      </c>
      <c r="DV17" t="s">
        <v>2494</v>
      </c>
      <c r="DW17" t="s">
        <v>2495</v>
      </c>
      <c r="DX17" t="s">
        <v>2368</v>
      </c>
      <c r="DY17" t="s">
        <v>2369</v>
      </c>
      <c r="DZ17">
        <v>118</v>
      </c>
      <c r="EB17" t="s">
        <v>2496</v>
      </c>
      <c r="EC17" t="s">
        <v>1995</v>
      </c>
      <c r="ED17" t="s">
        <v>2249</v>
      </c>
      <c r="EE17" t="s">
        <v>2423</v>
      </c>
      <c r="EF17" t="s">
        <v>2424</v>
      </c>
      <c r="EG17">
        <v>32090</v>
      </c>
      <c r="EH17">
        <v>35440</v>
      </c>
      <c r="EI17">
        <v>38310</v>
      </c>
      <c r="EJ17">
        <v>38310</v>
      </c>
      <c r="EL17" t="s">
        <v>2497</v>
      </c>
      <c r="EM17" t="s">
        <v>1995</v>
      </c>
      <c r="EN17" t="s">
        <v>2249</v>
      </c>
      <c r="EO17">
        <v>4</v>
      </c>
      <c r="EP17" t="s">
        <v>2276</v>
      </c>
      <c r="EQ17" t="s">
        <v>2498</v>
      </c>
      <c r="ER17" t="s">
        <v>2499</v>
      </c>
      <c r="ES17">
        <v>41710</v>
      </c>
      <c r="ET17">
        <v>55060</v>
      </c>
      <c r="EU17">
        <v>60060</v>
      </c>
      <c r="EV17">
        <v>60060</v>
      </c>
      <c r="EX17" t="s">
        <v>2500</v>
      </c>
      <c r="EY17" t="s">
        <v>2256</v>
      </c>
      <c r="EZ17" t="s">
        <v>25</v>
      </c>
      <c r="FA17" t="s">
        <v>2257</v>
      </c>
      <c r="GD17" t="s">
        <v>2456</v>
      </c>
      <c r="GE17" t="s">
        <v>2457</v>
      </c>
      <c r="GF17" t="s">
        <v>82</v>
      </c>
      <c r="GG17" t="s">
        <v>85</v>
      </c>
      <c r="GH17">
        <v>0</v>
      </c>
      <c r="GI17">
        <v>0</v>
      </c>
      <c r="GJ17">
        <v>0</v>
      </c>
      <c r="GK17">
        <v>0</v>
      </c>
      <c r="GL17">
        <v>0</v>
      </c>
      <c r="GM17">
        <v>0</v>
      </c>
      <c r="GN17">
        <v>1</v>
      </c>
      <c r="GO17" t="s">
        <v>2280</v>
      </c>
      <c r="GP17" t="s">
        <v>82</v>
      </c>
      <c r="GQ17">
        <v>26</v>
      </c>
      <c r="GR17" t="s">
        <v>2261</v>
      </c>
      <c r="GS17" t="s">
        <v>2458</v>
      </c>
      <c r="HA17" t="s">
        <v>2501</v>
      </c>
      <c r="HB17" t="s">
        <v>82</v>
      </c>
      <c r="HC17" t="s">
        <v>2442</v>
      </c>
      <c r="HD17" t="s">
        <v>95</v>
      </c>
      <c r="HE17">
        <v>5459.76</v>
      </c>
      <c r="HF17">
        <v>14791.84</v>
      </c>
      <c r="HG17">
        <v>9667.043461538462</v>
      </c>
      <c r="HH17">
        <v>8468.852499999999</v>
      </c>
      <c r="HI17">
        <v>9439.535</v>
      </c>
      <c r="HJ17">
        <v>11143.7</v>
      </c>
    </row>
    <row r="18" ht="15" customHeight="1" spans="1:218" x14ac:dyDescent="0.25">
      <c r="A18" t="s">
        <v>2502</v>
      </c>
      <c r="CQ18" t="s">
        <v>2503</v>
      </c>
      <c r="CR18" t="s">
        <v>82</v>
      </c>
      <c r="CS18" t="s">
        <v>225</v>
      </c>
      <c r="CT18" t="s">
        <v>223</v>
      </c>
      <c r="CU18" t="s">
        <v>81</v>
      </c>
      <c r="CV18" t="s">
        <v>224</v>
      </c>
      <c r="CW18">
        <v>38.46</v>
      </c>
      <c r="CX18">
        <v>1</v>
      </c>
      <c r="CY18">
        <v>1</v>
      </c>
      <c r="CZ18">
        <v>2.75</v>
      </c>
      <c r="DA18">
        <v>3260</v>
      </c>
      <c r="DB18">
        <v>2730</v>
      </c>
      <c r="DC18">
        <v>3020</v>
      </c>
      <c r="DD18">
        <v>3260</v>
      </c>
      <c r="DE18">
        <v>3260</v>
      </c>
      <c r="DG18" t="s">
        <v>2504</v>
      </c>
      <c r="DH18" t="s">
        <v>82</v>
      </c>
      <c r="DI18" t="s">
        <v>729</v>
      </c>
      <c r="DJ18" t="s">
        <v>730</v>
      </c>
      <c r="DK18" t="s">
        <v>692</v>
      </c>
      <c r="DL18">
        <v>100</v>
      </c>
      <c r="DM18" t="s">
        <v>670</v>
      </c>
      <c r="DN18" t="s">
        <v>669</v>
      </c>
      <c r="DO18">
        <v>0</v>
      </c>
      <c r="DP18">
        <v>0</v>
      </c>
      <c r="DQ18">
        <v>646.9</v>
      </c>
      <c r="DR18" t="s">
        <v>2505</v>
      </c>
      <c r="DT18" t="s">
        <v>125</v>
      </c>
      <c r="DU18" t="s">
        <v>2506</v>
      </c>
      <c r="DV18" t="s">
        <v>2507</v>
      </c>
      <c r="DW18" t="s">
        <v>2508</v>
      </c>
      <c r="DX18" t="s">
        <v>2434</v>
      </c>
      <c r="DY18" t="s">
        <v>2435</v>
      </c>
      <c r="DZ18">
        <v>83</v>
      </c>
      <c r="EB18" t="s">
        <v>2509</v>
      </c>
      <c r="EC18" t="s">
        <v>1995</v>
      </c>
      <c r="ED18" t="s">
        <v>2249</v>
      </c>
      <c r="EE18" t="s">
        <v>584</v>
      </c>
      <c r="EF18" t="s">
        <v>2510</v>
      </c>
      <c r="EG18">
        <v>3020</v>
      </c>
      <c r="EH18">
        <v>3020</v>
      </c>
      <c r="EI18">
        <v>3020</v>
      </c>
      <c r="EJ18">
        <v>3020</v>
      </c>
      <c r="EL18" t="s">
        <v>2511</v>
      </c>
      <c r="EM18" t="s">
        <v>1995</v>
      </c>
      <c r="EN18" t="s">
        <v>2249</v>
      </c>
      <c r="EO18">
        <v>4.5</v>
      </c>
      <c r="EP18" t="s">
        <v>2252</v>
      </c>
      <c r="EQ18" t="s">
        <v>2512</v>
      </c>
      <c r="ER18" t="s">
        <v>2513</v>
      </c>
      <c r="ES18">
        <v>43090</v>
      </c>
      <c r="ET18">
        <v>47590</v>
      </c>
      <c r="EU18">
        <v>51430</v>
      </c>
      <c r="EV18">
        <v>51430</v>
      </c>
      <c r="EX18" t="s">
        <v>2514</v>
      </c>
      <c r="EY18" t="s">
        <v>2256</v>
      </c>
      <c r="EZ18" t="s">
        <v>25</v>
      </c>
      <c r="FA18" t="s">
        <v>2257</v>
      </c>
      <c r="GD18" t="s">
        <v>2456</v>
      </c>
      <c r="GE18" t="s">
        <v>2457</v>
      </c>
      <c r="GF18" t="s">
        <v>82</v>
      </c>
      <c r="GG18" t="s">
        <v>86</v>
      </c>
      <c r="GH18">
        <v>0</v>
      </c>
      <c r="GI18">
        <v>0</v>
      </c>
      <c r="GJ18">
        <v>0</v>
      </c>
      <c r="GK18">
        <v>0</v>
      </c>
      <c r="GL18">
        <v>0</v>
      </c>
      <c r="GM18">
        <v>0</v>
      </c>
      <c r="GN18">
        <v>1</v>
      </c>
      <c r="GO18" t="s">
        <v>2280</v>
      </c>
      <c r="GP18" t="s">
        <v>82</v>
      </c>
      <c r="GQ18">
        <v>26</v>
      </c>
      <c r="GR18" t="s">
        <v>2261</v>
      </c>
      <c r="GS18" t="s">
        <v>2458</v>
      </c>
      <c r="HA18" t="s">
        <v>2515</v>
      </c>
      <c r="HB18" t="s">
        <v>82</v>
      </c>
      <c r="HC18" t="s">
        <v>2461</v>
      </c>
      <c r="HD18" t="s">
        <v>98</v>
      </c>
      <c r="HE18">
        <v>49210.94</v>
      </c>
      <c r="HF18">
        <v>142365.98</v>
      </c>
      <c r="HG18">
        <v>84196.25884615384</v>
      </c>
      <c r="HH18">
        <v>66040.54</v>
      </c>
      <c r="HI18">
        <v>72382.9</v>
      </c>
      <c r="HJ18">
        <v>107563.63</v>
      </c>
    </row>
    <row r="19" ht="15" customHeight="1" spans="1:218" x14ac:dyDescent="0.25">
      <c r="A19" t="s">
        <v>2266</v>
      </c>
      <c r="B19" t="s">
        <v>2236</v>
      </c>
      <c r="C19" t="s">
        <v>2237</v>
      </c>
      <c r="D19" t="s">
        <v>2238</v>
      </c>
      <c r="CQ19" t="s">
        <v>2516</v>
      </c>
      <c r="CR19" t="s">
        <v>82</v>
      </c>
      <c r="CS19" t="s">
        <v>288</v>
      </c>
      <c r="CT19" t="s">
        <v>287</v>
      </c>
      <c r="CU19" t="s">
        <v>81</v>
      </c>
      <c r="CV19" t="s">
        <v>236</v>
      </c>
      <c r="CW19">
        <v>3.85</v>
      </c>
      <c r="CX19">
        <v>1</v>
      </c>
      <c r="CY19">
        <v>1</v>
      </c>
      <c r="CZ19">
        <v>1</v>
      </c>
      <c r="DA19">
        <v>580</v>
      </c>
      <c r="DB19">
        <v>450</v>
      </c>
      <c r="DC19">
        <v>530</v>
      </c>
      <c r="DD19">
        <v>580</v>
      </c>
      <c r="DE19">
        <v>580</v>
      </c>
      <c r="DG19" t="s">
        <v>2517</v>
      </c>
      <c r="DH19" t="s">
        <v>82</v>
      </c>
      <c r="DI19" t="s">
        <v>735</v>
      </c>
      <c r="DJ19" t="s">
        <v>736</v>
      </c>
      <c r="DK19" t="s">
        <v>668</v>
      </c>
      <c r="DL19">
        <v>96.15</v>
      </c>
      <c r="DM19" t="s">
        <v>669</v>
      </c>
      <c r="DN19" t="s">
        <v>670</v>
      </c>
      <c r="DO19">
        <v>10</v>
      </c>
      <c r="DP19">
        <v>2006</v>
      </c>
      <c r="DQ19">
        <v>2006</v>
      </c>
      <c r="DR19" t="s">
        <v>2518</v>
      </c>
      <c r="DT19" t="s">
        <v>125</v>
      </c>
      <c r="DU19" t="s">
        <v>2519</v>
      </c>
      <c r="DV19" t="s">
        <v>2520</v>
      </c>
      <c r="DW19" t="s">
        <v>2521</v>
      </c>
      <c r="DX19" t="s">
        <v>2522</v>
      </c>
      <c r="DY19" t="s">
        <v>2523</v>
      </c>
      <c r="DZ19">
        <v>65</v>
      </c>
      <c r="EB19" t="s">
        <v>2524</v>
      </c>
      <c r="EC19" t="s">
        <v>1995</v>
      </c>
      <c r="ED19" t="s">
        <v>2249</v>
      </c>
      <c r="EE19" t="s">
        <v>582</v>
      </c>
      <c r="EF19" t="s">
        <v>2525</v>
      </c>
      <c r="EG19">
        <v>2470</v>
      </c>
      <c r="EH19">
        <v>2470</v>
      </c>
      <c r="EI19">
        <v>2470</v>
      </c>
      <c r="EJ19">
        <v>2470</v>
      </c>
      <c r="EL19" t="s">
        <v>2526</v>
      </c>
      <c r="EM19" t="s">
        <v>1995</v>
      </c>
      <c r="EN19" t="s">
        <v>2249</v>
      </c>
      <c r="EO19">
        <v>4.5</v>
      </c>
      <c r="EP19" t="s">
        <v>2276</v>
      </c>
      <c r="EQ19" t="s">
        <v>2527</v>
      </c>
      <c r="ER19" t="s">
        <v>2528</v>
      </c>
      <c r="ES19">
        <v>45160</v>
      </c>
      <c r="ET19">
        <v>59610</v>
      </c>
      <c r="EU19">
        <v>65030</v>
      </c>
      <c r="EV19">
        <v>65030</v>
      </c>
      <c r="EX19" t="s">
        <v>2529</v>
      </c>
      <c r="EY19" t="s">
        <v>2256</v>
      </c>
      <c r="EZ19" t="s">
        <v>25</v>
      </c>
      <c r="FA19" t="s">
        <v>2257</v>
      </c>
      <c r="GD19" t="s">
        <v>2456</v>
      </c>
      <c r="GE19" t="s">
        <v>2457</v>
      </c>
      <c r="GF19" t="s">
        <v>82</v>
      </c>
      <c r="GG19" t="s">
        <v>87</v>
      </c>
      <c r="GH19">
        <v>26</v>
      </c>
      <c r="GI19">
        <v>96442</v>
      </c>
      <c r="GJ19">
        <v>98192</v>
      </c>
      <c r="GK19">
        <v>99817</v>
      </c>
      <c r="GL19">
        <v>0.0344</v>
      </c>
      <c r="GM19">
        <v>98192</v>
      </c>
      <c r="GN19">
        <v>0</v>
      </c>
      <c r="GO19" t="s">
        <v>2340</v>
      </c>
      <c r="GP19" t="s">
        <v>82</v>
      </c>
      <c r="GQ19">
        <v>26</v>
      </c>
      <c r="GR19" t="s">
        <v>2261</v>
      </c>
      <c r="GS19" t="s">
        <v>2458</v>
      </c>
      <c r="HA19" t="s">
        <v>2530</v>
      </c>
      <c r="HB19" t="s">
        <v>82</v>
      </c>
      <c r="HC19" t="s">
        <v>2475</v>
      </c>
      <c r="HD19" t="s">
        <v>101</v>
      </c>
      <c r="HE19">
        <v>73205.15</v>
      </c>
      <c r="HF19">
        <v>114163.9</v>
      </c>
      <c r="HG19">
        <v>91343.3496153846</v>
      </c>
      <c r="HH19">
        <v>89130.07750000001</v>
      </c>
      <c r="HI19">
        <v>89130.16</v>
      </c>
      <c r="HJ19">
        <v>98838.05</v>
      </c>
    </row>
    <row r="20" ht="15" customHeight="1" spans="1:218" x14ac:dyDescent="0.25">
      <c r="A20" t="s">
        <v>2531</v>
      </c>
      <c r="B20">
        <v>2380.9435416666665</v>
      </c>
      <c r="C20">
        <v>2855.3187500000004</v>
      </c>
      <c r="D20">
        <v>3198.258</v>
      </c>
      <c r="CQ20" t="s">
        <v>2532</v>
      </c>
      <c r="CR20" t="s">
        <v>82</v>
      </c>
      <c r="CS20" t="s">
        <v>269</v>
      </c>
      <c r="CT20" t="s">
        <v>268</v>
      </c>
      <c r="CU20" t="s">
        <v>81</v>
      </c>
      <c r="CV20" t="s">
        <v>236</v>
      </c>
      <c r="CW20">
        <v>26.92</v>
      </c>
      <c r="CX20">
        <v>1</v>
      </c>
      <c r="CY20">
        <v>1</v>
      </c>
      <c r="CZ20">
        <v>1</v>
      </c>
      <c r="DA20">
        <v>280</v>
      </c>
      <c r="DB20">
        <v>280</v>
      </c>
      <c r="DC20">
        <v>280</v>
      </c>
      <c r="DD20">
        <v>280</v>
      </c>
      <c r="DE20">
        <v>280</v>
      </c>
      <c r="DG20" t="s">
        <v>2533</v>
      </c>
      <c r="DH20" t="s">
        <v>82</v>
      </c>
      <c r="DI20" t="s">
        <v>740</v>
      </c>
      <c r="DJ20" t="s">
        <v>741</v>
      </c>
      <c r="DK20" t="s">
        <v>692</v>
      </c>
      <c r="DL20">
        <v>96.15</v>
      </c>
      <c r="DM20" t="s">
        <v>669</v>
      </c>
      <c r="DN20" t="s">
        <v>670</v>
      </c>
      <c r="DO20">
        <v>1</v>
      </c>
      <c r="DP20">
        <v>1004</v>
      </c>
      <c r="DQ20">
        <v>1004</v>
      </c>
      <c r="DR20" t="s">
        <v>2534</v>
      </c>
      <c r="DT20" t="s">
        <v>125</v>
      </c>
      <c r="DU20" t="s">
        <v>2535</v>
      </c>
      <c r="DV20" t="s">
        <v>2536</v>
      </c>
      <c r="DW20" t="s">
        <v>2537</v>
      </c>
      <c r="DX20" t="s">
        <v>1995</v>
      </c>
      <c r="DY20" t="s">
        <v>2249</v>
      </c>
      <c r="DZ20">
        <v>62</v>
      </c>
      <c r="EB20" t="s">
        <v>2538</v>
      </c>
      <c r="EC20" t="s">
        <v>1995</v>
      </c>
      <c r="ED20" t="s">
        <v>2249</v>
      </c>
      <c r="EE20" t="s">
        <v>580</v>
      </c>
      <c r="EF20" t="s">
        <v>2539</v>
      </c>
      <c r="EG20">
        <v>10480</v>
      </c>
      <c r="EH20">
        <v>10480</v>
      </c>
      <c r="EI20">
        <v>10480</v>
      </c>
      <c r="EJ20">
        <v>10480</v>
      </c>
      <c r="EL20" t="s">
        <v>2540</v>
      </c>
      <c r="EM20" t="s">
        <v>1995</v>
      </c>
      <c r="EN20" t="s">
        <v>2249</v>
      </c>
      <c r="EO20">
        <v>5</v>
      </c>
      <c r="EP20" t="s">
        <v>2252</v>
      </c>
      <c r="EQ20" t="s">
        <v>2541</v>
      </c>
      <c r="ER20" t="s">
        <v>2542</v>
      </c>
      <c r="ES20">
        <v>46040</v>
      </c>
      <c r="ET20">
        <v>50890</v>
      </c>
      <c r="EU20">
        <v>54960</v>
      </c>
      <c r="EV20">
        <v>54960</v>
      </c>
      <c r="EX20" t="s">
        <v>2543</v>
      </c>
      <c r="EY20" t="s">
        <v>2256</v>
      </c>
      <c r="EZ20" t="s">
        <v>25</v>
      </c>
      <c r="FA20" t="s">
        <v>2257</v>
      </c>
      <c r="GD20" t="s">
        <v>2544</v>
      </c>
      <c r="GE20" t="s">
        <v>2259</v>
      </c>
      <c r="GF20" t="s">
        <v>121</v>
      </c>
      <c r="GG20" t="s">
        <v>82</v>
      </c>
      <c r="GH20">
        <v>26</v>
      </c>
      <c r="GI20">
        <v>36.25</v>
      </c>
      <c r="GJ20">
        <v>39</v>
      </c>
      <c r="GK20">
        <v>41</v>
      </c>
      <c r="GL20">
        <v>0.1218</v>
      </c>
      <c r="GM20">
        <v>39</v>
      </c>
      <c r="GN20">
        <v>0</v>
      </c>
      <c r="GO20" t="s">
        <v>2340</v>
      </c>
      <c r="GP20" t="s">
        <v>87</v>
      </c>
      <c r="GQ20">
        <v>26</v>
      </c>
      <c r="GR20" t="s">
        <v>2261</v>
      </c>
      <c r="GS20" t="s">
        <v>2545</v>
      </c>
      <c r="HA20" t="s">
        <v>2546</v>
      </c>
      <c r="HB20" t="s">
        <v>82</v>
      </c>
      <c r="HC20" t="s">
        <v>2547</v>
      </c>
      <c r="HD20" t="s">
        <v>147</v>
      </c>
      <c r="HE20">
        <v>163037.45</v>
      </c>
      <c r="HF20">
        <v>275880.12</v>
      </c>
      <c r="HG20">
        <v>205500.93115384624</v>
      </c>
      <c r="HH20">
        <v>182949.10499999998</v>
      </c>
      <c r="HI20">
        <v>189217.605</v>
      </c>
      <c r="HJ20">
        <v>231144.73249999998</v>
      </c>
    </row>
    <row r="21" ht="15" customHeight="1" spans="1:218" x14ac:dyDescent="0.25">
      <c r="A21" t="s">
        <v>2548</v>
      </c>
      <c r="B21">
        <v>3059.8</v>
      </c>
      <c r="C21">
        <v>3428.828333333333</v>
      </c>
      <c r="D21">
        <v>3617.71</v>
      </c>
      <c r="CQ21" t="s">
        <v>2549</v>
      </c>
      <c r="CR21" t="s">
        <v>82</v>
      </c>
      <c r="CS21" t="s">
        <v>237</v>
      </c>
      <c r="CT21" t="s">
        <v>235</v>
      </c>
      <c r="CU21" t="s">
        <v>81</v>
      </c>
      <c r="CV21" t="s">
        <v>236</v>
      </c>
      <c r="CW21">
        <v>19.23</v>
      </c>
      <c r="CX21">
        <v>1</v>
      </c>
      <c r="CY21">
        <v>1</v>
      </c>
      <c r="CZ21">
        <v>1</v>
      </c>
      <c r="DA21">
        <v>2650</v>
      </c>
      <c r="DB21">
        <v>2650</v>
      </c>
      <c r="DC21">
        <v>2650</v>
      </c>
      <c r="DD21">
        <v>2650</v>
      </c>
      <c r="DE21">
        <v>2650</v>
      </c>
      <c r="DG21" t="s">
        <v>2550</v>
      </c>
      <c r="DH21" t="s">
        <v>82</v>
      </c>
      <c r="DI21" t="s">
        <v>745</v>
      </c>
      <c r="DJ21" t="s">
        <v>746</v>
      </c>
      <c r="DK21" t="s">
        <v>692</v>
      </c>
      <c r="DL21">
        <v>96.15</v>
      </c>
      <c r="DM21" t="s">
        <v>669</v>
      </c>
      <c r="DN21" t="s">
        <v>670</v>
      </c>
      <c r="DO21">
        <v>2</v>
      </c>
      <c r="DP21">
        <v>2592</v>
      </c>
      <c r="DQ21">
        <v>2592</v>
      </c>
      <c r="DR21" t="s">
        <v>2551</v>
      </c>
      <c r="DT21" t="s">
        <v>125</v>
      </c>
      <c r="DU21" t="s">
        <v>2552</v>
      </c>
      <c r="DV21" t="s">
        <v>2553</v>
      </c>
      <c r="DW21" t="s">
        <v>2554</v>
      </c>
      <c r="DX21" t="s">
        <v>2555</v>
      </c>
      <c r="DY21" t="s">
        <v>2556</v>
      </c>
      <c r="DZ21">
        <v>54</v>
      </c>
      <c r="EB21" t="s">
        <v>2557</v>
      </c>
      <c r="EC21" t="s">
        <v>1995</v>
      </c>
      <c r="ED21" t="s">
        <v>2249</v>
      </c>
      <c r="EE21" t="s">
        <v>578</v>
      </c>
      <c r="EF21" t="s">
        <v>577</v>
      </c>
      <c r="EG21">
        <v>100000</v>
      </c>
      <c r="EH21">
        <v>100000</v>
      </c>
      <c r="EI21">
        <v>100000</v>
      </c>
      <c r="EJ21">
        <v>100000</v>
      </c>
      <c r="EL21" t="s">
        <v>2558</v>
      </c>
      <c r="EM21" t="s">
        <v>1995</v>
      </c>
      <c r="EN21" t="s">
        <v>2249</v>
      </c>
      <c r="EO21">
        <v>5</v>
      </c>
      <c r="EP21" t="s">
        <v>2276</v>
      </c>
      <c r="EQ21" t="s">
        <v>2559</v>
      </c>
      <c r="ER21" t="s">
        <v>2560</v>
      </c>
      <c r="ES21">
        <v>48230</v>
      </c>
      <c r="ET21">
        <v>63660</v>
      </c>
      <c r="EU21">
        <v>69450</v>
      </c>
      <c r="EV21">
        <v>69450</v>
      </c>
      <c r="EX21" t="s">
        <v>2561</v>
      </c>
      <c r="EY21" t="s">
        <v>2256</v>
      </c>
      <c r="EZ21" t="s">
        <v>25</v>
      </c>
      <c r="FA21" t="s">
        <v>2257</v>
      </c>
      <c r="GD21" t="s">
        <v>2544</v>
      </c>
      <c r="GE21" t="s">
        <v>2259</v>
      </c>
      <c r="GF21" t="s">
        <v>121</v>
      </c>
      <c r="GG21" t="s">
        <v>121</v>
      </c>
      <c r="GH21">
        <v>0</v>
      </c>
      <c r="GI21">
        <v>0</v>
      </c>
      <c r="GJ21">
        <v>0</v>
      </c>
      <c r="GK21">
        <v>0</v>
      </c>
      <c r="GL21">
        <v>0</v>
      </c>
      <c r="GM21">
        <v>0</v>
      </c>
      <c r="GN21">
        <v>1</v>
      </c>
      <c r="GO21" t="s">
        <v>2280</v>
      </c>
      <c r="GP21" t="s">
        <v>87</v>
      </c>
      <c r="GQ21">
        <v>26</v>
      </c>
      <c r="GR21" t="s">
        <v>2261</v>
      </c>
      <c r="GS21" t="s">
        <v>2545</v>
      </c>
      <c r="HA21" t="s">
        <v>2562</v>
      </c>
      <c r="HB21" t="s">
        <v>82</v>
      </c>
      <c r="HC21" t="s">
        <v>2563</v>
      </c>
      <c r="HD21" t="s">
        <v>96</v>
      </c>
      <c r="HE21">
        <v>20379.68</v>
      </c>
      <c r="HF21">
        <v>34485.01</v>
      </c>
      <c r="HG21">
        <v>25687.615384615383</v>
      </c>
      <c r="HH21">
        <v>22868.637499999997</v>
      </c>
      <c r="HI21">
        <v>23652.2</v>
      </c>
      <c r="HJ21">
        <v>28893.0925</v>
      </c>
    </row>
    <row r="22" ht="15" customHeight="1" spans="95:218" x14ac:dyDescent="0.25">
      <c r="CQ22" t="s">
        <v>2564</v>
      </c>
      <c r="CR22" t="s">
        <v>82</v>
      </c>
      <c r="CS22" t="s">
        <v>249</v>
      </c>
      <c r="CT22" t="s">
        <v>247</v>
      </c>
      <c r="CU22" t="s">
        <v>81</v>
      </c>
      <c r="CV22" t="s">
        <v>248</v>
      </c>
      <c r="CW22">
        <v>53.85</v>
      </c>
      <c r="CX22">
        <v>1</v>
      </c>
      <c r="CY22">
        <v>1</v>
      </c>
      <c r="CZ22">
        <v>1</v>
      </c>
      <c r="DA22">
        <v>370</v>
      </c>
      <c r="DB22">
        <v>310</v>
      </c>
      <c r="DC22">
        <v>340</v>
      </c>
      <c r="DD22">
        <v>370</v>
      </c>
      <c r="DE22">
        <v>370</v>
      </c>
      <c r="DG22" t="s">
        <v>2565</v>
      </c>
      <c r="DH22" t="s">
        <v>82</v>
      </c>
      <c r="DI22" t="s">
        <v>750</v>
      </c>
      <c r="DJ22" t="s">
        <v>751</v>
      </c>
      <c r="DK22" t="s">
        <v>692</v>
      </c>
      <c r="DL22">
        <v>96.15</v>
      </c>
      <c r="DM22" t="s">
        <v>670</v>
      </c>
      <c r="DN22" t="s">
        <v>669</v>
      </c>
      <c r="DO22">
        <v>0</v>
      </c>
      <c r="DP22">
        <v>0</v>
      </c>
      <c r="DQ22">
        <v>245</v>
      </c>
      <c r="DR22" t="s">
        <v>2566</v>
      </c>
      <c r="DT22" t="s">
        <v>125</v>
      </c>
      <c r="DU22" t="s">
        <v>2567</v>
      </c>
      <c r="DV22" t="s">
        <v>2568</v>
      </c>
      <c r="DW22" t="s">
        <v>2569</v>
      </c>
      <c r="DX22" t="s">
        <v>2434</v>
      </c>
      <c r="DY22" t="s">
        <v>2435</v>
      </c>
      <c r="DZ22">
        <v>43</v>
      </c>
      <c r="EB22" t="s">
        <v>2570</v>
      </c>
      <c r="EC22" t="s">
        <v>1995</v>
      </c>
      <c r="ED22" t="s">
        <v>2249</v>
      </c>
      <c r="EE22" t="s">
        <v>327</v>
      </c>
      <c r="EF22" t="s">
        <v>328</v>
      </c>
      <c r="EG22">
        <v>1050</v>
      </c>
      <c r="EH22">
        <v>1160</v>
      </c>
      <c r="EI22">
        <v>1250</v>
      </c>
      <c r="EJ22">
        <v>1250</v>
      </c>
      <c r="EL22" t="s">
        <v>2571</v>
      </c>
      <c r="EM22" t="s">
        <v>1995</v>
      </c>
      <c r="EN22" t="s">
        <v>2249</v>
      </c>
      <c r="EO22">
        <v>5.5</v>
      </c>
      <c r="EP22" t="s">
        <v>2252</v>
      </c>
      <c r="EQ22" t="s">
        <v>2572</v>
      </c>
      <c r="ER22" t="s">
        <v>2573</v>
      </c>
      <c r="ES22">
        <v>48570</v>
      </c>
      <c r="ET22">
        <v>53670</v>
      </c>
      <c r="EU22">
        <v>57970</v>
      </c>
      <c r="EV22">
        <v>57970</v>
      </c>
      <c r="EX22" t="s">
        <v>2574</v>
      </c>
      <c r="EY22" t="s">
        <v>2256</v>
      </c>
      <c r="EZ22" t="s">
        <v>25</v>
      </c>
      <c r="FA22" t="s">
        <v>2257</v>
      </c>
      <c r="GD22" t="s">
        <v>2544</v>
      </c>
      <c r="GE22" t="s">
        <v>2259</v>
      </c>
      <c r="GF22" t="s">
        <v>121</v>
      </c>
      <c r="GG22" t="s">
        <v>125</v>
      </c>
      <c r="GH22">
        <v>0</v>
      </c>
      <c r="GI22">
        <v>0</v>
      </c>
      <c r="GJ22">
        <v>0</v>
      </c>
      <c r="GK22">
        <v>0</v>
      </c>
      <c r="GL22">
        <v>0</v>
      </c>
      <c r="GM22">
        <v>0</v>
      </c>
      <c r="GN22">
        <v>1</v>
      </c>
      <c r="GO22" t="s">
        <v>2280</v>
      </c>
      <c r="GP22" t="s">
        <v>87</v>
      </c>
      <c r="GQ22">
        <v>26</v>
      </c>
      <c r="GR22" t="s">
        <v>2261</v>
      </c>
      <c r="GS22" t="s">
        <v>2545</v>
      </c>
      <c r="HA22" t="s">
        <v>2575</v>
      </c>
      <c r="HB22" t="s">
        <v>82</v>
      </c>
      <c r="HC22" t="s">
        <v>2576</v>
      </c>
      <c r="HD22" t="s">
        <v>2073</v>
      </c>
      <c r="HE22">
        <v>279404</v>
      </c>
      <c r="HF22">
        <v>391128</v>
      </c>
      <c r="HG22">
        <v>325114.6153846154</v>
      </c>
      <c r="HH22">
        <v>314774.5</v>
      </c>
      <c r="HI22">
        <v>321609</v>
      </c>
      <c r="HJ22">
        <v>331811.49999999994</v>
      </c>
    </row>
    <row r="23" ht="15" customHeight="1" spans="1:218" x14ac:dyDescent="0.25">
      <c r="A23" t="s">
        <v>2577</v>
      </c>
      <c r="CQ23" t="s">
        <v>2578</v>
      </c>
      <c r="CR23" t="s">
        <v>82</v>
      </c>
      <c r="CS23" t="s">
        <v>293</v>
      </c>
      <c r="CT23" t="s">
        <v>291</v>
      </c>
      <c r="CU23" t="s">
        <v>81</v>
      </c>
      <c r="CV23" t="s">
        <v>292</v>
      </c>
      <c r="CW23">
        <v>3.85</v>
      </c>
      <c r="CX23">
        <v>1</v>
      </c>
      <c r="CY23">
        <v>1</v>
      </c>
      <c r="CZ23">
        <v>1</v>
      </c>
      <c r="DA23">
        <v>460</v>
      </c>
      <c r="DB23">
        <v>330</v>
      </c>
      <c r="DC23">
        <v>370</v>
      </c>
      <c r="DD23">
        <v>400</v>
      </c>
      <c r="DE23">
        <v>400</v>
      </c>
      <c r="DG23" t="s">
        <v>2579</v>
      </c>
      <c r="DH23" t="s">
        <v>82</v>
      </c>
      <c r="DI23" t="s">
        <v>752</v>
      </c>
      <c r="DJ23" t="s">
        <v>753</v>
      </c>
      <c r="DK23" t="s">
        <v>692</v>
      </c>
      <c r="DL23">
        <v>96.15</v>
      </c>
      <c r="DM23" t="s">
        <v>670</v>
      </c>
      <c r="DN23" t="s">
        <v>670</v>
      </c>
      <c r="DO23">
        <v>1</v>
      </c>
      <c r="DP23">
        <v>1416.94</v>
      </c>
      <c r="DQ23">
        <v>1416.94</v>
      </c>
      <c r="DR23" t="s">
        <v>2580</v>
      </c>
      <c r="DT23" t="s">
        <v>125</v>
      </c>
      <c r="DU23" t="s">
        <v>2581</v>
      </c>
      <c r="DV23" t="s">
        <v>2582</v>
      </c>
      <c r="DW23" t="s">
        <v>2583</v>
      </c>
      <c r="DX23" t="s">
        <v>2434</v>
      </c>
      <c r="DY23" t="s">
        <v>2435</v>
      </c>
      <c r="DZ23">
        <v>36</v>
      </c>
      <c r="EB23" t="s">
        <v>2584</v>
      </c>
      <c r="EC23" t="s">
        <v>1995</v>
      </c>
      <c r="ED23" t="s">
        <v>2249</v>
      </c>
      <c r="EE23" t="s">
        <v>330</v>
      </c>
      <c r="EF23" t="s">
        <v>331</v>
      </c>
      <c r="EG23">
        <v>380</v>
      </c>
      <c r="EH23">
        <v>420</v>
      </c>
      <c r="EI23">
        <v>460</v>
      </c>
      <c r="EJ23">
        <v>460</v>
      </c>
      <c r="EL23" t="s">
        <v>2585</v>
      </c>
      <c r="EM23" t="s">
        <v>1995</v>
      </c>
      <c r="EN23" t="s">
        <v>2249</v>
      </c>
      <c r="EO23">
        <v>5.5</v>
      </c>
      <c r="EP23" t="s">
        <v>2276</v>
      </c>
      <c r="EQ23" t="s">
        <v>2586</v>
      </c>
      <c r="ER23" t="s">
        <v>2587</v>
      </c>
      <c r="ES23">
        <v>50900</v>
      </c>
      <c r="ET23">
        <v>67190</v>
      </c>
      <c r="EU23">
        <v>73300</v>
      </c>
      <c r="EV23">
        <v>73300</v>
      </c>
      <c r="EX23" t="s">
        <v>2588</v>
      </c>
      <c r="EY23" t="s">
        <v>2256</v>
      </c>
      <c r="EZ23" t="s">
        <v>25</v>
      </c>
      <c r="FA23" t="s">
        <v>2257</v>
      </c>
      <c r="GD23" t="s">
        <v>2544</v>
      </c>
      <c r="GE23" t="s">
        <v>2259</v>
      </c>
      <c r="GF23" t="s">
        <v>121</v>
      </c>
      <c r="GG23" t="s">
        <v>85</v>
      </c>
      <c r="GH23">
        <v>0</v>
      </c>
      <c r="GI23">
        <v>0</v>
      </c>
      <c r="GJ23">
        <v>0</v>
      </c>
      <c r="GK23">
        <v>0</v>
      </c>
      <c r="GL23">
        <v>0</v>
      </c>
      <c r="GM23">
        <v>0</v>
      </c>
      <c r="GN23">
        <v>1</v>
      </c>
      <c r="GO23" t="s">
        <v>2280</v>
      </c>
      <c r="GP23" t="s">
        <v>87</v>
      </c>
      <c r="GQ23">
        <v>26</v>
      </c>
      <c r="GR23" t="s">
        <v>2261</v>
      </c>
      <c r="GS23" t="s">
        <v>2545</v>
      </c>
      <c r="HA23" t="s">
        <v>2589</v>
      </c>
      <c r="HB23" t="s">
        <v>82</v>
      </c>
      <c r="HC23" t="s">
        <v>2590</v>
      </c>
      <c r="HD23" t="s">
        <v>2074</v>
      </c>
      <c r="HE23">
        <v>0</v>
      </c>
      <c r="HF23">
        <v>0</v>
      </c>
      <c r="HG23">
        <v>0</v>
      </c>
      <c r="HH23">
        <v>0</v>
      </c>
      <c r="HI23">
        <v>0</v>
      </c>
      <c r="HJ23">
        <v>0</v>
      </c>
    </row>
    <row r="24" ht="15" customHeight="1" spans="1:218" x14ac:dyDescent="0.25">
      <c r="A24" t="s">
        <v>2266</v>
      </c>
      <c r="B24" t="s">
        <v>2236</v>
      </c>
      <c r="C24" t="s">
        <v>2237</v>
      </c>
      <c r="D24" t="s">
        <v>2238</v>
      </c>
      <c r="CQ24" t="s">
        <v>2591</v>
      </c>
      <c r="CR24" t="s">
        <v>82</v>
      </c>
      <c r="CS24" t="s">
        <v>327</v>
      </c>
      <c r="CT24" t="s">
        <v>328</v>
      </c>
      <c r="CU24" t="s">
        <v>81</v>
      </c>
      <c r="CV24" t="s">
        <v>248</v>
      </c>
      <c r="CW24">
        <v>96.15</v>
      </c>
      <c r="CX24">
        <v>1</v>
      </c>
      <c r="CY24">
        <v>1</v>
      </c>
      <c r="CZ24">
        <v>1</v>
      </c>
      <c r="DA24">
        <v>1250</v>
      </c>
      <c r="DB24">
        <v>1050</v>
      </c>
      <c r="DC24">
        <v>1160</v>
      </c>
      <c r="DD24">
        <v>1250</v>
      </c>
      <c r="DE24">
        <v>1250</v>
      </c>
      <c r="DG24" t="s">
        <v>2592</v>
      </c>
      <c r="DH24" t="s">
        <v>82</v>
      </c>
      <c r="DI24" t="s">
        <v>757</v>
      </c>
      <c r="DJ24" t="s">
        <v>758</v>
      </c>
      <c r="DK24" t="s">
        <v>692</v>
      </c>
      <c r="DL24">
        <v>96.15</v>
      </c>
      <c r="DM24" t="s">
        <v>670</v>
      </c>
      <c r="DN24" t="s">
        <v>670</v>
      </c>
      <c r="DO24">
        <v>0</v>
      </c>
      <c r="DP24">
        <v>0</v>
      </c>
      <c r="DQ24">
        <v>871.5</v>
      </c>
      <c r="DR24" t="s">
        <v>2593</v>
      </c>
      <c r="DT24" t="s">
        <v>125</v>
      </c>
      <c r="DU24" t="s">
        <v>2594</v>
      </c>
      <c r="DV24" t="s">
        <v>2595</v>
      </c>
      <c r="DW24" t="s">
        <v>2596</v>
      </c>
      <c r="DX24" t="s">
        <v>2597</v>
      </c>
      <c r="DY24" t="s">
        <v>2598</v>
      </c>
      <c r="DZ24">
        <v>36</v>
      </c>
      <c r="EB24" t="s">
        <v>2599</v>
      </c>
      <c r="EC24" t="s">
        <v>1995</v>
      </c>
      <c r="ED24" t="s">
        <v>2249</v>
      </c>
      <c r="EE24" t="s">
        <v>576</v>
      </c>
      <c r="EF24" t="s">
        <v>574</v>
      </c>
      <c r="EG24">
        <v>2030</v>
      </c>
      <c r="EH24">
        <v>2210</v>
      </c>
      <c r="EI24">
        <v>2380</v>
      </c>
      <c r="EJ24">
        <v>2560</v>
      </c>
      <c r="EL24" t="s">
        <v>2600</v>
      </c>
      <c r="EM24" t="s">
        <v>1995</v>
      </c>
      <c r="EN24" t="s">
        <v>2249</v>
      </c>
      <c r="EO24">
        <v>6</v>
      </c>
      <c r="EP24" t="s">
        <v>2252</v>
      </c>
      <c r="EQ24" t="s">
        <v>2601</v>
      </c>
      <c r="ER24" t="s">
        <v>2602</v>
      </c>
      <c r="ES24">
        <v>50740</v>
      </c>
      <c r="ET24">
        <v>56040</v>
      </c>
      <c r="EU24">
        <v>60560</v>
      </c>
      <c r="EV24">
        <v>60560</v>
      </c>
      <c r="GD24" t="s">
        <v>2544</v>
      </c>
      <c r="GE24" t="s">
        <v>2259</v>
      </c>
      <c r="GF24" t="s">
        <v>121</v>
      </c>
      <c r="GG24" t="s">
        <v>86</v>
      </c>
      <c r="GH24">
        <v>0</v>
      </c>
      <c r="GI24">
        <v>0</v>
      </c>
      <c r="GJ24">
        <v>0</v>
      </c>
      <c r="GK24">
        <v>0</v>
      </c>
      <c r="GL24">
        <v>0</v>
      </c>
      <c r="GM24">
        <v>0</v>
      </c>
      <c r="GN24">
        <v>1</v>
      </c>
      <c r="GO24" t="s">
        <v>2280</v>
      </c>
      <c r="GP24" t="s">
        <v>87</v>
      </c>
      <c r="GQ24">
        <v>26</v>
      </c>
      <c r="GR24" t="s">
        <v>2261</v>
      </c>
      <c r="GS24" t="s">
        <v>2545</v>
      </c>
      <c r="HA24" t="s">
        <v>2603</v>
      </c>
      <c r="HB24" t="s">
        <v>82</v>
      </c>
      <c r="HC24" t="s">
        <v>2604</v>
      </c>
      <c r="HD24" t="s">
        <v>2075</v>
      </c>
      <c r="HE24">
        <v>381.3</v>
      </c>
      <c r="HF24">
        <v>7755.38</v>
      </c>
      <c r="HG24">
        <v>2376.79</v>
      </c>
      <c r="HH24">
        <v>1144.8375</v>
      </c>
      <c r="HI24">
        <v>1914.83</v>
      </c>
      <c r="HJ24">
        <v>2778.05</v>
      </c>
    </row>
    <row r="25" ht="15" customHeight="1" spans="1:218" x14ac:dyDescent="0.25">
      <c r="A25" t="s">
        <v>2605</v>
      </c>
      <c r="B25">
        <v>36.25</v>
      </c>
      <c r="C25">
        <v>39</v>
      </c>
      <c r="D25">
        <v>41</v>
      </c>
      <c r="CQ25" t="s">
        <v>2606</v>
      </c>
      <c r="CR25" t="s">
        <v>82</v>
      </c>
      <c r="CS25" t="s">
        <v>330</v>
      </c>
      <c r="CT25" t="s">
        <v>331</v>
      </c>
      <c r="CU25" t="s">
        <v>81</v>
      </c>
      <c r="CV25" t="s">
        <v>248</v>
      </c>
      <c r="CW25">
        <v>88.46</v>
      </c>
      <c r="CX25">
        <v>1</v>
      </c>
      <c r="CY25">
        <v>1</v>
      </c>
      <c r="CZ25">
        <v>1</v>
      </c>
      <c r="DA25">
        <v>460</v>
      </c>
      <c r="DB25">
        <v>380</v>
      </c>
      <c r="DC25">
        <v>420</v>
      </c>
      <c r="DD25">
        <v>460</v>
      </c>
      <c r="DE25">
        <v>460</v>
      </c>
      <c r="DG25" t="s">
        <v>2607</v>
      </c>
      <c r="DH25" t="s">
        <v>82</v>
      </c>
      <c r="DI25" t="s">
        <v>760</v>
      </c>
      <c r="DJ25" t="s">
        <v>761</v>
      </c>
      <c r="DK25" t="s">
        <v>692</v>
      </c>
      <c r="DL25">
        <v>96.15</v>
      </c>
      <c r="DM25" t="s">
        <v>670</v>
      </c>
      <c r="DN25" t="s">
        <v>670</v>
      </c>
      <c r="DO25">
        <v>3</v>
      </c>
      <c r="DP25">
        <v>75.75</v>
      </c>
      <c r="DQ25">
        <v>126.25</v>
      </c>
      <c r="DR25" t="s">
        <v>2608</v>
      </c>
      <c r="DT25" t="s">
        <v>125</v>
      </c>
      <c r="DU25" t="s">
        <v>2609</v>
      </c>
      <c r="DV25" t="s">
        <v>2610</v>
      </c>
      <c r="DW25" t="s">
        <v>2611</v>
      </c>
      <c r="DX25" t="s">
        <v>1995</v>
      </c>
      <c r="DY25" t="s">
        <v>2249</v>
      </c>
      <c r="DZ25">
        <v>33</v>
      </c>
      <c r="EB25" t="s">
        <v>2612</v>
      </c>
      <c r="EC25" t="s">
        <v>1995</v>
      </c>
      <c r="ED25" t="s">
        <v>2249</v>
      </c>
      <c r="EE25" t="s">
        <v>573</v>
      </c>
      <c r="EF25" t="s">
        <v>2613</v>
      </c>
      <c r="EG25">
        <v>1300</v>
      </c>
      <c r="EH25">
        <v>1300</v>
      </c>
      <c r="EI25">
        <v>1300</v>
      </c>
      <c r="EJ25">
        <v>1300</v>
      </c>
      <c r="EL25" t="s">
        <v>2614</v>
      </c>
      <c r="EM25" t="s">
        <v>1995</v>
      </c>
      <c r="EN25" t="s">
        <v>2249</v>
      </c>
      <c r="EO25">
        <v>6</v>
      </c>
      <c r="EP25" t="s">
        <v>2276</v>
      </c>
      <c r="EQ25" t="s">
        <v>2615</v>
      </c>
      <c r="ER25" t="s">
        <v>2616</v>
      </c>
      <c r="ES25">
        <v>53180</v>
      </c>
      <c r="ET25">
        <v>70200</v>
      </c>
      <c r="EU25">
        <v>76580</v>
      </c>
      <c r="EV25">
        <v>76580</v>
      </c>
      <c r="GD25" t="s">
        <v>2544</v>
      </c>
      <c r="GE25" t="s">
        <v>2259</v>
      </c>
      <c r="GF25" t="s">
        <v>121</v>
      </c>
      <c r="GG25" t="s">
        <v>87</v>
      </c>
      <c r="GH25">
        <v>26</v>
      </c>
      <c r="GI25">
        <v>36.25</v>
      </c>
      <c r="GJ25">
        <v>39</v>
      </c>
      <c r="GK25">
        <v>41</v>
      </c>
      <c r="GL25">
        <v>0.1218</v>
      </c>
      <c r="GM25">
        <v>39</v>
      </c>
      <c r="GN25">
        <v>0</v>
      </c>
      <c r="GO25" t="s">
        <v>2617</v>
      </c>
      <c r="GP25" t="s">
        <v>87</v>
      </c>
      <c r="GQ25">
        <v>26</v>
      </c>
      <c r="GR25" t="s">
        <v>2261</v>
      </c>
      <c r="GS25" t="s">
        <v>2545</v>
      </c>
      <c r="HA25" t="s">
        <v>2618</v>
      </c>
      <c r="HB25" t="s">
        <v>82</v>
      </c>
      <c r="HC25" t="s">
        <v>2619</v>
      </c>
      <c r="HD25" t="s">
        <v>150</v>
      </c>
      <c r="HE25">
        <v>490629.41</v>
      </c>
      <c r="HF25">
        <v>640625.13</v>
      </c>
      <c r="HG25">
        <v>556303.1619230768</v>
      </c>
      <c r="HH25">
        <v>520489.6525</v>
      </c>
      <c r="HI25">
        <v>539491.3400000001</v>
      </c>
      <c r="HJ25">
        <v>596680.1275</v>
      </c>
    </row>
    <row r="26" ht="15" customHeight="1" spans="95:218" x14ac:dyDescent="0.25">
      <c r="CQ26" t="s">
        <v>2620</v>
      </c>
      <c r="CR26" t="s">
        <v>82</v>
      </c>
      <c r="CS26" t="s">
        <v>280</v>
      </c>
      <c r="CT26" t="s">
        <v>279</v>
      </c>
      <c r="CU26" t="s">
        <v>81</v>
      </c>
      <c r="CV26" t="s">
        <v>248</v>
      </c>
      <c r="CW26">
        <v>3.85</v>
      </c>
      <c r="CX26">
        <v>1</v>
      </c>
      <c r="CY26">
        <v>1</v>
      </c>
      <c r="CZ26">
        <v>1</v>
      </c>
      <c r="DA26">
        <v>545</v>
      </c>
      <c r="DB26">
        <v>860</v>
      </c>
      <c r="DC26">
        <v>950</v>
      </c>
      <c r="DD26">
        <v>1020</v>
      </c>
      <c r="DE26">
        <v>1020</v>
      </c>
      <c r="DG26" t="s">
        <v>2621</v>
      </c>
      <c r="DH26" t="s">
        <v>82</v>
      </c>
      <c r="DI26" t="s">
        <v>765</v>
      </c>
      <c r="DJ26" t="s">
        <v>766</v>
      </c>
      <c r="DK26" t="s">
        <v>668</v>
      </c>
      <c r="DL26">
        <v>92.31</v>
      </c>
      <c r="DM26" t="s">
        <v>670</v>
      </c>
      <c r="DN26" t="s">
        <v>670</v>
      </c>
      <c r="DO26">
        <v>1</v>
      </c>
      <c r="DP26">
        <v>313.12</v>
      </c>
      <c r="DQ26">
        <v>313.12</v>
      </c>
      <c r="DR26" t="s">
        <v>2622</v>
      </c>
      <c r="DT26" t="s">
        <v>125</v>
      </c>
      <c r="DU26" t="s">
        <v>2623</v>
      </c>
      <c r="DV26" t="s">
        <v>2624</v>
      </c>
      <c r="DW26" t="s">
        <v>2625</v>
      </c>
      <c r="DX26" t="s">
        <v>2434</v>
      </c>
      <c r="DY26" t="s">
        <v>2435</v>
      </c>
      <c r="DZ26">
        <v>32</v>
      </c>
      <c r="EB26" t="s">
        <v>2626</v>
      </c>
      <c r="EC26" t="s">
        <v>1995</v>
      </c>
      <c r="ED26" t="s">
        <v>2249</v>
      </c>
      <c r="EE26" t="s">
        <v>569</v>
      </c>
      <c r="EF26" t="s">
        <v>567</v>
      </c>
      <c r="EG26">
        <v>2000</v>
      </c>
      <c r="EH26">
        <v>2000</v>
      </c>
      <c r="EI26">
        <v>2000</v>
      </c>
      <c r="EJ26">
        <v>2000</v>
      </c>
      <c r="EL26" t="s">
        <v>2627</v>
      </c>
      <c r="EM26" t="s">
        <v>1995</v>
      </c>
      <c r="EN26" t="s">
        <v>2249</v>
      </c>
      <c r="EO26">
        <v>6.5</v>
      </c>
      <c r="EP26" t="s">
        <v>2252</v>
      </c>
      <c r="EQ26" t="s">
        <v>2628</v>
      </c>
      <c r="ER26" t="s">
        <v>2629</v>
      </c>
      <c r="ES26">
        <v>52550</v>
      </c>
      <c r="ET26">
        <v>58050</v>
      </c>
      <c r="EU26">
        <v>62730</v>
      </c>
      <c r="EV26">
        <v>62730</v>
      </c>
      <c r="GD26" t="s">
        <v>2630</v>
      </c>
      <c r="GE26" t="s">
        <v>2358</v>
      </c>
      <c r="GF26" t="s">
        <v>121</v>
      </c>
      <c r="GG26" t="s">
        <v>82</v>
      </c>
      <c r="GH26">
        <v>26</v>
      </c>
      <c r="GI26">
        <v>7802.505</v>
      </c>
      <c r="GJ26">
        <v>9060.435</v>
      </c>
      <c r="GK26">
        <v>10629.097</v>
      </c>
      <c r="GL26">
        <v>0.312</v>
      </c>
      <c r="GM26">
        <v>9060.435</v>
      </c>
      <c r="GN26">
        <v>0</v>
      </c>
      <c r="GO26" t="s">
        <v>2340</v>
      </c>
      <c r="GP26" t="s">
        <v>87</v>
      </c>
      <c r="GQ26">
        <v>26</v>
      </c>
      <c r="GR26" t="s">
        <v>2261</v>
      </c>
      <c r="GS26" t="s">
        <v>2631</v>
      </c>
      <c r="HA26" t="s">
        <v>2632</v>
      </c>
      <c r="HB26" t="s">
        <v>121</v>
      </c>
      <c r="HC26" t="s">
        <v>2264</v>
      </c>
      <c r="HD26" t="s">
        <v>142</v>
      </c>
      <c r="HE26">
        <v>0</v>
      </c>
      <c r="HF26">
        <v>0</v>
      </c>
      <c r="HG26">
        <v>0</v>
      </c>
      <c r="HH26">
        <v>0</v>
      </c>
      <c r="HI26">
        <v>0</v>
      </c>
      <c r="HJ26">
        <v>0</v>
      </c>
    </row>
    <row r="27" ht="15" customHeight="1" spans="1:218" x14ac:dyDescent="0.25">
      <c r="A27" t="s">
        <v>2633</v>
      </c>
      <c r="CQ27" t="s">
        <v>2634</v>
      </c>
      <c r="CR27" t="s">
        <v>82</v>
      </c>
      <c r="CS27" t="s">
        <v>576</v>
      </c>
      <c r="CT27" t="s">
        <v>574</v>
      </c>
      <c r="CU27" t="s">
        <v>88</v>
      </c>
      <c r="CV27" t="s">
        <v>575</v>
      </c>
      <c r="CW27">
        <v>96.15</v>
      </c>
      <c r="CX27">
        <v>1</v>
      </c>
      <c r="CY27">
        <v>1</v>
      </c>
      <c r="CZ27">
        <v>1</v>
      </c>
      <c r="DA27">
        <v>2560</v>
      </c>
      <c r="DB27">
        <v>2030</v>
      </c>
      <c r="DC27">
        <v>2210</v>
      </c>
      <c r="DD27">
        <v>2380</v>
      </c>
      <c r="DE27">
        <v>2560</v>
      </c>
      <c r="DG27" t="s">
        <v>2635</v>
      </c>
      <c r="DH27" t="s">
        <v>82</v>
      </c>
      <c r="DI27" t="s">
        <v>768</v>
      </c>
      <c r="DJ27" t="s">
        <v>769</v>
      </c>
      <c r="DK27" t="s">
        <v>668</v>
      </c>
      <c r="DL27">
        <v>92.31</v>
      </c>
      <c r="DM27" t="s">
        <v>669</v>
      </c>
      <c r="DN27" t="s">
        <v>670</v>
      </c>
      <c r="DO27">
        <v>1</v>
      </c>
      <c r="DP27">
        <v>132.15</v>
      </c>
      <c r="DQ27">
        <v>132.15</v>
      </c>
      <c r="DR27" t="s">
        <v>2636</v>
      </c>
      <c r="DT27" t="s">
        <v>125</v>
      </c>
      <c r="DU27" t="s">
        <v>2637</v>
      </c>
      <c r="DV27" t="s">
        <v>2638</v>
      </c>
      <c r="DW27" t="s">
        <v>2639</v>
      </c>
      <c r="DX27" t="s">
        <v>1995</v>
      </c>
      <c r="DY27" t="s">
        <v>2249</v>
      </c>
      <c r="DZ27">
        <v>27</v>
      </c>
      <c r="EB27" t="s">
        <v>2640</v>
      </c>
      <c r="EC27" t="s">
        <v>1995</v>
      </c>
      <c r="ED27" t="s">
        <v>2249</v>
      </c>
      <c r="EE27" t="s">
        <v>2641</v>
      </c>
      <c r="EF27" t="s">
        <v>2642</v>
      </c>
      <c r="EG27">
        <v>3320</v>
      </c>
      <c r="EH27">
        <v>3320</v>
      </c>
      <c r="EI27">
        <v>3320</v>
      </c>
      <c r="EJ27">
        <v>3320</v>
      </c>
      <c r="EL27" t="s">
        <v>2643</v>
      </c>
      <c r="EM27" t="s">
        <v>1995</v>
      </c>
      <c r="EN27" t="s">
        <v>2249</v>
      </c>
      <c r="EO27">
        <v>6.5</v>
      </c>
      <c r="EP27" t="s">
        <v>2276</v>
      </c>
      <c r="EQ27" t="s">
        <v>2644</v>
      </c>
      <c r="ER27" t="s">
        <v>2645</v>
      </c>
      <c r="ES27">
        <v>55070</v>
      </c>
      <c r="ET27">
        <v>72690</v>
      </c>
      <c r="EU27">
        <v>79300</v>
      </c>
      <c r="EV27">
        <v>79300</v>
      </c>
      <c r="GD27" t="s">
        <v>2630</v>
      </c>
      <c r="GE27" t="s">
        <v>2358</v>
      </c>
      <c r="GF27" t="s">
        <v>121</v>
      </c>
      <c r="GG27" t="s">
        <v>121</v>
      </c>
      <c r="GH27">
        <v>0</v>
      </c>
      <c r="GI27">
        <v>0</v>
      </c>
      <c r="GJ27">
        <v>0</v>
      </c>
      <c r="GK27">
        <v>0</v>
      </c>
      <c r="GL27">
        <v>0</v>
      </c>
      <c r="GM27">
        <v>0</v>
      </c>
      <c r="GN27">
        <v>1</v>
      </c>
      <c r="GO27" t="s">
        <v>2280</v>
      </c>
      <c r="GP27" t="s">
        <v>87</v>
      </c>
      <c r="GQ27">
        <v>26</v>
      </c>
      <c r="GR27" t="s">
        <v>2261</v>
      </c>
      <c r="GS27" t="s">
        <v>2631</v>
      </c>
      <c r="HA27" t="s">
        <v>2646</v>
      </c>
      <c r="HB27" t="s">
        <v>121</v>
      </c>
      <c r="HC27" t="s">
        <v>2282</v>
      </c>
      <c r="HD27" t="s">
        <v>37</v>
      </c>
      <c r="HE27">
        <v>0</v>
      </c>
      <c r="HF27">
        <v>0</v>
      </c>
      <c r="HG27">
        <v>0</v>
      </c>
      <c r="HH27">
        <v>0</v>
      </c>
      <c r="HI27">
        <v>0</v>
      </c>
      <c r="HJ27">
        <v>0</v>
      </c>
    </row>
    <row r="28" ht="15" customHeight="1" spans="1:218" x14ac:dyDescent="0.25">
      <c r="A28" t="s">
        <v>2161</v>
      </c>
      <c r="B28" t="s">
        <v>2162</v>
      </c>
      <c r="C28" t="s">
        <v>2163</v>
      </c>
      <c r="D28" t="s">
        <v>2164</v>
      </c>
      <c r="E28" t="s">
        <v>2165</v>
      </c>
      <c r="F28" t="s">
        <v>2166</v>
      </c>
      <c r="G28" t="s">
        <v>2167</v>
      </c>
      <c r="H28" t="s">
        <v>2168</v>
      </c>
      <c r="I28" t="s">
        <v>2169</v>
      </c>
      <c r="CQ28" t="s">
        <v>2647</v>
      </c>
      <c r="CR28" t="s">
        <v>82</v>
      </c>
      <c r="CS28" t="s">
        <v>264</v>
      </c>
      <c r="CT28" t="s">
        <v>262</v>
      </c>
      <c r="CU28" t="s">
        <v>99</v>
      </c>
      <c r="CV28" t="s">
        <v>263</v>
      </c>
      <c r="CW28">
        <v>11.54</v>
      </c>
      <c r="CX28">
        <v>1</v>
      </c>
      <c r="CY28">
        <v>1</v>
      </c>
      <c r="CZ28">
        <v>1</v>
      </c>
      <c r="DA28">
        <v>810</v>
      </c>
      <c r="DB28">
        <v>680</v>
      </c>
      <c r="DC28">
        <v>750</v>
      </c>
      <c r="DD28">
        <v>810</v>
      </c>
      <c r="DE28">
        <v>810</v>
      </c>
      <c r="DG28" t="s">
        <v>2648</v>
      </c>
      <c r="DH28" t="s">
        <v>82</v>
      </c>
      <c r="DI28" t="s">
        <v>774</v>
      </c>
      <c r="DJ28" t="s">
        <v>775</v>
      </c>
      <c r="DK28" t="s">
        <v>692</v>
      </c>
      <c r="DL28">
        <v>92.31</v>
      </c>
      <c r="DM28" t="s">
        <v>669</v>
      </c>
      <c r="DN28" t="s">
        <v>670</v>
      </c>
      <c r="DO28">
        <v>1</v>
      </c>
      <c r="DP28">
        <v>1130</v>
      </c>
      <c r="DQ28">
        <v>1130</v>
      </c>
      <c r="DR28" t="s">
        <v>2649</v>
      </c>
      <c r="DT28" t="s">
        <v>125</v>
      </c>
      <c r="DU28" t="s">
        <v>2650</v>
      </c>
      <c r="DV28" t="s">
        <v>2651</v>
      </c>
      <c r="DW28" t="s">
        <v>2652</v>
      </c>
      <c r="DX28" t="s">
        <v>2653</v>
      </c>
      <c r="DY28" t="s">
        <v>2654</v>
      </c>
      <c r="DZ28">
        <v>23</v>
      </c>
      <c r="EB28" t="s">
        <v>2655</v>
      </c>
      <c r="EC28" t="s">
        <v>1995</v>
      </c>
      <c r="ED28" t="s">
        <v>2249</v>
      </c>
      <c r="EE28" t="s">
        <v>2656</v>
      </c>
      <c r="EF28" t="s">
        <v>2657</v>
      </c>
      <c r="EG28">
        <v>4660</v>
      </c>
      <c r="EH28">
        <v>4660</v>
      </c>
      <c r="EI28">
        <v>4660</v>
      </c>
      <c r="EJ28">
        <v>4660</v>
      </c>
      <c r="EL28" t="s">
        <v>2658</v>
      </c>
      <c r="EM28" t="s">
        <v>1995</v>
      </c>
      <c r="EN28" t="s">
        <v>2249</v>
      </c>
      <c r="EO28">
        <v>7</v>
      </c>
      <c r="EP28" t="s">
        <v>2252</v>
      </c>
      <c r="EQ28" t="s">
        <v>2659</v>
      </c>
      <c r="ER28" t="s">
        <v>2660</v>
      </c>
      <c r="ES28">
        <v>53990</v>
      </c>
      <c r="ET28">
        <v>59640</v>
      </c>
      <c r="EU28">
        <v>64440</v>
      </c>
      <c r="EV28">
        <v>64440</v>
      </c>
      <c r="GD28" t="s">
        <v>2630</v>
      </c>
      <c r="GE28" t="s">
        <v>2358</v>
      </c>
      <c r="GF28" t="s">
        <v>121</v>
      </c>
      <c r="GG28" t="s">
        <v>125</v>
      </c>
      <c r="GH28">
        <v>0</v>
      </c>
      <c r="GI28">
        <v>0</v>
      </c>
      <c r="GJ28">
        <v>0</v>
      </c>
      <c r="GK28">
        <v>0</v>
      </c>
      <c r="GL28">
        <v>0</v>
      </c>
      <c r="GM28">
        <v>0</v>
      </c>
      <c r="GN28">
        <v>1</v>
      </c>
      <c r="GO28" t="s">
        <v>2280</v>
      </c>
      <c r="GP28" t="s">
        <v>87</v>
      </c>
      <c r="GQ28">
        <v>26</v>
      </c>
      <c r="GR28" t="s">
        <v>2261</v>
      </c>
      <c r="GS28" t="s">
        <v>2631</v>
      </c>
      <c r="HA28" t="s">
        <v>2661</v>
      </c>
      <c r="HB28" t="s">
        <v>121</v>
      </c>
      <c r="HC28" t="s">
        <v>2296</v>
      </c>
      <c r="HD28" t="s">
        <v>38</v>
      </c>
      <c r="HE28">
        <v>0</v>
      </c>
      <c r="HF28">
        <v>0</v>
      </c>
      <c r="HG28">
        <v>0</v>
      </c>
      <c r="HH28">
        <v>0</v>
      </c>
      <c r="HI28">
        <v>0</v>
      </c>
      <c r="HJ28">
        <v>0</v>
      </c>
    </row>
    <row r="29" ht="15" customHeight="1" spans="1:218" x14ac:dyDescent="0.25">
      <c r="A29" t="s">
        <v>290</v>
      </c>
      <c r="B29" t="s">
        <v>289</v>
      </c>
      <c r="C29" t="s">
        <v>81</v>
      </c>
      <c r="D29" t="s">
        <v>289</v>
      </c>
      <c r="E29" t="s">
        <v>1578</v>
      </c>
      <c r="F29" t="s">
        <v>671</v>
      </c>
      <c r="G29" t="s">
        <v>671</v>
      </c>
      <c r="H29" t="s">
        <v>671</v>
      </c>
      <c r="I29" t="s">
        <v>2662</v>
      </c>
      <c r="CQ29" t="s">
        <v>2663</v>
      </c>
      <c r="CR29" t="s">
        <v>82</v>
      </c>
      <c r="CS29" t="s">
        <v>606</v>
      </c>
      <c r="CT29" t="s">
        <v>2371</v>
      </c>
      <c r="CU29" t="s">
        <v>99</v>
      </c>
      <c r="CV29" t="s">
        <v>277</v>
      </c>
      <c r="CW29">
        <v>96.15</v>
      </c>
      <c r="CX29">
        <v>1</v>
      </c>
      <c r="CY29">
        <v>1</v>
      </c>
      <c r="CZ29">
        <v>1</v>
      </c>
      <c r="DA29">
        <v>880</v>
      </c>
      <c r="DB29">
        <v>740</v>
      </c>
      <c r="DC29">
        <v>820</v>
      </c>
      <c r="DD29">
        <v>880</v>
      </c>
      <c r="DE29">
        <v>880</v>
      </c>
      <c r="DG29" t="s">
        <v>2664</v>
      </c>
      <c r="DH29" t="s">
        <v>82</v>
      </c>
      <c r="DI29" t="s">
        <v>779</v>
      </c>
      <c r="DJ29" t="s">
        <v>780</v>
      </c>
      <c r="DK29" t="s">
        <v>692</v>
      </c>
      <c r="DL29">
        <v>92.31</v>
      </c>
      <c r="DM29" t="s">
        <v>670</v>
      </c>
      <c r="DN29" t="s">
        <v>669</v>
      </c>
      <c r="DO29">
        <v>0</v>
      </c>
      <c r="DP29">
        <v>0</v>
      </c>
      <c r="DQ29">
        <v>595</v>
      </c>
      <c r="DR29" t="s">
        <v>2665</v>
      </c>
      <c r="DT29" t="s">
        <v>125</v>
      </c>
      <c r="DU29" t="s">
        <v>2666</v>
      </c>
      <c r="DV29" t="s">
        <v>2667</v>
      </c>
      <c r="DW29" t="s">
        <v>2668</v>
      </c>
      <c r="DX29" t="s">
        <v>1995</v>
      </c>
      <c r="DY29" t="s">
        <v>2249</v>
      </c>
      <c r="DZ29">
        <v>16</v>
      </c>
      <c r="EB29" t="s">
        <v>2669</v>
      </c>
      <c r="EC29" t="s">
        <v>1995</v>
      </c>
      <c r="ED29" t="s">
        <v>2249</v>
      </c>
      <c r="EE29" t="s">
        <v>2670</v>
      </c>
      <c r="EF29" t="s">
        <v>2671</v>
      </c>
      <c r="EG29">
        <v>7680</v>
      </c>
      <c r="EH29">
        <v>7680</v>
      </c>
      <c r="EI29">
        <v>7680</v>
      </c>
      <c r="EJ29">
        <v>7680</v>
      </c>
      <c r="EL29" t="s">
        <v>2672</v>
      </c>
      <c r="EM29" t="s">
        <v>1995</v>
      </c>
      <c r="EN29" t="s">
        <v>2249</v>
      </c>
      <c r="EO29">
        <v>7</v>
      </c>
      <c r="EP29" t="s">
        <v>2276</v>
      </c>
      <c r="EQ29" t="s">
        <v>2673</v>
      </c>
      <c r="ER29" t="s">
        <v>2674</v>
      </c>
      <c r="ES29">
        <v>56570</v>
      </c>
      <c r="ET29">
        <v>74670</v>
      </c>
      <c r="EU29">
        <v>81460</v>
      </c>
      <c r="EV29">
        <v>81460</v>
      </c>
      <c r="GD29" t="s">
        <v>2630</v>
      </c>
      <c r="GE29" t="s">
        <v>2358</v>
      </c>
      <c r="GF29" t="s">
        <v>121</v>
      </c>
      <c r="GG29" t="s">
        <v>85</v>
      </c>
      <c r="GH29">
        <v>0</v>
      </c>
      <c r="GI29">
        <v>0</v>
      </c>
      <c r="GJ29">
        <v>0</v>
      </c>
      <c r="GK29">
        <v>0</v>
      </c>
      <c r="GL29">
        <v>0</v>
      </c>
      <c r="GM29">
        <v>0</v>
      </c>
      <c r="GN29">
        <v>1</v>
      </c>
      <c r="GO29" t="s">
        <v>2280</v>
      </c>
      <c r="GP29" t="s">
        <v>87</v>
      </c>
      <c r="GQ29">
        <v>26</v>
      </c>
      <c r="GR29" t="s">
        <v>2261</v>
      </c>
      <c r="GS29" t="s">
        <v>2631</v>
      </c>
      <c r="HA29" t="s">
        <v>2675</v>
      </c>
      <c r="HB29" t="s">
        <v>121</v>
      </c>
      <c r="HC29" t="s">
        <v>2310</v>
      </c>
      <c r="HD29" t="s">
        <v>39</v>
      </c>
      <c r="HE29">
        <v>0</v>
      </c>
      <c r="HF29">
        <v>0</v>
      </c>
      <c r="HG29">
        <v>0</v>
      </c>
      <c r="HH29">
        <v>0</v>
      </c>
      <c r="HI29">
        <v>0</v>
      </c>
      <c r="HJ29">
        <v>0</v>
      </c>
    </row>
    <row r="30" ht="15" customHeight="1" spans="1:218" x14ac:dyDescent="0.25">
      <c r="A30" t="s">
        <v>275</v>
      </c>
      <c r="B30" t="s">
        <v>273</v>
      </c>
      <c r="C30" t="s">
        <v>81</v>
      </c>
      <c r="D30" t="s">
        <v>274</v>
      </c>
      <c r="E30" t="s">
        <v>1578</v>
      </c>
      <c r="F30" t="s">
        <v>671</v>
      </c>
      <c r="G30" t="s">
        <v>671</v>
      </c>
      <c r="H30" t="s">
        <v>671</v>
      </c>
      <c r="I30" t="s">
        <v>2676</v>
      </c>
      <c r="CQ30" t="s">
        <v>2677</v>
      </c>
      <c r="CR30" t="s">
        <v>82</v>
      </c>
      <c r="CS30" t="s">
        <v>278</v>
      </c>
      <c r="CT30" t="s">
        <v>276</v>
      </c>
      <c r="CU30" t="s">
        <v>88</v>
      </c>
      <c r="CV30" t="s">
        <v>277</v>
      </c>
      <c r="CW30">
        <v>3.85</v>
      </c>
      <c r="CX30">
        <v>1</v>
      </c>
      <c r="CY30">
        <v>1</v>
      </c>
      <c r="CZ30">
        <v>1</v>
      </c>
      <c r="DA30">
        <v>1110</v>
      </c>
      <c r="DB30">
        <v>930</v>
      </c>
      <c r="DC30">
        <v>1030</v>
      </c>
      <c r="DD30">
        <v>1110</v>
      </c>
      <c r="DE30">
        <v>1110</v>
      </c>
      <c r="DG30" t="s">
        <v>2678</v>
      </c>
      <c r="DH30" t="s">
        <v>82</v>
      </c>
      <c r="DI30" t="s">
        <v>782</v>
      </c>
      <c r="DJ30" t="s">
        <v>783</v>
      </c>
      <c r="DK30" t="s">
        <v>692</v>
      </c>
      <c r="DL30">
        <v>92.31</v>
      </c>
      <c r="DM30" t="s">
        <v>669</v>
      </c>
      <c r="DN30" t="s">
        <v>670</v>
      </c>
      <c r="DO30">
        <v>1</v>
      </c>
      <c r="DP30">
        <v>120.3</v>
      </c>
      <c r="DQ30">
        <v>120.3</v>
      </c>
      <c r="DR30" t="s">
        <v>2679</v>
      </c>
      <c r="DT30" t="s">
        <v>125</v>
      </c>
      <c r="DU30" t="s">
        <v>2680</v>
      </c>
      <c r="DV30" t="s">
        <v>2681</v>
      </c>
      <c r="DW30" t="s">
        <v>2682</v>
      </c>
      <c r="DX30" t="s">
        <v>2555</v>
      </c>
      <c r="DY30" t="s">
        <v>2556</v>
      </c>
      <c r="DZ30">
        <v>15</v>
      </c>
      <c r="EB30" t="s">
        <v>2683</v>
      </c>
      <c r="EC30" t="s">
        <v>1995</v>
      </c>
      <c r="ED30" t="s">
        <v>2249</v>
      </c>
      <c r="EE30" t="s">
        <v>561</v>
      </c>
      <c r="EF30" t="s">
        <v>2684</v>
      </c>
      <c r="EG30">
        <v>1250</v>
      </c>
      <c r="EH30">
        <v>1250</v>
      </c>
      <c r="EI30">
        <v>1250</v>
      </c>
      <c r="EJ30">
        <v>1250</v>
      </c>
      <c r="EL30" t="s">
        <v>2685</v>
      </c>
      <c r="EM30" t="s">
        <v>1995</v>
      </c>
      <c r="EN30" t="s">
        <v>2249</v>
      </c>
      <c r="EO30">
        <v>7.5</v>
      </c>
      <c r="EP30" t="s">
        <v>2252</v>
      </c>
      <c r="EQ30" t="s">
        <v>2686</v>
      </c>
      <c r="ER30" t="s">
        <v>2687</v>
      </c>
      <c r="ES30">
        <v>55030</v>
      </c>
      <c r="ET30">
        <v>60830</v>
      </c>
      <c r="EU30">
        <v>65690</v>
      </c>
      <c r="EV30">
        <v>65690</v>
      </c>
      <c r="GD30" t="s">
        <v>2630</v>
      </c>
      <c r="GE30" t="s">
        <v>2358</v>
      </c>
      <c r="GF30" t="s">
        <v>121</v>
      </c>
      <c r="GG30" t="s">
        <v>86</v>
      </c>
      <c r="GH30">
        <v>0</v>
      </c>
      <c r="GI30">
        <v>0</v>
      </c>
      <c r="GJ30">
        <v>0</v>
      </c>
      <c r="GK30">
        <v>0</v>
      </c>
      <c r="GL30">
        <v>0</v>
      </c>
      <c r="GM30">
        <v>0</v>
      </c>
      <c r="GN30">
        <v>1</v>
      </c>
      <c r="GO30" t="s">
        <v>2280</v>
      </c>
      <c r="GP30" t="s">
        <v>87</v>
      </c>
      <c r="GQ30">
        <v>26</v>
      </c>
      <c r="GR30" t="s">
        <v>2261</v>
      </c>
      <c r="GS30" t="s">
        <v>2631</v>
      </c>
      <c r="HA30" t="s">
        <v>2688</v>
      </c>
      <c r="HB30" t="s">
        <v>121</v>
      </c>
      <c r="HC30" t="s">
        <v>2326</v>
      </c>
      <c r="HD30" t="s">
        <v>143</v>
      </c>
      <c r="HE30">
        <v>0</v>
      </c>
      <c r="HF30">
        <v>0</v>
      </c>
      <c r="HG30">
        <v>0</v>
      </c>
      <c r="HH30">
        <v>0</v>
      </c>
      <c r="HI30">
        <v>0</v>
      </c>
      <c r="HJ30">
        <v>0</v>
      </c>
    </row>
    <row r="31" ht="15" customHeight="1" spans="1:218" x14ac:dyDescent="0.25">
      <c r="A31" t="s">
        <v>298</v>
      </c>
      <c r="B31" t="s">
        <v>297</v>
      </c>
      <c r="C31" t="s">
        <v>81</v>
      </c>
      <c r="D31" t="s">
        <v>274</v>
      </c>
      <c r="E31" t="s">
        <v>1418</v>
      </c>
      <c r="F31" t="s">
        <v>671</v>
      </c>
      <c r="G31" t="s">
        <v>671</v>
      </c>
      <c r="H31" t="s">
        <v>671</v>
      </c>
      <c r="I31" t="s">
        <v>2689</v>
      </c>
      <c r="CQ31" t="s">
        <v>2690</v>
      </c>
      <c r="CR31" t="s">
        <v>82</v>
      </c>
      <c r="CS31" t="s">
        <v>610</v>
      </c>
      <c r="CT31" t="s">
        <v>2336</v>
      </c>
      <c r="CU31" t="s">
        <v>90</v>
      </c>
      <c r="CV31" t="s">
        <v>289</v>
      </c>
      <c r="CW31">
        <v>96.15</v>
      </c>
      <c r="CX31">
        <v>1</v>
      </c>
      <c r="CY31">
        <v>1</v>
      </c>
      <c r="CZ31">
        <v>1</v>
      </c>
      <c r="DA31">
        <v>570</v>
      </c>
      <c r="DB31">
        <v>480</v>
      </c>
      <c r="DC31">
        <v>530</v>
      </c>
      <c r="DD31">
        <v>570</v>
      </c>
      <c r="DE31">
        <v>570</v>
      </c>
      <c r="DG31" t="s">
        <v>2691</v>
      </c>
      <c r="DH31" t="s">
        <v>82</v>
      </c>
      <c r="DI31" t="s">
        <v>787</v>
      </c>
      <c r="DJ31" t="s">
        <v>788</v>
      </c>
      <c r="DK31" t="s">
        <v>668</v>
      </c>
      <c r="DL31">
        <v>88.46</v>
      </c>
      <c r="DM31" t="s">
        <v>669</v>
      </c>
      <c r="DN31" t="s">
        <v>670</v>
      </c>
      <c r="DO31">
        <v>5</v>
      </c>
      <c r="DP31">
        <v>537</v>
      </c>
      <c r="DQ31">
        <v>537</v>
      </c>
      <c r="DR31" t="s">
        <v>2692</v>
      </c>
      <c r="DT31" t="s">
        <v>125</v>
      </c>
      <c r="DU31" t="s">
        <v>2693</v>
      </c>
      <c r="DV31" t="s">
        <v>2694</v>
      </c>
      <c r="DW31" t="s">
        <v>2695</v>
      </c>
      <c r="DX31" t="s">
        <v>2696</v>
      </c>
      <c r="DY31" t="s">
        <v>2697</v>
      </c>
      <c r="DZ31">
        <v>13</v>
      </c>
      <c r="EB31" t="s">
        <v>2698</v>
      </c>
      <c r="EC31" t="s">
        <v>1995</v>
      </c>
      <c r="ED31" t="s">
        <v>2249</v>
      </c>
      <c r="EE31" t="s">
        <v>563</v>
      </c>
      <c r="EF31" t="s">
        <v>2699</v>
      </c>
      <c r="EG31">
        <v>10500</v>
      </c>
      <c r="EH31">
        <v>10500</v>
      </c>
      <c r="EI31">
        <v>10500</v>
      </c>
      <c r="EJ31">
        <v>10500</v>
      </c>
      <c r="EL31" t="s">
        <v>2700</v>
      </c>
      <c r="EM31" t="s">
        <v>1995</v>
      </c>
      <c r="EN31" t="s">
        <v>2249</v>
      </c>
      <c r="EO31">
        <v>7.5</v>
      </c>
      <c r="EP31" t="s">
        <v>2276</v>
      </c>
      <c r="EQ31" t="s">
        <v>2701</v>
      </c>
      <c r="ER31" t="s">
        <v>2702</v>
      </c>
      <c r="ES31">
        <v>55560</v>
      </c>
      <c r="ET31">
        <v>60610</v>
      </c>
      <c r="EU31">
        <v>65660</v>
      </c>
      <c r="EV31">
        <v>70720</v>
      </c>
      <c r="GD31" t="s">
        <v>2630</v>
      </c>
      <c r="GE31" t="s">
        <v>2358</v>
      </c>
      <c r="GF31" t="s">
        <v>121</v>
      </c>
      <c r="GG31" t="s">
        <v>87</v>
      </c>
      <c r="GH31">
        <v>26</v>
      </c>
      <c r="GI31">
        <v>7802.505</v>
      </c>
      <c r="GJ31">
        <v>9060.435</v>
      </c>
      <c r="GK31">
        <v>10629.097</v>
      </c>
      <c r="GL31">
        <v>0.312</v>
      </c>
      <c r="GM31">
        <v>9060.435</v>
      </c>
      <c r="GN31">
        <v>0</v>
      </c>
      <c r="GO31" t="s">
        <v>2617</v>
      </c>
      <c r="GP31" t="s">
        <v>87</v>
      </c>
      <c r="GQ31">
        <v>26</v>
      </c>
      <c r="GR31" t="s">
        <v>2261</v>
      </c>
      <c r="GS31" t="s">
        <v>2631</v>
      </c>
      <c r="HA31" t="s">
        <v>2703</v>
      </c>
      <c r="HB31" t="s">
        <v>121</v>
      </c>
      <c r="HC31" t="s">
        <v>2342</v>
      </c>
      <c r="HD31" t="s">
        <v>79</v>
      </c>
      <c r="HE31">
        <v>0</v>
      </c>
      <c r="HF31">
        <v>0</v>
      </c>
      <c r="HG31">
        <v>0</v>
      </c>
      <c r="HH31">
        <v>0</v>
      </c>
      <c r="HI31">
        <v>0</v>
      </c>
      <c r="HJ31">
        <v>0</v>
      </c>
    </row>
    <row r="32" ht="15" customHeight="1" spans="1:218" x14ac:dyDescent="0.25">
      <c r="A32" t="s">
        <v>286</v>
      </c>
      <c r="B32" t="s">
        <v>284</v>
      </c>
      <c r="C32" t="s">
        <v>81</v>
      </c>
      <c r="D32" t="s">
        <v>285</v>
      </c>
      <c r="E32" t="s">
        <v>1578</v>
      </c>
      <c r="F32" t="s">
        <v>671</v>
      </c>
      <c r="G32" t="s">
        <v>671</v>
      </c>
      <c r="H32" t="s">
        <v>671</v>
      </c>
      <c r="I32" t="s">
        <v>2704</v>
      </c>
      <c r="CQ32" t="s">
        <v>2705</v>
      </c>
      <c r="CR32" t="s">
        <v>82</v>
      </c>
      <c r="CS32" t="s">
        <v>608</v>
      </c>
      <c r="CT32" t="s">
        <v>2352</v>
      </c>
      <c r="CU32" t="s">
        <v>90</v>
      </c>
      <c r="CV32" t="s">
        <v>2706</v>
      </c>
      <c r="CW32">
        <v>96.15</v>
      </c>
      <c r="CX32">
        <v>1</v>
      </c>
      <c r="CY32">
        <v>1</v>
      </c>
      <c r="CZ32">
        <v>1</v>
      </c>
      <c r="DA32">
        <v>1170</v>
      </c>
      <c r="DB32">
        <v>980</v>
      </c>
      <c r="DC32">
        <v>1080</v>
      </c>
      <c r="DD32">
        <v>1170</v>
      </c>
      <c r="DE32">
        <v>1170</v>
      </c>
      <c r="DG32" t="s">
        <v>2707</v>
      </c>
      <c r="DH32" t="s">
        <v>82</v>
      </c>
      <c r="DI32" t="s">
        <v>792</v>
      </c>
      <c r="DJ32" t="s">
        <v>793</v>
      </c>
      <c r="DK32" t="s">
        <v>668</v>
      </c>
      <c r="DL32">
        <v>88.46</v>
      </c>
      <c r="DM32" t="s">
        <v>669</v>
      </c>
      <c r="DN32" t="s">
        <v>670</v>
      </c>
      <c r="DO32">
        <v>1</v>
      </c>
      <c r="DP32">
        <v>13.04</v>
      </c>
      <c r="DQ32">
        <v>13.04</v>
      </c>
      <c r="DR32" t="s">
        <v>2708</v>
      </c>
      <c r="DT32" t="s">
        <v>125</v>
      </c>
      <c r="DU32" t="s">
        <v>2709</v>
      </c>
      <c r="DV32" t="s">
        <v>2710</v>
      </c>
      <c r="DW32" t="s">
        <v>2711</v>
      </c>
      <c r="DX32" t="s">
        <v>1995</v>
      </c>
      <c r="DY32" t="s">
        <v>2249</v>
      </c>
      <c r="DZ32">
        <v>12</v>
      </c>
      <c r="EB32" t="s">
        <v>2712</v>
      </c>
      <c r="EC32" t="s">
        <v>1995</v>
      </c>
      <c r="ED32" t="s">
        <v>2249</v>
      </c>
      <c r="EE32" t="s">
        <v>556</v>
      </c>
      <c r="EF32" t="s">
        <v>2713</v>
      </c>
      <c r="EG32">
        <v>550</v>
      </c>
      <c r="EH32">
        <v>850</v>
      </c>
      <c r="EI32">
        <v>1200</v>
      </c>
      <c r="EJ32">
        <v>1200</v>
      </c>
      <c r="EL32" t="s">
        <v>2714</v>
      </c>
      <c r="EM32" t="s">
        <v>1995</v>
      </c>
      <c r="EN32" t="s">
        <v>2249</v>
      </c>
      <c r="EO32">
        <v>8</v>
      </c>
      <c r="EP32" t="s">
        <v>2252</v>
      </c>
      <c r="EQ32" t="s">
        <v>2715</v>
      </c>
      <c r="ER32" t="s">
        <v>2716</v>
      </c>
      <c r="ES32">
        <v>55700</v>
      </c>
      <c r="ET32">
        <v>61550</v>
      </c>
      <c r="EU32">
        <v>66480</v>
      </c>
      <c r="EV32">
        <v>66480</v>
      </c>
      <c r="GD32" t="s">
        <v>2717</v>
      </c>
      <c r="GE32" t="s">
        <v>2457</v>
      </c>
      <c r="GF32" t="s">
        <v>121</v>
      </c>
      <c r="GG32" t="s">
        <v>82</v>
      </c>
      <c r="GH32">
        <v>26</v>
      </c>
      <c r="GI32">
        <v>96442</v>
      </c>
      <c r="GJ32">
        <v>98192</v>
      </c>
      <c r="GK32">
        <v>99817</v>
      </c>
      <c r="GL32">
        <v>0.0344</v>
      </c>
      <c r="GM32">
        <v>98192</v>
      </c>
      <c r="GN32">
        <v>0</v>
      </c>
      <c r="GO32" t="s">
        <v>2340</v>
      </c>
      <c r="GP32" t="s">
        <v>87</v>
      </c>
      <c r="GQ32">
        <v>26</v>
      </c>
      <c r="GR32" t="s">
        <v>2261</v>
      </c>
      <c r="GS32" t="s">
        <v>2718</v>
      </c>
      <c r="HA32" t="s">
        <v>2719</v>
      </c>
      <c r="HB32" t="s">
        <v>121</v>
      </c>
      <c r="HC32" t="s">
        <v>2361</v>
      </c>
      <c r="HD32" t="s">
        <v>144</v>
      </c>
      <c r="HE32">
        <v>0</v>
      </c>
      <c r="HF32">
        <v>0</v>
      </c>
      <c r="HG32">
        <v>0</v>
      </c>
      <c r="HH32">
        <v>0</v>
      </c>
      <c r="HI32">
        <v>0</v>
      </c>
      <c r="HJ32">
        <v>0</v>
      </c>
    </row>
    <row r="33" ht="15" customHeight="1" spans="1:218" x14ac:dyDescent="0.25">
      <c r="A33" t="s">
        <v>272</v>
      </c>
      <c r="B33" t="s">
        <v>270</v>
      </c>
      <c r="C33" t="s">
        <v>81</v>
      </c>
      <c r="D33" t="s">
        <v>271</v>
      </c>
      <c r="E33" t="s">
        <v>1578</v>
      </c>
      <c r="F33" t="s">
        <v>671</v>
      </c>
      <c r="G33" t="s">
        <v>671</v>
      </c>
      <c r="H33" t="s">
        <v>671</v>
      </c>
      <c r="I33" t="s">
        <v>2720</v>
      </c>
      <c r="CQ33" t="s">
        <v>2721</v>
      </c>
      <c r="CR33" t="s">
        <v>82</v>
      </c>
      <c r="CS33" t="s">
        <v>240</v>
      </c>
      <c r="CT33" t="s">
        <v>238</v>
      </c>
      <c r="CU33" t="s">
        <v>90</v>
      </c>
      <c r="CV33" t="s">
        <v>239</v>
      </c>
      <c r="CW33">
        <v>3.85</v>
      </c>
      <c r="CX33">
        <v>2</v>
      </c>
      <c r="CY33">
        <v>2</v>
      </c>
      <c r="CZ33">
        <v>2</v>
      </c>
      <c r="DA33">
        <v>7240</v>
      </c>
      <c r="DB33">
        <v>3620</v>
      </c>
      <c r="DC33">
        <v>3620</v>
      </c>
      <c r="DD33">
        <v>3620</v>
      </c>
      <c r="DE33">
        <v>3620</v>
      </c>
      <c r="DG33" t="s">
        <v>2722</v>
      </c>
      <c r="DH33" t="s">
        <v>82</v>
      </c>
      <c r="DI33" t="s">
        <v>795</v>
      </c>
      <c r="DJ33" t="s">
        <v>796</v>
      </c>
      <c r="DK33" t="s">
        <v>668</v>
      </c>
      <c r="DL33">
        <v>84.62</v>
      </c>
      <c r="DM33" t="s">
        <v>669</v>
      </c>
      <c r="DN33" t="s">
        <v>670</v>
      </c>
      <c r="DO33">
        <v>1</v>
      </c>
      <c r="DP33">
        <v>10.88</v>
      </c>
      <c r="DQ33">
        <v>10.88</v>
      </c>
      <c r="DR33" t="s">
        <v>2723</v>
      </c>
      <c r="DT33" t="s">
        <v>125</v>
      </c>
      <c r="DU33" t="s">
        <v>2567</v>
      </c>
      <c r="DV33" t="s">
        <v>2724</v>
      </c>
      <c r="DW33" t="s">
        <v>2725</v>
      </c>
      <c r="DX33" t="s">
        <v>2434</v>
      </c>
      <c r="DY33" t="s">
        <v>2435</v>
      </c>
      <c r="DZ33">
        <v>11</v>
      </c>
      <c r="EB33" t="s">
        <v>2726</v>
      </c>
      <c r="EC33" t="s">
        <v>1995</v>
      </c>
      <c r="ED33" t="s">
        <v>2249</v>
      </c>
      <c r="EE33" t="s">
        <v>551</v>
      </c>
      <c r="EF33" t="s">
        <v>548</v>
      </c>
      <c r="EG33">
        <v>1670</v>
      </c>
      <c r="EH33">
        <v>1850</v>
      </c>
      <c r="EI33">
        <v>1990</v>
      </c>
      <c r="EJ33">
        <v>1990</v>
      </c>
      <c r="EL33" t="s">
        <v>2727</v>
      </c>
      <c r="EM33" t="s">
        <v>1995</v>
      </c>
      <c r="EN33" t="s">
        <v>2249</v>
      </c>
      <c r="EO33">
        <v>8</v>
      </c>
      <c r="EP33" t="s">
        <v>2276</v>
      </c>
      <c r="EQ33" t="s">
        <v>2728</v>
      </c>
      <c r="ER33" t="s">
        <v>2729</v>
      </c>
      <c r="ES33">
        <v>58390</v>
      </c>
      <c r="ET33">
        <v>77070</v>
      </c>
      <c r="EU33">
        <v>84080</v>
      </c>
      <c r="EV33">
        <v>84080</v>
      </c>
      <c r="GD33" t="s">
        <v>2717</v>
      </c>
      <c r="GE33" t="s">
        <v>2457</v>
      </c>
      <c r="GF33" t="s">
        <v>121</v>
      </c>
      <c r="GG33" t="s">
        <v>121</v>
      </c>
      <c r="GH33">
        <v>0</v>
      </c>
      <c r="GI33">
        <v>0</v>
      </c>
      <c r="GJ33">
        <v>0</v>
      </c>
      <c r="GK33">
        <v>0</v>
      </c>
      <c r="GL33">
        <v>0</v>
      </c>
      <c r="GM33">
        <v>0</v>
      </c>
      <c r="GN33">
        <v>1</v>
      </c>
      <c r="GO33" t="s">
        <v>2280</v>
      </c>
      <c r="GP33" t="s">
        <v>87</v>
      </c>
      <c r="GQ33">
        <v>26</v>
      </c>
      <c r="GR33" t="s">
        <v>2261</v>
      </c>
      <c r="GS33" t="s">
        <v>2718</v>
      </c>
      <c r="HA33" t="s">
        <v>2730</v>
      </c>
      <c r="HB33" t="s">
        <v>121</v>
      </c>
      <c r="HC33" t="s">
        <v>2376</v>
      </c>
      <c r="HD33" t="s">
        <v>81</v>
      </c>
      <c r="HE33">
        <v>0</v>
      </c>
      <c r="HF33">
        <v>0</v>
      </c>
      <c r="HG33">
        <v>0</v>
      </c>
      <c r="HH33">
        <v>0</v>
      </c>
      <c r="HI33">
        <v>0</v>
      </c>
      <c r="HJ33">
        <v>0</v>
      </c>
    </row>
    <row r="34" ht="15" customHeight="1" spans="1:218" x14ac:dyDescent="0.25">
      <c r="A34" t="s">
        <v>283</v>
      </c>
      <c r="B34" t="s">
        <v>281</v>
      </c>
      <c r="C34" t="s">
        <v>81</v>
      </c>
      <c r="D34" t="s">
        <v>282</v>
      </c>
      <c r="E34" t="s">
        <v>1418</v>
      </c>
      <c r="F34" t="s">
        <v>671</v>
      </c>
      <c r="G34" t="s">
        <v>671</v>
      </c>
      <c r="H34" t="s">
        <v>671</v>
      </c>
      <c r="I34" t="s">
        <v>2731</v>
      </c>
      <c r="CQ34" t="s">
        <v>2732</v>
      </c>
      <c r="CR34" t="s">
        <v>82</v>
      </c>
      <c r="CS34" t="s">
        <v>603</v>
      </c>
      <c r="CT34" t="s">
        <v>2387</v>
      </c>
      <c r="CU34" t="s">
        <v>90</v>
      </c>
      <c r="CV34" t="s">
        <v>239</v>
      </c>
      <c r="CW34">
        <v>96.15</v>
      </c>
      <c r="CX34">
        <v>1</v>
      </c>
      <c r="CY34">
        <v>1</v>
      </c>
      <c r="CZ34">
        <v>1</v>
      </c>
      <c r="DA34">
        <v>350</v>
      </c>
      <c r="DB34">
        <v>350</v>
      </c>
      <c r="DC34">
        <v>350</v>
      </c>
      <c r="DD34">
        <v>350</v>
      </c>
      <c r="DE34">
        <v>350</v>
      </c>
      <c r="DG34" t="s">
        <v>2733</v>
      </c>
      <c r="DH34" t="s">
        <v>82</v>
      </c>
      <c r="DI34" t="s">
        <v>798</v>
      </c>
      <c r="DJ34" t="s">
        <v>799</v>
      </c>
      <c r="DK34" t="s">
        <v>668</v>
      </c>
      <c r="DL34">
        <v>84.62</v>
      </c>
      <c r="DM34" t="s">
        <v>669</v>
      </c>
      <c r="DN34" t="s">
        <v>670</v>
      </c>
      <c r="DO34">
        <v>2</v>
      </c>
      <c r="DP34">
        <v>75.44</v>
      </c>
      <c r="DQ34">
        <v>75.44</v>
      </c>
      <c r="DR34" t="s">
        <v>2734</v>
      </c>
      <c r="DT34" t="s">
        <v>125</v>
      </c>
      <c r="DU34" t="s">
        <v>2735</v>
      </c>
      <c r="DV34" t="s">
        <v>2736</v>
      </c>
      <c r="DW34" t="s">
        <v>2737</v>
      </c>
      <c r="DX34" t="s">
        <v>2696</v>
      </c>
      <c r="DY34" t="s">
        <v>2697</v>
      </c>
      <c r="DZ34">
        <v>10</v>
      </c>
      <c r="EB34" t="s">
        <v>2738</v>
      </c>
      <c r="EC34" t="s">
        <v>1995</v>
      </c>
      <c r="ED34" t="s">
        <v>2249</v>
      </c>
      <c r="EE34" t="s">
        <v>290</v>
      </c>
      <c r="EF34" t="s">
        <v>289</v>
      </c>
      <c r="EG34">
        <v>420</v>
      </c>
      <c r="EH34">
        <v>460</v>
      </c>
      <c r="EI34">
        <v>500</v>
      </c>
      <c r="EJ34">
        <v>500</v>
      </c>
      <c r="EL34" t="s">
        <v>2739</v>
      </c>
      <c r="EM34" t="s">
        <v>2696</v>
      </c>
      <c r="EN34" t="s">
        <v>2697</v>
      </c>
      <c r="EO34">
        <v>0.5</v>
      </c>
      <c r="EP34" t="s">
        <v>2252</v>
      </c>
      <c r="EQ34" t="s">
        <v>2253</v>
      </c>
      <c r="ER34" t="s">
        <v>2254</v>
      </c>
      <c r="ES34">
        <v>4000</v>
      </c>
      <c r="ET34">
        <v>4000</v>
      </c>
      <c r="EU34">
        <v>4000</v>
      </c>
      <c r="EV34">
        <v>4000</v>
      </c>
      <c r="GD34" t="s">
        <v>2717</v>
      </c>
      <c r="GE34" t="s">
        <v>2457</v>
      </c>
      <c r="GF34" t="s">
        <v>121</v>
      </c>
      <c r="GG34" t="s">
        <v>125</v>
      </c>
      <c r="GH34">
        <v>0</v>
      </c>
      <c r="GI34">
        <v>0</v>
      </c>
      <c r="GJ34">
        <v>0</v>
      </c>
      <c r="GK34">
        <v>0</v>
      </c>
      <c r="GL34">
        <v>0</v>
      </c>
      <c r="GM34">
        <v>0</v>
      </c>
      <c r="GN34">
        <v>1</v>
      </c>
      <c r="GO34" t="s">
        <v>2280</v>
      </c>
      <c r="GP34" t="s">
        <v>87</v>
      </c>
      <c r="GQ34">
        <v>26</v>
      </c>
      <c r="GR34" t="s">
        <v>2261</v>
      </c>
      <c r="GS34" t="s">
        <v>2718</v>
      </c>
      <c r="HA34" t="s">
        <v>2740</v>
      </c>
      <c r="HB34" t="s">
        <v>121</v>
      </c>
      <c r="HC34" t="s">
        <v>2393</v>
      </c>
      <c r="HD34" t="s">
        <v>88</v>
      </c>
      <c r="HE34">
        <v>0</v>
      </c>
      <c r="HF34">
        <v>0</v>
      </c>
      <c r="HG34">
        <v>0</v>
      </c>
      <c r="HH34">
        <v>0</v>
      </c>
      <c r="HI34">
        <v>0</v>
      </c>
      <c r="HJ34">
        <v>0</v>
      </c>
    </row>
    <row r="35" ht="15" customHeight="1" spans="1:218" x14ac:dyDescent="0.25">
      <c r="A35" t="s">
        <v>267</v>
      </c>
      <c r="B35" t="s">
        <v>265</v>
      </c>
      <c r="C35" t="s">
        <v>81</v>
      </c>
      <c r="D35" t="s">
        <v>266</v>
      </c>
      <c r="E35" t="s">
        <v>1578</v>
      </c>
      <c r="F35" t="s">
        <v>671</v>
      </c>
      <c r="G35" t="s">
        <v>671</v>
      </c>
      <c r="H35" t="s">
        <v>671</v>
      </c>
      <c r="I35" t="s">
        <v>2741</v>
      </c>
      <c r="CQ35" t="s">
        <v>2742</v>
      </c>
      <c r="CR35" t="s">
        <v>82</v>
      </c>
      <c r="CS35" t="s">
        <v>252</v>
      </c>
      <c r="CT35" t="s">
        <v>250</v>
      </c>
      <c r="CU35" t="s">
        <v>90</v>
      </c>
      <c r="CV35" t="s">
        <v>251</v>
      </c>
      <c r="CW35">
        <v>15.38</v>
      </c>
      <c r="CX35">
        <v>1</v>
      </c>
      <c r="CY35">
        <v>1</v>
      </c>
      <c r="CZ35">
        <v>1</v>
      </c>
      <c r="DA35">
        <v>890</v>
      </c>
      <c r="DB35">
        <v>890</v>
      </c>
      <c r="DC35">
        <v>890</v>
      </c>
      <c r="DD35">
        <v>890</v>
      </c>
      <c r="DE35">
        <v>890</v>
      </c>
      <c r="DG35" t="s">
        <v>2743</v>
      </c>
      <c r="DH35" t="s">
        <v>82</v>
      </c>
      <c r="DI35" t="s">
        <v>801</v>
      </c>
      <c r="DJ35" t="s">
        <v>802</v>
      </c>
      <c r="DK35" t="s">
        <v>692</v>
      </c>
      <c r="DL35">
        <v>84.62</v>
      </c>
      <c r="DM35" t="s">
        <v>669</v>
      </c>
      <c r="DN35" t="s">
        <v>670</v>
      </c>
      <c r="DO35">
        <v>2</v>
      </c>
      <c r="DP35">
        <v>1369.7</v>
      </c>
      <c r="DQ35">
        <v>1369.7</v>
      </c>
      <c r="DR35" t="s">
        <v>2744</v>
      </c>
      <c r="DT35" t="s">
        <v>125</v>
      </c>
      <c r="DU35" t="s">
        <v>2745</v>
      </c>
      <c r="DV35" t="s">
        <v>2746</v>
      </c>
      <c r="DW35" t="s">
        <v>2747</v>
      </c>
      <c r="DX35" t="s">
        <v>2555</v>
      </c>
      <c r="DY35" t="s">
        <v>2556</v>
      </c>
      <c r="DZ35">
        <v>10</v>
      </c>
      <c r="EB35" t="s">
        <v>2748</v>
      </c>
      <c r="EC35" t="s">
        <v>1995</v>
      </c>
      <c r="ED35" t="s">
        <v>2249</v>
      </c>
      <c r="EE35" t="s">
        <v>275</v>
      </c>
      <c r="EF35" t="s">
        <v>273</v>
      </c>
      <c r="EG35">
        <v>1000</v>
      </c>
      <c r="EH35">
        <v>1110</v>
      </c>
      <c r="EI35">
        <v>1200</v>
      </c>
      <c r="EJ35">
        <v>1200</v>
      </c>
      <c r="EL35" t="s">
        <v>2749</v>
      </c>
      <c r="EM35" t="s">
        <v>2696</v>
      </c>
      <c r="EN35" t="s">
        <v>2697</v>
      </c>
      <c r="EO35">
        <v>1</v>
      </c>
      <c r="EP35" t="s">
        <v>2252</v>
      </c>
      <c r="EQ35" t="s">
        <v>2293</v>
      </c>
      <c r="ER35" t="s">
        <v>2294</v>
      </c>
      <c r="ES35">
        <v>8000</v>
      </c>
      <c r="ET35">
        <v>8000</v>
      </c>
      <c r="EU35">
        <v>8000</v>
      </c>
      <c r="EV35">
        <v>8000</v>
      </c>
      <c r="GD35" t="s">
        <v>2717</v>
      </c>
      <c r="GE35" t="s">
        <v>2457</v>
      </c>
      <c r="GF35" t="s">
        <v>121</v>
      </c>
      <c r="GG35" t="s">
        <v>85</v>
      </c>
      <c r="GH35">
        <v>0</v>
      </c>
      <c r="GI35">
        <v>0</v>
      </c>
      <c r="GJ35">
        <v>0</v>
      </c>
      <c r="GK35">
        <v>0</v>
      </c>
      <c r="GL35">
        <v>0</v>
      </c>
      <c r="GM35">
        <v>0</v>
      </c>
      <c r="GN35">
        <v>1</v>
      </c>
      <c r="GO35" t="s">
        <v>2280</v>
      </c>
      <c r="GP35" t="s">
        <v>87</v>
      </c>
      <c r="GQ35">
        <v>26</v>
      </c>
      <c r="GR35" t="s">
        <v>2261</v>
      </c>
      <c r="GS35" t="s">
        <v>2718</v>
      </c>
      <c r="HA35" t="s">
        <v>2750</v>
      </c>
      <c r="HB35" t="s">
        <v>121</v>
      </c>
      <c r="HC35" t="s">
        <v>2410</v>
      </c>
      <c r="HD35" t="s">
        <v>90</v>
      </c>
      <c r="HE35">
        <v>0</v>
      </c>
      <c r="HF35">
        <v>0</v>
      </c>
      <c r="HG35">
        <v>0</v>
      </c>
      <c r="HH35">
        <v>0</v>
      </c>
      <c r="HI35">
        <v>0</v>
      </c>
      <c r="HJ35">
        <v>0</v>
      </c>
    </row>
    <row r="36" ht="15" customHeight="1" spans="1:218" x14ac:dyDescent="0.25">
      <c r="A36" t="s">
        <v>258</v>
      </c>
      <c r="B36" t="s">
        <v>256</v>
      </c>
      <c r="C36" t="s">
        <v>81</v>
      </c>
      <c r="D36" t="s">
        <v>257</v>
      </c>
      <c r="E36" t="s">
        <v>1578</v>
      </c>
      <c r="F36" t="s">
        <v>671</v>
      </c>
      <c r="G36" t="s">
        <v>671</v>
      </c>
      <c r="H36" t="s">
        <v>671</v>
      </c>
      <c r="I36" t="s">
        <v>2751</v>
      </c>
      <c r="CQ36" t="s">
        <v>2752</v>
      </c>
      <c r="CR36" t="s">
        <v>82</v>
      </c>
      <c r="CS36" t="s">
        <v>601</v>
      </c>
      <c r="CT36" t="s">
        <v>2404</v>
      </c>
      <c r="CU36" t="s">
        <v>79</v>
      </c>
      <c r="CV36" t="s">
        <v>242</v>
      </c>
      <c r="CW36">
        <v>100</v>
      </c>
      <c r="CX36">
        <v>2</v>
      </c>
      <c r="CY36">
        <v>2</v>
      </c>
      <c r="CZ36">
        <v>2</v>
      </c>
      <c r="DA36">
        <v>1700</v>
      </c>
      <c r="DB36">
        <v>850</v>
      </c>
      <c r="DC36">
        <v>850</v>
      </c>
      <c r="DD36">
        <v>850</v>
      </c>
      <c r="DE36">
        <v>850</v>
      </c>
      <c r="DG36" t="s">
        <v>2753</v>
      </c>
      <c r="DH36" t="s">
        <v>82</v>
      </c>
      <c r="DI36" t="s">
        <v>806</v>
      </c>
      <c r="DJ36" t="s">
        <v>807</v>
      </c>
      <c r="DK36" t="s">
        <v>668</v>
      </c>
      <c r="DL36">
        <v>80.77</v>
      </c>
      <c r="DM36" t="s">
        <v>669</v>
      </c>
      <c r="DN36" t="s">
        <v>670</v>
      </c>
      <c r="DO36">
        <v>5</v>
      </c>
      <c r="DP36">
        <v>1078</v>
      </c>
      <c r="DQ36">
        <v>1078</v>
      </c>
      <c r="DR36" t="s">
        <v>2754</v>
      </c>
      <c r="DT36" t="s">
        <v>125</v>
      </c>
      <c r="DU36" t="s">
        <v>2755</v>
      </c>
      <c r="DV36" t="s">
        <v>2756</v>
      </c>
      <c r="DW36" t="s">
        <v>2757</v>
      </c>
      <c r="DX36" t="s">
        <v>2368</v>
      </c>
      <c r="DY36" t="s">
        <v>2369</v>
      </c>
      <c r="DZ36">
        <v>10</v>
      </c>
      <c r="EB36" t="s">
        <v>2758</v>
      </c>
      <c r="EC36" t="s">
        <v>1995</v>
      </c>
      <c r="ED36" t="s">
        <v>2249</v>
      </c>
      <c r="EE36" t="s">
        <v>298</v>
      </c>
      <c r="EF36" t="s">
        <v>297</v>
      </c>
      <c r="EG36">
        <v>1</v>
      </c>
      <c r="EH36">
        <v>1</v>
      </c>
      <c r="EI36">
        <v>1</v>
      </c>
      <c r="EJ36">
        <v>1</v>
      </c>
      <c r="EL36" t="s">
        <v>2759</v>
      </c>
      <c r="EM36" t="s">
        <v>2696</v>
      </c>
      <c r="EN36" t="s">
        <v>2697</v>
      </c>
      <c r="EO36">
        <v>1.5</v>
      </c>
      <c r="EP36" t="s">
        <v>2252</v>
      </c>
      <c r="EQ36" t="s">
        <v>2322</v>
      </c>
      <c r="ER36" t="s">
        <v>2323</v>
      </c>
      <c r="ES36">
        <v>12000</v>
      </c>
      <c r="ET36">
        <v>12000</v>
      </c>
      <c r="EU36">
        <v>12000</v>
      </c>
      <c r="EV36">
        <v>12000</v>
      </c>
      <c r="GD36" t="s">
        <v>2717</v>
      </c>
      <c r="GE36" t="s">
        <v>2457</v>
      </c>
      <c r="GF36" t="s">
        <v>121</v>
      </c>
      <c r="GG36" t="s">
        <v>86</v>
      </c>
      <c r="GH36">
        <v>0</v>
      </c>
      <c r="GI36">
        <v>0</v>
      </c>
      <c r="GJ36">
        <v>0</v>
      </c>
      <c r="GK36">
        <v>0</v>
      </c>
      <c r="GL36">
        <v>0</v>
      </c>
      <c r="GM36">
        <v>0</v>
      </c>
      <c r="GN36">
        <v>1</v>
      </c>
      <c r="GO36" t="s">
        <v>2280</v>
      </c>
      <c r="GP36" t="s">
        <v>87</v>
      </c>
      <c r="GQ36">
        <v>26</v>
      </c>
      <c r="GR36" t="s">
        <v>2261</v>
      </c>
      <c r="GS36" t="s">
        <v>2718</v>
      </c>
      <c r="HA36" t="s">
        <v>2760</v>
      </c>
      <c r="HB36" t="s">
        <v>121</v>
      </c>
      <c r="HC36" t="s">
        <v>2426</v>
      </c>
      <c r="HD36" t="s">
        <v>99</v>
      </c>
      <c r="HE36">
        <v>0</v>
      </c>
      <c r="HF36">
        <v>0</v>
      </c>
      <c r="HG36">
        <v>0</v>
      </c>
      <c r="HH36">
        <v>0</v>
      </c>
      <c r="HI36">
        <v>0</v>
      </c>
      <c r="HJ36">
        <v>0</v>
      </c>
    </row>
    <row r="37" ht="15" customHeight="1" spans="1:218" x14ac:dyDescent="0.25">
      <c r="A37" t="s">
        <v>222</v>
      </c>
      <c r="B37" t="s">
        <v>220</v>
      </c>
      <c r="C37" t="s">
        <v>81</v>
      </c>
      <c r="D37" t="s">
        <v>221</v>
      </c>
      <c r="E37" t="s">
        <v>897</v>
      </c>
      <c r="F37" t="s">
        <v>1505</v>
      </c>
      <c r="G37" t="s">
        <v>681</v>
      </c>
      <c r="H37" t="s">
        <v>681</v>
      </c>
      <c r="I37" t="s">
        <v>2761</v>
      </c>
      <c r="CQ37" t="s">
        <v>2762</v>
      </c>
      <c r="CR37" t="s">
        <v>82</v>
      </c>
      <c r="CS37" t="s">
        <v>229</v>
      </c>
      <c r="CT37" t="s">
        <v>227</v>
      </c>
      <c r="CU37" t="s">
        <v>90</v>
      </c>
      <c r="CV37" t="s">
        <v>228</v>
      </c>
      <c r="CW37">
        <v>57.69</v>
      </c>
      <c r="CX37">
        <v>5</v>
      </c>
      <c r="CY37">
        <v>5</v>
      </c>
      <c r="CZ37">
        <v>7</v>
      </c>
      <c r="DA37">
        <v>1690</v>
      </c>
      <c r="DB37">
        <v>270</v>
      </c>
      <c r="DC37">
        <v>300</v>
      </c>
      <c r="DD37">
        <v>330</v>
      </c>
      <c r="DE37">
        <v>350</v>
      </c>
      <c r="DG37" t="s">
        <v>2763</v>
      </c>
      <c r="DH37" t="s">
        <v>82</v>
      </c>
      <c r="DI37" t="s">
        <v>809</v>
      </c>
      <c r="DJ37" t="s">
        <v>810</v>
      </c>
      <c r="DK37" t="s">
        <v>668</v>
      </c>
      <c r="DL37">
        <v>80.77</v>
      </c>
      <c r="DM37" t="s">
        <v>670</v>
      </c>
      <c r="DN37" t="s">
        <v>670</v>
      </c>
      <c r="DO37">
        <v>1</v>
      </c>
      <c r="DP37">
        <v>814.28</v>
      </c>
      <c r="DQ37">
        <v>814.28</v>
      </c>
      <c r="DR37" t="s">
        <v>2764</v>
      </c>
      <c r="DT37" t="s">
        <v>125</v>
      </c>
      <c r="DU37" t="s">
        <v>2765</v>
      </c>
      <c r="DV37" t="s">
        <v>2766</v>
      </c>
      <c r="DW37" t="s">
        <v>2767</v>
      </c>
      <c r="DX37" t="s">
        <v>2434</v>
      </c>
      <c r="DY37" t="s">
        <v>2435</v>
      </c>
      <c r="DZ37">
        <v>6</v>
      </c>
      <c r="EB37" t="s">
        <v>2768</v>
      </c>
      <c r="EC37" t="s">
        <v>1995</v>
      </c>
      <c r="ED37" t="s">
        <v>2249</v>
      </c>
      <c r="EE37" t="s">
        <v>286</v>
      </c>
      <c r="EF37" t="s">
        <v>284</v>
      </c>
      <c r="EG37">
        <v>680</v>
      </c>
      <c r="EH37">
        <v>750</v>
      </c>
      <c r="EI37">
        <v>810</v>
      </c>
      <c r="EJ37">
        <v>810</v>
      </c>
      <c r="EL37" t="s">
        <v>2769</v>
      </c>
      <c r="EM37" t="s">
        <v>2696</v>
      </c>
      <c r="EN37" t="s">
        <v>2697</v>
      </c>
      <c r="EO37">
        <v>2</v>
      </c>
      <c r="EP37" t="s">
        <v>2252</v>
      </c>
      <c r="EQ37" t="s">
        <v>2354</v>
      </c>
      <c r="ER37" t="s">
        <v>2355</v>
      </c>
      <c r="ES37">
        <v>16000</v>
      </c>
      <c r="ET37">
        <v>16000</v>
      </c>
      <c r="EU37">
        <v>16000</v>
      </c>
      <c r="EV37">
        <v>16000</v>
      </c>
      <c r="GD37" t="s">
        <v>2717</v>
      </c>
      <c r="GE37" t="s">
        <v>2457</v>
      </c>
      <c r="GF37" t="s">
        <v>121</v>
      </c>
      <c r="GG37" t="s">
        <v>87</v>
      </c>
      <c r="GH37">
        <v>26</v>
      </c>
      <c r="GI37">
        <v>96442</v>
      </c>
      <c r="GJ37">
        <v>98192</v>
      </c>
      <c r="GK37">
        <v>99817</v>
      </c>
      <c r="GL37">
        <v>0.0344</v>
      </c>
      <c r="GM37">
        <v>98192</v>
      </c>
      <c r="GN37">
        <v>0</v>
      </c>
      <c r="GO37" t="s">
        <v>2617</v>
      </c>
      <c r="GP37" t="s">
        <v>87</v>
      </c>
      <c r="GQ37">
        <v>26</v>
      </c>
      <c r="GR37" t="s">
        <v>2261</v>
      </c>
      <c r="GS37" t="s">
        <v>2718</v>
      </c>
      <c r="HA37" t="s">
        <v>2770</v>
      </c>
      <c r="HB37" t="s">
        <v>121</v>
      </c>
      <c r="HC37" t="s">
        <v>2411</v>
      </c>
      <c r="HD37" t="s">
        <v>145</v>
      </c>
      <c r="HE37">
        <v>0</v>
      </c>
      <c r="HF37">
        <v>0</v>
      </c>
      <c r="HG37">
        <v>0</v>
      </c>
      <c r="HH37">
        <v>0</v>
      </c>
      <c r="HI37">
        <v>0</v>
      </c>
      <c r="HJ37">
        <v>0</v>
      </c>
    </row>
    <row r="38" ht="15" customHeight="1" spans="1:218" x14ac:dyDescent="0.25">
      <c r="A38" t="s">
        <v>233</v>
      </c>
      <c r="B38" t="s">
        <v>231</v>
      </c>
      <c r="C38" t="s">
        <v>81</v>
      </c>
      <c r="D38" t="s">
        <v>232</v>
      </c>
      <c r="E38" t="s">
        <v>2771</v>
      </c>
      <c r="F38" t="s">
        <v>671</v>
      </c>
      <c r="G38" t="s">
        <v>671</v>
      </c>
      <c r="H38" t="s">
        <v>671</v>
      </c>
      <c r="I38" t="s">
        <v>2772</v>
      </c>
      <c r="CQ38" t="s">
        <v>2773</v>
      </c>
      <c r="CR38" t="s">
        <v>82</v>
      </c>
      <c r="CS38" t="s">
        <v>246</v>
      </c>
      <c r="CT38" t="s">
        <v>244</v>
      </c>
      <c r="CU38" t="s">
        <v>90</v>
      </c>
      <c r="CV38" t="s">
        <v>245</v>
      </c>
      <c r="CW38">
        <v>15.38</v>
      </c>
      <c r="CX38">
        <v>1</v>
      </c>
      <c r="CY38">
        <v>1.5</v>
      </c>
      <c r="CZ38">
        <v>2.25</v>
      </c>
      <c r="DA38">
        <v>1305</v>
      </c>
      <c r="DB38">
        <v>730</v>
      </c>
      <c r="DC38">
        <v>800</v>
      </c>
      <c r="DD38">
        <v>870</v>
      </c>
      <c r="DE38">
        <v>870</v>
      </c>
      <c r="DG38" t="s">
        <v>2774</v>
      </c>
      <c r="DH38" t="s">
        <v>82</v>
      </c>
      <c r="DI38" t="s">
        <v>814</v>
      </c>
      <c r="DJ38" t="s">
        <v>815</v>
      </c>
      <c r="DK38" t="s">
        <v>692</v>
      </c>
      <c r="DL38">
        <v>80.77</v>
      </c>
      <c r="DM38" t="s">
        <v>670</v>
      </c>
      <c r="DN38" t="s">
        <v>670</v>
      </c>
      <c r="DO38">
        <v>0</v>
      </c>
      <c r="DP38">
        <v>0</v>
      </c>
      <c r="DQ38">
        <v>91</v>
      </c>
      <c r="DR38" t="s">
        <v>2775</v>
      </c>
      <c r="DT38" t="s">
        <v>125</v>
      </c>
      <c r="DU38" t="s">
        <v>2776</v>
      </c>
      <c r="DV38" t="s">
        <v>2777</v>
      </c>
      <c r="DW38" t="s">
        <v>2778</v>
      </c>
      <c r="DX38" t="s">
        <v>2779</v>
      </c>
      <c r="DY38" t="s">
        <v>2780</v>
      </c>
      <c r="DZ38">
        <v>4</v>
      </c>
      <c r="EB38" t="s">
        <v>2781</v>
      </c>
      <c r="EC38" t="s">
        <v>1995</v>
      </c>
      <c r="ED38" t="s">
        <v>2249</v>
      </c>
      <c r="EE38" t="s">
        <v>272</v>
      </c>
      <c r="EF38" t="s">
        <v>270</v>
      </c>
      <c r="EG38">
        <v>1430</v>
      </c>
      <c r="EH38">
        <v>1580</v>
      </c>
      <c r="EI38">
        <v>1710</v>
      </c>
      <c r="EJ38">
        <v>1710</v>
      </c>
      <c r="EL38" t="s">
        <v>2782</v>
      </c>
      <c r="EM38" t="s">
        <v>2696</v>
      </c>
      <c r="EN38" t="s">
        <v>2697</v>
      </c>
      <c r="EO38">
        <v>2.5</v>
      </c>
      <c r="EP38" t="s">
        <v>2252</v>
      </c>
      <c r="EQ38" t="s">
        <v>2389</v>
      </c>
      <c r="ER38" t="s">
        <v>2390</v>
      </c>
      <c r="ES38">
        <v>20000</v>
      </c>
      <c r="ET38">
        <v>20000</v>
      </c>
      <c r="EU38">
        <v>20000</v>
      </c>
      <c r="EV38">
        <v>20000</v>
      </c>
      <c r="GD38" t="s">
        <v>2783</v>
      </c>
      <c r="GE38" t="s">
        <v>2259</v>
      </c>
      <c r="GF38" t="s">
        <v>125</v>
      </c>
      <c r="GG38" t="s">
        <v>82</v>
      </c>
      <c r="GH38">
        <v>26</v>
      </c>
      <c r="GI38">
        <v>36.25</v>
      </c>
      <c r="GJ38">
        <v>39</v>
      </c>
      <c r="GK38">
        <v>41</v>
      </c>
      <c r="GL38">
        <v>0.1218</v>
      </c>
      <c r="GM38">
        <v>39</v>
      </c>
      <c r="GN38">
        <v>0</v>
      </c>
      <c r="GO38" t="s">
        <v>2340</v>
      </c>
      <c r="GP38" t="s">
        <v>87</v>
      </c>
      <c r="GQ38">
        <v>26</v>
      </c>
      <c r="GR38" t="s">
        <v>2261</v>
      </c>
      <c r="GS38" t="s">
        <v>2784</v>
      </c>
      <c r="HA38" t="s">
        <v>2785</v>
      </c>
      <c r="HB38" t="s">
        <v>121</v>
      </c>
      <c r="HC38" t="s">
        <v>2460</v>
      </c>
      <c r="HD38" t="s">
        <v>89</v>
      </c>
      <c r="HE38">
        <v>0</v>
      </c>
      <c r="HF38">
        <v>0</v>
      </c>
      <c r="HG38">
        <v>0</v>
      </c>
      <c r="HH38">
        <v>0</v>
      </c>
      <c r="HI38">
        <v>0</v>
      </c>
      <c r="HJ38">
        <v>0</v>
      </c>
    </row>
    <row r="39" ht="15" customHeight="1" spans="1:218" x14ac:dyDescent="0.25">
      <c r="A39" t="s">
        <v>225</v>
      </c>
      <c r="B39" t="s">
        <v>223</v>
      </c>
      <c r="C39" t="s">
        <v>81</v>
      </c>
      <c r="D39" t="s">
        <v>224</v>
      </c>
      <c r="E39" t="s">
        <v>1016</v>
      </c>
      <c r="F39" t="s">
        <v>671</v>
      </c>
      <c r="G39" t="s">
        <v>671</v>
      </c>
      <c r="H39" t="s">
        <v>1754</v>
      </c>
      <c r="I39" t="s">
        <v>2786</v>
      </c>
      <c r="CQ39" t="s">
        <v>2787</v>
      </c>
      <c r="CR39" t="s">
        <v>82</v>
      </c>
      <c r="CS39" t="s">
        <v>255</v>
      </c>
      <c r="CT39" t="s">
        <v>253</v>
      </c>
      <c r="CU39" t="s">
        <v>90</v>
      </c>
      <c r="CV39" t="s">
        <v>254</v>
      </c>
      <c r="CW39">
        <v>11.54</v>
      </c>
      <c r="CX39">
        <v>1</v>
      </c>
      <c r="CY39">
        <v>1</v>
      </c>
      <c r="CZ39">
        <v>1</v>
      </c>
      <c r="DA39">
        <v>980</v>
      </c>
      <c r="DB39">
        <v>980</v>
      </c>
      <c r="DC39">
        <v>1080</v>
      </c>
      <c r="DD39">
        <v>1170</v>
      </c>
      <c r="DE39">
        <v>1170</v>
      </c>
      <c r="DG39" t="s">
        <v>2788</v>
      </c>
      <c r="DH39" t="s">
        <v>82</v>
      </c>
      <c r="DI39" t="s">
        <v>819</v>
      </c>
      <c r="DJ39" t="s">
        <v>820</v>
      </c>
      <c r="DK39" t="s">
        <v>692</v>
      </c>
      <c r="DL39">
        <v>80.77</v>
      </c>
      <c r="DM39" t="s">
        <v>670</v>
      </c>
      <c r="DN39" t="s">
        <v>670</v>
      </c>
      <c r="DO39">
        <v>1</v>
      </c>
      <c r="DP39">
        <v>71.25</v>
      </c>
      <c r="DQ39">
        <v>71.25</v>
      </c>
      <c r="DR39" t="s">
        <v>2789</v>
      </c>
      <c r="DT39" t="s">
        <v>125</v>
      </c>
      <c r="DU39" t="s">
        <v>2790</v>
      </c>
      <c r="DV39" t="s">
        <v>2791</v>
      </c>
      <c r="DW39" t="s">
        <v>2792</v>
      </c>
      <c r="DX39" t="s">
        <v>2368</v>
      </c>
      <c r="DY39" t="s">
        <v>2369</v>
      </c>
      <c r="DZ39">
        <v>4</v>
      </c>
      <c r="EB39" t="s">
        <v>2793</v>
      </c>
      <c r="EC39" t="s">
        <v>1995</v>
      </c>
      <c r="ED39" t="s">
        <v>2249</v>
      </c>
      <c r="EE39" t="s">
        <v>283</v>
      </c>
      <c r="EF39" t="s">
        <v>281</v>
      </c>
      <c r="EG39">
        <v>360</v>
      </c>
      <c r="EH39">
        <v>400</v>
      </c>
      <c r="EI39">
        <v>430</v>
      </c>
      <c r="EJ39">
        <v>430</v>
      </c>
      <c r="EL39" t="s">
        <v>2794</v>
      </c>
      <c r="EM39" t="s">
        <v>2696</v>
      </c>
      <c r="EN39" t="s">
        <v>2697</v>
      </c>
      <c r="EO39">
        <v>3</v>
      </c>
      <c r="EP39" t="s">
        <v>2252</v>
      </c>
      <c r="EQ39" t="s">
        <v>2423</v>
      </c>
      <c r="ER39" t="s">
        <v>2424</v>
      </c>
      <c r="ES39">
        <v>24000</v>
      </c>
      <c r="ET39">
        <v>24000</v>
      </c>
      <c r="EU39">
        <v>24000</v>
      </c>
      <c r="EV39">
        <v>24000</v>
      </c>
      <c r="GD39" t="s">
        <v>2783</v>
      </c>
      <c r="GE39" t="s">
        <v>2259</v>
      </c>
      <c r="GF39" t="s">
        <v>125</v>
      </c>
      <c r="GG39" t="s">
        <v>121</v>
      </c>
      <c r="GH39">
        <v>0</v>
      </c>
      <c r="GI39">
        <v>0</v>
      </c>
      <c r="GJ39">
        <v>0</v>
      </c>
      <c r="GK39">
        <v>0</v>
      </c>
      <c r="GL39">
        <v>0</v>
      </c>
      <c r="GM39">
        <v>0</v>
      </c>
      <c r="GN39">
        <v>1</v>
      </c>
      <c r="GO39" t="s">
        <v>2280</v>
      </c>
      <c r="GP39" t="s">
        <v>87</v>
      </c>
      <c r="GQ39">
        <v>26</v>
      </c>
      <c r="GR39" t="s">
        <v>2261</v>
      </c>
      <c r="GS39" t="s">
        <v>2784</v>
      </c>
      <c r="HA39" t="s">
        <v>2795</v>
      </c>
      <c r="HB39" t="s">
        <v>121</v>
      </c>
      <c r="HC39" t="s">
        <v>2427</v>
      </c>
      <c r="HD39" t="s">
        <v>146</v>
      </c>
      <c r="HE39">
        <v>0</v>
      </c>
      <c r="HF39">
        <v>0</v>
      </c>
      <c r="HG39">
        <v>0</v>
      </c>
      <c r="HH39">
        <v>0</v>
      </c>
      <c r="HI39">
        <v>0</v>
      </c>
      <c r="HJ39">
        <v>0</v>
      </c>
    </row>
    <row r="40" ht="15" customHeight="1" spans="1:218" x14ac:dyDescent="0.25">
      <c r="A40" t="s">
        <v>288</v>
      </c>
      <c r="B40" t="s">
        <v>287</v>
      </c>
      <c r="C40" t="s">
        <v>81</v>
      </c>
      <c r="D40" t="s">
        <v>236</v>
      </c>
      <c r="E40" t="s">
        <v>1578</v>
      </c>
      <c r="F40" t="s">
        <v>671</v>
      </c>
      <c r="G40" t="s">
        <v>671</v>
      </c>
      <c r="H40" t="s">
        <v>671</v>
      </c>
      <c r="I40" t="s">
        <v>2796</v>
      </c>
      <c r="CQ40" t="s">
        <v>2797</v>
      </c>
      <c r="CR40" t="s">
        <v>82</v>
      </c>
      <c r="CS40" t="s">
        <v>599</v>
      </c>
      <c r="CT40" t="s">
        <v>2421</v>
      </c>
      <c r="CU40" t="s">
        <v>90</v>
      </c>
      <c r="CV40" t="s">
        <v>2798</v>
      </c>
      <c r="CW40">
        <v>100</v>
      </c>
      <c r="CX40">
        <v>1</v>
      </c>
      <c r="CY40">
        <v>1</v>
      </c>
      <c r="CZ40">
        <v>1</v>
      </c>
      <c r="DA40">
        <v>930</v>
      </c>
      <c r="DB40">
        <v>930</v>
      </c>
      <c r="DC40">
        <v>930</v>
      </c>
      <c r="DD40">
        <v>930</v>
      </c>
      <c r="DE40">
        <v>930</v>
      </c>
      <c r="DG40" t="s">
        <v>2799</v>
      </c>
      <c r="DH40" t="s">
        <v>82</v>
      </c>
      <c r="DI40" t="s">
        <v>824</v>
      </c>
      <c r="DJ40" t="s">
        <v>825</v>
      </c>
      <c r="DK40" t="s">
        <v>668</v>
      </c>
      <c r="DL40">
        <v>76.92</v>
      </c>
      <c r="DM40" t="s">
        <v>670</v>
      </c>
      <c r="DN40" t="s">
        <v>670</v>
      </c>
      <c r="DO40">
        <v>0</v>
      </c>
      <c r="DP40">
        <v>0</v>
      </c>
      <c r="DQ40">
        <v>180</v>
      </c>
      <c r="DR40" t="s">
        <v>2800</v>
      </c>
      <c r="DT40" t="s">
        <v>125</v>
      </c>
      <c r="DU40" t="s">
        <v>2801</v>
      </c>
      <c r="DV40" t="s">
        <v>2802</v>
      </c>
      <c r="DW40" t="s">
        <v>2803</v>
      </c>
      <c r="DX40" t="s">
        <v>2555</v>
      </c>
      <c r="DY40" t="s">
        <v>2556</v>
      </c>
      <c r="DZ40">
        <v>3</v>
      </c>
      <c r="EB40" t="s">
        <v>2804</v>
      </c>
      <c r="EC40" t="s">
        <v>1995</v>
      </c>
      <c r="ED40" t="s">
        <v>2249</v>
      </c>
      <c r="EE40" t="s">
        <v>267</v>
      </c>
      <c r="EF40" t="s">
        <v>265</v>
      </c>
      <c r="EG40">
        <v>1920</v>
      </c>
      <c r="EH40">
        <v>2120</v>
      </c>
      <c r="EI40">
        <v>2290</v>
      </c>
      <c r="EJ40">
        <v>2290</v>
      </c>
      <c r="EL40" t="s">
        <v>2805</v>
      </c>
      <c r="EM40" t="s">
        <v>2696</v>
      </c>
      <c r="EN40" t="s">
        <v>2697</v>
      </c>
      <c r="EO40">
        <v>3.5</v>
      </c>
      <c r="EP40" t="s">
        <v>2252</v>
      </c>
      <c r="EQ40" t="s">
        <v>2454</v>
      </c>
      <c r="ER40" t="s">
        <v>2455</v>
      </c>
      <c r="ES40">
        <v>28000</v>
      </c>
      <c r="ET40">
        <v>28000</v>
      </c>
      <c r="EU40">
        <v>28000</v>
      </c>
      <c r="EV40">
        <v>28000</v>
      </c>
      <c r="GD40" t="s">
        <v>2783</v>
      </c>
      <c r="GE40" t="s">
        <v>2259</v>
      </c>
      <c r="GF40" t="s">
        <v>125</v>
      </c>
      <c r="GG40" t="s">
        <v>125</v>
      </c>
      <c r="GH40">
        <v>0</v>
      </c>
      <c r="GI40">
        <v>0</v>
      </c>
      <c r="GJ40">
        <v>0</v>
      </c>
      <c r="GK40">
        <v>0</v>
      </c>
      <c r="GL40">
        <v>0</v>
      </c>
      <c r="GM40">
        <v>0</v>
      </c>
      <c r="GN40">
        <v>1</v>
      </c>
      <c r="GO40" t="s">
        <v>2280</v>
      </c>
      <c r="GP40" t="s">
        <v>87</v>
      </c>
      <c r="GQ40">
        <v>26</v>
      </c>
      <c r="GR40" t="s">
        <v>2261</v>
      </c>
      <c r="GS40" t="s">
        <v>2784</v>
      </c>
      <c r="HA40" t="s">
        <v>2806</v>
      </c>
      <c r="HB40" t="s">
        <v>121</v>
      </c>
      <c r="HC40" t="s">
        <v>2488</v>
      </c>
      <c r="HD40" t="s">
        <v>92</v>
      </c>
      <c r="HE40">
        <v>0</v>
      </c>
      <c r="HF40">
        <v>0</v>
      </c>
      <c r="HG40">
        <v>0</v>
      </c>
      <c r="HH40">
        <v>0</v>
      </c>
      <c r="HI40">
        <v>0</v>
      </c>
      <c r="HJ40">
        <v>0</v>
      </c>
    </row>
    <row r="41" ht="15" customHeight="1" spans="1:218" x14ac:dyDescent="0.25">
      <c r="A41" t="s">
        <v>269</v>
      </c>
      <c r="B41" t="s">
        <v>268</v>
      </c>
      <c r="C41" t="s">
        <v>81</v>
      </c>
      <c r="D41" t="s">
        <v>236</v>
      </c>
      <c r="E41" t="s">
        <v>1145</v>
      </c>
      <c r="F41" t="s">
        <v>671</v>
      </c>
      <c r="G41" t="s">
        <v>671</v>
      </c>
      <c r="H41" t="s">
        <v>671</v>
      </c>
      <c r="I41" t="s">
        <v>2807</v>
      </c>
      <c r="CQ41" t="s">
        <v>2808</v>
      </c>
      <c r="CR41" t="s">
        <v>82</v>
      </c>
      <c r="CS41" t="s">
        <v>243</v>
      </c>
      <c r="CT41" t="s">
        <v>241</v>
      </c>
      <c r="CU41" t="s">
        <v>90</v>
      </c>
      <c r="CV41" t="s">
        <v>242</v>
      </c>
      <c r="CW41">
        <v>19.23</v>
      </c>
      <c r="CX41">
        <v>1</v>
      </c>
      <c r="CY41">
        <v>1</v>
      </c>
      <c r="CZ41">
        <v>1</v>
      </c>
      <c r="DA41">
        <v>1250</v>
      </c>
      <c r="DB41">
        <v>1250</v>
      </c>
      <c r="DC41">
        <v>1250</v>
      </c>
      <c r="DD41">
        <v>1250</v>
      </c>
      <c r="DE41">
        <v>1250</v>
      </c>
      <c r="DG41" t="s">
        <v>2809</v>
      </c>
      <c r="DH41" t="s">
        <v>82</v>
      </c>
      <c r="DI41" t="s">
        <v>827</v>
      </c>
      <c r="DJ41" t="s">
        <v>828</v>
      </c>
      <c r="DK41" t="s">
        <v>668</v>
      </c>
      <c r="DL41">
        <v>76.92</v>
      </c>
      <c r="DM41" t="s">
        <v>670</v>
      </c>
      <c r="DN41" t="s">
        <v>670</v>
      </c>
      <c r="DO41">
        <v>0</v>
      </c>
      <c r="DP41">
        <v>0</v>
      </c>
      <c r="DQ41">
        <v>375.8</v>
      </c>
      <c r="DR41" t="s">
        <v>2810</v>
      </c>
      <c r="DT41" t="s">
        <v>125</v>
      </c>
      <c r="DU41" t="s">
        <v>2811</v>
      </c>
      <c r="DV41" t="s">
        <v>2812</v>
      </c>
      <c r="DW41" t="s">
        <v>2813</v>
      </c>
      <c r="DX41" t="s">
        <v>1995</v>
      </c>
      <c r="DY41" t="s">
        <v>2249</v>
      </c>
      <c r="DZ41">
        <v>2</v>
      </c>
      <c r="EB41" t="s">
        <v>2814</v>
      </c>
      <c r="EC41" t="s">
        <v>1995</v>
      </c>
      <c r="ED41" t="s">
        <v>2249</v>
      </c>
      <c r="EE41" t="s">
        <v>258</v>
      </c>
      <c r="EF41" t="s">
        <v>256</v>
      </c>
      <c r="EG41">
        <v>2910</v>
      </c>
      <c r="EH41">
        <v>3220</v>
      </c>
      <c r="EI41">
        <v>3470</v>
      </c>
      <c r="EJ41">
        <v>3470</v>
      </c>
      <c r="EL41" t="s">
        <v>2815</v>
      </c>
      <c r="EM41" t="s">
        <v>2696</v>
      </c>
      <c r="EN41" t="s">
        <v>2697</v>
      </c>
      <c r="EO41">
        <v>4</v>
      </c>
      <c r="EP41" t="s">
        <v>2252</v>
      </c>
      <c r="EQ41" t="s">
        <v>2485</v>
      </c>
      <c r="ER41" t="s">
        <v>2486</v>
      </c>
      <c r="ES41">
        <v>32000</v>
      </c>
      <c r="ET41">
        <v>32000</v>
      </c>
      <c r="EU41">
        <v>32000</v>
      </c>
      <c r="EV41">
        <v>32000</v>
      </c>
      <c r="GD41" t="s">
        <v>2783</v>
      </c>
      <c r="GE41" t="s">
        <v>2259</v>
      </c>
      <c r="GF41" t="s">
        <v>125</v>
      </c>
      <c r="GG41" t="s">
        <v>85</v>
      </c>
      <c r="GH41">
        <v>0</v>
      </c>
      <c r="GI41">
        <v>0</v>
      </c>
      <c r="GJ41">
        <v>0</v>
      </c>
      <c r="GK41">
        <v>0</v>
      </c>
      <c r="GL41">
        <v>0</v>
      </c>
      <c r="GM41">
        <v>0</v>
      </c>
      <c r="GN41">
        <v>1</v>
      </c>
      <c r="GO41" t="s">
        <v>2280</v>
      </c>
      <c r="GP41" t="s">
        <v>87</v>
      </c>
      <c r="GQ41">
        <v>26</v>
      </c>
      <c r="GR41" t="s">
        <v>2261</v>
      </c>
      <c r="GS41" t="s">
        <v>2784</v>
      </c>
      <c r="HA41" t="s">
        <v>2816</v>
      </c>
      <c r="HB41" t="s">
        <v>121</v>
      </c>
      <c r="HC41" t="s">
        <v>2442</v>
      </c>
      <c r="HD41" t="s">
        <v>95</v>
      </c>
      <c r="HE41">
        <v>0</v>
      </c>
      <c r="HF41">
        <v>0</v>
      </c>
      <c r="HG41">
        <v>0</v>
      </c>
      <c r="HH41">
        <v>0</v>
      </c>
      <c r="HI41">
        <v>0</v>
      </c>
      <c r="HJ41">
        <v>0</v>
      </c>
    </row>
    <row r="42" ht="15" customHeight="1" spans="1:218" x14ac:dyDescent="0.25">
      <c r="A42" t="s">
        <v>237</v>
      </c>
      <c r="B42" t="s">
        <v>235</v>
      </c>
      <c r="C42" t="s">
        <v>81</v>
      </c>
      <c r="D42" t="s">
        <v>236</v>
      </c>
      <c r="E42" t="s">
        <v>1267</v>
      </c>
      <c r="F42" t="s">
        <v>671</v>
      </c>
      <c r="G42" t="s">
        <v>671</v>
      </c>
      <c r="H42" t="s">
        <v>671</v>
      </c>
      <c r="I42" t="s">
        <v>2817</v>
      </c>
      <c r="CQ42" t="s">
        <v>2818</v>
      </c>
      <c r="CR42" t="s">
        <v>82</v>
      </c>
      <c r="CS42" t="s">
        <v>593</v>
      </c>
      <c r="CT42" t="s">
        <v>2469</v>
      </c>
      <c r="CU42" t="s">
        <v>79</v>
      </c>
      <c r="CV42" t="s">
        <v>2819</v>
      </c>
      <c r="CW42">
        <v>100</v>
      </c>
      <c r="CX42">
        <v>2</v>
      </c>
      <c r="CY42">
        <v>2</v>
      </c>
      <c r="CZ42">
        <v>2</v>
      </c>
      <c r="DA42">
        <v>3000</v>
      </c>
      <c r="DB42">
        <v>1500</v>
      </c>
      <c r="DC42">
        <v>1500</v>
      </c>
      <c r="DD42">
        <v>1500</v>
      </c>
      <c r="DE42">
        <v>1500</v>
      </c>
      <c r="DG42" t="s">
        <v>2820</v>
      </c>
      <c r="DH42" t="s">
        <v>82</v>
      </c>
      <c r="DI42" t="s">
        <v>832</v>
      </c>
      <c r="DJ42" t="s">
        <v>833</v>
      </c>
      <c r="DK42" t="s">
        <v>692</v>
      </c>
      <c r="DL42">
        <v>76.92</v>
      </c>
      <c r="DM42" t="s">
        <v>669</v>
      </c>
      <c r="DN42" t="s">
        <v>670</v>
      </c>
      <c r="DO42">
        <v>2</v>
      </c>
      <c r="DP42">
        <v>256</v>
      </c>
      <c r="DQ42">
        <v>256</v>
      </c>
      <c r="DR42" t="s">
        <v>2821</v>
      </c>
      <c r="DT42" t="s">
        <v>125</v>
      </c>
      <c r="DU42" t="s">
        <v>2822</v>
      </c>
      <c r="DV42" t="s">
        <v>2823</v>
      </c>
      <c r="DW42" t="s">
        <v>2824</v>
      </c>
      <c r="DX42" t="s">
        <v>2418</v>
      </c>
      <c r="DY42" t="s">
        <v>2419</v>
      </c>
      <c r="DZ42">
        <v>2</v>
      </c>
      <c r="EB42" t="s">
        <v>2825</v>
      </c>
      <c r="EC42" t="s">
        <v>1995</v>
      </c>
      <c r="ED42" t="s">
        <v>2249</v>
      </c>
      <c r="EE42" t="s">
        <v>222</v>
      </c>
      <c r="EF42" t="s">
        <v>220</v>
      </c>
      <c r="EG42">
        <v>2430</v>
      </c>
      <c r="EH42">
        <v>2690</v>
      </c>
      <c r="EI42">
        <v>2900</v>
      </c>
      <c r="EJ42">
        <v>2900</v>
      </c>
      <c r="EL42" t="s">
        <v>2826</v>
      </c>
      <c r="EM42" t="s">
        <v>2696</v>
      </c>
      <c r="EN42" t="s">
        <v>2697</v>
      </c>
      <c r="EO42">
        <v>4.5</v>
      </c>
      <c r="EP42" t="s">
        <v>2252</v>
      </c>
      <c r="EQ42" t="s">
        <v>2512</v>
      </c>
      <c r="ER42" t="s">
        <v>2513</v>
      </c>
      <c r="ES42">
        <v>36000</v>
      </c>
      <c r="ET42">
        <v>36000</v>
      </c>
      <c r="EU42">
        <v>36000</v>
      </c>
      <c r="EV42">
        <v>36000</v>
      </c>
      <c r="GD42" t="s">
        <v>2783</v>
      </c>
      <c r="GE42" t="s">
        <v>2259</v>
      </c>
      <c r="GF42" t="s">
        <v>125</v>
      </c>
      <c r="GG42" t="s">
        <v>86</v>
      </c>
      <c r="GH42">
        <v>0</v>
      </c>
      <c r="GI42">
        <v>0</v>
      </c>
      <c r="GJ42">
        <v>0</v>
      </c>
      <c r="GK42">
        <v>0</v>
      </c>
      <c r="GL42">
        <v>0</v>
      </c>
      <c r="GM42">
        <v>0</v>
      </c>
      <c r="GN42">
        <v>1</v>
      </c>
      <c r="GO42" t="s">
        <v>2280</v>
      </c>
      <c r="GP42" t="s">
        <v>87</v>
      </c>
      <c r="GQ42">
        <v>26</v>
      </c>
      <c r="GR42" t="s">
        <v>2261</v>
      </c>
      <c r="GS42" t="s">
        <v>2784</v>
      </c>
      <c r="HA42" t="s">
        <v>2827</v>
      </c>
      <c r="HB42" t="s">
        <v>121</v>
      </c>
      <c r="HC42" t="s">
        <v>2461</v>
      </c>
      <c r="HD42" t="s">
        <v>98</v>
      </c>
      <c r="HE42">
        <v>0</v>
      </c>
      <c r="HF42">
        <v>0</v>
      </c>
      <c r="HG42">
        <v>0</v>
      </c>
      <c r="HH42">
        <v>0</v>
      </c>
      <c r="HI42">
        <v>0</v>
      </c>
      <c r="HJ42">
        <v>0</v>
      </c>
    </row>
    <row r="43" ht="15" customHeight="1" spans="1:218" x14ac:dyDescent="0.25">
      <c r="A43" t="s">
        <v>249</v>
      </c>
      <c r="B43" t="s">
        <v>247</v>
      </c>
      <c r="C43" t="s">
        <v>81</v>
      </c>
      <c r="D43" t="s">
        <v>248</v>
      </c>
      <c r="E43" t="s">
        <v>2771</v>
      </c>
      <c r="F43" t="s">
        <v>671</v>
      </c>
      <c r="G43" t="s">
        <v>671</v>
      </c>
      <c r="H43" t="s">
        <v>671</v>
      </c>
      <c r="I43" t="s">
        <v>2828</v>
      </c>
      <c r="CQ43" t="s">
        <v>2829</v>
      </c>
      <c r="CR43" t="s">
        <v>82</v>
      </c>
      <c r="CS43" t="s">
        <v>591</v>
      </c>
      <c r="CT43" t="s">
        <v>2483</v>
      </c>
      <c r="CU43" t="s">
        <v>79</v>
      </c>
      <c r="CV43" t="s">
        <v>2819</v>
      </c>
      <c r="CW43">
        <v>100</v>
      </c>
      <c r="CX43">
        <v>2</v>
      </c>
      <c r="CY43">
        <v>2</v>
      </c>
      <c r="CZ43">
        <v>2</v>
      </c>
      <c r="DA43">
        <v>6000</v>
      </c>
      <c r="DB43">
        <v>3000</v>
      </c>
      <c r="DC43">
        <v>3000</v>
      </c>
      <c r="DD43">
        <v>3000</v>
      </c>
      <c r="DE43">
        <v>3000</v>
      </c>
      <c r="DG43" t="s">
        <v>2830</v>
      </c>
      <c r="DH43" t="s">
        <v>82</v>
      </c>
      <c r="DI43" t="s">
        <v>837</v>
      </c>
      <c r="DJ43" t="s">
        <v>838</v>
      </c>
      <c r="DK43" t="s">
        <v>692</v>
      </c>
      <c r="DL43">
        <v>76.92</v>
      </c>
      <c r="DM43" t="s">
        <v>669</v>
      </c>
      <c r="DN43" t="s">
        <v>670</v>
      </c>
      <c r="DO43">
        <v>25</v>
      </c>
      <c r="DP43">
        <v>1160</v>
      </c>
      <c r="DQ43">
        <v>1160</v>
      </c>
      <c r="DR43" t="s">
        <v>2831</v>
      </c>
      <c r="DT43" t="s">
        <v>125</v>
      </c>
      <c r="DU43" t="s">
        <v>2832</v>
      </c>
      <c r="DV43" t="s">
        <v>2833</v>
      </c>
      <c r="DW43" t="s">
        <v>2834</v>
      </c>
      <c r="DX43" t="s">
        <v>2418</v>
      </c>
      <c r="DY43" t="s">
        <v>2419</v>
      </c>
      <c r="DZ43">
        <v>1</v>
      </c>
      <c r="EB43" t="s">
        <v>2835</v>
      </c>
      <c r="EC43" t="s">
        <v>1995</v>
      </c>
      <c r="ED43" t="s">
        <v>2249</v>
      </c>
      <c r="EE43" t="s">
        <v>233</v>
      </c>
      <c r="EF43" t="s">
        <v>231</v>
      </c>
      <c r="EG43">
        <v>1110</v>
      </c>
      <c r="EH43">
        <v>1220</v>
      </c>
      <c r="EI43">
        <v>1320</v>
      </c>
      <c r="EJ43">
        <v>1320</v>
      </c>
      <c r="EL43" t="s">
        <v>2836</v>
      </c>
      <c r="EM43" t="s">
        <v>2696</v>
      </c>
      <c r="EN43" t="s">
        <v>2697</v>
      </c>
      <c r="EO43">
        <v>5</v>
      </c>
      <c r="EP43" t="s">
        <v>2252</v>
      </c>
      <c r="EQ43" t="s">
        <v>2541</v>
      </c>
      <c r="ER43" t="s">
        <v>2542</v>
      </c>
      <c r="ES43">
        <v>40000</v>
      </c>
      <c r="ET43">
        <v>40000</v>
      </c>
      <c r="EU43">
        <v>40000</v>
      </c>
      <c r="EV43">
        <v>40000</v>
      </c>
      <c r="GD43" t="s">
        <v>2783</v>
      </c>
      <c r="GE43" t="s">
        <v>2259</v>
      </c>
      <c r="GF43" t="s">
        <v>125</v>
      </c>
      <c r="GG43" t="s">
        <v>87</v>
      </c>
      <c r="GH43">
        <v>26</v>
      </c>
      <c r="GI43">
        <v>36.25</v>
      </c>
      <c r="GJ43">
        <v>39</v>
      </c>
      <c r="GK43">
        <v>41</v>
      </c>
      <c r="GL43">
        <v>0.1218</v>
      </c>
      <c r="GM43">
        <v>39</v>
      </c>
      <c r="GN43">
        <v>0</v>
      </c>
      <c r="GO43" t="s">
        <v>2617</v>
      </c>
      <c r="GP43" t="s">
        <v>87</v>
      </c>
      <c r="GQ43">
        <v>26</v>
      </c>
      <c r="GR43" t="s">
        <v>2261</v>
      </c>
      <c r="GS43" t="s">
        <v>2784</v>
      </c>
      <c r="HA43" t="s">
        <v>2837</v>
      </c>
      <c r="HB43" t="s">
        <v>121</v>
      </c>
      <c r="HC43" t="s">
        <v>2475</v>
      </c>
      <c r="HD43" t="s">
        <v>101</v>
      </c>
      <c r="HE43">
        <v>0</v>
      </c>
      <c r="HF43">
        <v>0</v>
      </c>
      <c r="HG43">
        <v>0</v>
      </c>
      <c r="HH43">
        <v>0</v>
      </c>
      <c r="HI43">
        <v>0</v>
      </c>
      <c r="HJ43">
        <v>0</v>
      </c>
    </row>
    <row r="44" ht="15" customHeight="1" spans="1:218" x14ac:dyDescent="0.25">
      <c r="A44" t="s">
        <v>293</v>
      </c>
      <c r="B44" t="s">
        <v>291</v>
      </c>
      <c r="C44" t="s">
        <v>81</v>
      </c>
      <c r="D44" t="s">
        <v>292</v>
      </c>
      <c r="E44" t="s">
        <v>1578</v>
      </c>
      <c r="F44" t="s">
        <v>671</v>
      </c>
      <c r="G44" t="s">
        <v>671</v>
      </c>
      <c r="H44" t="s">
        <v>671</v>
      </c>
      <c r="I44" t="s">
        <v>1392</v>
      </c>
      <c r="CQ44" t="s">
        <v>2838</v>
      </c>
      <c r="CR44" t="s">
        <v>82</v>
      </c>
      <c r="CS44" t="s">
        <v>261</v>
      </c>
      <c r="CT44" t="s">
        <v>259</v>
      </c>
      <c r="CU44" t="s">
        <v>88</v>
      </c>
      <c r="CV44" t="s">
        <v>260</v>
      </c>
      <c r="CW44">
        <v>11.54</v>
      </c>
      <c r="CX44">
        <v>1</v>
      </c>
      <c r="CY44">
        <v>1</v>
      </c>
      <c r="CZ44">
        <v>1</v>
      </c>
      <c r="DA44">
        <v>1020</v>
      </c>
      <c r="DB44">
        <v>860</v>
      </c>
      <c r="DC44">
        <v>950</v>
      </c>
      <c r="DD44">
        <v>1020</v>
      </c>
      <c r="DE44">
        <v>1020</v>
      </c>
      <c r="DG44" t="s">
        <v>2839</v>
      </c>
      <c r="DH44" t="s">
        <v>82</v>
      </c>
      <c r="DI44" t="s">
        <v>840</v>
      </c>
      <c r="DJ44" t="s">
        <v>841</v>
      </c>
      <c r="DK44" t="s">
        <v>692</v>
      </c>
      <c r="DL44">
        <v>76.92</v>
      </c>
      <c r="DM44" t="s">
        <v>670</v>
      </c>
      <c r="DN44" t="s">
        <v>670</v>
      </c>
      <c r="DO44">
        <v>0</v>
      </c>
      <c r="DP44">
        <v>0</v>
      </c>
      <c r="DQ44">
        <v>321.04</v>
      </c>
      <c r="DR44" t="s">
        <v>2840</v>
      </c>
      <c r="DT44" t="s">
        <v>125</v>
      </c>
      <c r="DU44" t="s">
        <v>2841</v>
      </c>
      <c r="DV44" t="s">
        <v>2842</v>
      </c>
      <c r="DW44" t="s">
        <v>2843</v>
      </c>
      <c r="DX44" t="s">
        <v>1995</v>
      </c>
      <c r="DY44" t="s">
        <v>2249</v>
      </c>
      <c r="DZ44">
        <v>1</v>
      </c>
      <c r="EB44" t="s">
        <v>2844</v>
      </c>
      <c r="EC44" t="s">
        <v>1995</v>
      </c>
      <c r="ED44" t="s">
        <v>2249</v>
      </c>
      <c r="EE44" t="s">
        <v>225</v>
      </c>
      <c r="EF44" t="s">
        <v>223</v>
      </c>
      <c r="EG44">
        <v>2730</v>
      </c>
      <c r="EH44">
        <v>3020</v>
      </c>
      <c r="EI44">
        <v>3260</v>
      </c>
      <c r="EJ44">
        <v>3260</v>
      </c>
      <c r="EL44" t="s">
        <v>2845</v>
      </c>
      <c r="EM44" t="s">
        <v>2696</v>
      </c>
      <c r="EN44" t="s">
        <v>2697</v>
      </c>
      <c r="EO44">
        <v>5.5</v>
      </c>
      <c r="EP44" t="s">
        <v>2252</v>
      </c>
      <c r="EQ44" t="s">
        <v>2572</v>
      </c>
      <c r="ER44" t="s">
        <v>2573</v>
      </c>
      <c r="ES44">
        <v>44000</v>
      </c>
      <c r="ET44">
        <v>44000</v>
      </c>
      <c r="EU44">
        <v>44000</v>
      </c>
      <c r="EV44">
        <v>44000</v>
      </c>
      <c r="GD44" t="s">
        <v>2846</v>
      </c>
      <c r="GE44" t="s">
        <v>2358</v>
      </c>
      <c r="GF44" t="s">
        <v>125</v>
      </c>
      <c r="GG44" t="s">
        <v>82</v>
      </c>
      <c r="GH44">
        <v>26</v>
      </c>
      <c r="GI44">
        <v>7802.505</v>
      </c>
      <c r="GJ44">
        <v>9060.435</v>
      </c>
      <c r="GK44">
        <v>10629.097</v>
      </c>
      <c r="GL44">
        <v>0.312</v>
      </c>
      <c r="GM44">
        <v>9060.435</v>
      </c>
      <c r="GN44">
        <v>0</v>
      </c>
      <c r="GO44" t="s">
        <v>2340</v>
      </c>
      <c r="GP44" t="s">
        <v>87</v>
      </c>
      <c r="GQ44">
        <v>26</v>
      </c>
      <c r="GR44" t="s">
        <v>2261</v>
      </c>
      <c r="GS44" t="s">
        <v>2847</v>
      </c>
      <c r="HA44" t="s">
        <v>2848</v>
      </c>
      <c r="HB44" t="s">
        <v>121</v>
      </c>
      <c r="HC44" t="s">
        <v>2547</v>
      </c>
      <c r="HD44" t="s">
        <v>147</v>
      </c>
      <c r="HE44">
        <v>0</v>
      </c>
      <c r="HF44">
        <v>0</v>
      </c>
      <c r="HG44">
        <v>0</v>
      </c>
      <c r="HH44">
        <v>0</v>
      </c>
      <c r="HI44">
        <v>0</v>
      </c>
      <c r="HJ44">
        <v>0</v>
      </c>
    </row>
    <row r="45" ht="15" customHeight="1" spans="1:218" x14ac:dyDescent="0.25">
      <c r="A45" t="s">
        <v>280</v>
      </c>
      <c r="B45" t="s">
        <v>279</v>
      </c>
      <c r="C45" t="s">
        <v>81</v>
      </c>
      <c r="D45" t="s">
        <v>248</v>
      </c>
      <c r="E45" t="s">
        <v>1578</v>
      </c>
      <c r="F45" t="s">
        <v>671</v>
      </c>
      <c r="G45" t="s">
        <v>671</v>
      </c>
      <c r="H45" t="s">
        <v>671</v>
      </c>
      <c r="I45" t="s">
        <v>2849</v>
      </c>
      <c r="CQ45" t="s">
        <v>2850</v>
      </c>
      <c r="CR45" t="s">
        <v>82</v>
      </c>
      <c r="CS45" t="s">
        <v>578</v>
      </c>
      <c r="CT45" t="s">
        <v>577</v>
      </c>
      <c r="CU45" t="s">
        <v>88</v>
      </c>
      <c r="CV45" t="s">
        <v>2851</v>
      </c>
      <c r="CW45">
        <v>100</v>
      </c>
      <c r="CX45">
        <v>1</v>
      </c>
      <c r="CY45">
        <v>1</v>
      </c>
      <c r="CZ45">
        <v>1</v>
      </c>
      <c r="DA45">
        <v>100000</v>
      </c>
      <c r="DB45">
        <v>100000</v>
      </c>
      <c r="DC45">
        <v>100000</v>
      </c>
      <c r="DD45">
        <v>100000</v>
      </c>
      <c r="DE45">
        <v>100000</v>
      </c>
      <c r="DG45" t="s">
        <v>2852</v>
      </c>
      <c r="DH45" t="s">
        <v>82</v>
      </c>
      <c r="DI45" t="s">
        <v>845</v>
      </c>
      <c r="DJ45" t="s">
        <v>846</v>
      </c>
      <c r="DK45" t="s">
        <v>668</v>
      </c>
      <c r="DL45">
        <v>73.08</v>
      </c>
      <c r="DM45" t="s">
        <v>670</v>
      </c>
      <c r="DN45" t="s">
        <v>670</v>
      </c>
      <c r="DO45">
        <v>0</v>
      </c>
      <c r="DP45">
        <v>0</v>
      </c>
      <c r="DQ45">
        <v>314.51</v>
      </c>
      <c r="DR45" t="s">
        <v>2853</v>
      </c>
      <c r="EB45" t="s">
        <v>2854</v>
      </c>
      <c r="EC45" t="s">
        <v>1995</v>
      </c>
      <c r="ED45" t="s">
        <v>2249</v>
      </c>
      <c r="EE45" t="s">
        <v>288</v>
      </c>
      <c r="EF45" t="s">
        <v>287</v>
      </c>
      <c r="EG45">
        <v>450</v>
      </c>
      <c r="EH45">
        <v>530</v>
      </c>
      <c r="EI45">
        <v>580</v>
      </c>
      <c r="EJ45">
        <v>580</v>
      </c>
      <c r="EL45" t="s">
        <v>2855</v>
      </c>
      <c r="EM45" t="s">
        <v>2696</v>
      </c>
      <c r="EN45" t="s">
        <v>2697</v>
      </c>
      <c r="EO45">
        <v>6</v>
      </c>
      <c r="EP45" t="s">
        <v>2252</v>
      </c>
      <c r="EQ45" t="s">
        <v>2601</v>
      </c>
      <c r="ER45" t="s">
        <v>2602</v>
      </c>
      <c r="ES45">
        <v>48000</v>
      </c>
      <c r="ET45">
        <v>48000</v>
      </c>
      <c r="EU45">
        <v>48000</v>
      </c>
      <c r="EV45">
        <v>48000</v>
      </c>
      <c r="GD45" t="s">
        <v>2846</v>
      </c>
      <c r="GE45" t="s">
        <v>2358</v>
      </c>
      <c r="GF45" t="s">
        <v>125</v>
      </c>
      <c r="GG45" t="s">
        <v>121</v>
      </c>
      <c r="GH45">
        <v>0</v>
      </c>
      <c r="GI45">
        <v>0</v>
      </c>
      <c r="GJ45">
        <v>0</v>
      </c>
      <c r="GK45">
        <v>0</v>
      </c>
      <c r="GL45">
        <v>0</v>
      </c>
      <c r="GM45">
        <v>0</v>
      </c>
      <c r="GN45">
        <v>1</v>
      </c>
      <c r="GO45" t="s">
        <v>2280</v>
      </c>
      <c r="GP45" t="s">
        <v>87</v>
      </c>
      <c r="GQ45">
        <v>26</v>
      </c>
      <c r="GR45" t="s">
        <v>2261</v>
      </c>
      <c r="GS45" t="s">
        <v>2847</v>
      </c>
      <c r="HA45" t="s">
        <v>2856</v>
      </c>
      <c r="HB45" t="s">
        <v>121</v>
      </c>
      <c r="HC45" t="s">
        <v>2563</v>
      </c>
      <c r="HD45" t="s">
        <v>96</v>
      </c>
      <c r="HE45">
        <v>0</v>
      </c>
      <c r="HF45">
        <v>0</v>
      </c>
      <c r="HG45">
        <v>0</v>
      </c>
      <c r="HH45">
        <v>0</v>
      </c>
      <c r="HI45">
        <v>0</v>
      </c>
      <c r="HJ45">
        <v>0</v>
      </c>
    </row>
    <row r="46" ht="15" customHeight="1" spans="1:218" x14ac:dyDescent="0.25">
      <c r="A46" t="s">
        <v>264</v>
      </c>
      <c r="B46" t="s">
        <v>262</v>
      </c>
      <c r="C46" t="s">
        <v>99</v>
      </c>
      <c r="D46" t="s">
        <v>263</v>
      </c>
      <c r="E46" t="s">
        <v>1327</v>
      </c>
      <c r="F46" t="s">
        <v>671</v>
      </c>
      <c r="G46" t="s">
        <v>671</v>
      </c>
      <c r="H46" t="s">
        <v>671</v>
      </c>
      <c r="I46" t="s">
        <v>2857</v>
      </c>
      <c r="CQ46" t="s">
        <v>2858</v>
      </c>
      <c r="CR46" t="s">
        <v>82</v>
      </c>
      <c r="CS46" t="s">
        <v>569</v>
      </c>
      <c r="CT46" t="s">
        <v>567</v>
      </c>
      <c r="CU46" t="s">
        <v>88</v>
      </c>
      <c r="CV46" t="s">
        <v>2859</v>
      </c>
      <c r="CW46">
        <v>100</v>
      </c>
      <c r="CX46">
        <v>1</v>
      </c>
      <c r="CY46">
        <v>1</v>
      </c>
      <c r="CZ46">
        <v>1</v>
      </c>
      <c r="DA46">
        <v>2000</v>
      </c>
      <c r="DB46">
        <v>2000</v>
      </c>
      <c r="DC46">
        <v>2000</v>
      </c>
      <c r="DD46">
        <v>2000</v>
      </c>
      <c r="DE46">
        <v>2000</v>
      </c>
      <c r="DG46" t="s">
        <v>2860</v>
      </c>
      <c r="DH46" t="s">
        <v>82</v>
      </c>
      <c r="DI46" t="s">
        <v>850</v>
      </c>
      <c r="DJ46" t="s">
        <v>851</v>
      </c>
      <c r="DK46" t="s">
        <v>692</v>
      </c>
      <c r="DL46">
        <v>73.08</v>
      </c>
      <c r="DM46" t="s">
        <v>670</v>
      </c>
      <c r="DN46" t="s">
        <v>669</v>
      </c>
      <c r="DO46">
        <v>0</v>
      </c>
      <c r="DP46">
        <v>0</v>
      </c>
      <c r="DQ46">
        <v>1060</v>
      </c>
      <c r="DR46" t="s">
        <v>2861</v>
      </c>
      <c r="EB46" t="s">
        <v>2862</v>
      </c>
      <c r="EC46" t="s">
        <v>1995</v>
      </c>
      <c r="ED46" t="s">
        <v>2249</v>
      </c>
      <c r="EE46" t="s">
        <v>269</v>
      </c>
      <c r="EF46" t="s">
        <v>268</v>
      </c>
      <c r="EG46">
        <v>280</v>
      </c>
      <c r="EH46">
        <v>280</v>
      </c>
      <c r="EI46">
        <v>280</v>
      </c>
      <c r="EJ46">
        <v>280</v>
      </c>
      <c r="EL46" t="s">
        <v>2863</v>
      </c>
      <c r="EM46" t="s">
        <v>2696</v>
      </c>
      <c r="EN46" t="s">
        <v>2697</v>
      </c>
      <c r="EO46">
        <v>6.5</v>
      </c>
      <c r="EP46" t="s">
        <v>2252</v>
      </c>
      <c r="EQ46" t="s">
        <v>2628</v>
      </c>
      <c r="ER46" t="s">
        <v>2629</v>
      </c>
      <c r="ES46">
        <v>52000</v>
      </c>
      <c r="ET46">
        <v>52000</v>
      </c>
      <c r="EU46">
        <v>52000</v>
      </c>
      <c r="EV46">
        <v>52000</v>
      </c>
      <c r="GD46" t="s">
        <v>2846</v>
      </c>
      <c r="GE46" t="s">
        <v>2358</v>
      </c>
      <c r="GF46" t="s">
        <v>125</v>
      </c>
      <c r="GG46" t="s">
        <v>125</v>
      </c>
      <c r="GH46">
        <v>0</v>
      </c>
      <c r="GI46">
        <v>0</v>
      </c>
      <c r="GJ46">
        <v>0</v>
      </c>
      <c r="GK46">
        <v>0</v>
      </c>
      <c r="GL46">
        <v>0</v>
      </c>
      <c r="GM46">
        <v>0</v>
      </c>
      <c r="GN46">
        <v>1</v>
      </c>
      <c r="GO46" t="s">
        <v>2280</v>
      </c>
      <c r="GP46" t="s">
        <v>87</v>
      </c>
      <c r="GQ46">
        <v>26</v>
      </c>
      <c r="GR46" t="s">
        <v>2261</v>
      </c>
      <c r="GS46" t="s">
        <v>2847</v>
      </c>
      <c r="HA46" t="s">
        <v>2864</v>
      </c>
      <c r="HB46" t="s">
        <v>121</v>
      </c>
      <c r="HC46" t="s">
        <v>2576</v>
      </c>
      <c r="HD46" t="s">
        <v>2073</v>
      </c>
      <c r="HE46">
        <v>0</v>
      </c>
      <c r="HF46">
        <v>0</v>
      </c>
      <c r="HG46">
        <v>0</v>
      </c>
      <c r="HH46">
        <v>0</v>
      </c>
      <c r="HI46">
        <v>0</v>
      </c>
      <c r="HJ46">
        <v>0</v>
      </c>
    </row>
    <row r="47" ht="15" customHeight="1" spans="1:218" x14ac:dyDescent="0.25">
      <c r="A47" t="s">
        <v>278</v>
      </c>
      <c r="B47" t="s">
        <v>276</v>
      </c>
      <c r="C47" t="s">
        <v>88</v>
      </c>
      <c r="D47" t="s">
        <v>277</v>
      </c>
      <c r="E47" t="s">
        <v>1578</v>
      </c>
      <c r="F47" t="s">
        <v>671</v>
      </c>
      <c r="G47" t="s">
        <v>671</v>
      </c>
      <c r="H47" t="s">
        <v>671</v>
      </c>
      <c r="I47" t="s">
        <v>2865</v>
      </c>
      <c r="CQ47" t="s">
        <v>2866</v>
      </c>
      <c r="CR47" t="s">
        <v>82</v>
      </c>
      <c r="CS47" t="s">
        <v>556</v>
      </c>
      <c r="CT47" t="s">
        <v>2713</v>
      </c>
      <c r="CU47" t="s">
        <v>79</v>
      </c>
      <c r="CV47" t="s">
        <v>2867</v>
      </c>
      <c r="CW47">
        <v>100</v>
      </c>
      <c r="CX47">
        <v>3</v>
      </c>
      <c r="CY47">
        <v>3</v>
      </c>
      <c r="CZ47">
        <v>4</v>
      </c>
      <c r="DA47">
        <v>3600</v>
      </c>
      <c r="DB47">
        <v>550</v>
      </c>
      <c r="DC47">
        <v>850</v>
      </c>
      <c r="DD47">
        <v>1200</v>
      </c>
      <c r="DE47">
        <v>1200</v>
      </c>
      <c r="DG47" t="s">
        <v>2868</v>
      </c>
      <c r="DH47" t="s">
        <v>82</v>
      </c>
      <c r="DI47" t="s">
        <v>855</v>
      </c>
      <c r="DJ47" t="s">
        <v>856</v>
      </c>
      <c r="DK47" t="s">
        <v>692</v>
      </c>
      <c r="DL47">
        <v>73.08</v>
      </c>
      <c r="DM47" t="s">
        <v>669</v>
      </c>
      <c r="DN47" t="s">
        <v>670</v>
      </c>
      <c r="DO47">
        <v>2</v>
      </c>
      <c r="DP47">
        <v>234</v>
      </c>
      <c r="DQ47">
        <v>234</v>
      </c>
      <c r="DR47" t="s">
        <v>2869</v>
      </c>
      <c r="EB47" t="s">
        <v>2870</v>
      </c>
      <c r="EC47" t="s">
        <v>1995</v>
      </c>
      <c r="ED47" t="s">
        <v>2249</v>
      </c>
      <c r="EE47" t="s">
        <v>237</v>
      </c>
      <c r="EF47" t="s">
        <v>235</v>
      </c>
      <c r="EG47">
        <v>2650</v>
      </c>
      <c r="EH47">
        <v>2650</v>
      </c>
      <c r="EI47">
        <v>2650</v>
      </c>
      <c r="EJ47">
        <v>2650</v>
      </c>
      <c r="EL47" t="s">
        <v>2871</v>
      </c>
      <c r="EM47" t="s">
        <v>2696</v>
      </c>
      <c r="EN47" t="s">
        <v>2697</v>
      </c>
      <c r="EO47">
        <v>7</v>
      </c>
      <c r="EP47" t="s">
        <v>2252</v>
      </c>
      <c r="EQ47" t="s">
        <v>2659</v>
      </c>
      <c r="ER47" t="s">
        <v>2660</v>
      </c>
      <c r="ES47">
        <v>56000</v>
      </c>
      <c r="ET47">
        <v>56000</v>
      </c>
      <c r="EU47">
        <v>56000</v>
      </c>
      <c r="EV47">
        <v>56000</v>
      </c>
      <c r="GD47" t="s">
        <v>2846</v>
      </c>
      <c r="GE47" t="s">
        <v>2358</v>
      </c>
      <c r="GF47" t="s">
        <v>125</v>
      </c>
      <c r="GG47" t="s">
        <v>85</v>
      </c>
      <c r="GH47">
        <v>0</v>
      </c>
      <c r="GI47">
        <v>0</v>
      </c>
      <c r="GJ47">
        <v>0</v>
      </c>
      <c r="GK47">
        <v>0</v>
      </c>
      <c r="GL47">
        <v>0</v>
      </c>
      <c r="GM47">
        <v>0</v>
      </c>
      <c r="GN47">
        <v>1</v>
      </c>
      <c r="GO47" t="s">
        <v>2280</v>
      </c>
      <c r="GP47" t="s">
        <v>87</v>
      </c>
      <c r="GQ47">
        <v>26</v>
      </c>
      <c r="GR47" t="s">
        <v>2261</v>
      </c>
      <c r="GS47" t="s">
        <v>2847</v>
      </c>
      <c r="HA47" t="s">
        <v>2872</v>
      </c>
      <c r="HB47" t="s">
        <v>121</v>
      </c>
      <c r="HC47" t="s">
        <v>2590</v>
      </c>
      <c r="HD47" t="s">
        <v>2074</v>
      </c>
      <c r="HE47">
        <v>0</v>
      </c>
      <c r="HF47">
        <v>0</v>
      </c>
      <c r="HG47">
        <v>0</v>
      </c>
      <c r="HH47">
        <v>0</v>
      </c>
      <c r="HI47">
        <v>0</v>
      </c>
      <c r="HJ47">
        <v>0</v>
      </c>
    </row>
    <row r="48" ht="15" customHeight="1" spans="1:218" x14ac:dyDescent="0.25">
      <c r="A48" t="s">
        <v>240</v>
      </c>
      <c r="B48" t="s">
        <v>238</v>
      </c>
      <c r="C48" t="s">
        <v>90</v>
      </c>
      <c r="D48" t="s">
        <v>239</v>
      </c>
      <c r="E48" t="s">
        <v>1578</v>
      </c>
      <c r="F48" t="s">
        <v>681</v>
      </c>
      <c r="G48" t="s">
        <v>681</v>
      </c>
      <c r="H48" t="s">
        <v>681</v>
      </c>
      <c r="I48" t="s">
        <v>2873</v>
      </c>
      <c r="CQ48" t="s">
        <v>2874</v>
      </c>
      <c r="CR48" t="s">
        <v>82</v>
      </c>
      <c r="CS48" t="s">
        <v>596</v>
      </c>
      <c r="CT48" t="s">
        <v>2452</v>
      </c>
      <c r="CU48" t="s">
        <v>79</v>
      </c>
      <c r="CV48" t="s">
        <v>594</v>
      </c>
      <c r="CW48">
        <v>100</v>
      </c>
      <c r="CX48">
        <v>3</v>
      </c>
      <c r="CY48">
        <v>3</v>
      </c>
      <c r="CZ48">
        <v>4</v>
      </c>
      <c r="DA48">
        <v>1050</v>
      </c>
      <c r="DB48">
        <v>350</v>
      </c>
      <c r="DC48">
        <v>350</v>
      </c>
      <c r="DD48">
        <v>350</v>
      </c>
      <c r="DE48">
        <v>350</v>
      </c>
      <c r="DG48" t="s">
        <v>2875</v>
      </c>
      <c r="DH48" t="s">
        <v>82</v>
      </c>
      <c r="DI48" t="s">
        <v>857</v>
      </c>
      <c r="DJ48" t="s">
        <v>858</v>
      </c>
      <c r="DK48" t="s">
        <v>692</v>
      </c>
      <c r="DL48">
        <v>73.08</v>
      </c>
      <c r="DM48" t="s">
        <v>669</v>
      </c>
      <c r="DN48" t="s">
        <v>670</v>
      </c>
      <c r="DO48">
        <v>10</v>
      </c>
      <c r="DP48">
        <v>1020</v>
      </c>
      <c r="DQ48">
        <v>1020</v>
      </c>
      <c r="DR48" t="s">
        <v>2876</v>
      </c>
      <c r="EB48" t="s">
        <v>2877</v>
      </c>
      <c r="EC48" t="s">
        <v>1995</v>
      </c>
      <c r="ED48" t="s">
        <v>2249</v>
      </c>
      <c r="EE48" t="s">
        <v>249</v>
      </c>
      <c r="EF48" t="s">
        <v>247</v>
      </c>
      <c r="EG48">
        <v>310</v>
      </c>
      <c r="EH48">
        <v>340</v>
      </c>
      <c r="EI48">
        <v>370</v>
      </c>
      <c r="EJ48">
        <v>370</v>
      </c>
      <c r="EL48" t="s">
        <v>2878</v>
      </c>
      <c r="EM48" t="s">
        <v>2696</v>
      </c>
      <c r="EN48" t="s">
        <v>2697</v>
      </c>
      <c r="EO48">
        <v>7.5</v>
      </c>
      <c r="EP48" t="s">
        <v>2252</v>
      </c>
      <c r="EQ48" t="s">
        <v>2686</v>
      </c>
      <c r="ER48" t="s">
        <v>2687</v>
      </c>
      <c r="ES48">
        <v>60000</v>
      </c>
      <c r="ET48">
        <v>60000</v>
      </c>
      <c r="EU48">
        <v>60000</v>
      </c>
      <c r="EV48">
        <v>60000</v>
      </c>
      <c r="GD48" t="s">
        <v>2846</v>
      </c>
      <c r="GE48" t="s">
        <v>2358</v>
      </c>
      <c r="GF48" t="s">
        <v>125</v>
      </c>
      <c r="GG48" t="s">
        <v>86</v>
      </c>
      <c r="GH48">
        <v>0</v>
      </c>
      <c r="GI48">
        <v>0</v>
      </c>
      <c r="GJ48">
        <v>0</v>
      </c>
      <c r="GK48">
        <v>0</v>
      </c>
      <c r="GL48">
        <v>0</v>
      </c>
      <c r="GM48">
        <v>0</v>
      </c>
      <c r="GN48">
        <v>1</v>
      </c>
      <c r="GO48" t="s">
        <v>2280</v>
      </c>
      <c r="GP48" t="s">
        <v>87</v>
      </c>
      <c r="GQ48">
        <v>26</v>
      </c>
      <c r="GR48" t="s">
        <v>2261</v>
      </c>
      <c r="GS48" t="s">
        <v>2847</v>
      </c>
      <c r="HA48" t="s">
        <v>2879</v>
      </c>
      <c r="HB48" t="s">
        <v>121</v>
      </c>
      <c r="HC48" t="s">
        <v>2604</v>
      </c>
      <c r="HD48" t="s">
        <v>2075</v>
      </c>
      <c r="HE48">
        <v>0</v>
      </c>
      <c r="HF48">
        <v>0</v>
      </c>
      <c r="HG48">
        <v>0</v>
      </c>
      <c r="HH48">
        <v>0</v>
      </c>
      <c r="HI48">
        <v>0</v>
      </c>
      <c r="HJ48">
        <v>0</v>
      </c>
    </row>
    <row r="49" ht="15" customHeight="1" spans="1:218" x14ac:dyDescent="0.25">
      <c r="A49" t="s">
        <v>252</v>
      </c>
      <c r="B49" t="s">
        <v>250</v>
      </c>
      <c r="C49" t="s">
        <v>90</v>
      </c>
      <c r="D49" t="s">
        <v>251</v>
      </c>
      <c r="E49" t="s">
        <v>1301</v>
      </c>
      <c r="F49" t="s">
        <v>671</v>
      </c>
      <c r="G49" t="s">
        <v>671</v>
      </c>
      <c r="H49" t="s">
        <v>671</v>
      </c>
      <c r="I49" t="s">
        <v>1919</v>
      </c>
      <c r="CQ49" t="s">
        <v>2880</v>
      </c>
      <c r="CR49" t="s">
        <v>82</v>
      </c>
      <c r="CS49" t="s">
        <v>561</v>
      </c>
      <c r="CT49" t="s">
        <v>2684</v>
      </c>
      <c r="CU49" t="s">
        <v>79</v>
      </c>
      <c r="CV49" t="s">
        <v>2881</v>
      </c>
      <c r="CW49">
        <v>100</v>
      </c>
      <c r="CX49">
        <v>1</v>
      </c>
      <c r="CY49">
        <v>2</v>
      </c>
      <c r="CZ49">
        <v>2</v>
      </c>
      <c r="DA49">
        <v>2500</v>
      </c>
      <c r="DB49">
        <v>1250</v>
      </c>
      <c r="DC49">
        <v>1250</v>
      </c>
      <c r="DD49">
        <v>1250</v>
      </c>
      <c r="DE49">
        <v>1250</v>
      </c>
      <c r="DG49" t="s">
        <v>2882</v>
      </c>
      <c r="DH49" t="s">
        <v>82</v>
      </c>
      <c r="DI49" t="s">
        <v>859</v>
      </c>
      <c r="DJ49" t="s">
        <v>860</v>
      </c>
      <c r="DK49" t="s">
        <v>668</v>
      </c>
      <c r="DL49">
        <v>69.23</v>
      </c>
      <c r="DM49" t="s">
        <v>669</v>
      </c>
      <c r="DN49" t="s">
        <v>670</v>
      </c>
      <c r="DO49">
        <v>1</v>
      </c>
      <c r="DP49">
        <v>162.19</v>
      </c>
      <c r="DQ49">
        <v>162.19</v>
      </c>
      <c r="DR49" t="s">
        <v>2883</v>
      </c>
      <c r="EB49" t="s">
        <v>2884</v>
      </c>
      <c r="EC49" t="s">
        <v>1995</v>
      </c>
      <c r="ED49" t="s">
        <v>2249</v>
      </c>
      <c r="EE49" t="s">
        <v>293</v>
      </c>
      <c r="EF49" t="s">
        <v>291</v>
      </c>
      <c r="EG49">
        <v>330</v>
      </c>
      <c r="EH49">
        <v>370</v>
      </c>
      <c r="EI49">
        <v>400</v>
      </c>
      <c r="EJ49">
        <v>400</v>
      </c>
      <c r="EL49" t="s">
        <v>2885</v>
      </c>
      <c r="EM49" t="s">
        <v>2696</v>
      </c>
      <c r="EN49" t="s">
        <v>2697</v>
      </c>
      <c r="EO49">
        <v>8</v>
      </c>
      <c r="EP49" t="s">
        <v>2252</v>
      </c>
      <c r="EQ49" t="s">
        <v>2715</v>
      </c>
      <c r="ER49" t="s">
        <v>2716</v>
      </c>
      <c r="ES49">
        <v>64000</v>
      </c>
      <c r="ET49">
        <v>64000</v>
      </c>
      <c r="EU49">
        <v>64000</v>
      </c>
      <c r="EV49">
        <v>64000</v>
      </c>
      <c r="GD49" t="s">
        <v>2846</v>
      </c>
      <c r="GE49" t="s">
        <v>2358</v>
      </c>
      <c r="GF49" t="s">
        <v>125</v>
      </c>
      <c r="GG49" t="s">
        <v>87</v>
      </c>
      <c r="GH49">
        <v>26</v>
      </c>
      <c r="GI49">
        <v>7802.505</v>
      </c>
      <c r="GJ49">
        <v>9060.435</v>
      </c>
      <c r="GK49">
        <v>10629.097</v>
      </c>
      <c r="GL49">
        <v>0.312</v>
      </c>
      <c r="GM49">
        <v>9060.435</v>
      </c>
      <c r="GN49">
        <v>0</v>
      </c>
      <c r="GO49" t="s">
        <v>2617</v>
      </c>
      <c r="GP49" t="s">
        <v>87</v>
      </c>
      <c r="GQ49">
        <v>26</v>
      </c>
      <c r="GR49" t="s">
        <v>2261</v>
      </c>
      <c r="GS49" t="s">
        <v>2847</v>
      </c>
      <c r="HA49" t="s">
        <v>2886</v>
      </c>
      <c r="HB49" t="s">
        <v>121</v>
      </c>
      <c r="HC49" t="s">
        <v>2619</v>
      </c>
      <c r="HD49" t="s">
        <v>150</v>
      </c>
      <c r="HE49">
        <v>0</v>
      </c>
      <c r="HF49">
        <v>0</v>
      </c>
      <c r="HG49">
        <v>0</v>
      </c>
      <c r="HH49">
        <v>0</v>
      </c>
      <c r="HI49">
        <v>0</v>
      </c>
      <c r="HJ49">
        <v>0</v>
      </c>
    </row>
    <row r="50" ht="15" customHeight="1" spans="1:218" x14ac:dyDescent="0.25">
      <c r="A50" t="s">
        <v>229</v>
      </c>
      <c r="B50" t="s">
        <v>227</v>
      </c>
      <c r="C50" t="s">
        <v>90</v>
      </c>
      <c r="D50" t="s">
        <v>228</v>
      </c>
      <c r="E50" t="s">
        <v>2887</v>
      </c>
      <c r="F50" t="s">
        <v>1266</v>
      </c>
      <c r="G50" t="s">
        <v>1266</v>
      </c>
      <c r="H50" t="s">
        <v>1144</v>
      </c>
      <c r="I50" t="s">
        <v>2888</v>
      </c>
      <c r="CQ50" t="s">
        <v>2889</v>
      </c>
      <c r="CR50" t="s">
        <v>82</v>
      </c>
      <c r="CS50" t="s">
        <v>584</v>
      </c>
      <c r="CT50" t="s">
        <v>2510</v>
      </c>
      <c r="CU50" t="s">
        <v>88</v>
      </c>
      <c r="CV50" t="s">
        <v>2890</v>
      </c>
      <c r="CW50">
        <v>100</v>
      </c>
      <c r="CX50">
        <v>1</v>
      </c>
      <c r="CY50">
        <v>1</v>
      </c>
      <c r="CZ50">
        <v>1</v>
      </c>
      <c r="DA50">
        <v>3020</v>
      </c>
      <c r="DB50">
        <v>3020</v>
      </c>
      <c r="DC50">
        <v>3020</v>
      </c>
      <c r="DD50">
        <v>3020</v>
      </c>
      <c r="DE50">
        <v>3020</v>
      </c>
      <c r="DG50" t="s">
        <v>2891</v>
      </c>
      <c r="DH50" t="s">
        <v>82</v>
      </c>
      <c r="DI50" t="s">
        <v>864</v>
      </c>
      <c r="DJ50" t="s">
        <v>865</v>
      </c>
      <c r="DK50" t="s">
        <v>668</v>
      </c>
      <c r="DL50">
        <v>69.23</v>
      </c>
      <c r="DM50" t="s">
        <v>670</v>
      </c>
      <c r="DN50" t="s">
        <v>670</v>
      </c>
      <c r="DO50">
        <v>0</v>
      </c>
      <c r="DP50">
        <v>0</v>
      </c>
      <c r="DQ50">
        <v>11.4</v>
      </c>
      <c r="DR50" t="s">
        <v>2892</v>
      </c>
      <c r="EB50" t="s">
        <v>2893</v>
      </c>
      <c r="EC50" t="s">
        <v>1995</v>
      </c>
      <c r="ED50" t="s">
        <v>2249</v>
      </c>
      <c r="EE50" t="s">
        <v>280</v>
      </c>
      <c r="EF50" t="s">
        <v>279</v>
      </c>
      <c r="EG50">
        <v>860</v>
      </c>
      <c r="EH50">
        <v>950</v>
      </c>
      <c r="EI50">
        <v>1020</v>
      </c>
      <c r="EJ50">
        <v>1020</v>
      </c>
      <c r="EL50" t="s">
        <v>2894</v>
      </c>
      <c r="EM50" t="s">
        <v>2653</v>
      </c>
      <c r="EN50" t="s">
        <v>2654</v>
      </c>
      <c r="EO50">
        <v>0.5</v>
      </c>
      <c r="EP50" t="s">
        <v>2252</v>
      </c>
      <c r="EQ50" t="s">
        <v>2253</v>
      </c>
      <c r="ER50" t="s">
        <v>2254</v>
      </c>
      <c r="ES50">
        <v>8910</v>
      </c>
      <c r="ET50">
        <v>9810</v>
      </c>
      <c r="EU50">
        <v>10640</v>
      </c>
      <c r="EV50">
        <v>10640</v>
      </c>
      <c r="GD50" t="s">
        <v>2895</v>
      </c>
      <c r="GE50" t="s">
        <v>2457</v>
      </c>
      <c r="GF50" t="s">
        <v>125</v>
      </c>
      <c r="GG50" t="s">
        <v>82</v>
      </c>
      <c r="GH50">
        <v>26</v>
      </c>
      <c r="GI50">
        <v>96442</v>
      </c>
      <c r="GJ50">
        <v>98192</v>
      </c>
      <c r="GK50">
        <v>99817</v>
      </c>
      <c r="GL50">
        <v>0.0344</v>
      </c>
      <c r="GM50">
        <v>98192</v>
      </c>
      <c r="GN50">
        <v>0</v>
      </c>
      <c r="GO50" t="s">
        <v>2340</v>
      </c>
      <c r="GP50" t="s">
        <v>87</v>
      </c>
      <c r="GQ50">
        <v>26</v>
      </c>
      <c r="GR50" t="s">
        <v>2261</v>
      </c>
      <c r="GS50" t="s">
        <v>2896</v>
      </c>
      <c r="HA50" t="s">
        <v>2897</v>
      </c>
      <c r="HB50" t="s">
        <v>125</v>
      </c>
      <c r="HC50" t="s">
        <v>2264</v>
      </c>
      <c r="HD50" t="s">
        <v>142</v>
      </c>
      <c r="HE50">
        <v>0</v>
      </c>
      <c r="HF50">
        <v>0</v>
      </c>
      <c r="HG50">
        <v>0</v>
      </c>
      <c r="HH50">
        <v>0</v>
      </c>
      <c r="HI50">
        <v>0</v>
      </c>
      <c r="HJ50">
        <v>0</v>
      </c>
    </row>
    <row r="51" ht="15" customHeight="1" spans="1:218" x14ac:dyDescent="0.25">
      <c r="A51" t="s">
        <v>246</v>
      </c>
      <c r="B51" t="s">
        <v>244</v>
      </c>
      <c r="C51" t="s">
        <v>90</v>
      </c>
      <c r="D51" t="s">
        <v>245</v>
      </c>
      <c r="E51" t="s">
        <v>1301</v>
      </c>
      <c r="F51" t="s">
        <v>671</v>
      </c>
      <c r="G51" t="s">
        <v>2898</v>
      </c>
      <c r="H51" t="s">
        <v>2899</v>
      </c>
      <c r="I51" t="s">
        <v>2900</v>
      </c>
      <c r="CQ51" t="s">
        <v>2901</v>
      </c>
      <c r="CR51" t="s">
        <v>82</v>
      </c>
      <c r="CS51" t="s">
        <v>582</v>
      </c>
      <c r="CT51" t="s">
        <v>2525</v>
      </c>
      <c r="CU51" t="s">
        <v>88</v>
      </c>
      <c r="CV51" t="s">
        <v>581</v>
      </c>
      <c r="CW51">
        <v>100</v>
      </c>
      <c r="CX51">
        <v>1</v>
      </c>
      <c r="CY51">
        <v>1</v>
      </c>
      <c r="CZ51">
        <v>1</v>
      </c>
      <c r="DA51">
        <v>2470</v>
      </c>
      <c r="DB51">
        <v>2470</v>
      </c>
      <c r="DC51">
        <v>2470</v>
      </c>
      <c r="DD51">
        <v>2470</v>
      </c>
      <c r="DE51">
        <v>2470</v>
      </c>
      <c r="DG51" t="s">
        <v>2902</v>
      </c>
      <c r="DH51" t="s">
        <v>82</v>
      </c>
      <c r="DI51" t="s">
        <v>869</v>
      </c>
      <c r="DJ51" t="s">
        <v>870</v>
      </c>
      <c r="DK51" t="s">
        <v>692</v>
      </c>
      <c r="DL51">
        <v>69.23</v>
      </c>
      <c r="DM51" t="s">
        <v>670</v>
      </c>
      <c r="DN51" t="s">
        <v>669</v>
      </c>
      <c r="DO51">
        <v>0</v>
      </c>
      <c r="DP51">
        <v>0</v>
      </c>
      <c r="DQ51">
        <v>993</v>
      </c>
      <c r="DR51" t="s">
        <v>2903</v>
      </c>
      <c r="EB51" t="s">
        <v>2904</v>
      </c>
      <c r="EC51" t="s">
        <v>1995</v>
      </c>
      <c r="ED51" t="s">
        <v>2249</v>
      </c>
      <c r="EE51" t="s">
        <v>264</v>
      </c>
      <c r="EF51" t="s">
        <v>262</v>
      </c>
      <c r="EG51">
        <v>680</v>
      </c>
      <c r="EH51">
        <v>750</v>
      </c>
      <c r="EI51">
        <v>810</v>
      </c>
      <c r="EJ51">
        <v>810</v>
      </c>
      <c r="EL51" t="s">
        <v>2905</v>
      </c>
      <c r="EM51" t="s">
        <v>2653</v>
      </c>
      <c r="EN51" t="s">
        <v>2654</v>
      </c>
      <c r="EO51">
        <v>0.5</v>
      </c>
      <c r="EP51" t="s">
        <v>2276</v>
      </c>
      <c r="EQ51" t="s">
        <v>2277</v>
      </c>
      <c r="ER51" t="s">
        <v>2278</v>
      </c>
      <c r="ES51">
        <v>9350</v>
      </c>
      <c r="ET51">
        <v>12330</v>
      </c>
      <c r="EU51">
        <v>13460</v>
      </c>
      <c r="EV51">
        <v>13460</v>
      </c>
      <c r="GD51" t="s">
        <v>2895</v>
      </c>
      <c r="GE51" t="s">
        <v>2457</v>
      </c>
      <c r="GF51" t="s">
        <v>125</v>
      </c>
      <c r="GG51" t="s">
        <v>121</v>
      </c>
      <c r="GH51">
        <v>0</v>
      </c>
      <c r="GI51">
        <v>0</v>
      </c>
      <c r="GJ51">
        <v>0</v>
      </c>
      <c r="GK51">
        <v>0</v>
      </c>
      <c r="GL51">
        <v>0</v>
      </c>
      <c r="GM51">
        <v>0</v>
      </c>
      <c r="GN51">
        <v>1</v>
      </c>
      <c r="GO51" t="s">
        <v>2280</v>
      </c>
      <c r="GP51" t="s">
        <v>87</v>
      </c>
      <c r="GQ51">
        <v>26</v>
      </c>
      <c r="GR51" t="s">
        <v>2261</v>
      </c>
      <c r="GS51" t="s">
        <v>2896</v>
      </c>
      <c r="HA51" t="s">
        <v>2906</v>
      </c>
      <c r="HB51" t="s">
        <v>125</v>
      </c>
      <c r="HC51" t="s">
        <v>2282</v>
      </c>
      <c r="HD51" t="s">
        <v>37</v>
      </c>
      <c r="HE51">
        <v>0</v>
      </c>
      <c r="HF51">
        <v>0</v>
      </c>
      <c r="HG51">
        <v>0</v>
      </c>
      <c r="HH51">
        <v>0</v>
      </c>
      <c r="HI51">
        <v>0</v>
      </c>
      <c r="HJ51">
        <v>0</v>
      </c>
    </row>
    <row r="52" ht="15" customHeight="1" spans="1:218" x14ac:dyDescent="0.25">
      <c r="A52" t="s">
        <v>255</v>
      </c>
      <c r="B52" t="s">
        <v>253</v>
      </c>
      <c r="C52" t="s">
        <v>90</v>
      </c>
      <c r="D52" t="s">
        <v>254</v>
      </c>
      <c r="E52" t="s">
        <v>1327</v>
      </c>
      <c r="F52" t="s">
        <v>671</v>
      </c>
      <c r="G52" t="s">
        <v>671</v>
      </c>
      <c r="H52" t="s">
        <v>671</v>
      </c>
      <c r="I52" t="s">
        <v>2907</v>
      </c>
      <c r="CQ52" t="s">
        <v>2908</v>
      </c>
      <c r="CR52" t="s">
        <v>82</v>
      </c>
      <c r="CS52" t="s">
        <v>580</v>
      </c>
      <c r="CT52" t="s">
        <v>2539</v>
      </c>
      <c r="CU52" t="s">
        <v>88</v>
      </c>
      <c r="CV52" t="s">
        <v>2909</v>
      </c>
      <c r="CW52">
        <v>100</v>
      </c>
      <c r="CX52">
        <v>1</v>
      </c>
      <c r="CY52">
        <v>1</v>
      </c>
      <c r="CZ52">
        <v>1</v>
      </c>
      <c r="DA52">
        <v>10480</v>
      </c>
      <c r="DB52">
        <v>10480</v>
      </c>
      <c r="DC52">
        <v>10480</v>
      </c>
      <c r="DD52">
        <v>10480</v>
      </c>
      <c r="DE52">
        <v>10480</v>
      </c>
      <c r="DG52" t="s">
        <v>2910</v>
      </c>
      <c r="DH52" t="s">
        <v>82</v>
      </c>
      <c r="DI52" t="s">
        <v>874</v>
      </c>
      <c r="DJ52" t="s">
        <v>875</v>
      </c>
      <c r="DK52" t="s">
        <v>692</v>
      </c>
      <c r="DL52">
        <v>69.23</v>
      </c>
      <c r="DM52" t="s">
        <v>670</v>
      </c>
      <c r="DN52" t="s">
        <v>669</v>
      </c>
      <c r="DO52">
        <v>0</v>
      </c>
      <c r="DP52">
        <v>0</v>
      </c>
      <c r="DQ52">
        <v>69.71</v>
      </c>
      <c r="DR52" t="s">
        <v>2911</v>
      </c>
      <c r="EB52" t="s">
        <v>2912</v>
      </c>
      <c r="EC52" t="s">
        <v>1995</v>
      </c>
      <c r="ED52" t="s">
        <v>2249</v>
      </c>
      <c r="EE52" t="s">
        <v>278</v>
      </c>
      <c r="EF52" t="s">
        <v>276</v>
      </c>
      <c r="EG52">
        <v>930</v>
      </c>
      <c r="EH52">
        <v>1030</v>
      </c>
      <c r="EI52">
        <v>1110</v>
      </c>
      <c r="EJ52">
        <v>1110</v>
      </c>
      <c r="EL52" t="s">
        <v>2913</v>
      </c>
      <c r="EM52" t="s">
        <v>2653</v>
      </c>
      <c r="EN52" t="s">
        <v>2654</v>
      </c>
      <c r="EO52">
        <v>1</v>
      </c>
      <c r="EP52" t="s">
        <v>2252</v>
      </c>
      <c r="EQ52" t="s">
        <v>2293</v>
      </c>
      <c r="ER52" t="s">
        <v>2294</v>
      </c>
      <c r="ES52">
        <v>17820</v>
      </c>
      <c r="ET52">
        <v>19700</v>
      </c>
      <c r="EU52">
        <v>21270</v>
      </c>
      <c r="EV52">
        <v>21270</v>
      </c>
      <c r="GD52" t="s">
        <v>2895</v>
      </c>
      <c r="GE52" t="s">
        <v>2457</v>
      </c>
      <c r="GF52" t="s">
        <v>125</v>
      </c>
      <c r="GG52" t="s">
        <v>125</v>
      </c>
      <c r="GH52">
        <v>0</v>
      </c>
      <c r="GI52">
        <v>0</v>
      </c>
      <c r="GJ52">
        <v>0</v>
      </c>
      <c r="GK52">
        <v>0</v>
      </c>
      <c r="GL52">
        <v>0</v>
      </c>
      <c r="GM52">
        <v>0</v>
      </c>
      <c r="GN52">
        <v>1</v>
      </c>
      <c r="GO52" t="s">
        <v>2280</v>
      </c>
      <c r="GP52" t="s">
        <v>87</v>
      </c>
      <c r="GQ52">
        <v>26</v>
      </c>
      <c r="GR52" t="s">
        <v>2261</v>
      </c>
      <c r="GS52" t="s">
        <v>2896</v>
      </c>
      <c r="HA52" t="s">
        <v>2914</v>
      </c>
      <c r="HB52" t="s">
        <v>125</v>
      </c>
      <c r="HC52" t="s">
        <v>2296</v>
      </c>
      <c r="HD52" t="s">
        <v>38</v>
      </c>
      <c r="HE52">
        <v>0</v>
      </c>
      <c r="HF52">
        <v>0</v>
      </c>
      <c r="HG52">
        <v>0</v>
      </c>
      <c r="HH52">
        <v>0</v>
      </c>
      <c r="HI52">
        <v>0</v>
      </c>
      <c r="HJ52">
        <v>0</v>
      </c>
    </row>
    <row r="53" ht="15" customHeight="1" spans="1:218" x14ac:dyDescent="0.25">
      <c r="A53" t="s">
        <v>243</v>
      </c>
      <c r="B53" t="s">
        <v>241</v>
      </c>
      <c r="C53" t="s">
        <v>90</v>
      </c>
      <c r="D53" t="s">
        <v>242</v>
      </c>
      <c r="E53" t="s">
        <v>1267</v>
      </c>
      <c r="F53" t="s">
        <v>671</v>
      </c>
      <c r="G53" t="s">
        <v>671</v>
      </c>
      <c r="H53" t="s">
        <v>671</v>
      </c>
      <c r="I53" t="s">
        <v>2915</v>
      </c>
      <c r="CQ53" t="s">
        <v>2916</v>
      </c>
      <c r="CR53" t="s">
        <v>82</v>
      </c>
      <c r="CS53" t="s">
        <v>296</v>
      </c>
      <c r="CT53" t="s">
        <v>294</v>
      </c>
      <c r="CU53" t="s">
        <v>88</v>
      </c>
      <c r="CV53" t="s">
        <v>295</v>
      </c>
      <c r="CW53">
        <v>7.69</v>
      </c>
      <c r="CX53">
        <v>1</v>
      </c>
      <c r="CY53">
        <v>1</v>
      </c>
      <c r="CZ53">
        <v>1</v>
      </c>
      <c r="DA53">
        <v>150</v>
      </c>
      <c r="DB53">
        <v>150</v>
      </c>
      <c r="DC53">
        <v>150</v>
      </c>
      <c r="DD53">
        <v>150</v>
      </c>
      <c r="DE53">
        <v>150</v>
      </c>
      <c r="DG53" t="s">
        <v>2917</v>
      </c>
      <c r="DH53" t="s">
        <v>82</v>
      </c>
      <c r="DI53" t="s">
        <v>879</v>
      </c>
      <c r="DJ53" t="s">
        <v>880</v>
      </c>
      <c r="DK53" t="s">
        <v>692</v>
      </c>
      <c r="DL53">
        <v>69.23</v>
      </c>
      <c r="DM53" t="s">
        <v>670</v>
      </c>
      <c r="DN53" t="s">
        <v>670</v>
      </c>
      <c r="DO53">
        <v>0</v>
      </c>
      <c r="DP53">
        <v>0</v>
      </c>
      <c r="DQ53">
        <v>210</v>
      </c>
      <c r="DR53" t="s">
        <v>2918</v>
      </c>
      <c r="EB53" t="s">
        <v>2919</v>
      </c>
      <c r="EC53" t="s">
        <v>1995</v>
      </c>
      <c r="ED53" t="s">
        <v>2249</v>
      </c>
      <c r="EE53" t="s">
        <v>240</v>
      </c>
      <c r="EF53" t="s">
        <v>238</v>
      </c>
      <c r="EG53">
        <v>3620</v>
      </c>
      <c r="EH53">
        <v>3620</v>
      </c>
      <c r="EI53">
        <v>3620</v>
      </c>
      <c r="EJ53">
        <v>3620</v>
      </c>
      <c r="EL53" t="s">
        <v>2920</v>
      </c>
      <c r="EM53" t="s">
        <v>2653</v>
      </c>
      <c r="EN53" t="s">
        <v>2654</v>
      </c>
      <c r="EO53">
        <v>1</v>
      </c>
      <c r="EP53" t="s">
        <v>2276</v>
      </c>
      <c r="EQ53" t="s">
        <v>2306</v>
      </c>
      <c r="ER53" t="s">
        <v>2307</v>
      </c>
      <c r="ES53">
        <v>18690</v>
      </c>
      <c r="ET53">
        <v>24680</v>
      </c>
      <c r="EU53">
        <v>26910</v>
      </c>
      <c r="EV53">
        <v>26910</v>
      </c>
      <c r="GD53" t="s">
        <v>2895</v>
      </c>
      <c r="GE53" t="s">
        <v>2457</v>
      </c>
      <c r="GF53" t="s">
        <v>125</v>
      </c>
      <c r="GG53" t="s">
        <v>85</v>
      </c>
      <c r="GH53">
        <v>0</v>
      </c>
      <c r="GI53">
        <v>0</v>
      </c>
      <c r="GJ53">
        <v>0</v>
      </c>
      <c r="GK53">
        <v>0</v>
      </c>
      <c r="GL53">
        <v>0</v>
      </c>
      <c r="GM53">
        <v>0</v>
      </c>
      <c r="GN53">
        <v>1</v>
      </c>
      <c r="GO53" t="s">
        <v>2280</v>
      </c>
      <c r="GP53" t="s">
        <v>87</v>
      </c>
      <c r="GQ53">
        <v>26</v>
      </c>
      <c r="GR53" t="s">
        <v>2261</v>
      </c>
      <c r="GS53" t="s">
        <v>2896</v>
      </c>
      <c r="HA53" t="s">
        <v>2921</v>
      </c>
      <c r="HB53" t="s">
        <v>125</v>
      </c>
      <c r="HC53" t="s">
        <v>2310</v>
      </c>
      <c r="HD53" t="s">
        <v>39</v>
      </c>
      <c r="HE53">
        <v>0</v>
      </c>
      <c r="HF53">
        <v>0</v>
      </c>
      <c r="HG53">
        <v>0</v>
      </c>
      <c r="HH53">
        <v>0</v>
      </c>
      <c r="HI53">
        <v>0</v>
      </c>
      <c r="HJ53">
        <v>0</v>
      </c>
    </row>
    <row r="54" ht="15" customHeight="1" spans="1:218" x14ac:dyDescent="0.25">
      <c r="A54" t="s">
        <v>261</v>
      </c>
      <c r="B54" t="s">
        <v>259</v>
      </c>
      <c r="C54" t="s">
        <v>88</v>
      </c>
      <c r="D54" t="s">
        <v>260</v>
      </c>
      <c r="E54" t="s">
        <v>1327</v>
      </c>
      <c r="F54" t="s">
        <v>671</v>
      </c>
      <c r="G54" t="s">
        <v>671</v>
      </c>
      <c r="H54" t="s">
        <v>671</v>
      </c>
      <c r="I54" t="s">
        <v>2922</v>
      </c>
      <c r="CQ54" t="s">
        <v>2866</v>
      </c>
      <c r="CR54" t="s">
        <v>82</v>
      </c>
      <c r="CS54" t="s">
        <v>556</v>
      </c>
      <c r="CT54" t="s">
        <v>2713</v>
      </c>
      <c r="CU54" t="s">
        <v>79</v>
      </c>
      <c r="CV54" t="s">
        <v>2867</v>
      </c>
      <c r="CW54">
        <v>100</v>
      </c>
      <c r="CX54">
        <v>3</v>
      </c>
      <c r="CY54">
        <v>3</v>
      </c>
      <c r="CZ54">
        <v>4</v>
      </c>
      <c r="DA54">
        <v>3600</v>
      </c>
      <c r="DB54">
        <v>550</v>
      </c>
      <c r="DC54">
        <v>850</v>
      </c>
      <c r="DD54">
        <v>1200</v>
      </c>
      <c r="DE54">
        <v>1200</v>
      </c>
      <c r="DG54" t="s">
        <v>2923</v>
      </c>
      <c r="DH54" t="s">
        <v>82</v>
      </c>
      <c r="DI54" t="s">
        <v>881</v>
      </c>
      <c r="DJ54" t="s">
        <v>882</v>
      </c>
      <c r="DK54" t="s">
        <v>692</v>
      </c>
      <c r="DL54">
        <v>69.23</v>
      </c>
      <c r="DM54" t="s">
        <v>670</v>
      </c>
      <c r="DN54" t="s">
        <v>670</v>
      </c>
      <c r="DO54">
        <v>0</v>
      </c>
      <c r="DP54">
        <v>0</v>
      </c>
      <c r="DQ54">
        <v>150.4</v>
      </c>
      <c r="DR54" t="s">
        <v>2924</v>
      </c>
      <c r="EB54" t="s">
        <v>2925</v>
      </c>
      <c r="EC54" t="s">
        <v>1995</v>
      </c>
      <c r="ED54" t="s">
        <v>2249</v>
      </c>
      <c r="EE54" t="s">
        <v>252</v>
      </c>
      <c r="EF54" t="s">
        <v>250</v>
      </c>
      <c r="EG54">
        <v>890</v>
      </c>
      <c r="EH54">
        <v>890</v>
      </c>
      <c r="EI54">
        <v>890</v>
      </c>
      <c r="EJ54">
        <v>890</v>
      </c>
      <c r="EL54" t="s">
        <v>2926</v>
      </c>
      <c r="EM54" t="s">
        <v>2653</v>
      </c>
      <c r="EN54" t="s">
        <v>2654</v>
      </c>
      <c r="EO54">
        <v>1.5</v>
      </c>
      <c r="EP54" t="s">
        <v>2252</v>
      </c>
      <c r="EQ54" t="s">
        <v>2322</v>
      </c>
      <c r="ER54" t="s">
        <v>2323</v>
      </c>
      <c r="ES54">
        <v>26580</v>
      </c>
      <c r="ET54">
        <v>29360</v>
      </c>
      <c r="EU54">
        <v>31730</v>
      </c>
      <c r="EV54">
        <v>31730</v>
      </c>
      <c r="GD54" t="s">
        <v>2895</v>
      </c>
      <c r="GE54" t="s">
        <v>2457</v>
      </c>
      <c r="GF54" t="s">
        <v>125</v>
      </c>
      <c r="GG54" t="s">
        <v>86</v>
      </c>
      <c r="GH54">
        <v>0</v>
      </c>
      <c r="GI54">
        <v>0</v>
      </c>
      <c r="GJ54">
        <v>0</v>
      </c>
      <c r="GK54">
        <v>0</v>
      </c>
      <c r="GL54">
        <v>0</v>
      </c>
      <c r="GM54">
        <v>0</v>
      </c>
      <c r="GN54">
        <v>1</v>
      </c>
      <c r="GO54" t="s">
        <v>2280</v>
      </c>
      <c r="GP54" t="s">
        <v>87</v>
      </c>
      <c r="GQ54">
        <v>26</v>
      </c>
      <c r="GR54" t="s">
        <v>2261</v>
      </c>
      <c r="GS54" t="s">
        <v>2896</v>
      </c>
      <c r="HA54" t="s">
        <v>2927</v>
      </c>
      <c r="HB54" t="s">
        <v>125</v>
      </c>
      <c r="HC54" t="s">
        <v>2326</v>
      </c>
      <c r="HD54" t="s">
        <v>143</v>
      </c>
      <c r="HE54">
        <v>0</v>
      </c>
      <c r="HF54">
        <v>0</v>
      </c>
      <c r="HG54">
        <v>0</v>
      </c>
      <c r="HH54">
        <v>0</v>
      </c>
      <c r="HI54">
        <v>0</v>
      </c>
      <c r="HJ54">
        <v>0</v>
      </c>
    </row>
    <row r="55" ht="15" customHeight="1" spans="1:218" x14ac:dyDescent="0.25">
      <c r="A55" t="s">
        <v>296</v>
      </c>
      <c r="B55" t="s">
        <v>294</v>
      </c>
      <c r="C55" t="s">
        <v>88</v>
      </c>
      <c r="D55" t="s">
        <v>295</v>
      </c>
      <c r="E55" t="s">
        <v>1418</v>
      </c>
      <c r="F55" t="s">
        <v>671</v>
      </c>
      <c r="G55" t="s">
        <v>671</v>
      </c>
      <c r="H55" t="s">
        <v>671</v>
      </c>
      <c r="I55" t="s">
        <v>1087</v>
      </c>
      <c r="CQ55" t="s">
        <v>2928</v>
      </c>
      <c r="CR55" t="s">
        <v>121</v>
      </c>
      <c r="CS55" t="s">
        <v>290</v>
      </c>
      <c r="CT55" t="s">
        <v>289</v>
      </c>
      <c r="CU55" t="s">
        <v>81</v>
      </c>
      <c r="CV55" t="s">
        <v>289</v>
      </c>
      <c r="CW55">
        <v>0</v>
      </c>
      <c r="DB55">
        <v>420</v>
      </c>
      <c r="DC55">
        <v>460</v>
      </c>
      <c r="DD55">
        <v>500</v>
      </c>
      <c r="DE55">
        <v>500</v>
      </c>
      <c r="DG55" t="s">
        <v>2929</v>
      </c>
      <c r="DH55" t="s">
        <v>82</v>
      </c>
      <c r="DI55" t="s">
        <v>885</v>
      </c>
      <c r="DJ55" t="s">
        <v>886</v>
      </c>
      <c r="DK55" t="s">
        <v>668</v>
      </c>
      <c r="DL55">
        <v>65.38</v>
      </c>
      <c r="DM55" t="s">
        <v>670</v>
      </c>
      <c r="DN55" t="s">
        <v>670</v>
      </c>
      <c r="DO55">
        <v>0</v>
      </c>
      <c r="DP55">
        <v>0</v>
      </c>
      <c r="DQ55">
        <v>1085.34</v>
      </c>
      <c r="DR55" t="s">
        <v>2930</v>
      </c>
      <c r="EB55" t="s">
        <v>2931</v>
      </c>
      <c r="EC55" t="s">
        <v>1995</v>
      </c>
      <c r="ED55" t="s">
        <v>2249</v>
      </c>
      <c r="EE55" t="s">
        <v>229</v>
      </c>
      <c r="EF55" t="s">
        <v>227</v>
      </c>
      <c r="EG55">
        <v>270</v>
      </c>
      <c r="EH55">
        <v>300</v>
      </c>
      <c r="EI55">
        <v>330</v>
      </c>
      <c r="EJ55">
        <v>350</v>
      </c>
      <c r="EL55" t="s">
        <v>2932</v>
      </c>
      <c r="EM55" t="s">
        <v>2653</v>
      </c>
      <c r="EN55" t="s">
        <v>2654</v>
      </c>
      <c r="EO55">
        <v>1.5</v>
      </c>
      <c r="EP55" t="s">
        <v>2276</v>
      </c>
      <c r="EQ55" t="s">
        <v>2338</v>
      </c>
      <c r="ER55" t="s">
        <v>2339</v>
      </c>
      <c r="ES55">
        <v>27860</v>
      </c>
      <c r="ET55">
        <v>36770</v>
      </c>
      <c r="EU55">
        <v>40110</v>
      </c>
      <c r="EV55">
        <v>40110</v>
      </c>
      <c r="GD55" t="s">
        <v>2895</v>
      </c>
      <c r="GE55" t="s">
        <v>2457</v>
      </c>
      <c r="GF55" t="s">
        <v>125</v>
      </c>
      <c r="GG55" t="s">
        <v>87</v>
      </c>
      <c r="GH55">
        <v>26</v>
      </c>
      <c r="GI55">
        <v>96442</v>
      </c>
      <c r="GJ55">
        <v>98192</v>
      </c>
      <c r="GK55">
        <v>99817</v>
      </c>
      <c r="GL55">
        <v>0.0344</v>
      </c>
      <c r="GM55">
        <v>98192</v>
      </c>
      <c r="GN55">
        <v>0</v>
      </c>
      <c r="GO55" t="s">
        <v>2617</v>
      </c>
      <c r="GP55" t="s">
        <v>87</v>
      </c>
      <c r="GQ55">
        <v>26</v>
      </c>
      <c r="GR55" t="s">
        <v>2261</v>
      </c>
      <c r="GS55" t="s">
        <v>2896</v>
      </c>
      <c r="HA55" t="s">
        <v>2933</v>
      </c>
      <c r="HB55" t="s">
        <v>125</v>
      </c>
      <c r="HC55" t="s">
        <v>2342</v>
      </c>
      <c r="HD55" t="s">
        <v>79</v>
      </c>
      <c r="HE55">
        <v>0</v>
      </c>
      <c r="HF55">
        <v>0</v>
      </c>
      <c r="HG55">
        <v>0</v>
      </c>
      <c r="HH55">
        <v>0</v>
      </c>
      <c r="HI55">
        <v>0</v>
      </c>
      <c r="HJ55">
        <v>0</v>
      </c>
    </row>
    <row r="56" ht="15" customHeight="1" spans="95:218" x14ac:dyDescent="0.25">
      <c r="CQ56" t="s">
        <v>2934</v>
      </c>
      <c r="CR56" t="s">
        <v>121</v>
      </c>
      <c r="CS56" t="s">
        <v>275</v>
      </c>
      <c r="CT56" t="s">
        <v>273</v>
      </c>
      <c r="CU56" t="s">
        <v>81</v>
      </c>
      <c r="CV56" t="s">
        <v>274</v>
      </c>
      <c r="CW56">
        <v>0</v>
      </c>
      <c r="DB56">
        <v>1000</v>
      </c>
      <c r="DC56">
        <v>1110</v>
      </c>
      <c r="DD56">
        <v>1200</v>
      </c>
      <c r="DE56">
        <v>1200</v>
      </c>
      <c r="DG56" t="s">
        <v>2935</v>
      </c>
      <c r="DH56" t="s">
        <v>82</v>
      </c>
      <c r="DI56" t="s">
        <v>888</v>
      </c>
      <c r="DJ56" t="s">
        <v>889</v>
      </c>
      <c r="DK56" t="s">
        <v>668</v>
      </c>
      <c r="DL56">
        <v>65.38</v>
      </c>
      <c r="DM56" t="s">
        <v>670</v>
      </c>
      <c r="DN56" t="s">
        <v>669</v>
      </c>
      <c r="DO56">
        <v>0</v>
      </c>
      <c r="DP56">
        <v>0</v>
      </c>
      <c r="DQ56">
        <v>196.88</v>
      </c>
      <c r="DR56" t="s">
        <v>2936</v>
      </c>
      <c r="EB56" t="s">
        <v>2937</v>
      </c>
      <c r="EC56" t="s">
        <v>1995</v>
      </c>
      <c r="ED56" t="s">
        <v>2249</v>
      </c>
      <c r="EE56" t="s">
        <v>246</v>
      </c>
      <c r="EF56" t="s">
        <v>244</v>
      </c>
      <c r="EG56">
        <v>730</v>
      </c>
      <c r="EH56">
        <v>800</v>
      </c>
      <c r="EI56">
        <v>870</v>
      </c>
      <c r="EJ56">
        <v>870</v>
      </c>
      <c r="EL56" t="s">
        <v>2938</v>
      </c>
      <c r="EM56" t="s">
        <v>2653</v>
      </c>
      <c r="EN56" t="s">
        <v>2654</v>
      </c>
      <c r="EO56">
        <v>2</v>
      </c>
      <c r="EP56" t="s">
        <v>2252</v>
      </c>
      <c r="EQ56" t="s">
        <v>2354</v>
      </c>
      <c r="ER56" t="s">
        <v>2355</v>
      </c>
      <c r="ES56">
        <v>34340</v>
      </c>
      <c r="ET56">
        <v>37940</v>
      </c>
      <c r="EU56">
        <v>40980</v>
      </c>
      <c r="EV56">
        <v>40980</v>
      </c>
      <c r="GD56" t="s">
        <v>2939</v>
      </c>
      <c r="GE56" t="s">
        <v>2259</v>
      </c>
      <c r="GF56" t="s">
        <v>85</v>
      </c>
      <c r="GG56" t="s">
        <v>82</v>
      </c>
      <c r="GH56">
        <v>26</v>
      </c>
      <c r="GI56">
        <v>36.25</v>
      </c>
      <c r="GJ56">
        <v>39</v>
      </c>
      <c r="GK56">
        <v>41</v>
      </c>
      <c r="GL56">
        <v>0.1218</v>
      </c>
      <c r="GM56">
        <v>39</v>
      </c>
      <c r="GN56">
        <v>0</v>
      </c>
      <c r="GO56" t="s">
        <v>2340</v>
      </c>
      <c r="GP56" t="s">
        <v>87</v>
      </c>
      <c r="GQ56">
        <v>26</v>
      </c>
      <c r="GR56" t="s">
        <v>2261</v>
      </c>
      <c r="GS56" t="s">
        <v>2940</v>
      </c>
      <c r="HA56" t="s">
        <v>2941</v>
      </c>
      <c r="HB56" t="s">
        <v>125</v>
      </c>
      <c r="HC56" t="s">
        <v>2361</v>
      </c>
      <c r="HD56" t="s">
        <v>144</v>
      </c>
      <c r="HE56">
        <v>0</v>
      </c>
      <c r="HF56">
        <v>0</v>
      </c>
      <c r="HG56">
        <v>0</v>
      </c>
      <c r="HH56">
        <v>0</v>
      </c>
      <c r="HI56">
        <v>0</v>
      </c>
      <c r="HJ56">
        <v>0</v>
      </c>
    </row>
    <row r="57" ht="15" customHeight="1" spans="1:218" x14ac:dyDescent="0.25">
      <c r="A57" t="s">
        <v>2942</v>
      </c>
      <c r="CQ57" t="s">
        <v>2943</v>
      </c>
      <c r="CR57" t="s">
        <v>121</v>
      </c>
      <c r="CS57" t="s">
        <v>551</v>
      </c>
      <c r="CT57" t="s">
        <v>548</v>
      </c>
      <c r="CU57" t="s">
        <v>81</v>
      </c>
      <c r="CV57" t="s">
        <v>274</v>
      </c>
      <c r="CW57">
        <v>0</v>
      </c>
      <c r="DB57">
        <v>1670</v>
      </c>
      <c r="DC57">
        <v>1850</v>
      </c>
      <c r="DD57">
        <v>1990</v>
      </c>
      <c r="DE57">
        <v>1990</v>
      </c>
      <c r="DG57" t="s">
        <v>2944</v>
      </c>
      <c r="DH57" t="s">
        <v>82</v>
      </c>
      <c r="DI57" t="s">
        <v>891</v>
      </c>
      <c r="DJ57" t="s">
        <v>892</v>
      </c>
      <c r="DK57" t="s">
        <v>692</v>
      </c>
      <c r="DL57">
        <v>65.38</v>
      </c>
      <c r="DM57" t="s">
        <v>669</v>
      </c>
      <c r="DN57" t="s">
        <v>670</v>
      </c>
      <c r="DO57">
        <v>1</v>
      </c>
      <c r="DP57">
        <v>739</v>
      </c>
      <c r="DQ57">
        <v>739</v>
      </c>
      <c r="DR57" t="s">
        <v>2945</v>
      </c>
      <c r="EB57" t="s">
        <v>2946</v>
      </c>
      <c r="EC57" t="s">
        <v>1995</v>
      </c>
      <c r="ED57" t="s">
        <v>2249</v>
      </c>
      <c r="EE57" t="s">
        <v>255</v>
      </c>
      <c r="EF57" t="s">
        <v>253</v>
      </c>
      <c r="EG57">
        <v>980</v>
      </c>
      <c r="EH57">
        <v>1080</v>
      </c>
      <c r="EI57">
        <v>1170</v>
      </c>
      <c r="EJ57">
        <v>1170</v>
      </c>
      <c r="EL57" t="s">
        <v>2947</v>
      </c>
      <c r="EM57" t="s">
        <v>2653</v>
      </c>
      <c r="EN57" t="s">
        <v>2654</v>
      </c>
      <c r="EO57">
        <v>2</v>
      </c>
      <c r="EP57" t="s">
        <v>2276</v>
      </c>
      <c r="EQ57" t="s">
        <v>2373</v>
      </c>
      <c r="ER57" t="s">
        <v>2374</v>
      </c>
      <c r="ES57">
        <v>35970</v>
      </c>
      <c r="ET57">
        <v>47480</v>
      </c>
      <c r="EU57">
        <v>51800</v>
      </c>
      <c r="EV57">
        <v>51800</v>
      </c>
      <c r="GD57" t="s">
        <v>2939</v>
      </c>
      <c r="GE57" t="s">
        <v>2259</v>
      </c>
      <c r="GF57" t="s">
        <v>85</v>
      </c>
      <c r="GG57" t="s">
        <v>121</v>
      </c>
      <c r="GH57">
        <v>0</v>
      </c>
      <c r="GI57">
        <v>0</v>
      </c>
      <c r="GJ57">
        <v>0</v>
      </c>
      <c r="GK57">
        <v>0</v>
      </c>
      <c r="GL57">
        <v>0</v>
      </c>
      <c r="GM57">
        <v>0</v>
      </c>
      <c r="GN57">
        <v>1</v>
      </c>
      <c r="GO57" t="s">
        <v>2280</v>
      </c>
      <c r="GP57" t="s">
        <v>87</v>
      </c>
      <c r="GQ57">
        <v>26</v>
      </c>
      <c r="GR57" t="s">
        <v>2261</v>
      </c>
      <c r="GS57" t="s">
        <v>2940</v>
      </c>
      <c r="HA57" t="s">
        <v>2948</v>
      </c>
      <c r="HB57" t="s">
        <v>125</v>
      </c>
      <c r="HC57" t="s">
        <v>2376</v>
      </c>
      <c r="HD57" t="s">
        <v>81</v>
      </c>
      <c r="HE57">
        <v>0</v>
      </c>
      <c r="HF57">
        <v>0</v>
      </c>
      <c r="HG57">
        <v>0</v>
      </c>
      <c r="HH57">
        <v>0</v>
      </c>
      <c r="HI57">
        <v>0</v>
      </c>
      <c r="HJ57">
        <v>0</v>
      </c>
    </row>
    <row r="58" ht="15" customHeight="1" spans="1:218" x14ac:dyDescent="0.25">
      <c r="A58" t="s">
        <v>2161</v>
      </c>
      <c r="B58" t="s">
        <v>2162</v>
      </c>
      <c r="C58" t="s">
        <v>2163</v>
      </c>
      <c r="D58" t="s">
        <v>2164</v>
      </c>
      <c r="E58" t="s">
        <v>2165</v>
      </c>
      <c r="F58" t="s">
        <v>2166</v>
      </c>
      <c r="G58" t="s">
        <v>2167</v>
      </c>
      <c r="H58" t="s">
        <v>2168</v>
      </c>
      <c r="I58" t="s">
        <v>2169</v>
      </c>
      <c r="CQ58" t="s">
        <v>2949</v>
      </c>
      <c r="CR58" t="s">
        <v>121</v>
      </c>
      <c r="CS58" t="s">
        <v>298</v>
      </c>
      <c r="CT58" t="s">
        <v>297</v>
      </c>
      <c r="CU58" t="s">
        <v>81</v>
      </c>
      <c r="CV58" t="s">
        <v>274</v>
      </c>
      <c r="CW58">
        <v>0</v>
      </c>
      <c r="DB58">
        <v>1</v>
      </c>
      <c r="DC58">
        <v>1</v>
      </c>
      <c r="DD58">
        <v>1</v>
      </c>
      <c r="DE58">
        <v>1</v>
      </c>
      <c r="DG58" t="s">
        <v>2950</v>
      </c>
      <c r="DH58" t="s">
        <v>82</v>
      </c>
      <c r="DJ58" t="s">
        <v>846</v>
      </c>
      <c r="DK58" t="s">
        <v>668</v>
      </c>
      <c r="DL58">
        <v>61.54</v>
      </c>
      <c r="DM58" t="s">
        <v>669</v>
      </c>
      <c r="DN58" t="s">
        <v>669</v>
      </c>
      <c r="DO58">
        <v>0</v>
      </c>
      <c r="DP58">
        <v>0</v>
      </c>
      <c r="DQ58">
        <v>0</v>
      </c>
      <c r="DR58" t="s">
        <v>2853</v>
      </c>
      <c r="EB58" t="s">
        <v>2951</v>
      </c>
      <c r="EC58" t="s">
        <v>1995</v>
      </c>
      <c r="ED58" t="s">
        <v>2249</v>
      </c>
      <c r="EE58" t="s">
        <v>243</v>
      </c>
      <c r="EF58" t="s">
        <v>241</v>
      </c>
      <c r="EG58">
        <v>1250</v>
      </c>
      <c r="EH58">
        <v>1250</v>
      </c>
      <c r="EI58">
        <v>1250</v>
      </c>
      <c r="EJ58">
        <v>1250</v>
      </c>
      <c r="EL58" t="s">
        <v>2952</v>
      </c>
      <c r="EM58" t="s">
        <v>2653</v>
      </c>
      <c r="EN58" t="s">
        <v>2654</v>
      </c>
      <c r="EO58">
        <v>2.5</v>
      </c>
      <c r="EP58" t="s">
        <v>2252</v>
      </c>
      <c r="EQ58" t="s">
        <v>2389</v>
      </c>
      <c r="ER58" t="s">
        <v>2390</v>
      </c>
      <c r="ES58">
        <v>41540</v>
      </c>
      <c r="ET58">
        <v>45890</v>
      </c>
      <c r="EU58">
        <v>49580</v>
      </c>
      <c r="EV58">
        <v>49580</v>
      </c>
      <c r="GD58" t="s">
        <v>2939</v>
      </c>
      <c r="GE58" t="s">
        <v>2259</v>
      </c>
      <c r="GF58" t="s">
        <v>85</v>
      </c>
      <c r="GG58" t="s">
        <v>125</v>
      </c>
      <c r="GH58">
        <v>0</v>
      </c>
      <c r="GI58">
        <v>0</v>
      </c>
      <c r="GJ58">
        <v>0</v>
      </c>
      <c r="GK58">
        <v>0</v>
      </c>
      <c r="GL58">
        <v>0</v>
      </c>
      <c r="GM58">
        <v>0</v>
      </c>
      <c r="GN58">
        <v>1</v>
      </c>
      <c r="GO58" t="s">
        <v>2280</v>
      </c>
      <c r="GP58" t="s">
        <v>87</v>
      </c>
      <c r="GQ58">
        <v>26</v>
      </c>
      <c r="GR58" t="s">
        <v>2261</v>
      </c>
      <c r="GS58" t="s">
        <v>2940</v>
      </c>
      <c r="HA58" t="s">
        <v>2953</v>
      </c>
      <c r="HB58" t="s">
        <v>125</v>
      </c>
      <c r="HC58" t="s">
        <v>2393</v>
      </c>
      <c r="HD58" t="s">
        <v>88</v>
      </c>
      <c r="HE58">
        <v>0</v>
      </c>
      <c r="HF58">
        <v>0</v>
      </c>
      <c r="HG58">
        <v>0</v>
      </c>
      <c r="HH58">
        <v>0</v>
      </c>
      <c r="HI58">
        <v>0</v>
      </c>
      <c r="HJ58">
        <v>0</v>
      </c>
    </row>
    <row r="59" ht="15" customHeight="1" spans="1:218" x14ac:dyDescent="0.25">
      <c r="A59" t="s">
        <v>222</v>
      </c>
      <c r="B59" t="s">
        <v>220</v>
      </c>
      <c r="C59" t="s">
        <v>81</v>
      </c>
      <c r="D59" t="s">
        <v>221</v>
      </c>
      <c r="E59" t="s">
        <v>897</v>
      </c>
      <c r="F59" t="s">
        <v>1505</v>
      </c>
      <c r="G59" t="s">
        <v>681</v>
      </c>
      <c r="H59" t="s">
        <v>681</v>
      </c>
      <c r="I59" t="s">
        <v>2761</v>
      </c>
      <c r="CQ59" t="s">
        <v>2954</v>
      </c>
      <c r="CR59" t="s">
        <v>121</v>
      </c>
      <c r="CS59" t="s">
        <v>620</v>
      </c>
      <c r="CT59" t="s">
        <v>2250</v>
      </c>
      <c r="CU59" t="s">
        <v>81</v>
      </c>
      <c r="CV59" t="s">
        <v>285</v>
      </c>
      <c r="CW59">
        <v>0</v>
      </c>
      <c r="DB59">
        <v>360</v>
      </c>
      <c r="DC59">
        <v>400</v>
      </c>
      <c r="DD59">
        <v>430</v>
      </c>
      <c r="DE59">
        <v>430</v>
      </c>
      <c r="DG59" t="s">
        <v>2955</v>
      </c>
      <c r="DH59" t="s">
        <v>82</v>
      </c>
      <c r="DI59" t="s">
        <v>899</v>
      </c>
      <c r="DJ59" t="s">
        <v>900</v>
      </c>
      <c r="DK59" t="s">
        <v>668</v>
      </c>
      <c r="DL59">
        <v>61.54</v>
      </c>
      <c r="DM59" t="s">
        <v>670</v>
      </c>
      <c r="DN59" t="s">
        <v>670</v>
      </c>
      <c r="DO59">
        <v>0</v>
      </c>
      <c r="DP59">
        <v>0</v>
      </c>
      <c r="DQ59">
        <v>50.84</v>
      </c>
      <c r="DR59" t="s">
        <v>2956</v>
      </c>
      <c r="EB59" t="s">
        <v>2957</v>
      </c>
      <c r="EC59" t="s">
        <v>1995</v>
      </c>
      <c r="ED59" t="s">
        <v>2249</v>
      </c>
      <c r="EE59" t="s">
        <v>261</v>
      </c>
      <c r="EF59" t="s">
        <v>259</v>
      </c>
      <c r="EG59">
        <v>860</v>
      </c>
      <c r="EH59">
        <v>950</v>
      </c>
      <c r="EI59">
        <v>1020</v>
      </c>
      <c r="EJ59">
        <v>1020</v>
      </c>
      <c r="EL59" t="s">
        <v>2958</v>
      </c>
      <c r="EM59" t="s">
        <v>2653</v>
      </c>
      <c r="EN59" t="s">
        <v>2654</v>
      </c>
      <c r="EO59">
        <v>2.5</v>
      </c>
      <c r="EP59" t="s">
        <v>2276</v>
      </c>
      <c r="EQ59" t="s">
        <v>2406</v>
      </c>
      <c r="ER59" t="s">
        <v>2407</v>
      </c>
      <c r="ES59">
        <v>43500</v>
      </c>
      <c r="ET59">
        <v>57420</v>
      </c>
      <c r="EU59">
        <v>62640</v>
      </c>
      <c r="EV59">
        <v>62640</v>
      </c>
      <c r="GD59" t="s">
        <v>2939</v>
      </c>
      <c r="GE59" t="s">
        <v>2259</v>
      </c>
      <c r="GF59" t="s">
        <v>85</v>
      </c>
      <c r="GG59" t="s">
        <v>85</v>
      </c>
      <c r="GH59">
        <v>0</v>
      </c>
      <c r="GI59">
        <v>0</v>
      </c>
      <c r="GJ59">
        <v>0</v>
      </c>
      <c r="GK59">
        <v>0</v>
      </c>
      <c r="GL59">
        <v>0</v>
      </c>
      <c r="GM59">
        <v>0</v>
      </c>
      <c r="GN59">
        <v>1</v>
      </c>
      <c r="GO59" t="s">
        <v>2280</v>
      </c>
      <c r="GP59" t="s">
        <v>87</v>
      </c>
      <c r="GQ59">
        <v>26</v>
      </c>
      <c r="GR59" t="s">
        <v>2261</v>
      </c>
      <c r="GS59" t="s">
        <v>2940</v>
      </c>
      <c r="HA59" t="s">
        <v>2959</v>
      </c>
      <c r="HB59" t="s">
        <v>125</v>
      </c>
      <c r="HC59" t="s">
        <v>2410</v>
      </c>
      <c r="HD59" t="s">
        <v>90</v>
      </c>
      <c r="HE59">
        <v>0</v>
      </c>
      <c r="HF59">
        <v>0</v>
      </c>
      <c r="HG59">
        <v>0</v>
      </c>
      <c r="HH59">
        <v>0</v>
      </c>
      <c r="HI59">
        <v>0</v>
      </c>
      <c r="HJ59">
        <v>0</v>
      </c>
    </row>
    <row r="60" ht="15" customHeight="1" spans="1:218" x14ac:dyDescent="0.25">
      <c r="A60" t="s">
        <v>225</v>
      </c>
      <c r="B60" t="s">
        <v>223</v>
      </c>
      <c r="C60" t="s">
        <v>81</v>
      </c>
      <c r="D60" t="s">
        <v>224</v>
      </c>
      <c r="E60" t="s">
        <v>1016</v>
      </c>
      <c r="F60" t="s">
        <v>671</v>
      </c>
      <c r="G60" t="s">
        <v>671</v>
      </c>
      <c r="H60" t="s">
        <v>1754</v>
      </c>
      <c r="I60" t="s">
        <v>2786</v>
      </c>
      <c r="CQ60" t="s">
        <v>2960</v>
      </c>
      <c r="CR60" t="s">
        <v>121</v>
      </c>
      <c r="CS60" t="s">
        <v>618</v>
      </c>
      <c r="CT60" t="s">
        <v>2274</v>
      </c>
      <c r="CU60" t="s">
        <v>81</v>
      </c>
      <c r="CV60" t="s">
        <v>285</v>
      </c>
      <c r="CW60">
        <v>0</v>
      </c>
      <c r="DB60">
        <v>580</v>
      </c>
      <c r="DC60">
        <v>660</v>
      </c>
      <c r="DD60">
        <v>760</v>
      </c>
      <c r="DE60">
        <v>800</v>
      </c>
      <c r="DG60" t="s">
        <v>2961</v>
      </c>
      <c r="DH60" t="s">
        <v>82</v>
      </c>
      <c r="DI60" t="s">
        <v>902</v>
      </c>
      <c r="DJ60" t="s">
        <v>903</v>
      </c>
      <c r="DK60" t="s">
        <v>692</v>
      </c>
      <c r="DL60">
        <v>61.54</v>
      </c>
      <c r="DM60" t="s">
        <v>669</v>
      </c>
      <c r="DN60" t="s">
        <v>670</v>
      </c>
      <c r="DO60">
        <v>10</v>
      </c>
      <c r="DP60">
        <v>160</v>
      </c>
      <c r="DQ60">
        <v>160</v>
      </c>
      <c r="DR60" t="s">
        <v>2962</v>
      </c>
      <c r="EB60" t="s">
        <v>2963</v>
      </c>
      <c r="EC60" t="s">
        <v>1995</v>
      </c>
      <c r="ED60" t="s">
        <v>2249</v>
      </c>
      <c r="EE60" t="s">
        <v>296</v>
      </c>
      <c r="EF60" t="s">
        <v>294</v>
      </c>
      <c r="EG60">
        <v>150</v>
      </c>
      <c r="EH60">
        <v>150</v>
      </c>
      <c r="EI60">
        <v>150</v>
      </c>
      <c r="EJ60">
        <v>150</v>
      </c>
      <c r="EL60" t="s">
        <v>2964</v>
      </c>
      <c r="EM60" t="s">
        <v>2653</v>
      </c>
      <c r="EN60" t="s">
        <v>2654</v>
      </c>
      <c r="EO60">
        <v>3</v>
      </c>
      <c r="EP60" t="s">
        <v>2252</v>
      </c>
      <c r="EQ60" t="s">
        <v>2423</v>
      </c>
      <c r="ER60" t="s">
        <v>2424</v>
      </c>
      <c r="ES60">
        <v>48140</v>
      </c>
      <c r="ET60">
        <v>53160</v>
      </c>
      <c r="EU60">
        <v>57470</v>
      </c>
      <c r="EV60">
        <v>57470</v>
      </c>
      <c r="GD60" t="s">
        <v>2939</v>
      </c>
      <c r="GE60" t="s">
        <v>2259</v>
      </c>
      <c r="GF60" t="s">
        <v>85</v>
      </c>
      <c r="GG60" t="s">
        <v>86</v>
      </c>
      <c r="GH60">
        <v>0</v>
      </c>
      <c r="GI60">
        <v>0</v>
      </c>
      <c r="GJ60">
        <v>0</v>
      </c>
      <c r="GK60">
        <v>0</v>
      </c>
      <c r="GL60">
        <v>0</v>
      </c>
      <c r="GM60">
        <v>0</v>
      </c>
      <c r="GN60">
        <v>1</v>
      </c>
      <c r="GO60" t="s">
        <v>2280</v>
      </c>
      <c r="GP60" t="s">
        <v>87</v>
      </c>
      <c r="GQ60">
        <v>26</v>
      </c>
      <c r="GR60" t="s">
        <v>2261</v>
      </c>
      <c r="GS60" t="s">
        <v>2940</v>
      </c>
      <c r="HA60" t="s">
        <v>2965</v>
      </c>
      <c r="HB60" t="s">
        <v>125</v>
      </c>
      <c r="HC60" t="s">
        <v>2426</v>
      </c>
      <c r="HD60" t="s">
        <v>99</v>
      </c>
      <c r="HE60">
        <v>0</v>
      </c>
      <c r="HF60">
        <v>0</v>
      </c>
      <c r="HG60">
        <v>0</v>
      </c>
      <c r="HH60">
        <v>0</v>
      </c>
      <c r="HI60">
        <v>0</v>
      </c>
      <c r="HJ60">
        <v>0</v>
      </c>
    </row>
    <row r="61" ht="15" customHeight="1" spans="1:218" x14ac:dyDescent="0.25">
      <c r="A61" t="s">
        <v>229</v>
      </c>
      <c r="B61" t="s">
        <v>227</v>
      </c>
      <c r="C61" t="s">
        <v>90</v>
      </c>
      <c r="D61" t="s">
        <v>228</v>
      </c>
      <c r="E61" t="s">
        <v>2887</v>
      </c>
      <c r="F61" t="s">
        <v>1266</v>
      </c>
      <c r="G61" t="s">
        <v>1266</v>
      </c>
      <c r="H61" t="s">
        <v>1144</v>
      </c>
      <c r="I61" t="s">
        <v>2888</v>
      </c>
      <c r="CQ61" t="s">
        <v>2966</v>
      </c>
      <c r="CR61" t="s">
        <v>121</v>
      </c>
      <c r="CS61" t="s">
        <v>616</v>
      </c>
      <c r="CT61" t="s">
        <v>2291</v>
      </c>
      <c r="CU61" t="s">
        <v>81</v>
      </c>
      <c r="CV61" t="s">
        <v>285</v>
      </c>
      <c r="CW61">
        <v>0</v>
      </c>
      <c r="DB61">
        <v>1230</v>
      </c>
      <c r="DC61">
        <v>1360</v>
      </c>
      <c r="DD61">
        <v>1470</v>
      </c>
      <c r="DE61">
        <v>1470</v>
      </c>
      <c r="DG61" t="s">
        <v>2967</v>
      </c>
      <c r="DH61" t="s">
        <v>82</v>
      </c>
      <c r="DI61" t="s">
        <v>904</v>
      </c>
      <c r="DJ61" t="s">
        <v>905</v>
      </c>
      <c r="DK61" t="s">
        <v>692</v>
      </c>
      <c r="DL61">
        <v>61.54</v>
      </c>
      <c r="DM61" t="s">
        <v>669</v>
      </c>
      <c r="DN61" t="s">
        <v>670</v>
      </c>
      <c r="DO61">
        <v>1</v>
      </c>
      <c r="DP61">
        <v>1166</v>
      </c>
      <c r="DQ61">
        <v>1166</v>
      </c>
      <c r="DR61" t="s">
        <v>2968</v>
      </c>
      <c r="EB61" t="s">
        <v>2969</v>
      </c>
      <c r="EC61" t="s">
        <v>2696</v>
      </c>
      <c r="EE61" t="s">
        <v>620</v>
      </c>
      <c r="EL61" t="s">
        <v>2970</v>
      </c>
      <c r="EM61" t="s">
        <v>2653</v>
      </c>
      <c r="EN61" t="s">
        <v>2654</v>
      </c>
      <c r="EO61">
        <v>3</v>
      </c>
      <c r="EP61" t="s">
        <v>2276</v>
      </c>
      <c r="EQ61" t="s">
        <v>2439</v>
      </c>
      <c r="ER61" t="s">
        <v>2440</v>
      </c>
      <c r="ES61">
        <v>50450</v>
      </c>
      <c r="ET61">
        <v>66590</v>
      </c>
      <c r="EU61">
        <v>72650</v>
      </c>
      <c r="EV61">
        <v>72650</v>
      </c>
      <c r="GD61" t="s">
        <v>2939</v>
      </c>
      <c r="GE61" t="s">
        <v>2259</v>
      </c>
      <c r="GF61" t="s">
        <v>85</v>
      </c>
      <c r="GG61" t="s">
        <v>87</v>
      </c>
      <c r="GH61">
        <v>26</v>
      </c>
      <c r="GI61">
        <v>36.25</v>
      </c>
      <c r="GJ61">
        <v>39</v>
      </c>
      <c r="GK61">
        <v>41</v>
      </c>
      <c r="GL61">
        <v>0.1218</v>
      </c>
      <c r="GM61">
        <v>39</v>
      </c>
      <c r="GN61">
        <v>0</v>
      </c>
      <c r="GO61" t="s">
        <v>2617</v>
      </c>
      <c r="GP61" t="s">
        <v>87</v>
      </c>
      <c r="GQ61">
        <v>26</v>
      </c>
      <c r="GR61" t="s">
        <v>2261</v>
      </c>
      <c r="GS61" t="s">
        <v>2940</v>
      </c>
      <c r="HA61" t="s">
        <v>2971</v>
      </c>
      <c r="HB61" t="s">
        <v>125</v>
      </c>
      <c r="HC61" t="s">
        <v>2411</v>
      </c>
      <c r="HD61" t="s">
        <v>145</v>
      </c>
      <c r="HE61">
        <v>0</v>
      </c>
      <c r="HF61">
        <v>0</v>
      </c>
      <c r="HG61">
        <v>0</v>
      </c>
      <c r="HH61">
        <v>0</v>
      </c>
      <c r="HI61">
        <v>0</v>
      </c>
      <c r="HJ61">
        <v>0</v>
      </c>
    </row>
    <row r="62" ht="15" customHeight="1" spans="1:218" x14ac:dyDescent="0.25">
      <c r="A62" t="s">
        <v>233</v>
      </c>
      <c r="B62" t="s">
        <v>231</v>
      </c>
      <c r="C62" t="s">
        <v>81</v>
      </c>
      <c r="D62" t="s">
        <v>232</v>
      </c>
      <c r="E62" t="s">
        <v>2771</v>
      </c>
      <c r="F62" t="s">
        <v>671</v>
      </c>
      <c r="G62" t="s">
        <v>671</v>
      </c>
      <c r="H62" t="s">
        <v>671</v>
      </c>
      <c r="I62" t="s">
        <v>2772</v>
      </c>
      <c r="CQ62" t="s">
        <v>2972</v>
      </c>
      <c r="CR62" t="s">
        <v>121</v>
      </c>
      <c r="CS62" t="s">
        <v>614</v>
      </c>
      <c r="CT62" t="s">
        <v>2304</v>
      </c>
      <c r="CU62" t="s">
        <v>81</v>
      </c>
      <c r="CV62" t="s">
        <v>285</v>
      </c>
      <c r="CW62">
        <v>0</v>
      </c>
      <c r="DB62">
        <v>730</v>
      </c>
      <c r="DC62">
        <v>800</v>
      </c>
      <c r="DD62">
        <v>870</v>
      </c>
      <c r="DE62">
        <v>870</v>
      </c>
      <c r="DG62" t="s">
        <v>2973</v>
      </c>
      <c r="DH62" t="s">
        <v>82</v>
      </c>
      <c r="DI62" t="s">
        <v>909</v>
      </c>
      <c r="DJ62" t="s">
        <v>910</v>
      </c>
      <c r="DK62" t="s">
        <v>692</v>
      </c>
      <c r="DL62">
        <v>61.54</v>
      </c>
      <c r="DM62" t="s">
        <v>670</v>
      </c>
      <c r="DN62" t="s">
        <v>669</v>
      </c>
      <c r="DO62">
        <v>0</v>
      </c>
      <c r="DP62">
        <v>0</v>
      </c>
      <c r="DQ62">
        <v>87.5</v>
      </c>
      <c r="DR62" t="s">
        <v>2974</v>
      </c>
      <c r="EB62" t="s">
        <v>2975</v>
      </c>
      <c r="EC62" t="s">
        <v>2696</v>
      </c>
      <c r="EE62" t="s">
        <v>618</v>
      </c>
      <c r="EL62" t="s">
        <v>2976</v>
      </c>
      <c r="EM62" t="s">
        <v>2653</v>
      </c>
      <c r="EN62" t="s">
        <v>2654</v>
      </c>
      <c r="EO62">
        <v>3.5</v>
      </c>
      <c r="EP62" t="s">
        <v>2252</v>
      </c>
      <c r="EQ62" t="s">
        <v>2454</v>
      </c>
      <c r="ER62" t="s">
        <v>2455</v>
      </c>
      <c r="ES62">
        <v>54260</v>
      </c>
      <c r="ET62">
        <v>59960</v>
      </c>
      <c r="EU62">
        <v>64760</v>
      </c>
      <c r="EV62">
        <v>64760</v>
      </c>
      <c r="GD62" t="s">
        <v>2977</v>
      </c>
      <c r="GE62" t="s">
        <v>2358</v>
      </c>
      <c r="GF62" t="s">
        <v>85</v>
      </c>
      <c r="GG62" t="s">
        <v>82</v>
      </c>
      <c r="GH62">
        <v>26</v>
      </c>
      <c r="GI62">
        <v>7802.505</v>
      </c>
      <c r="GJ62">
        <v>9060.435</v>
      </c>
      <c r="GK62">
        <v>10629.097</v>
      </c>
      <c r="GL62">
        <v>0.312</v>
      </c>
      <c r="GM62">
        <v>9060.435</v>
      </c>
      <c r="GN62">
        <v>0</v>
      </c>
      <c r="GO62" t="s">
        <v>2340</v>
      </c>
      <c r="GP62" t="s">
        <v>87</v>
      </c>
      <c r="GQ62">
        <v>26</v>
      </c>
      <c r="GR62" t="s">
        <v>2261</v>
      </c>
      <c r="GS62" t="s">
        <v>2978</v>
      </c>
      <c r="HA62" t="s">
        <v>2979</v>
      </c>
      <c r="HB62" t="s">
        <v>125</v>
      </c>
      <c r="HC62" t="s">
        <v>2460</v>
      </c>
      <c r="HD62" t="s">
        <v>89</v>
      </c>
      <c r="HE62">
        <v>0</v>
      </c>
      <c r="HF62">
        <v>0</v>
      </c>
      <c r="HG62">
        <v>0</v>
      </c>
      <c r="HH62">
        <v>0</v>
      </c>
      <c r="HI62">
        <v>0</v>
      </c>
      <c r="HJ62">
        <v>0</v>
      </c>
    </row>
    <row r="63" ht="15" customHeight="1" spans="1:218" x14ac:dyDescent="0.25">
      <c r="A63" t="s">
        <v>237</v>
      </c>
      <c r="B63" t="s">
        <v>235</v>
      </c>
      <c r="C63" t="s">
        <v>81</v>
      </c>
      <c r="D63" t="s">
        <v>236</v>
      </c>
      <c r="E63" t="s">
        <v>1267</v>
      </c>
      <c r="F63" t="s">
        <v>671</v>
      </c>
      <c r="G63" t="s">
        <v>671</v>
      </c>
      <c r="H63" t="s">
        <v>671</v>
      </c>
      <c r="I63" t="s">
        <v>2817</v>
      </c>
      <c r="CQ63" t="s">
        <v>2980</v>
      </c>
      <c r="CR63" t="s">
        <v>121</v>
      </c>
      <c r="CS63" t="s">
        <v>286</v>
      </c>
      <c r="CT63" t="s">
        <v>284</v>
      </c>
      <c r="CU63" t="s">
        <v>81</v>
      </c>
      <c r="CV63" t="s">
        <v>285</v>
      </c>
      <c r="CW63">
        <v>0</v>
      </c>
      <c r="DB63">
        <v>680</v>
      </c>
      <c r="DC63">
        <v>750</v>
      </c>
      <c r="DD63">
        <v>810</v>
      </c>
      <c r="DE63">
        <v>810</v>
      </c>
      <c r="DG63" t="s">
        <v>2981</v>
      </c>
      <c r="DH63" t="s">
        <v>82</v>
      </c>
      <c r="DI63" t="s">
        <v>912</v>
      </c>
      <c r="DJ63" t="s">
        <v>197</v>
      </c>
      <c r="DK63" t="s">
        <v>692</v>
      </c>
      <c r="DL63">
        <v>61.54</v>
      </c>
      <c r="DM63" t="s">
        <v>669</v>
      </c>
      <c r="DN63" t="s">
        <v>670</v>
      </c>
      <c r="DO63">
        <v>1</v>
      </c>
      <c r="DP63">
        <v>21618.59</v>
      </c>
      <c r="DQ63">
        <v>21618.59</v>
      </c>
      <c r="DR63" t="s">
        <v>2982</v>
      </c>
      <c r="EB63" t="s">
        <v>2983</v>
      </c>
      <c r="EC63" t="s">
        <v>2696</v>
      </c>
      <c r="EE63" t="s">
        <v>616</v>
      </c>
      <c r="EL63" t="s">
        <v>2984</v>
      </c>
      <c r="EM63" t="s">
        <v>2653</v>
      </c>
      <c r="EN63" t="s">
        <v>2654</v>
      </c>
      <c r="EO63">
        <v>3.5</v>
      </c>
      <c r="EP63" t="s">
        <v>2276</v>
      </c>
      <c r="EQ63" t="s">
        <v>2471</v>
      </c>
      <c r="ER63" t="s">
        <v>2472</v>
      </c>
      <c r="ES63">
        <v>56790</v>
      </c>
      <c r="ET63">
        <v>74970</v>
      </c>
      <c r="EU63">
        <v>81780</v>
      </c>
      <c r="EV63">
        <v>81780</v>
      </c>
      <c r="GD63" t="s">
        <v>2977</v>
      </c>
      <c r="GE63" t="s">
        <v>2358</v>
      </c>
      <c r="GF63" t="s">
        <v>85</v>
      </c>
      <c r="GG63" t="s">
        <v>121</v>
      </c>
      <c r="GH63">
        <v>0</v>
      </c>
      <c r="GI63">
        <v>0</v>
      </c>
      <c r="GJ63">
        <v>0</v>
      </c>
      <c r="GK63">
        <v>0</v>
      </c>
      <c r="GL63">
        <v>0</v>
      </c>
      <c r="GM63">
        <v>0</v>
      </c>
      <c r="GN63">
        <v>1</v>
      </c>
      <c r="GO63" t="s">
        <v>2280</v>
      </c>
      <c r="GP63" t="s">
        <v>87</v>
      </c>
      <c r="GQ63">
        <v>26</v>
      </c>
      <c r="GR63" t="s">
        <v>2261</v>
      </c>
      <c r="GS63" t="s">
        <v>2978</v>
      </c>
      <c r="HA63" t="s">
        <v>2985</v>
      </c>
      <c r="HB63" t="s">
        <v>125</v>
      </c>
      <c r="HC63" t="s">
        <v>2427</v>
      </c>
      <c r="HD63" t="s">
        <v>146</v>
      </c>
      <c r="HE63">
        <v>0</v>
      </c>
      <c r="HF63">
        <v>0</v>
      </c>
      <c r="HG63">
        <v>0</v>
      </c>
      <c r="HH63">
        <v>0</v>
      </c>
      <c r="HI63">
        <v>0</v>
      </c>
      <c r="HJ63">
        <v>0</v>
      </c>
    </row>
    <row r="64" ht="15" customHeight="1" spans="1:218" x14ac:dyDescent="0.25">
      <c r="A64" t="s">
        <v>240</v>
      </c>
      <c r="B64" t="s">
        <v>238</v>
      </c>
      <c r="C64" t="s">
        <v>90</v>
      </c>
      <c r="D64" t="s">
        <v>239</v>
      </c>
      <c r="E64" t="s">
        <v>1578</v>
      </c>
      <c r="F64" t="s">
        <v>681</v>
      </c>
      <c r="G64" t="s">
        <v>681</v>
      </c>
      <c r="H64" t="s">
        <v>681</v>
      </c>
      <c r="I64" t="s">
        <v>2873</v>
      </c>
      <c r="CQ64" t="s">
        <v>2986</v>
      </c>
      <c r="CR64" t="s">
        <v>121</v>
      </c>
      <c r="CS64" t="s">
        <v>272</v>
      </c>
      <c r="CT64" t="s">
        <v>270</v>
      </c>
      <c r="CU64" t="s">
        <v>81</v>
      </c>
      <c r="CV64" t="s">
        <v>271</v>
      </c>
      <c r="CW64">
        <v>0</v>
      </c>
      <c r="DB64">
        <v>1430</v>
      </c>
      <c r="DC64">
        <v>1580</v>
      </c>
      <c r="DD64">
        <v>1710</v>
      </c>
      <c r="DE64">
        <v>1710</v>
      </c>
      <c r="DG64" t="s">
        <v>2987</v>
      </c>
      <c r="DH64" t="s">
        <v>82</v>
      </c>
      <c r="DI64" t="s">
        <v>916</v>
      </c>
      <c r="DJ64" t="s">
        <v>917</v>
      </c>
      <c r="DK64" t="s">
        <v>692</v>
      </c>
      <c r="DL64">
        <v>61.54</v>
      </c>
      <c r="DM64" t="s">
        <v>669</v>
      </c>
      <c r="DN64" t="s">
        <v>670</v>
      </c>
      <c r="DO64">
        <v>1</v>
      </c>
      <c r="DP64">
        <v>221.5</v>
      </c>
      <c r="DQ64">
        <v>221.5</v>
      </c>
      <c r="DR64" t="s">
        <v>2988</v>
      </c>
      <c r="EB64" t="s">
        <v>2989</v>
      </c>
      <c r="EC64" t="s">
        <v>2696</v>
      </c>
      <c r="EE64" t="s">
        <v>614</v>
      </c>
      <c r="EL64" t="s">
        <v>2990</v>
      </c>
      <c r="EM64" t="s">
        <v>2653</v>
      </c>
      <c r="EN64" t="s">
        <v>2654</v>
      </c>
      <c r="EO64">
        <v>4</v>
      </c>
      <c r="EP64" t="s">
        <v>2252</v>
      </c>
      <c r="EQ64" t="s">
        <v>2485</v>
      </c>
      <c r="ER64" t="s">
        <v>2486</v>
      </c>
      <c r="ES64">
        <v>59670</v>
      </c>
      <c r="ET64">
        <v>65900</v>
      </c>
      <c r="EU64">
        <v>71220</v>
      </c>
      <c r="EV64">
        <v>71220</v>
      </c>
      <c r="GD64" t="s">
        <v>2977</v>
      </c>
      <c r="GE64" t="s">
        <v>2358</v>
      </c>
      <c r="GF64" t="s">
        <v>85</v>
      </c>
      <c r="GG64" t="s">
        <v>125</v>
      </c>
      <c r="GH64">
        <v>0</v>
      </c>
      <c r="GI64">
        <v>0</v>
      </c>
      <c r="GJ64">
        <v>0</v>
      </c>
      <c r="GK64">
        <v>0</v>
      </c>
      <c r="GL64">
        <v>0</v>
      </c>
      <c r="GM64">
        <v>0</v>
      </c>
      <c r="GN64">
        <v>1</v>
      </c>
      <c r="GO64" t="s">
        <v>2280</v>
      </c>
      <c r="GP64" t="s">
        <v>87</v>
      </c>
      <c r="GQ64">
        <v>26</v>
      </c>
      <c r="GR64" t="s">
        <v>2261</v>
      </c>
      <c r="GS64" t="s">
        <v>2978</v>
      </c>
      <c r="HA64" t="s">
        <v>2991</v>
      </c>
      <c r="HB64" t="s">
        <v>125</v>
      </c>
      <c r="HC64" t="s">
        <v>2488</v>
      </c>
      <c r="HD64" t="s">
        <v>92</v>
      </c>
      <c r="HE64">
        <v>0</v>
      </c>
      <c r="HF64">
        <v>0</v>
      </c>
      <c r="HG64">
        <v>0</v>
      </c>
      <c r="HH64">
        <v>0</v>
      </c>
      <c r="HI64">
        <v>0</v>
      </c>
      <c r="HJ64">
        <v>0</v>
      </c>
    </row>
    <row r="65" ht="15" customHeight="1" spans="1:218" x14ac:dyDescent="0.25">
      <c r="A65" t="s">
        <v>243</v>
      </c>
      <c r="B65" t="s">
        <v>241</v>
      </c>
      <c r="C65" t="s">
        <v>90</v>
      </c>
      <c r="D65" t="s">
        <v>242</v>
      </c>
      <c r="E65" t="s">
        <v>1267</v>
      </c>
      <c r="F65" t="s">
        <v>671</v>
      </c>
      <c r="G65" t="s">
        <v>671</v>
      </c>
      <c r="H65" t="s">
        <v>671</v>
      </c>
      <c r="I65" t="s">
        <v>2915</v>
      </c>
      <c r="CQ65" t="s">
        <v>2992</v>
      </c>
      <c r="CR65" t="s">
        <v>121</v>
      </c>
      <c r="CS65" t="s">
        <v>283</v>
      </c>
      <c r="CT65" t="s">
        <v>281</v>
      </c>
      <c r="CU65" t="s">
        <v>81</v>
      </c>
      <c r="CV65" t="s">
        <v>282</v>
      </c>
      <c r="CW65">
        <v>0</v>
      </c>
      <c r="DB65">
        <v>360</v>
      </c>
      <c r="DC65">
        <v>400</v>
      </c>
      <c r="DD65">
        <v>430</v>
      </c>
      <c r="DE65">
        <v>430</v>
      </c>
      <c r="DG65" t="s">
        <v>2993</v>
      </c>
      <c r="DH65" t="s">
        <v>82</v>
      </c>
      <c r="DI65" t="s">
        <v>921</v>
      </c>
      <c r="DJ65" t="s">
        <v>202</v>
      </c>
      <c r="DK65" t="s">
        <v>692</v>
      </c>
      <c r="DL65">
        <v>61.54</v>
      </c>
      <c r="DM65" t="s">
        <v>669</v>
      </c>
      <c r="DN65" t="s">
        <v>670</v>
      </c>
      <c r="DO65">
        <v>1</v>
      </c>
      <c r="DP65">
        <v>3760</v>
      </c>
      <c r="DQ65">
        <v>3760</v>
      </c>
      <c r="DR65" t="s">
        <v>2994</v>
      </c>
      <c r="EB65" t="s">
        <v>2995</v>
      </c>
      <c r="EC65" t="s">
        <v>2696</v>
      </c>
      <c r="EE65" t="s">
        <v>612</v>
      </c>
      <c r="EL65" t="s">
        <v>2996</v>
      </c>
      <c r="EM65" t="s">
        <v>2653</v>
      </c>
      <c r="EN65" t="s">
        <v>2654</v>
      </c>
      <c r="EO65">
        <v>4</v>
      </c>
      <c r="EP65" t="s">
        <v>2276</v>
      </c>
      <c r="EQ65" t="s">
        <v>2498</v>
      </c>
      <c r="ER65" t="s">
        <v>2499</v>
      </c>
      <c r="ES65">
        <v>62570</v>
      </c>
      <c r="ET65">
        <v>82590</v>
      </c>
      <c r="EU65">
        <v>90090</v>
      </c>
      <c r="EV65">
        <v>90090</v>
      </c>
      <c r="GD65" t="s">
        <v>2977</v>
      </c>
      <c r="GE65" t="s">
        <v>2358</v>
      </c>
      <c r="GF65" t="s">
        <v>85</v>
      </c>
      <c r="GG65" t="s">
        <v>85</v>
      </c>
      <c r="GH65">
        <v>0</v>
      </c>
      <c r="GI65">
        <v>0</v>
      </c>
      <c r="GJ65">
        <v>0</v>
      </c>
      <c r="GK65">
        <v>0</v>
      </c>
      <c r="GL65">
        <v>0</v>
      </c>
      <c r="GM65">
        <v>0</v>
      </c>
      <c r="GN65">
        <v>1</v>
      </c>
      <c r="GO65" t="s">
        <v>2280</v>
      </c>
      <c r="GP65" t="s">
        <v>87</v>
      </c>
      <c r="GQ65">
        <v>26</v>
      </c>
      <c r="GR65" t="s">
        <v>2261</v>
      </c>
      <c r="GS65" t="s">
        <v>2978</v>
      </c>
      <c r="HA65" t="s">
        <v>2997</v>
      </c>
      <c r="HB65" t="s">
        <v>125</v>
      </c>
      <c r="HC65" t="s">
        <v>2442</v>
      </c>
      <c r="HD65" t="s">
        <v>95</v>
      </c>
      <c r="HE65">
        <v>0</v>
      </c>
      <c r="HF65">
        <v>0</v>
      </c>
      <c r="HG65">
        <v>0</v>
      </c>
      <c r="HH65">
        <v>0</v>
      </c>
      <c r="HI65">
        <v>0</v>
      </c>
      <c r="HJ65">
        <v>0</v>
      </c>
    </row>
    <row r="66" ht="15" customHeight="1" spans="1:218" x14ac:dyDescent="0.25">
      <c r="A66" t="s">
        <v>246</v>
      </c>
      <c r="B66" t="s">
        <v>244</v>
      </c>
      <c r="C66" t="s">
        <v>90</v>
      </c>
      <c r="D66" t="s">
        <v>245</v>
      </c>
      <c r="E66" t="s">
        <v>1301</v>
      </c>
      <c r="F66" t="s">
        <v>671</v>
      </c>
      <c r="G66" t="s">
        <v>2898</v>
      </c>
      <c r="H66" t="s">
        <v>2899</v>
      </c>
      <c r="I66" t="s">
        <v>2900</v>
      </c>
      <c r="CQ66" t="s">
        <v>2998</v>
      </c>
      <c r="CR66" t="s">
        <v>121</v>
      </c>
      <c r="CS66" t="s">
        <v>267</v>
      </c>
      <c r="CT66" t="s">
        <v>265</v>
      </c>
      <c r="CU66" t="s">
        <v>81</v>
      </c>
      <c r="CV66" t="s">
        <v>266</v>
      </c>
      <c r="CW66">
        <v>0</v>
      </c>
      <c r="DB66">
        <v>1920</v>
      </c>
      <c r="DC66">
        <v>2120</v>
      </c>
      <c r="DD66">
        <v>2290</v>
      </c>
      <c r="DE66">
        <v>2290</v>
      </c>
      <c r="DG66" t="s">
        <v>2999</v>
      </c>
      <c r="DH66" t="s">
        <v>82</v>
      </c>
      <c r="DI66" t="s">
        <v>923</v>
      </c>
      <c r="DJ66" t="s">
        <v>924</v>
      </c>
      <c r="DK66" t="s">
        <v>668</v>
      </c>
      <c r="DL66">
        <v>57.69</v>
      </c>
      <c r="DM66" t="s">
        <v>670</v>
      </c>
      <c r="DN66" t="s">
        <v>669</v>
      </c>
      <c r="DO66">
        <v>0</v>
      </c>
      <c r="DP66">
        <v>0</v>
      </c>
      <c r="DQ66">
        <v>100.6</v>
      </c>
      <c r="DR66" t="s">
        <v>3000</v>
      </c>
      <c r="EB66" t="s">
        <v>3001</v>
      </c>
      <c r="EC66" t="s">
        <v>2696</v>
      </c>
      <c r="EE66" t="s">
        <v>610</v>
      </c>
      <c r="EL66" t="s">
        <v>3002</v>
      </c>
      <c r="EM66" t="s">
        <v>2653</v>
      </c>
      <c r="EN66" t="s">
        <v>2654</v>
      </c>
      <c r="EO66">
        <v>4.5</v>
      </c>
      <c r="EP66" t="s">
        <v>2252</v>
      </c>
      <c r="EQ66" t="s">
        <v>2512</v>
      </c>
      <c r="ER66" t="s">
        <v>2513</v>
      </c>
      <c r="ES66">
        <v>64640</v>
      </c>
      <c r="ET66">
        <v>71390</v>
      </c>
      <c r="EU66">
        <v>77150</v>
      </c>
      <c r="EV66">
        <v>77150</v>
      </c>
      <c r="GD66" t="s">
        <v>2977</v>
      </c>
      <c r="GE66" t="s">
        <v>2358</v>
      </c>
      <c r="GF66" t="s">
        <v>85</v>
      </c>
      <c r="GG66" t="s">
        <v>86</v>
      </c>
      <c r="GH66">
        <v>0</v>
      </c>
      <c r="GI66">
        <v>0</v>
      </c>
      <c r="GJ66">
        <v>0</v>
      </c>
      <c r="GK66">
        <v>0</v>
      </c>
      <c r="GL66">
        <v>0</v>
      </c>
      <c r="GM66">
        <v>0</v>
      </c>
      <c r="GN66">
        <v>1</v>
      </c>
      <c r="GO66" t="s">
        <v>2280</v>
      </c>
      <c r="GP66" t="s">
        <v>87</v>
      </c>
      <c r="GQ66">
        <v>26</v>
      </c>
      <c r="GR66" t="s">
        <v>2261</v>
      </c>
      <c r="GS66" t="s">
        <v>2978</v>
      </c>
      <c r="HA66" t="s">
        <v>3003</v>
      </c>
      <c r="HB66" t="s">
        <v>125</v>
      </c>
      <c r="HC66" t="s">
        <v>2461</v>
      </c>
      <c r="HD66" t="s">
        <v>98</v>
      </c>
      <c r="HE66">
        <v>0</v>
      </c>
      <c r="HF66">
        <v>0</v>
      </c>
      <c r="HG66">
        <v>0</v>
      </c>
      <c r="HH66">
        <v>0</v>
      </c>
      <c r="HI66">
        <v>0</v>
      </c>
      <c r="HJ66">
        <v>0</v>
      </c>
    </row>
    <row r="67" ht="15" customHeight="1" spans="1:218" x14ac:dyDescent="0.25">
      <c r="A67" t="s">
        <v>249</v>
      </c>
      <c r="B67" t="s">
        <v>247</v>
      </c>
      <c r="C67" t="s">
        <v>81</v>
      </c>
      <c r="D67" t="s">
        <v>248</v>
      </c>
      <c r="E67" t="s">
        <v>2771</v>
      </c>
      <c r="F67" t="s">
        <v>671</v>
      </c>
      <c r="G67" t="s">
        <v>671</v>
      </c>
      <c r="H67" t="s">
        <v>671</v>
      </c>
      <c r="I67" t="s">
        <v>2828</v>
      </c>
      <c r="CQ67" t="s">
        <v>3004</v>
      </c>
      <c r="CR67" t="s">
        <v>121</v>
      </c>
      <c r="CS67" t="s">
        <v>258</v>
      </c>
      <c r="CT67" t="s">
        <v>256</v>
      </c>
      <c r="CU67" t="s">
        <v>81</v>
      </c>
      <c r="CV67" t="s">
        <v>257</v>
      </c>
      <c r="CW67">
        <v>0</v>
      </c>
      <c r="DB67">
        <v>2910</v>
      </c>
      <c r="DC67">
        <v>3220</v>
      </c>
      <c r="DD67">
        <v>3470</v>
      </c>
      <c r="DE67">
        <v>3470</v>
      </c>
      <c r="DG67" t="s">
        <v>3005</v>
      </c>
      <c r="DH67" t="s">
        <v>82</v>
      </c>
      <c r="DI67" t="s">
        <v>926</v>
      </c>
      <c r="DJ67" t="s">
        <v>927</v>
      </c>
      <c r="DK67" t="s">
        <v>668</v>
      </c>
      <c r="DL67">
        <v>57.69</v>
      </c>
      <c r="DM67" t="s">
        <v>670</v>
      </c>
      <c r="DN67" t="s">
        <v>670</v>
      </c>
      <c r="DO67">
        <v>1</v>
      </c>
      <c r="DP67">
        <v>7.3</v>
      </c>
      <c r="DQ67">
        <v>7.3</v>
      </c>
      <c r="DR67" t="s">
        <v>3006</v>
      </c>
      <c r="EB67" t="s">
        <v>3007</v>
      </c>
      <c r="EC67" t="s">
        <v>2696</v>
      </c>
      <c r="EE67" t="s">
        <v>608</v>
      </c>
      <c r="EL67" t="s">
        <v>3008</v>
      </c>
      <c r="EM67" t="s">
        <v>2653</v>
      </c>
      <c r="EN67" t="s">
        <v>2654</v>
      </c>
      <c r="EO67">
        <v>4.5</v>
      </c>
      <c r="EP67" t="s">
        <v>2276</v>
      </c>
      <c r="EQ67" t="s">
        <v>2527</v>
      </c>
      <c r="ER67" t="s">
        <v>2528</v>
      </c>
      <c r="ES67">
        <v>67740</v>
      </c>
      <c r="ET67">
        <v>89420</v>
      </c>
      <c r="EU67">
        <v>97550</v>
      </c>
      <c r="EV67">
        <v>97550</v>
      </c>
      <c r="GD67" t="s">
        <v>2977</v>
      </c>
      <c r="GE67" t="s">
        <v>2358</v>
      </c>
      <c r="GF67" t="s">
        <v>85</v>
      </c>
      <c r="GG67" t="s">
        <v>87</v>
      </c>
      <c r="GH67">
        <v>26</v>
      </c>
      <c r="GI67">
        <v>7802.505</v>
      </c>
      <c r="GJ67">
        <v>9060.435</v>
      </c>
      <c r="GK67">
        <v>10629.097</v>
      </c>
      <c r="GL67">
        <v>0.312</v>
      </c>
      <c r="GM67">
        <v>9060.435</v>
      </c>
      <c r="GN67">
        <v>0</v>
      </c>
      <c r="GO67" t="s">
        <v>2617</v>
      </c>
      <c r="GP67" t="s">
        <v>87</v>
      </c>
      <c r="GQ67">
        <v>26</v>
      </c>
      <c r="GR67" t="s">
        <v>2261</v>
      </c>
      <c r="GS67" t="s">
        <v>2978</v>
      </c>
      <c r="HA67" t="s">
        <v>3009</v>
      </c>
      <c r="HB67" t="s">
        <v>125</v>
      </c>
      <c r="HC67" t="s">
        <v>2475</v>
      </c>
      <c r="HD67" t="s">
        <v>101</v>
      </c>
      <c r="HE67">
        <v>0</v>
      </c>
      <c r="HF67">
        <v>0</v>
      </c>
      <c r="HG67">
        <v>0</v>
      </c>
      <c r="HH67">
        <v>0</v>
      </c>
      <c r="HI67">
        <v>0</v>
      </c>
      <c r="HJ67">
        <v>0</v>
      </c>
    </row>
    <row r="68" ht="15" customHeight="1" spans="1:218" x14ac:dyDescent="0.25">
      <c r="A68" t="s">
        <v>252</v>
      </c>
      <c r="B68" t="s">
        <v>250</v>
      </c>
      <c r="C68" t="s">
        <v>90</v>
      </c>
      <c r="D68" t="s">
        <v>251</v>
      </c>
      <c r="E68" t="s">
        <v>1301</v>
      </c>
      <c r="F68" t="s">
        <v>671</v>
      </c>
      <c r="G68" t="s">
        <v>671</v>
      </c>
      <c r="H68" t="s">
        <v>671</v>
      </c>
      <c r="I68" t="s">
        <v>1919</v>
      </c>
      <c r="CQ68" t="s">
        <v>3010</v>
      </c>
      <c r="CR68" t="s">
        <v>121</v>
      </c>
      <c r="CS68" t="s">
        <v>222</v>
      </c>
      <c r="CT68" t="s">
        <v>220</v>
      </c>
      <c r="CU68" t="s">
        <v>81</v>
      </c>
      <c r="CV68" t="s">
        <v>221</v>
      </c>
      <c r="CW68">
        <v>0</v>
      </c>
      <c r="DB68">
        <v>2430</v>
      </c>
      <c r="DC68">
        <v>2690</v>
      </c>
      <c r="DD68">
        <v>2900</v>
      </c>
      <c r="DE68">
        <v>2900</v>
      </c>
      <c r="DG68" t="s">
        <v>3011</v>
      </c>
      <c r="DH68" t="s">
        <v>82</v>
      </c>
      <c r="DI68" t="s">
        <v>931</v>
      </c>
      <c r="DJ68" t="s">
        <v>932</v>
      </c>
      <c r="DK68" t="s">
        <v>692</v>
      </c>
      <c r="DL68">
        <v>57.69</v>
      </c>
      <c r="DM68" t="s">
        <v>670</v>
      </c>
      <c r="DN68" t="s">
        <v>669</v>
      </c>
      <c r="DO68">
        <v>0</v>
      </c>
      <c r="DP68">
        <v>0</v>
      </c>
      <c r="DQ68">
        <v>250</v>
      </c>
      <c r="DR68" t="s">
        <v>3012</v>
      </c>
      <c r="EB68" t="s">
        <v>3013</v>
      </c>
      <c r="EC68" t="s">
        <v>2696</v>
      </c>
      <c r="EE68" t="s">
        <v>606</v>
      </c>
      <c r="EL68" t="s">
        <v>3014</v>
      </c>
      <c r="EM68" t="s">
        <v>2653</v>
      </c>
      <c r="EN68" t="s">
        <v>2654</v>
      </c>
      <c r="EO68">
        <v>5</v>
      </c>
      <c r="EP68" t="s">
        <v>2252</v>
      </c>
      <c r="EQ68" t="s">
        <v>2541</v>
      </c>
      <c r="ER68" t="s">
        <v>2542</v>
      </c>
      <c r="ES68">
        <v>69060</v>
      </c>
      <c r="ET68">
        <v>76340</v>
      </c>
      <c r="EU68">
        <v>82440</v>
      </c>
      <c r="EV68">
        <v>82440</v>
      </c>
      <c r="GD68" t="s">
        <v>3015</v>
      </c>
      <c r="GE68" t="s">
        <v>2457</v>
      </c>
      <c r="GF68" t="s">
        <v>85</v>
      </c>
      <c r="GG68" t="s">
        <v>82</v>
      </c>
      <c r="GH68">
        <v>26</v>
      </c>
      <c r="GI68">
        <v>96442</v>
      </c>
      <c r="GJ68">
        <v>98192</v>
      </c>
      <c r="GK68">
        <v>99817</v>
      </c>
      <c r="GL68">
        <v>0.0344</v>
      </c>
      <c r="GM68">
        <v>98192</v>
      </c>
      <c r="GN68">
        <v>0</v>
      </c>
      <c r="GO68" t="s">
        <v>2340</v>
      </c>
      <c r="GP68" t="s">
        <v>87</v>
      </c>
      <c r="GQ68">
        <v>26</v>
      </c>
      <c r="GR68" t="s">
        <v>2261</v>
      </c>
      <c r="GS68" t="s">
        <v>3016</v>
      </c>
      <c r="HA68" t="s">
        <v>3017</v>
      </c>
      <c r="HB68" t="s">
        <v>125</v>
      </c>
      <c r="HC68" t="s">
        <v>2547</v>
      </c>
      <c r="HD68" t="s">
        <v>147</v>
      </c>
      <c r="HE68">
        <v>0</v>
      </c>
      <c r="HF68">
        <v>0</v>
      </c>
      <c r="HG68">
        <v>0</v>
      </c>
      <c r="HH68">
        <v>0</v>
      </c>
      <c r="HI68">
        <v>0</v>
      </c>
      <c r="HJ68">
        <v>0</v>
      </c>
    </row>
    <row r="69" ht="15" customHeight="1" spans="1:218" x14ac:dyDescent="0.25">
      <c r="A69" t="s">
        <v>255</v>
      </c>
      <c r="B69" t="s">
        <v>253</v>
      </c>
      <c r="C69" t="s">
        <v>90</v>
      </c>
      <c r="D69" t="s">
        <v>254</v>
      </c>
      <c r="E69" t="s">
        <v>1327</v>
      </c>
      <c r="F69" t="s">
        <v>671</v>
      </c>
      <c r="G69" t="s">
        <v>671</v>
      </c>
      <c r="H69" t="s">
        <v>671</v>
      </c>
      <c r="I69" t="s">
        <v>2907</v>
      </c>
      <c r="CQ69" t="s">
        <v>3018</v>
      </c>
      <c r="CR69" t="s">
        <v>121</v>
      </c>
      <c r="CS69" t="s">
        <v>233</v>
      </c>
      <c r="CT69" t="s">
        <v>231</v>
      </c>
      <c r="CU69" t="s">
        <v>81</v>
      </c>
      <c r="CV69" t="s">
        <v>232</v>
      </c>
      <c r="CW69">
        <v>0</v>
      </c>
      <c r="DB69">
        <v>1110</v>
      </c>
      <c r="DC69">
        <v>1220</v>
      </c>
      <c r="DD69">
        <v>1320</v>
      </c>
      <c r="DE69">
        <v>1320</v>
      </c>
      <c r="DG69" t="s">
        <v>3019</v>
      </c>
      <c r="DH69" t="s">
        <v>82</v>
      </c>
      <c r="DI69" t="s">
        <v>934</v>
      </c>
      <c r="DJ69" t="s">
        <v>935</v>
      </c>
      <c r="DK69" t="s">
        <v>692</v>
      </c>
      <c r="DL69">
        <v>57.69</v>
      </c>
      <c r="DM69" t="s">
        <v>669</v>
      </c>
      <c r="DN69" t="s">
        <v>670</v>
      </c>
      <c r="DO69">
        <v>10</v>
      </c>
      <c r="DP69">
        <v>180</v>
      </c>
      <c r="DQ69">
        <v>180</v>
      </c>
      <c r="DR69" t="s">
        <v>3020</v>
      </c>
      <c r="EB69" t="s">
        <v>3021</v>
      </c>
      <c r="EC69" t="s">
        <v>2696</v>
      </c>
      <c r="ED69" t="s">
        <v>2697</v>
      </c>
      <c r="EE69" t="s">
        <v>603</v>
      </c>
      <c r="EF69" t="s">
        <v>2387</v>
      </c>
      <c r="EG69">
        <v>330</v>
      </c>
      <c r="EH69">
        <v>330</v>
      </c>
      <c r="EI69">
        <v>330</v>
      </c>
      <c r="EJ69">
        <v>330</v>
      </c>
      <c r="EL69" t="s">
        <v>3022</v>
      </c>
      <c r="EM69" t="s">
        <v>2653</v>
      </c>
      <c r="EN69" t="s">
        <v>2654</v>
      </c>
      <c r="EO69">
        <v>5</v>
      </c>
      <c r="EP69" t="s">
        <v>2276</v>
      </c>
      <c r="EQ69" t="s">
        <v>2559</v>
      </c>
      <c r="ER69" t="s">
        <v>2560</v>
      </c>
      <c r="ES69">
        <v>72350</v>
      </c>
      <c r="ET69">
        <v>95490</v>
      </c>
      <c r="EU69">
        <v>104180</v>
      </c>
      <c r="EV69">
        <v>104180</v>
      </c>
      <c r="GD69" t="s">
        <v>3015</v>
      </c>
      <c r="GE69" t="s">
        <v>2457</v>
      </c>
      <c r="GF69" t="s">
        <v>85</v>
      </c>
      <c r="GG69" t="s">
        <v>121</v>
      </c>
      <c r="GH69">
        <v>0</v>
      </c>
      <c r="GI69">
        <v>0</v>
      </c>
      <c r="GJ69">
        <v>0</v>
      </c>
      <c r="GK69">
        <v>0</v>
      </c>
      <c r="GL69">
        <v>0</v>
      </c>
      <c r="GM69">
        <v>0</v>
      </c>
      <c r="GN69">
        <v>1</v>
      </c>
      <c r="GO69" t="s">
        <v>2280</v>
      </c>
      <c r="GP69" t="s">
        <v>87</v>
      </c>
      <c r="GQ69">
        <v>26</v>
      </c>
      <c r="GR69" t="s">
        <v>2261</v>
      </c>
      <c r="GS69" t="s">
        <v>3016</v>
      </c>
      <c r="HA69" t="s">
        <v>3023</v>
      </c>
      <c r="HB69" t="s">
        <v>125</v>
      </c>
      <c r="HC69" t="s">
        <v>2563</v>
      </c>
      <c r="HD69" t="s">
        <v>96</v>
      </c>
      <c r="HE69">
        <v>0</v>
      </c>
      <c r="HF69">
        <v>0</v>
      </c>
      <c r="HG69">
        <v>0</v>
      </c>
      <c r="HH69">
        <v>0</v>
      </c>
      <c r="HI69">
        <v>0</v>
      </c>
      <c r="HJ69">
        <v>0</v>
      </c>
    </row>
    <row r="70" ht="15" customHeight="1" spans="1:218" x14ac:dyDescent="0.25">
      <c r="A70" t="s">
        <v>258</v>
      </c>
      <c r="B70" t="s">
        <v>256</v>
      </c>
      <c r="C70" t="s">
        <v>81</v>
      </c>
      <c r="D70" t="s">
        <v>257</v>
      </c>
      <c r="E70" t="s">
        <v>1578</v>
      </c>
      <c r="F70" t="s">
        <v>671</v>
      </c>
      <c r="G70" t="s">
        <v>671</v>
      </c>
      <c r="H70" t="s">
        <v>671</v>
      </c>
      <c r="I70" t="s">
        <v>2751</v>
      </c>
      <c r="CQ70" t="s">
        <v>3024</v>
      </c>
      <c r="CR70" t="s">
        <v>121</v>
      </c>
      <c r="CS70" t="s">
        <v>612</v>
      </c>
      <c r="CT70" t="s">
        <v>2320</v>
      </c>
      <c r="CU70" t="s">
        <v>81</v>
      </c>
      <c r="CV70" t="s">
        <v>2490</v>
      </c>
      <c r="CW70">
        <v>0</v>
      </c>
      <c r="DB70">
        <v>360</v>
      </c>
      <c r="DC70">
        <v>400</v>
      </c>
      <c r="DD70">
        <v>430</v>
      </c>
      <c r="DE70">
        <v>430</v>
      </c>
      <c r="DG70" t="s">
        <v>3025</v>
      </c>
      <c r="DH70" t="s">
        <v>82</v>
      </c>
      <c r="DI70" t="s">
        <v>937</v>
      </c>
      <c r="DJ70" t="s">
        <v>938</v>
      </c>
      <c r="DK70" t="s">
        <v>692</v>
      </c>
      <c r="DL70">
        <v>53.85</v>
      </c>
      <c r="DM70" t="s">
        <v>670</v>
      </c>
      <c r="DN70" t="s">
        <v>670</v>
      </c>
      <c r="DO70">
        <v>1</v>
      </c>
      <c r="DP70">
        <v>510</v>
      </c>
      <c r="DQ70">
        <v>510</v>
      </c>
      <c r="DR70" t="s">
        <v>3026</v>
      </c>
      <c r="EB70" t="s">
        <v>3027</v>
      </c>
      <c r="EC70" t="s">
        <v>2696</v>
      </c>
      <c r="ED70" t="s">
        <v>2697</v>
      </c>
      <c r="EE70" t="s">
        <v>601</v>
      </c>
      <c r="EF70" t="s">
        <v>2404</v>
      </c>
      <c r="EG70">
        <v>1</v>
      </c>
      <c r="EH70">
        <v>1</v>
      </c>
      <c r="EI70">
        <v>1</v>
      </c>
      <c r="EJ70">
        <v>1</v>
      </c>
      <c r="EL70" t="s">
        <v>3028</v>
      </c>
      <c r="EM70" t="s">
        <v>2653</v>
      </c>
      <c r="EN70" t="s">
        <v>2654</v>
      </c>
      <c r="EO70">
        <v>5.5</v>
      </c>
      <c r="EP70" t="s">
        <v>2252</v>
      </c>
      <c r="EQ70" t="s">
        <v>2572</v>
      </c>
      <c r="ER70" t="s">
        <v>2573</v>
      </c>
      <c r="ES70">
        <v>72860</v>
      </c>
      <c r="ET70">
        <v>80510</v>
      </c>
      <c r="EU70">
        <v>86960</v>
      </c>
      <c r="EV70">
        <v>86960</v>
      </c>
      <c r="GD70" t="s">
        <v>3015</v>
      </c>
      <c r="GE70" t="s">
        <v>2457</v>
      </c>
      <c r="GF70" t="s">
        <v>85</v>
      </c>
      <c r="GG70" t="s">
        <v>125</v>
      </c>
      <c r="GH70">
        <v>0</v>
      </c>
      <c r="GI70">
        <v>0</v>
      </c>
      <c r="GJ70">
        <v>0</v>
      </c>
      <c r="GK70">
        <v>0</v>
      </c>
      <c r="GL70">
        <v>0</v>
      </c>
      <c r="GM70">
        <v>0</v>
      </c>
      <c r="GN70">
        <v>1</v>
      </c>
      <c r="GO70" t="s">
        <v>2280</v>
      </c>
      <c r="GP70" t="s">
        <v>87</v>
      </c>
      <c r="GQ70">
        <v>26</v>
      </c>
      <c r="GR70" t="s">
        <v>2261</v>
      </c>
      <c r="GS70" t="s">
        <v>3016</v>
      </c>
      <c r="HA70" t="s">
        <v>3029</v>
      </c>
      <c r="HB70" t="s">
        <v>125</v>
      </c>
      <c r="HC70" t="s">
        <v>2576</v>
      </c>
      <c r="HD70" t="s">
        <v>2073</v>
      </c>
      <c r="HE70">
        <v>0</v>
      </c>
      <c r="HF70">
        <v>0</v>
      </c>
      <c r="HG70">
        <v>0</v>
      </c>
      <c r="HH70">
        <v>0</v>
      </c>
      <c r="HI70">
        <v>0</v>
      </c>
      <c r="HJ70">
        <v>0</v>
      </c>
    </row>
    <row r="71" ht="15" customHeight="1" spans="1:218" x14ac:dyDescent="0.25">
      <c r="A71" t="s">
        <v>261</v>
      </c>
      <c r="B71" t="s">
        <v>259</v>
      </c>
      <c r="C71" t="s">
        <v>88</v>
      </c>
      <c r="D71" t="s">
        <v>260</v>
      </c>
      <c r="E71" t="s">
        <v>1327</v>
      </c>
      <c r="F71" t="s">
        <v>671</v>
      </c>
      <c r="G71" t="s">
        <v>671</v>
      </c>
      <c r="H71" t="s">
        <v>671</v>
      </c>
      <c r="I71" t="s">
        <v>2922</v>
      </c>
      <c r="CQ71" t="s">
        <v>3030</v>
      </c>
      <c r="CR71" t="s">
        <v>121</v>
      </c>
      <c r="CS71" t="s">
        <v>225</v>
      </c>
      <c r="CT71" t="s">
        <v>223</v>
      </c>
      <c r="CU71" t="s">
        <v>81</v>
      </c>
      <c r="CV71" t="s">
        <v>224</v>
      </c>
      <c r="CW71">
        <v>0</v>
      </c>
      <c r="DB71">
        <v>2730</v>
      </c>
      <c r="DC71">
        <v>3020</v>
      </c>
      <c r="DD71">
        <v>3260</v>
      </c>
      <c r="DE71">
        <v>3260</v>
      </c>
      <c r="DG71" t="s">
        <v>3031</v>
      </c>
      <c r="DH71" t="s">
        <v>82</v>
      </c>
      <c r="DI71" t="s">
        <v>940</v>
      </c>
      <c r="DJ71" t="s">
        <v>941</v>
      </c>
      <c r="DK71" t="s">
        <v>692</v>
      </c>
      <c r="DL71">
        <v>53.85</v>
      </c>
      <c r="DM71" t="s">
        <v>670</v>
      </c>
      <c r="DN71" t="s">
        <v>669</v>
      </c>
      <c r="DO71">
        <v>0</v>
      </c>
      <c r="DP71">
        <v>0</v>
      </c>
      <c r="DQ71">
        <v>378.3</v>
      </c>
      <c r="DR71" t="s">
        <v>3032</v>
      </c>
      <c r="EB71" t="s">
        <v>3033</v>
      </c>
      <c r="EC71" t="s">
        <v>2696</v>
      </c>
      <c r="ED71" t="s">
        <v>2697</v>
      </c>
      <c r="EE71" t="s">
        <v>599</v>
      </c>
      <c r="EF71" t="s">
        <v>2421</v>
      </c>
      <c r="EG71">
        <v>600</v>
      </c>
      <c r="EH71">
        <v>600</v>
      </c>
      <c r="EI71">
        <v>600</v>
      </c>
      <c r="EJ71">
        <v>600</v>
      </c>
      <c r="EL71" t="s">
        <v>3034</v>
      </c>
      <c r="EM71" t="s">
        <v>2653</v>
      </c>
      <c r="EN71" t="s">
        <v>2654</v>
      </c>
      <c r="EO71">
        <v>5.5</v>
      </c>
      <c r="EP71" t="s">
        <v>2276</v>
      </c>
      <c r="EQ71" t="s">
        <v>2586</v>
      </c>
      <c r="ER71" t="s">
        <v>2587</v>
      </c>
      <c r="ES71">
        <v>76350</v>
      </c>
      <c r="ET71">
        <v>100790</v>
      </c>
      <c r="EU71">
        <v>109950</v>
      </c>
      <c r="EV71">
        <v>109950</v>
      </c>
      <c r="GD71" t="s">
        <v>3015</v>
      </c>
      <c r="GE71" t="s">
        <v>2457</v>
      </c>
      <c r="GF71" t="s">
        <v>85</v>
      </c>
      <c r="GG71" t="s">
        <v>85</v>
      </c>
      <c r="GH71">
        <v>0</v>
      </c>
      <c r="GI71">
        <v>0</v>
      </c>
      <c r="GJ71">
        <v>0</v>
      </c>
      <c r="GK71">
        <v>0</v>
      </c>
      <c r="GL71">
        <v>0</v>
      </c>
      <c r="GM71">
        <v>0</v>
      </c>
      <c r="GN71">
        <v>1</v>
      </c>
      <c r="GO71" t="s">
        <v>2280</v>
      </c>
      <c r="GP71" t="s">
        <v>87</v>
      </c>
      <c r="GQ71">
        <v>26</v>
      </c>
      <c r="GR71" t="s">
        <v>2261</v>
      </c>
      <c r="GS71" t="s">
        <v>3016</v>
      </c>
      <c r="HA71" t="s">
        <v>3035</v>
      </c>
      <c r="HB71" t="s">
        <v>125</v>
      </c>
      <c r="HC71" t="s">
        <v>2590</v>
      </c>
      <c r="HD71" t="s">
        <v>2074</v>
      </c>
      <c r="HE71">
        <v>0</v>
      </c>
      <c r="HF71">
        <v>0</v>
      </c>
      <c r="HG71">
        <v>0</v>
      </c>
      <c r="HH71">
        <v>0</v>
      </c>
      <c r="HI71">
        <v>0</v>
      </c>
      <c r="HJ71">
        <v>0</v>
      </c>
    </row>
    <row r="72" ht="15" customHeight="1" spans="1:218" x14ac:dyDescent="0.25">
      <c r="A72" t="s">
        <v>264</v>
      </c>
      <c r="B72" t="s">
        <v>262</v>
      </c>
      <c r="C72" t="s">
        <v>99</v>
      </c>
      <c r="D72" t="s">
        <v>263</v>
      </c>
      <c r="E72" t="s">
        <v>1327</v>
      </c>
      <c r="F72" t="s">
        <v>671</v>
      </c>
      <c r="G72" t="s">
        <v>671</v>
      </c>
      <c r="H72" t="s">
        <v>671</v>
      </c>
      <c r="I72" t="s">
        <v>2857</v>
      </c>
      <c r="CQ72" t="s">
        <v>3036</v>
      </c>
      <c r="CR72" t="s">
        <v>121</v>
      </c>
      <c r="CS72" t="s">
        <v>288</v>
      </c>
      <c r="CT72" t="s">
        <v>287</v>
      </c>
      <c r="CU72" t="s">
        <v>81</v>
      </c>
      <c r="CV72" t="s">
        <v>236</v>
      </c>
      <c r="CW72">
        <v>0</v>
      </c>
      <c r="DB72">
        <v>450</v>
      </c>
      <c r="DC72">
        <v>530</v>
      </c>
      <c r="DD72">
        <v>580</v>
      </c>
      <c r="DE72">
        <v>580</v>
      </c>
      <c r="DG72" t="s">
        <v>3037</v>
      </c>
      <c r="DH72" t="s">
        <v>82</v>
      </c>
      <c r="DI72" t="s">
        <v>945</v>
      </c>
      <c r="DJ72" t="s">
        <v>946</v>
      </c>
      <c r="DK72" t="s">
        <v>692</v>
      </c>
      <c r="DL72">
        <v>53.85</v>
      </c>
      <c r="DM72" t="s">
        <v>670</v>
      </c>
      <c r="DN72" t="s">
        <v>670</v>
      </c>
      <c r="DO72">
        <v>1</v>
      </c>
      <c r="DP72">
        <v>287</v>
      </c>
      <c r="DQ72">
        <v>287</v>
      </c>
      <c r="DR72" t="s">
        <v>3038</v>
      </c>
      <c r="EB72" t="s">
        <v>3039</v>
      </c>
      <c r="EC72" t="s">
        <v>2696</v>
      </c>
      <c r="EE72" t="s">
        <v>623</v>
      </c>
      <c r="EL72" t="s">
        <v>3040</v>
      </c>
      <c r="EM72" t="s">
        <v>2653</v>
      </c>
      <c r="EN72" t="s">
        <v>2654</v>
      </c>
      <c r="EO72">
        <v>6</v>
      </c>
      <c r="EP72" t="s">
        <v>2252</v>
      </c>
      <c r="EQ72" t="s">
        <v>2601</v>
      </c>
      <c r="ER72" t="s">
        <v>2602</v>
      </c>
      <c r="ES72">
        <v>76110</v>
      </c>
      <c r="ET72">
        <v>84060</v>
      </c>
      <c r="EU72">
        <v>90840</v>
      </c>
      <c r="EV72">
        <v>90840</v>
      </c>
      <c r="GD72" t="s">
        <v>3015</v>
      </c>
      <c r="GE72" t="s">
        <v>2457</v>
      </c>
      <c r="GF72" t="s">
        <v>85</v>
      </c>
      <c r="GG72" t="s">
        <v>86</v>
      </c>
      <c r="GH72">
        <v>0</v>
      </c>
      <c r="GI72">
        <v>0</v>
      </c>
      <c r="GJ72">
        <v>0</v>
      </c>
      <c r="GK72">
        <v>0</v>
      </c>
      <c r="GL72">
        <v>0</v>
      </c>
      <c r="GM72">
        <v>0</v>
      </c>
      <c r="GN72">
        <v>1</v>
      </c>
      <c r="GO72" t="s">
        <v>2280</v>
      </c>
      <c r="GP72" t="s">
        <v>87</v>
      </c>
      <c r="GQ72">
        <v>26</v>
      </c>
      <c r="GR72" t="s">
        <v>2261</v>
      </c>
      <c r="GS72" t="s">
        <v>3016</v>
      </c>
      <c r="HA72" t="s">
        <v>3041</v>
      </c>
      <c r="HB72" t="s">
        <v>125</v>
      </c>
      <c r="HC72" t="s">
        <v>2604</v>
      </c>
      <c r="HD72" t="s">
        <v>2075</v>
      </c>
      <c r="HE72">
        <v>0</v>
      </c>
      <c r="HF72">
        <v>0</v>
      </c>
      <c r="HG72">
        <v>0</v>
      </c>
      <c r="HH72">
        <v>0</v>
      </c>
      <c r="HI72">
        <v>0</v>
      </c>
      <c r="HJ72">
        <v>0</v>
      </c>
    </row>
    <row r="73" ht="15" customHeight="1" spans="1:218" x14ac:dyDescent="0.25">
      <c r="A73" t="s">
        <v>267</v>
      </c>
      <c r="B73" t="s">
        <v>265</v>
      </c>
      <c r="C73" t="s">
        <v>81</v>
      </c>
      <c r="D73" t="s">
        <v>266</v>
      </c>
      <c r="E73" t="s">
        <v>1578</v>
      </c>
      <c r="F73" t="s">
        <v>671</v>
      </c>
      <c r="G73" t="s">
        <v>671</v>
      </c>
      <c r="H73" t="s">
        <v>671</v>
      </c>
      <c r="I73" t="s">
        <v>2741</v>
      </c>
      <c r="CQ73" t="s">
        <v>3042</v>
      </c>
      <c r="CR73" t="s">
        <v>121</v>
      </c>
      <c r="CS73" t="s">
        <v>269</v>
      </c>
      <c r="CT73" t="s">
        <v>268</v>
      </c>
      <c r="CU73" t="s">
        <v>81</v>
      </c>
      <c r="CV73" t="s">
        <v>236</v>
      </c>
      <c r="CW73">
        <v>0</v>
      </c>
      <c r="DB73">
        <v>280</v>
      </c>
      <c r="DC73">
        <v>280</v>
      </c>
      <c r="DD73">
        <v>280</v>
      </c>
      <c r="DE73">
        <v>280</v>
      </c>
      <c r="DG73" t="s">
        <v>3043</v>
      </c>
      <c r="DH73" t="s">
        <v>82</v>
      </c>
      <c r="DI73" t="s">
        <v>950</v>
      </c>
      <c r="DJ73" t="s">
        <v>951</v>
      </c>
      <c r="DK73" t="s">
        <v>668</v>
      </c>
      <c r="DL73">
        <v>50</v>
      </c>
      <c r="DM73" t="s">
        <v>669</v>
      </c>
      <c r="DN73" t="s">
        <v>670</v>
      </c>
      <c r="DO73">
        <v>3</v>
      </c>
      <c r="DP73">
        <v>1060.32</v>
      </c>
      <c r="DQ73">
        <v>1060.32</v>
      </c>
      <c r="DR73" t="s">
        <v>3044</v>
      </c>
      <c r="EB73" t="s">
        <v>3045</v>
      </c>
      <c r="EC73" t="s">
        <v>2696</v>
      </c>
      <c r="EE73" t="s">
        <v>596</v>
      </c>
      <c r="EL73" t="s">
        <v>3046</v>
      </c>
      <c r="EM73" t="s">
        <v>2653</v>
      </c>
      <c r="EN73" t="s">
        <v>2654</v>
      </c>
      <c r="EO73">
        <v>6</v>
      </c>
      <c r="EP73" t="s">
        <v>2276</v>
      </c>
      <c r="EQ73" t="s">
        <v>2615</v>
      </c>
      <c r="ER73" t="s">
        <v>2616</v>
      </c>
      <c r="ES73">
        <v>79770</v>
      </c>
      <c r="ET73">
        <v>105300</v>
      </c>
      <c r="EU73">
        <v>114870</v>
      </c>
      <c r="EV73">
        <v>114870</v>
      </c>
      <c r="GD73" t="s">
        <v>3015</v>
      </c>
      <c r="GE73" t="s">
        <v>2457</v>
      </c>
      <c r="GF73" t="s">
        <v>85</v>
      </c>
      <c r="GG73" t="s">
        <v>87</v>
      </c>
      <c r="GH73">
        <v>26</v>
      </c>
      <c r="GI73">
        <v>96442</v>
      </c>
      <c r="GJ73">
        <v>98192</v>
      </c>
      <c r="GK73">
        <v>99817</v>
      </c>
      <c r="GL73">
        <v>0.0344</v>
      </c>
      <c r="GM73">
        <v>98192</v>
      </c>
      <c r="GN73">
        <v>0</v>
      </c>
      <c r="GO73" t="s">
        <v>2617</v>
      </c>
      <c r="GP73" t="s">
        <v>87</v>
      </c>
      <c r="GQ73">
        <v>26</v>
      </c>
      <c r="GR73" t="s">
        <v>2261</v>
      </c>
      <c r="GS73" t="s">
        <v>3016</v>
      </c>
      <c r="HA73" t="s">
        <v>3047</v>
      </c>
      <c r="HB73" t="s">
        <v>125</v>
      </c>
      <c r="HC73" t="s">
        <v>2619</v>
      </c>
      <c r="HD73" t="s">
        <v>150</v>
      </c>
      <c r="HE73">
        <v>0</v>
      </c>
      <c r="HF73">
        <v>0</v>
      </c>
      <c r="HG73">
        <v>0</v>
      </c>
      <c r="HH73">
        <v>0</v>
      </c>
      <c r="HI73">
        <v>0</v>
      </c>
      <c r="HJ73">
        <v>0</v>
      </c>
    </row>
    <row r="74" ht="15" customHeight="1" spans="1:218" x14ac:dyDescent="0.25">
      <c r="A74" t="s">
        <v>269</v>
      </c>
      <c r="B74" t="s">
        <v>268</v>
      </c>
      <c r="C74" t="s">
        <v>81</v>
      </c>
      <c r="D74" t="s">
        <v>236</v>
      </c>
      <c r="E74" t="s">
        <v>1145</v>
      </c>
      <c r="F74" t="s">
        <v>671</v>
      </c>
      <c r="G74" t="s">
        <v>671</v>
      </c>
      <c r="H74" t="s">
        <v>671</v>
      </c>
      <c r="I74" t="s">
        <v>2807</v>
      </c>
      <c r="CQ74" t="s">
        <v>3048</v>
      </c>
      <c r="CR74" t="s">
        <v>121</v>
      </c>
      <c r="CS74" t="s">
        <v>237</v>
      </c>
      <c r="CT74" t="s">
        <v>235</v>
      </c>
      <c r="CU74" t="s">
        <v>81</v>
      </c>
      <c r="CV74" t="s">
        <v>236</v>
      </c>
      <c r="CW74">
        <v>0</v>
      </c>
      <c r="DB74">
        <v>2650</v>
      </c>
      <c r="DC74">
        <v>2650</v>
      </c>
      <c r="DD74">
        <v>2650</v>
      </c>
      <c r="DE74">
        <v>2650</v>
      </c>
      <c r="DG74" t="s">
        <v>3049</v>
      </c>
      <c r="DH74" t="s">
        <v>82</v>
      </c>
      <c r="DI74" t="s">
        <v>955</v>
      </c>
      <c r="DJ74" t="s">
        <v>956</v>
      </c>
      <c r="DK74" t="s">
        <v>668</v>
      </c>
      <c r="DL74">
        <v>50</v>
      </c>
      <c r="DM74" t="s">
        <v>670</v>
      </c>
      <c r="DN74" t="s">
        <v>670</v>
      </c>
      <c r="DO74">
        <v>0</v>
      </c>
      <c r="DP74">
        <v>0</v>
      </c>
      <c r="DQ74">
        <v>34.5</v>
      </c>
      <c r="DR74" t="s">
        <v>3050</v>
      </c>
      <c r="EB74" t="s">
        <v>3051</v>
      </c>
      <c r="EC74" t="s">
        <v>2696</v>
      </c>
      <c r="ED74" t="s">
        <v>2697</v>
      </c>
      <c r="EE74" t="s">
        <v>593</v>
      </c>
      <c r="EF74" t="s">
        <v>2469</v>
      </c>
      <c r="EG74">
        <v>1</v>
      </c>
      <c r="EH74">
        <v>1</v>
      </c>
      <c r="EI74">
        <v>1</v>
      </c>
      <c r="EJ74">
        <v>1</v>
      </c>
      <c r="EL74" t="s">
        <v>3052</v>
      </c>
      <c r="EM74" t="s">
        <v>2653</v>
      </c>
      <c r="EN74" t="s">
        <v>2654</v>
      </c>
      <c r="EO74">
        <v>6.5</v>
      </c>
      <c r="EP74" t="s">
        <v>2252</v>
      </c>
      <c r="EQ74" t="s">
        <v>2628</v>
      </c>
      <c r="ER74" t="s">
        <v>2629</v>
      </c>
      <c r="ES74">
        <v>78830</v>
      </c>
      <c r="ET74">
        <v>87080</v>
      </c>
      <c r="EU74">
        <v>94100</v>
      </c>
      <c r="EV74">
        <v>94100</v>
      </c>
      <c r="HA74" t="s">
        <v>3053</v>
      </c>
      <c r="HB74" t="s">
        <v>85</v>
      </c>
      <c r="HC74" t="s">
        <v>2264</v>
      </c>
      <c r="HD74" t="s">
        <v>142</v>
      </c>
      <c r="HE74">
        <v>0</v>
      </c>
      <c r="HF74">
        <v>0</v>
      </c>
      <c r="HG74">
        <v>0</v>
      </c>
      <c r="HH74">
        <v>0</v>
      </c>
      <c r="HI74">
        <v>0</v>
      </c>
      <c r="HJ74">
        <v>0</v>
      </c>
    </row>
    <row r="75" ht="15" customHeight="1" spans="1:218" x14ac:dyDescent="0.25">
      <c r="A75" t="s">
        <v>272</v>
      </c>
      <c r="B75" t="s">
        <v>270</v>
      </c>
      <c r="C75" t="s">
        <v>81</v>
      </c>
      <c r="D75" t="s">
        <v>271</v>
      </c>
      <c r="E75" t="s">
        <v>1578</v>
      </c>
      <c r="F75" t="s">
        <v>671</v>
      </c>
      <c r="G75" t="s">
        <v>671</v>
      </c>
      <c r="H75" t="s">
        <v>671</v>
      </c>
      <c r="I75" t="s">
        <v>2720</v>
      </c>
      <c r="CQ75" t="s">
        <v>3054</v>
      </c>
      <c r="CR75" t="s">
        <v>121</v>
      </c>
      <c r="CS75" t="s">
        <v>249</v>
      </c>
      <c r="CT75" t="s">
        <v>247</v>
      </c>
      <c r="CU75" t="s">
        <v>81</v>
      </c>
      <c r="CV75" t="s">
        <v>248</v>
      </c>
      <c r="CW75">
        <v>0</v>
      </c>
      <c r="DB75">
        <v>310</v>
      </c>
      <c r="DC75">
        <v>340</v>
      </c>
      <c r="DD75">
        <v>370</v>
      </c>
      <c r="DE75">
        <v>370</v>
      </c>
      <c r="DG75" t="s">
        <v>3055</v>
      </c>
      <c r="DH75" t="s">
        <v>82</v>
      </c>
      <c r="DI75" t="s">
        <v>958</v>
      </c>
      <c r="DJ75" t="s">
        <v>959</v>
      </c>
      <c r="DK75" t="s">
        <v>668</v>
      </c>
      <c r="DL75">
        <v>50</v>
      </c>
      <c r="DM75" t="s">
        <v>670</v>
      </c>
      <c r="DN75" t="s">
        <v>670</v>
      </c>
      <c r="DO75">
        <v>40</v>
      </c>
      <c r="DP75">
        <v>1200</v>
      </c>
      <c r="DQ75">
        <v>1200</v>
      </c>
      <c r="DR75" t="s">
        <v>3056</v>
      </c>
      <c r="EB75" t="s">
        <v>3057</v>
      </c>
      <c r="EC75" t="s">
        <v>2696</v>
      </c>
      <c r="ED75" t="s">
        <v>2697</v>
      </c>
      <c r="EE75" t="s">
        <v>591</v>
      </c>
      <c r="EF75" t="s">
        <v>3058</v>
      </c>
      <c r="EG75">
        <v>1000</v>
      </c>
      <c r="EH75">
        <v>1000</v>
      </c>
      <c r="EI75">
        <v>1000</v>
      </c>
      <c r="EJ75">
        <v>1000</v>
      </c>
      <c r="EL75" t="s">
        <v>3059</v>
      </c>
      <c r="EM75" t="s">
        <v>2653</v>
      </c>
      <c r="EN75" t="s">
        <v>2654</v>
      </c>
      <c r="EO75">
        <v>6.5</v>
      </c>
      <c r="EP75" t="s">
        <v>2276</v>
      </c>
      <c r="EQ75" t="s">
        <v>2644</v>
      </c>
      <c r="ER75" t="s">
        <v>2645</v>
      </c>
      <c r="ES75">
        <v>82610</v>
      </c>
      <c r="ET75">
        <v>109040</v>
      </c>
      <c r="EU75">
        <v>118950</v>
      </c>
      <c r="EV75">
        <v>118950</v>
      </c>
      <c r="HA75" t="s">
        <v>3060</v>
      </c>
      <c r="HB75" t="s">
        <v>85</v>
      </c>
      <c r="HC75" t="s">
        <v>2282</v>
      </c>
      <c r="HD75" t="s">
        <v>37</v>
      </c>
      <c r="HE75">
        <v>0</v>
      </c>
      <c r="HF75">
        <v>0</v>
      </c>
      <c r="HG75">
        <v>0</v>
      </c>
      <c r="HH75">
        <v>0</v>
      </c>
      <c r="HI75">
        <v>0</v>
      </c>
      <c r="HJ75">
        <v>0</v>
      </c>
    </row>
    <row r="76" ht="15" customHeight="1" spans="1:218" x14ac:dyDescent="0.25">
      <c r="A76" t="s">
        <v>275</v>
      </c>
      <c r="B76" t="s">
        <v>273</v>
      </c>
      <c r="C76" t="s">
        <v>81</v>
      </c>
      <c r="D76" t="s">
        <v>274</v>
      </c>
      <c r="E76" t="s">
        <v>1578</v>
      </c>
      <c r="F76" t="s">
        <v>671</v>
      </c>
      <c r="G76" t="s">
        <v>671</v>
      </c>
      <c r="H76" t="s">
        <v>671</v>
      </c>
      <c r="I76" t="s">
        <v>2676</v>
      </c>
      <c r="CQ76" t="s">
        <v>3061</v>
      </c>
      <c r="CR76" t="s">
        <v>121</v>
      </c>
      <c r="CS76" t="s">
        <v>293</v>
      </c>
      <c r="CT76" t="s">
        <v>291</v>
      </c>
      <c r="CU76" t="s">
        <v>81</v>
      </c>
      <c r="CV76" t="s">
        <v>292</v>
      </c>
      <c r="CW76">
        <v>0</v>
      </c>
      <c r="DB76">
        <v>330</v>
      </c>
      <c r="DC76">
        <v>370</v>
      </c>
      <c r="DD76">
        <v>400</v>
      </c>
      <c r="DE76">
        <v>400</v>
      </c>
      <c r="DG76" t="s">
        <v>3062</v>
      </c>
      <c r="DH76" t="s">
        <v>82</v>
      </c>
      <c r="DI76" t="s">
        <v>961</v>
      </c>
      <c r="DJ76" t="s">
        <v>962</v>
      </c>
      <c r="DK76" t="s">
        <v>668</v>
      </c>
      <c r="DL76">
        <v>50</v>
      </c>
      <c r="DM76" t="s">
        <v>670</v>
      </c>
      <c r="DN76" t="s">
        <v>670</v>
      </c>
      <c r="DO76">
        <v>0</v>
      </c>
      <c r="DP76">
        <v>0</v>
      </c>
      <c r="DQ76">
        <v>4456.48</v>
      </c>
      <c r="DR76" t="s">
        <v>3063</v>
      </c>
      <c r="EB76" t="s">
        <v>3064</v>
      </c>
      <c r="EC76" t="s">
        <v>2696</v>
      </c>
      <c r="ED76" t="s">
        <v>2697</v>
      </c>
      <c r="EE76" t="s">
        <v>2423</v>
      </c>
      <c r="EF76" t="s">
        <v>2424</v>
      </c>
      <c r="EG76">
        <v>24000</v>
      </c>
      <c r="EH76">
        <v>24000</v>
      </c>
      <c r="EI76">
        <v>24000</v>
      </c>
      <c r="EJ76">
        <v>24000</v>
      </c>
      <c r="EL76" t="s">
        <v>3065</v>
      </c>
      <c r="EM76" t="s">
        <v>2653</v>
      </c>
      <c r="EN76" t="s">
        <v>2654</v>
      </c>
      <c r="EO76">
        <v>7</v>
      </c>
      <c r="EP76" t="s">
        <v>2252</v>
      </c>
      <c r="EQ76" t="s">
        <v>2659</v>
      </c>
      <c r="ER76" t="s">
        <v>2660</v>
      </c>
      <c r="ES76">
        <v>80990</v>
      </c>
      <c r="ET76">
        <v>89460</v>
      </c>
      <c r="EU76">
        <v>96660</v>
      </c>
      <c r="EV76">
        <v>96660</v>
      </c>
      <c r="HA76" t="s">
        <v>3066</v>
      </c>
      <c r="HB76" t="s">
        <v>85</v>
      </c>
      <c r="HC76" t="s">
        <v>2296</v>
      </c>
      <c r="HD76" t="s">
        <v>38</v>
      </c>
      <c r="HE76">
        <v>0</v>
      </c>
      <c r="HF76">
        <v>0</v>
      </c>
      <c r="HG76">
        <v>0</v>
      </c>
      <c r="HH76">
        <v>0</v>
      </c>
      <c r="HI76">
        <v>0</v>
      </c>
      <c r="HJ76">
        <v>0</v>
      </c>
    </row>
    <row r="77" ht="15" customHeight="1" spans="1:218" x14ac:dyDescent="0.25">
      <c r="A77" t="s">
        <v>278</v>
      </c>
      <c r="B77" t="s">
        <v>276</v>
      </c>
      <c r="C77" t="s">
        <v>88</v>
      </c>
      <c r="D77" t="s">
        <v>277</v>
      </c>
      <c r="E77" t="s">
        <v>1578</v>
      </c>
      <c r="F77" t="s">
        <v>671</v>
      </c>
      <c r="G77" t="s">
        <v>671</v>
      </c>
      <c r="H77" t="s">
        <v>671</v>
      </c>
      <c r="I77" t="s">
        <v>2865</v>
      </c>
      <c r="CQ77" t="s">
        <v>3067</v>
      </c>
      <c r="CR77" t="s">
        <v>121</v>
      </c>
      <c r="CS77" t="s">
        <v>327</v>
      </c>
      <c r="CT77" t="s">
        <v>328</v>
      </c>
      <c r="CU77" t="s">
        <v>81</v>
      </c>
      <c r="CV77" t="s">
        <v>248</v>
      </c>
      <c r="CW77">
        <v>0</v>
      </c>
      <c r="DB77">
        <v>1050</v>
      </c>
      <c r="DC77">
        <v>1160</v>
      </c>
      <c r="DD77">
        <v>1250</v>
      </c>
      <c r="DE77">
        <v>1250</v>
      </c>
      <c r="DG77" t="s">
        <v>3068</v>
      </c>
      <c r="DH77" t="s">
        <v>82</v>
      </c>
      <c r="DI77" t="s">
        <v>966</v>
      </c>
      <c r="DJ77" t="s">
        <v>967</v>
      </c>
      <c r="DK77" t="s">
        <v>668</v>
      </c>
      <c r="DL77">
        <v>50</v>
      </c>
      <c r="DM77" t="s">
        <v>669</v>
      </c>
      <c r="DN77" t="s">
        <v>670</v>
      </c>
      <c r="DO77">
        <v>4</v>
      </c>
      <c r="DP77">
        <v>1443.76</v>
      </c>
      <c r="DQ77">
        <v>1443.76</v>
      </c>
      <c r="DR77" t="s">
        <v>3069</v>
      </c>
      <c r="EB77" t="s">
        <v>3070</v>
      </c>
      <c r="EC77" t="s">
        <v>2696</v>
      </c>
      <c r="EE77" t="s">
        <v>584</v>
      </c>
      <c r="EL77" t="s">
        <v>3071</v>
      </c>
      <c r="EM77" t="s">
        <v>2653</v>
      </c>
      <c r="EN77" t="s">
        <v>2654</v>
      </c>
      <c r="EO77">
        <v>7</v>
      </c>
      <c r="EP77" t="s">
        <v>2276</v>
      </c>
      <c r="EQ77" t="s">
        <v>2673</v>
      </c>
      <c r="ER77" t="s">
        <v>2674</v>
      </c>
      <c r="ES77">
        <v>84860</v>
      </c>
      <c r="ET77">
        <v>112010</v>
      </c>
      <c r="EU77">
        <v>122190</v>
      </c>
      <c r="EV77">
        <v>122190</v>
      </c>
      <c r="HA77" t="s">
        <v>3072</v>
      </c>
      <c r="HB77" t="s">
        <v>85</v>
      </c>
      <c r="HC77" t="s">
        <v>2310</v>
      </c>
      <c r="HD77" t="s">
        <v>39</v>
      </c>
      <c r="HE77">
        <v>0</v>
      </c>
      <c r="HF77">
        <v>0</v>
      </c>
      <c r="HG77">
        <v>0</v>
      </c>
      <c r="HH77">
        <v>0</v>
      </c>
      <c r="HI77">
        <v>0</v>
      </c>
      <c r="HJ77">
        <v>0</v>
      </c>
    </row>
    <row r="78" ht="15" customHeight="1" spans="1:218" x14ac:dyDescent="0.25">
      <c r="A78" t="s">
        <v>280</v>
      </c>
      <c r="B78" t="s">
        <v>279</v>
      </c>
      <c r="C78" t="s">
        <v>81</v>
      </c>
      <c r="D78" t="s">
        <v>248</v>
      </c>
      <c r="E78" t="s">
        <v>1578</v>
      </c>
      <c r="F78" t="s">
        <v>671</v>
      </c>
      <c r="G78" t="s">
        <v>671</v>
      </c>
      <c r="H78" t="s">
        <v>671</v>
      </c>
      <c r="I78" t="s">
        <v>2849</v>
      </c>
      <c r="CQ78" t="s">
        <v>3073</v>
      </c>
      <c r="CR78" t="s">
        <v>121</v>
      </c>
      <c r="CS78" t="s">
        <v>330</v>
      </c>
      <c r="CT78" t="s">
        <v>331</v>
      </c>
      <c r="CU78" t="s">
        <v>81</v>
      </c>
      <c r="CV78" t="s">
        <v>248</v>
      </c>
      <c r="CW78">
        <v>0</v>
      </c>
      <c r="DB78">
        <v>380</v>
      </c>
      <c r="DC78">
        <v>420</v>
      </c>
      <c r="DD78">
        <v>460</v>
      </c>
      <c r="DE78">
        <v>460</v>
      </c>
      <c r="DG78" t="s">
        <v>3074</v>
      </c>
      <c r="DH78" t="s">
        <v>82</v>
      </c>
      <c r="DI78" t="s">
        <v>969</v>
      </c>
      <c r="DJ78" t="s">
        <v>970</v>
      </c>
      <c r="DK78" t="s">
        <v>692</v>
      </c>
      <c r="DL78">
        <v>50</v>
      </c>
      <c r="DM78" t="s">
        <v>670</v>
      </c>
      <c r="DN78" t="s">
        <v>669</v>
      </c>
      <c r="DO78">
        <v>0</v>
      </c>
      <c r="DP78">
        <v>0</v>
      </c>
      <c r="DQ78">
        <v>243</v>
      </c>
      <c r="DR78" t="s">
        <v>3075</v>
      </c>
      <c r="EB78" t="s">
        <v>3076</v>
      </c>
      <c r="EC78" t="s">
        <v>2696</v>
      </c>
      <c r="ED78" t="s">
        <v>2697</v>
      </c>
      <c r="EE78" t="s">
        <v>582</v>
      </c>
      <c r="EF78" t="s">
        <v>2525</v>
      </c>
      <c r="EG78">
        <v>1</v>
      </c>
      <c r="EH78">
        <v>1</v>
      </c>
      <c r="EI78">
        <v>1</v>
      </c>
      <c r="EJ78">
        <v>1</v>
      </c>
      <c r="EL78" t="s">
        <v>3077</v>
      </c>
      <c r="EM78" t="s">
        <v>2653</v>
      </c>
      <c r="EN78" t="s">
        <v>2654</v>
      </c>
      <c r="EO78">
        <v>7.5</v>
      </c>
      <c r="EP78" t="s">
        <v>2252</v>
      </c>
      <c r="EQ78" t="s">
        <v>2686</v>
      </c>
      <c r="ER78" t="s">
        <v>2687</v>
      </c>
      <c r="ES78">
        <v>82550</v>
      </c>
      <c r="ET78">
        <v>91250</v>
      </c>
      <c r="EU78">
        <v>98540</v>
      </c>
      <c r="EV78">
        <v>98540</v>
      </c>
      <c r="HA78" t="s">
        <v>3078</v>
      </c>
      <c r="HB78" t="s">
        <v>85</v>
      </c>
      <c r="HC78" t="s">
        <v>2326</v>
      </c>
      <c r="HD78" t="s">
        <v>143</v>
      </c>
      <c r="HE78">
        <v>0</v>
      </c>
      <c r="HF78">
        <v>0</v>
      </c>
      <c r="HG78">
        <v>0</v>
      </c>
      <c r="HH78">
        <v>0</v>
      </c>
      <c r="HI78">
        <v>0</v>
      </c>
      <c r="HJ78">
        <v>0</v>
      </c>
    </row>
    <row r="79" ht="15" customHeight="1" spans="1:218" x14ac:dyDescent="0.25">
      <c r="A79" t="s">
        <v>283</v>
      </c>
      <c r="B79" t="s">
        <v>281</v>
      </c>
      <c r="C79" t="s">
        <v>81</v>
      </c>
      <c r="D79" t="s">
        <v>282</v>
      </c>
      <c r="E79" t="s">
        <v>1418</v>
      </c>
      <c r="F79" t="s">
        <v>671</v>
      </c>
      <c r="G79" t="s">
        <v>671</v>
      </c>
      <c r="H79" t="s">
        <v>671</v>
      </c>
      <c r="I79" t="s">
        <v>2731</v>
      </c>
      <c r="CQ79" t="s">
        <v>3079</v>
      </c>
      <c r="CR79" t="s">
        <v>121</v>
      </c>
      <c r="CS79" t="s">
        <v>280</v>
      </c>
      <c r="CT79" t="s">
        <v>279</v>
      </c>
      <c r="CU79" t="s">
        <v>81</v>
      </c>
      <c r="CV79" t="s">
        <v>248</v>
      </c>
      <c r="CW79">
        <v>0</v>
      </c>
      <c r="DB79">
        <v>860</v>
      </c>
      <c r="DC79">
        <v>950</v>
      </c>
      <c r="DD79">
        <v>1020</v>
      </c>
      <c r="DE79">
        <v>1020</v>
      </c>
      <c r="DG79" t="s">
        <v>3080</v>
      </c>
      <c r="DH79" t="s">
        <v>82</v>
      </c>
      <c r="DI79" t="s">
        <v>974</v>
      </c>
      <c r="DJ79" t="s">
        <v>975</v>
      </c>
      <c r="DK79" t="s">
        <v>692</v>
      </c>
      <c r="DL79">
        <v>50</v>
      </c>
      <c r="DM79" t="s">
        <v>669</v>
      </c>
      <c r="DN79" t="s">
        <v>670</v>
      </c>
      <c r="DO79">
        <v>1</v>
      </c>
      <c r="DP79">
        <v>117</v>
      </c>
      <c r="DQ79">
        <v>117</v>
      </c>
      <c r="DR79" t="s">
        <v>3081</v>
      </c>
      <c r="EB79" t="s">
        <v>3082</v>
      </c>
      <c r="EC79" t="s">
        <v>2696</v>
      </c>
      <c r="ED79" t="s">
        <v>2697</v>
      </c>
      <c r="EE79" t="s">
        <v>580</v>
      </c>
      <c r="EF79" t="s">
        <v>2539</v>
      </c>
      <c r="EG79">
        <v>1</v>
      </c>
      <c r="EH79">
        <v>1</v>
      </c>
      <c r="EI79">
        <v>1</v>
      </c>
      <c r="EJ79">
        <v>1</v>
      </c>
      <c r="EL79" t="s">
        <v>3083</v>
      </c>
      <c r="EM79" t="s">
        <v>2653</v>
      </c>
      <c r="EN79" t="s">
        <v>2654</v>
      </c>
      <c r="EO79">
        <v>7.5</v>
      </c>
      <c r="EP79" t="s">
        <v>2276</v>
      </c>
      <c r="EQ79" t="s">
        <v>2701</v>
      </c>
      <c r="ER79" t="s">
        <v>2702</v>
      </c>
      <c r="ES79">
        <v>83340</v>
      </c>
      <c r="ET79">
        <v>90920</v>
      </c>
      <c r="EU79">
        <v>98490</v>
      </c>
      <c r="EV79">
        <v>106080</v>
      </c>
      <c r="HA79" t="s">
        <v>3084</v>
      </c>
      <c r="HB79" t="s">
        <v>85</v>
      </c>
      <c r="HC79" t="s">
        <v>2342</v>
      </c>
      <c r="HD79" t="s">
        <v>79</v>
      </c>
      <c r="HE79">
        <v>0</v>
      </c>
      <c r="HF79">
        <v>0</v>
      </c>
      <c r="HG79">
        <v>0</v>
      </c>
      <c r="HH79">
        <v>0</v>
      </c>
      <c r="HI79">
        <v>0</v>
      </c>
      <c r="HJ79">
        <v>0</v>
      </c>
    </row>
    <row r="80" ht="15" customHeight="1" spans="1:218" x14ac:dyDescent="0.25">
      <c r="A80" t="s">
        <v>286</v>
      </c>
      <c r="B80" t="s">
        <v>284</v>
      </c>
      <c r="C80" t="s">
        <v>81</v>
      </c>
      <c r="D80" t="s">
        <v>285</v>
      </c>
      <c r="E80" t="s">
        <v>1578</v>
      </c>
      <c r="F80" t="s">
        <v>671</v>
      </c>
      <c r="G80" t="s">
        <v>671</v>
      </c>
      <c r="H80" t="s">
        <v>671</v>
      </c>
      <c r="I80" t="s">
        <v>2704</v>
      </c>
      <c r="CQ80" t="s">
        <v>3085</v>
      </c>
      <c r="CR80" t="s">
        <v>121</v>
      </c>
      <c r="CS80" t="s">
        <v>576</v>
      </c>
      <c r="CT80" t="s">
        <v>574</v>
      </c>
      <c r="CU80" t="s">
        <v>88</v>
      </c>
      <c r="CV80" t="s">
        <v>575</v>
      </c>
      <c r="CW80">
        <v>0</v>
      </c>
      <c r="DB80">
        <v>2030</v>
      </c>
      <c r="DC80">
        <v>2210</v>
      </c>
      <c r="DD80">
        <v>2380</v>
      </c>
      <c r="DE80">
        <v>2560</v>
      </c>
      <c r="DG80" t="s">
        <v>3086</v>
      </c>
      <c r="DH80" t="s">
        <v>82</v>
      </c>
      <c r="DI80" t="s">
        <v>976</v>
      </c>
      <c r="DJ80" t="s">
        <v>977</v>
      </c>
      <c r="DK80" t="s">
        <v>692</v>
      </c>
      <c r="DL80">
        <v>50</v>
      </c>
      <c r="DM80" t="s">
        <v>669</v>
      </c>
      <c r="DN80" t="s">
        <v>670</v>
      </c>
      <c r="DO80">
        <v>1</v>
      </c>
      <c r="DP80">
        <v>421</v>
      </c>
      <c r="DQ80">
        <v>421</v>
      </c>
      <c r="DR80" t="s">
        <v>3087</v>
      </c>
      <c r="EB80" t="s">
        <v>3088</v>
      </c>
      <c r="EC80" t="s">
        <v>2696</v>
      </c>
      <c r="EE80" t="s">
        <v>578</v>
      </c>
      <c r="EL80" t="s">
        <v>3089</v>
      </c>
      <c r="EM80" t="s">
        <v>2653</v>
      </c>
      <c r="EN80" t="s">
        <v>2654</v>
      </c>
      <c r="EO80">
        <v>8</v>
      </c>
      <c r="EP80" t="s">
        <v>2252</v>
      </c>
      <c r="EQ80" t="s">
        <v>2715</v>
      </c>
      <c r="ER80" t="s">
        <v>2716</v>
      </c>
      <c r="ES80">
        <v>83550</v>
      </c>
      <c r="ET80">
        <v>92330</v>
      </c>
      <c r="EU80">
        <v>99720</v>
      </c>
      <c r="EV80">
        <v>99720</v>
      </c>
      <c r="HA80" t="s">
        <v>3090</v>
      </c>
      <c r="HB80" t="s">
        <v>85</v>
      </c>
      <c r="HC80" t="s">
        <v>2361</v>
      </c>
      <c r="HD80" t="s">
        <v>144</v>
      </c>
      <c r="HE80">
        <v>0</v>
      </c>
      <c r="HF80">
        <v>0</v>
      </c>
      <c r="HG80">
        <v>0</v>
      </c>
      <c r="HH80">
        <v>0</v>
      </c>
      <c r="HI80">
        <v>0</v>
      </c>
      <c r="HJ80">
        <v>0</v>
      </c>
    </row>
    <row r="81" ht="15" customHeight="1" spans="1:218" x14ac:dyDescent="0.25">
      <c r="A81" t="s">
        <v>288</v>
      </c>
      <c r="B81" t="s">
        <v>287</v>
      </c>
      <c r="C81" t="s">
        <v>81</v>
      </c>
      <c r="D81" t="s">
        <v>236</v>
      </c>
      <c r="E81" t="s">
        <v>1578</v>
      </c>
      <c r="F81" t="s">
        <v>671</v>
      </c>
      <c r="G81" t="s">
        <v>671</v>
      </c>
      <c r="H81" t="s">
        <v>671</v>
      </c>
      <c r="I81" t="s">
        <v>2796</v>
      </c>
      <c r="CQ81" t="s">
        <v>3091</v>
      </c>
      <c r="CR81" t="s">
        <v>121</v>
      </c>
      <c r="CS81" t="s">
        <v>264</v>
      </c>
      <c r="CT81" t="s">
        <v>262</v>
      </c>
      <c r="CU81" t="s">
        <v>99</v>
      </c>
      <c r="CV81" t="s">
        <v>263</v>
      </c>
      <c r="CW81">
        <v>0</v>
      </c>
      <c r="DB81">
        <v>680</v>
      </c>
      <c r="DC81">
        <v>750</v>
      </c>
      <c r="DD81">
        <v>810</v>
      </c>
      <c r="DE81">
        <v>810</v>
      </c>
      <c r="DG81" t="s">
        <v>3092</v>
      </c>
      <c r="DH81" t="s">
        <v>82</v>
      </c>
      <c r="DI81" t="s">
        <v>979</v>
      </c>
      <c r="DJ81" t="s">
        <v>980</v>
      </c>
      <c r="DK81" t="s">
        <v>692</v>
      </c>
      <c r="DL81">
        <v>50</v>
      </c>
      <c r="DM81" t="s">
        <v>669</v>
      </c>
      <c r="DN81" t="s">
        <v>670</v>
      </c>
      <c r="DO81">
        <v>1</v>
      </c>
      <c r="DP81">
        <v>220</v>
      </c>
      <c r="DQ81">
        <v>220</v>
      </c>
      <c r="DR81" t="s">
        <v>3093</v>
      </c>
      <c r="EB81" t="s">
        <v>3094</v>
      </c>
      <c r="EC81" t="s">
        <v>2696</v>
      </c>
      <c r="EE81" t="s">
        <v>327</v>
      </c>
      <c r="EL81" t="s">
        <v>3095</v>
      </c>
      <c r="EM81" t="s">
        <v>2653</v>
      </c>
      <c r="EN81" t="s">
        <v>2654</v>
      </c>
      <c r="EO81">
        <v>8</v>
      </c>
      <c r="EP81" t="s">
        <v>2276</v>
      </c>
      <c r="EQ81" t="s">
        <v>2728</v>
      </c>
      <c r="ER81" t="s">
        <v>2729</v>
      </c>
      <c r="ES81">
        <v>87590</v>
      </c>
      <c r="ET81">
        <v>115610</v>
      </c>
      <c r="EU81">
        <v>126120</v>
      </c>
      <c r="EV81">
        <v>126120</v>
      </c>
      <c r="HA81" t="s">
        <v>3096</v>
      </c>
      <c r="HB81" t="s">
        <v>85</v>
      </c>
      <c r="HC81" t="s">
        <v>2376</v>
      </c>
      <c r="HD81" t="s">
        <v>81</v>
      </c>
      <c r="HE81">
        <v>0</v>
      </c>
      <c r="HF81">
        <v>0</v>
      </c>
      <c r="HG81">
        <v>0</v>
      </c>
      <c r="HH81">
        <v>0</v>
      </c>
      <c r="HI81">
        <v>0</v>
      </c>
      <c r="HJ81">
        <v>0</v>
      </c>
    </row>
    <row r="82" ht="15" customHeight="1" spans="1:218" x14ac:dyDescent="0.25">
      <c r="A82" t="s">
        <v>290</v>
      </c>
      <c r="B82" t="s">
        <v>289</v>
      </c>
      <c r="C82" t="s">
        <v>81</v>
      </c>
      <c r="D82" t="s">
        <v>289</v>
      </c>
      <c r="E82" t="s">
        <v>1578</v>
      </c>
      <c r="F82" t="s">
        <v>671</v>
      </c>
      <c r="G82" t="s">
        <v>671</v>
      </c>
      <c r="H82" t="s">
        <v>671</v>
      </c>
      <c r="I82" t="s">
        <v>2662</v>
      </c>
      <c r="CQ82" t="s">
        <v>3097</v>
      </c>
      <c r="CR82" t="s">
        <v>121</v>
      </c>
      <c r="CS82" t="s">
        <v>606</v>
      </c>
      <c r="CT82" t="s">
        <v>2371</v>
      </c>
      <c r="CU82" t="s">
        <v>99</v>
      </c>
      <c r="CV82" t="s">
        <v>277</v>
      </c>
      <c r="CW82">
        <v>0</v>
      </c>
      <c r="DB82">
        <v>740</v>
      </c>
      <c r="DC82">
        <v>820</v>
      </c>
      <c r="DD82">
        <v>880</v>
      </c>
      <c r="DE82">
        <v>880</v>
      </c>
      <c r="DG82" t="s">
        <v>3098</v>
      </c>
      <c r="DH82" t="s">
        <v>82</v>
      </c>
      <c r="DI82" t="s">
        <v>982</v>
      </c>
      <c r="DJ82" t="s">
        <v>983</v>
      </c>
      <c r="DK82" t="s">
        <v>692</v>
      </c>
      <c r="DL82">
        <v>50</v>
      </c>
      <c r="DM82" t="s">
        <v>670</v>
      </c>
      <c r="DN82" t="s">
        <v>669</v>
      </c>
      <c r="DO82">
        <v>0</v>
      </c>
      <c r="DP82">
        <v>0</v>
      </c>
      <c r="DQ82">
        <v>660</v>
      </c>
      <c r="DR82" t="s">
        <v>3099</v>
      </c>
      <c r="EB82" t="s">
        <v>3100</v>
      </c>
      <c r="EC82" t="s">
        <v>2696</v>
      </c>
      <c r="EE82" t="s">
        <v>330</v>
      </c>
      <c r="EL82" t="s">
        <v>3101</v>
      </c>
      <c r="EM82" t="s">
        <v>2333</v>
      </c>
      <c r="EN82" t="s">
        <v>2334</v>
      </c>
      <c r="EO82">
        <v>0.5</v>
      </c>
      <c r="EP82" t="s">
        <v>2252</v>
      </c>
      <c r="EQ82" t="s">
        <v>2253</v>
      </c>
      <c r="ER82" t="s">
        <v>2254</v>
      </c>
      <c r="ES82">
        <v>4000</v>
      </c>
      <c r="ET82">
        <v>4000</v>
      </c>
      <c r="EU82">
        <v>4000</v>
      </c>
      <c r="EV82">
        <v>4000</v>
      </c>
      <c r="HA82" t="s">
        <v>3102</v>
      </c>
      <c r="HB82" t="s">
        <v>85</v>
      </c>
      <c r="HC82" t="s">
        <v>2393</v>
      </c>
      <c r="HD82" t="s">
        <v>88</v>
      </c>
      <c r="HE82">
        <v>0</v>
      </c>
      <c r="HF82">
        <v>0</v>
      </c>
      <c r="HG82">
        <v>0</v>
      </c>
      <c r="HH82">
        <v>0</v>
      </c>
      <c r="HI82">
        <v>0</v>
      </c>
      <c r="HJ82">
        <v>0</v>
      </c>
    </row>
    <row r="83" ht="15" customHeight="1" spans="1:218" x14ac:dyDescent="0.25">
      <c r="A83" t="s">
        <v>293</v>
      </c>
      <c r="B83" t="s">
        <v>291</v>
      </c>
      <c r="C83" t="s">
        <v>81</v>
      </c>
      <c r="D83" t="s">
        <v>292</v>
      </c>
      <c r="E83" t="s">
        <v>1578</v>
      </c>
      <c r="F83" t="s">
        <v>671</v>
      </c>
      <c r="G83" t="s">
        <v>671</v>
      </c>
      <c r="H83" t="s">
        <v>671</v>
      </c>
      <c r="I83" t="s">
        <v>1392</v>
      </c>
      <c r="CQ83" t="s">
        <v>3103</v>
      </c>
      <c r="CR83" t="s">
        <v>121</v>
      </c>
      <c r="CS83" t="s">
        <v>278</v>
      </c>
      <c r="CT83" t="s">
        <v>276</v>
      </c>
      <c r="CU83" t="s">
        <v>88</v>
      </c>
      <c r="CV83" t="s">
        <v>277</v>
      </c>
      <c r="CW83">
        <v>0</v>
      </c>
      <c r="DB83">
        <v>930</v>
      </c>
      <c r="DC83">
        <v>1030</v>
      </c>
      <c r="DD83">
        <v>1110</v>
      </c>
      <c r="DE83">
        <v>1110</v>
      </c>
      <c r="DG83" t="s">
        <v>3104</v>
      </c>
      <c r="DH83" t="s">
        <v>82</v>
      </c>
      <c r="DI83" t="s">
        <v>984</v>
      </c>
      <c r="DJ83" t="s">
        <v>985</v>
      </c>
      <c r="DK83" t="s">
        <v>668</v>
      </c>
      <c r="DL83">
        <v>46.15</v>
      </c>
      <c r="DM83" t="s">
        <v>669</v>
      </c>
      <c r="DN83" t="s">
        <v>670</v>
      </c>
      <c r="DO83">
        <v>1</v>
      </c>
      <c r="DP83">
        <v>847.05</v>
      </c>
      <c r="DQ83">
        <v>847.05</v>
      </c>
      <c r="DR83" t="s">
        <v>3105</v>
      </c>
      <c r="EB83" t="s">
        <v>3106</v>
      </c>
      <c r="EC83" t="s">
        <v>2696</v>
      </c>
      <c r="EE83" t="s">
        <v>576</v>
      </c>
      <c r="EL83" t="s">
        <v>3107</v>
      </c>
      <c r="EM83" t="s">
        <v>2333</v>
      </c>
      <c r="EN83" t="s">
        <v>2334</v>
      </c>
      <c r="EO83">
        <v>1</v>
      </c>
      <c r="EP83" t="s">
        <v>2252</v>
      </c>
      <c r="EQ83" t="s">
        <v>2293</v>
      </c>
      <c r="ER83" t="s">
        <v>2294</v>
      </c>
      <c r="ES83">
        <v>8000</v>
      </c>
      <c r="ET83">
        <v>8000</v>
      </c>
      <c r="EU83">
        <v>8000</v>
      </c>
      <c r="EV83">
        <v>8000</v>
      </c>
      <c r="HA83" t="s">
        <v>3108</v>
      </c>
      <c r="HB83" t="s">
        <v>85</v>
      </c>
      <c r="HC83" t="s">
        <v>2410</v>
      </c>
      <c r="HD83" t="s">
        <v>90</v>
      </c>
      <c r="HE83">
        <v>0</v>
      </c>
      <c r="HF83">
        <v>0</v>
      </c>
      <c r="HG83">
        <v>0</v>
      </c>
      <c r="HH83">
        <v>0</v>
      </c>
      <c r="HI83">
        <v>0</v>
      </c>
      <c r="HJ83">
        <v>0</v>
      </c>
    </row>
    <row r="84" ht="15" customHeight="1" spans="1:218" x14ac:dyDescent="0.25">
      <c r="A84" t="s">
        <v>296</v>
      </c>
      <c r="B84" t="s">
        <v>294</v>
      </c>
      <c r="C84" t="s">
        <v>88</v>
      </c>
      <c r="D84" t="s">
        <v>295</v>
      </c>
      <c r="E84" t="s">
        <v>1418</v>
      </c>
      <c r="F84" t="s">
        <v>671</v>
      </c>
      <c r="G84" t="s">
        <v>671</v>
      </c>
      <c r="H84" t="s">
        <v>671</v>
      </c>
      <c r="I84" t="s">
        <v>1087</v>
      </c>
      <c r="CQ84" t="s">
        <v>3109</v>
      </c>
      <c r="CR84" t="s">
        <v>121</v>
      </c>
      <c r="CS84" t="s">
        <v>610</v>
      </c>
      <c r="CT84" t="s">
        <v>2336</v>
      </c>
      <c r="CU84" t="s">
        <v>90</v>
      </c>
      <c r="CV84" t="s">
        <v>289</v>
      </c>
      <c r="CW84">
        <v>0</v>
      </c>
      <c r="DB84">
        <v>480</v>
      </c>
      <c r="DC84">
        <v>530</v>
      </c>
      <c r="DD84">
        <v>570</v>
      </c>
      <c r="DE84">
        <v>570</v>
      </c>
      <c r="DG84" t="s">
        <v>3110</v>
      </c>
      <c r="DH84" t="s">
        <v>82</v>
      </c>
      <c r="DI84" t="s">
        <v>989</v>
      </c>
      <c r="DJ84" t="s">
        <v>990</v>
      </c>
      <c r="DK84" t="s">
        <v>692</v>
      </c>
      <c r="DL84">
        <v>46.15</v>
      </c>
      <c r="DM84" t="s">
        <v>670</v>
      </c>
      <c r="DN84" t="s">
        <v>670</v>
      </c>
      <c r="DO84">
        <v>1</v>
      </c>
      <c r="DP84">
        <v>327</v>
      </c>
      <c r="DQ84">
        <v>327</v>
      </c>
      <c r="DR84" t="s">
        <v>3111</v>
      </c>
      <c r="EB84" t="s">
        <v>3112</v>
      </c>
      <c r="EC84" t="s">
        <v>2696</v>
      </c>
      <c r="ED84" t="s">
        <v>2697</v>
      </c>
      <c r="EE84" t="s">
        <v>573</v>
      </c>
      <c r="EF84" t="s">
        <v>2613</v>
      </c>
      <c r="EG84">
        <v>1510</v>
      </c>
      <c r="EH84">
        <v>1510</v>
      </c>
      <c r="EI84">
        <v>1510</v>
      </c>
      <c r="EJ84">
        <v>1510</v>
      </c>
      <c r="EL84" t="s">
        <v>3113</v>
      </c>
      <c r="EM84" t="s">
        <v>2333</v>
      </c>
      <c r="EN84" t="s">
        <v>2334</v>
      </c>
      <c r="EO84">
        <v>1.5</v>
      </c>
      <c r="EP84" t="s">
        <v>2252</v>
      </c>
      <c r="EQ84" t="s">
        <v>2322</v>
      </c>
      <c r="ER84" t="s">
        <v>2323</v>
      </c>
      <c r="ES84">
        <v>12000</v>
      </c>
      <c r="ET84">
        <v>12000</v>
      </c>
      <c r="EU84">
        <v>12000</v>
      </c>
      <c r="EV84">
        <v>12000</v>
      </c>
      <c r="HA84" t="s">
        <v>3114</v>
      </c>
      <c r="HB84" t="s">
        <v>85</v>
      </c>
      <c r="HC84" t="s">
        <v>2426</v>
      </c>
      <c r="HD84" t="s">
        <v>99</v>
      </c>
      <c r="HE84">
        <v>0</v>
      </c>
      <c r="HF84">
        <v>0</v>
      </c>
      <c r="HG84">
        <v>0</v>
      </c>
      <c r="HH84">
        <v>0</v>
      </c>
      <c r="HI84">
        <v>0</v>
      </c>
      <c r="HJ84">
        <v>0</v>
      </c>
    </row>
    <row r="85" ht="15" customHeight="1" spans="1:218" x14ac:dyDescent="0.25">
      <c r="A85" t="s">
        <v>298</v>
      </c>
      <c r="B85" t="s">
        <v>297</v>
      </c>
      <c r="C85" t="s">
        <v>81</v>
      </c>
      <c r="D85" t="s">
        <v>274</v>
      </c>
      <c r="E85" t="s">
        <v>1418</v>
      </c>
      <c r="F85" t="s">
        <v>671</v>
      </c>
      <c r="G85" t="s">
        <v>671</v>
      </c>
      <c r="H85" t="s">
        <v>671</v>
      </c>
      <c r="I85" t="s">
        <v>2689</v>
      </c>
      <c r="CQ85" t="s">
        <v>3115</v>
      </c>
      <c r="CR85" t="s">
        <v>121</v>
      </c>
      <c r="CS85" t="s">
        <v>608</v>
      </c>
      <c r="CT85" t="s">
        <v>2352</v>
      </c>
      <c r="CU85" t="s">
        <v>90</v>
      </c>
      <c r="CV85" t="s">
        <v>2706</v>
      </c>
      <c r="CW85">
        <v>0</v>
      </c>
      <c r="DB85">
        <v>980</v>
      </c>
      <c r="DC85">
        <v>1080</v>
      </c>
      <c r="DD85">
        <v>1170</v>
      </c>
      <c r="DE85">
        <v>1170</v>
      </c>
      <c r="DG85" t="s">
        <v>3116</v>
      </c>
      <c r="DH85" t="s">
        <v>82</v>
      </c>
      <c r="DI85" t="s">
        <v>992</v>
      </c>
      <c r="DJ85" t="s">
        <v>993</v>
      </c>
      <c r="DK85" t="s">
        <v>692</v>
      </c>
      <c r="DL85">
        <v>46.15</v>
      </c>
      <c r="DM85" t="s">
        <v>669</v>
      </c>
      <c r="DN85" t="s">
        <v>670</v>
      </c>
      <c r="DO85">
        <v>3.5</v>
      </c>
      <c r="DP85">
        <v>357</v>
      </c>
      <c r="DQ85">
        <v>357</v>
      </c>
      <c r="DR85" t="s">
        <v>3117</v>
      </c>
      <c r="EB85" t="s">
        <v>3118</v>
      </c>
      <c r="EC85" t="s">
        <v>2696</v>
      </c>
      <c r="ED85" t="s">
        <v>2697</v>
      </c>
      <c r="EE85" t="s">
        <v>569</v>
      </c>
      <c r="EF85" t="s">
        <v>567</v>
      </c>
      <c r="EG85">
        <v>1</v>
      </c>
      <c r="EH85">
        <v>1</v>
      </c>
      <c r="EI85">
        <v>1</v>
      </c>
      <c r="EJ85">
        <v>1</v>
      </c>
      <c r="EL85" t="s">
        <v>3119</v>
      </c>
      <c r="EM85" t="s">
        <v>2333</v>
      </c>
      <c r="EN85" t="s">
        <v>2334</v>
      </c>
      <c r="EO85">
        <v>2</v>
      </c>
      <c r="EP85" t="s">
        <v>2252</v>
      </c>
      <c r="EQ85" t="s">
        <v>2354</v>
      </c>
      <c r="ER85" t="s">
        <v>2355</v>
      </c>
      <c r="ES85">
        <v>16000</v>
      </c>
      <c r="ET85">
        <v>16000</v>
      </c>
      <c r="EU85">
        <v>16000</v>
      </c>
      <c r="EV85">
        <v>16000</v>
      </c>
      <c r="HA85" t="s">
        <v>3120</v>
      </c>
      <c r="HB85" t="s">
        <v>85</v>
      </c>
      <c r="HC85" t="s">
        <v>2411</v>
      </c>
      <c r="HD85" t="s">
        <v>145</v>
      </c>
      <c r="HE85">
        <v>0</v>
      </c>
      <c r="HF85">
        <v>0</v>
      </c>
      <c r="HG85">
        <v>0</v>
      </c>
      <c r="HH85">
        <v>0</v>
      </c>
      <c r="HI85">
        <v>0</v>
      </c>
      <c r="HJ85">
        <v>0</v>
      </c>
    </row>
    <row r="86" ht="15" customHeight="1" spans="95:218" x14ac:dyDescent="0.25">
      <c r="CQ86" t="s">
        <v>3121</v>
      </c>
      <c r="CR86" t="s">
        <v>121</v>
      </c>
      <c r="CS86" t="s">
        <v>240</v>
      </c>
      <c r="CT86" t="s">
        <v>238</v>
      </c>
      <c r="CU86" t="s">
        <v>90</v>
      </c>
      <c r="CV86" t="s">
        <v>239</v>
      </c>
      <c r="CW86">
        <v>0</v>
      </c>
      <c r="DB86">
        <v>3620</v>
      </c>
      <c r="DC86">
        <v>3620</v>
      </c>
      <c r="DD86">
        <v>3620</v>
      </c>
      <c r="DE86">
        <v>3620</v>
      </c>
      <c r="DG86" t="s">
        <v>3122</v>
      </c>
      <c r="DH86" t="s">
        <v>82</v>
      </c>
      <c r="DI86" t="s">
        <v>994</v>
      </c>
      <c r="DJ86" t="s">
        <v>995</v>
      </c>
      <c r="DK86" t="s">
        <v>668</v>
      </c>
      <c r="DL86">
        <v>42.31</v>
      </c>
      <c r="DM86" t="s">
        <v>670</v>
      </c>
      <c r="DN86" t="s">
        <v>669</v>
      </c>
      <c r="DO86">
        <v>0</v>
      </c>
      <c r="DP86">
        <v>0</v>
      </c>
      <c r="DQ86">
        <v>3.14</v>
      </c>
      <c r="DR86" t="s">
        <v>3123</v>
      </c>
      <c r="EB86" t="s">
        <v>3124</v>
      </c>
      <c r="EC86" t="s">
        <v>2696</v>
      </c>
      <c r="ED86" t="s">
        <v>2697</v>
      </c>
      <c r="EE86" t="s">
        <v>2641</v>
      </c>
      <c r="EF86" t="s">
        <v>3125</v>
      </c>
      <c r="EG86">
        <v>1750</v>
      </c>
      <c r="EH86">
        <v>1750</v>
      </c>
      <c r="EI86">
        <v>1750</v>
      </c>
      <c r="EJ86">
        <v>1750</v>
      </c>
      <c r="EL86" t="s">
        <v>3126</v>
      </c>
      <c r="EM86" t="s">
        <v>2333</v>
      </c>
      <c r="EN86" t="s">
        <v>2334</v>
      </c>
      <c r="EO86">
        <v>2.5</v>
      </c>
      <c r="EP86" t="s">
        <v>2252</v>
      </c>
      <c r="EQ86" t="s">
        <v>2389</v>
      </c>
      <c r="ER86" t="s">
        <v>2390</v>
      </c>
      <c r="ES86">
        <v>20000</v>
      </c>
      <c r="ET86">
        <v>20000</v>
      </c>
      <c r="EU86">
        <v>20000</v>
      </c>
      <c r="EV86">
        <v>20000</v>
      </c>
      <c r="HA86" t="s">
        <v>3127</v>
      </c>
      <c r="HB86" t="s">
        <v>85</v>
      </c>
      <c r="HC86" t="s">
        <v>2460</v>
      </c>
      <c r="HD86" t="s">
        <v>89</v>
      </c>
      <c r="HE86">
        <v>0</v>
      </c>
      <c r="HF86">
        <v>0</v>
      </c>
      <c r="HG86">
        <v>0</v>
      </c>
      <c r="HH86">
        <v>0</v>
      </c>
      <c r="HI86">
        <v>0</v>
      </c>
      <c r="HJ86">
        <v>0</v>
      </c>
    </row>
    <row r="87" ht="15" customHeight="1" spans="1:218" x14ac:dyDescent="0.25">
      <c r="A87" t="s">
        <v>3128</v>
      </c>
      <c r="CQ87" t="s">
        <v>3129</v>
      </c>
      <c r="CR87" t="s">
        <v>121</v>
      </c>
      <c r="CS87" t="s">
        <v>603</v>
      </c>
      <c r="CT87" t="s">
        <v>2387</v>
      </c>
      <c r="CU87" t="s">
        <v>90</v>
      </c>
      <c r="CV87" t="s">
        <v>239</v>
      </c>
      <c r="CW87">
        <v>0</v>
      </c>
      <c r="DB87">
        <v>350</v>
      </c>
      <c r="DC87">
        <v>350</v>
      </c>
      <c r="DD87">
        <v>350</v>
      </c>
      <c r="DE87">
        <v>350</v>
      </c>
      <c r="DG87" t="s">
        <v>3130</v>
      </c>
      <c r="DH87" t="s">
        <v>82</v>
      </c>
      <c r="DI87" t="s">
        <v>997</v>
      </c>
      <c r="DJ87" t="s">
        <v>998</v>
      </c>
      <c r="DK87" t="s">
        <v>668</v>
      </c>
      <c r="DL87">
        <v>42.31</v>
      </c>
      <c r="DM87" t="s">
        <v>670</v>
      </c>
      <c r="DN87" t="s">
        <v>669</v>
      </c>
      <c r="DO87">
        <v>0</v>
      </c>
      <c r="DP87">
        <v>0</v>
      </c>
      <c r="DQ87">
        <v>70</v>
      </c>
      <c r="DR87" t="s">
        <v>3131</v>
      </c>
      <c r="EB87" t="s">
        <v>3132</v>
      </c>
      <c r="EC87" t="s">
        <v>2696</v>
      </c>
      <c r="ED87" t="s">
        <v>2697</v>
      </c>
      <c r="EE87" t="s">
        <v>2656</v>
      </c>
      <c r="EF87" t="s">
        <v>3133</v>
      </c>
      <c r="EG87">
        <v>3750</v>
      </c>
      <c r="EH87">
        <v>3750</v>
      </c>
      <c r="EI87">
        <v>3750</v>
      </c>
      <c r="EJ87">
        <v>3750</v>
      </c>
      <c r="EL87" t="s">
        <v>3134</v>
      </c>
      <c r="EM87" t="s">
        <v>2333</v>
      </c>
      <c r="EN87" t="s">
        <v>2334</v>
      </c>
      <c r="EO87">
        <v>3</v>
      </c>
      <c r="EP87" t="s">
        <v>2252</v>
      </c>
      <c r="EQ87" t="s">
        <v>2423</v>
      </c>
      <c r="ER87" t="s">
        <v>2424</v>
      </c>
      <c r="ES87">
        <v>24000</v>
      </c>
      <c r="ET87">
        <v>24000</v>
      </c>
      <c r="EU87">
        <v>24000</v>
      </c>
      <c r="EV87">
        <v>24000</v>
      </c>
      <c r="HA87" t="s">
        <v>3135</v>
      </c>
      <c r="HB87" t="s">
        <v>85</v>
      </c>
      <c r="HC87" t="s">
        <v>2427</v>
      </c>
      <c r="HD87" t="s">
        <v>146</v>
      </c>
      <c r="HE87">
        <v>0</v>
      </c>
      <c r="HF87">
        <v>0</v>
      </c>
      <c r="HG87">
        <v>0</v>
      </c>
      <c r="HH87">
        <v>0</v>
      </c>
      <c r="HI87">
        <v>0</v>
      </c>
      <c r="HJ87">
        <v>0</v>
      </c>
    </row>
    <row r="88" ht="15" customHeight="1" spans="1:218" x14ac:dyDescent="0.25">
      <c r="A88" t="s">
        <v>2161</v>
      </c>
      <c r="B88" t="s">
        <v>2162</v>
      </c>
      <c r="C88" t="s">
        <v>2188</v>
      </c>
      <c r="D88" t="s">
        <v>2189</v>
      </c>
      <c r="E88" t="s">
        <v>2190</v>
      </c>
      <c r="F88" t="s">
        <v>2191</v>
      </c>
      <c r="CQ88" t="s">
        <v>3136</v>
      </c>
      <c r="CR88" t="s">
        <v>121</v>
      </c>
      <c r="CS88" t="s">
        <v>252</v>
      </c>
      <c r="CT88" t="s">
        <v>250</v>
      </c>
      <c r="CU88" t="s">
        <v>90</v>
      </c>
      <c r="CV88" t="s">
        <v>251</v>
      </c>
      <c r="CW88">
        <v>0</v>
      </c>
      <c r="DB88">
        <v>890</v>
      </c>
      <c r="DC88">
        <v>890</v>
      </c>
      <c r="DD88">
        <v>890</v>
      </c>
      <c r="DE88">
        <v>890</v>
      </c>
      <c r="DG88" t="s">
        <v>3137</v>
      </c>
      <c r="DH88" t="s">
        <v>82</v>
      </c>
      <c r="DJ88" t="s">
        <v>724</v>
      </c>
      <c r="DK88" t="s">
        <v>692</v>
      </c>
      <c r="DL88">
        <v>42.31</v>
      </c>
      <c r="DM88" t="s">
        <v>669</v>
      </c>
      <c r="DN88" t="s">
        <v>669</v>
      </c>
      <c r="DO88">
        <v>0</v>
      </c>
      <c r="DP88">
        <v>0</v>
      </c>
      <c r="DQ88">
        <v>0</v>
      </c>
      <c r="DR88" t="s">
        <v>2478</v>
      </c>
      <c r="EB88" t="s">
        <v>3138</v>
      </c>
      <c r="EC88" t="s">
        <v>2696</v>
      </c>
      <c r="ED88" t="s">
        <v>2697</v>
      </c>
      <c r="EE88" t="s">
        <v>2670</v>
      </c>
      <c r="EF88" t="s">
        <v>3139</v>
      </c>
      <c r="EG88">
        <v>5000</v>
      </c>
      <c r="EH88">
        <v>5000</v>
      </c>
      <c r="EI88">
        <v>5000</v>
      </c>
      <c r="EJ88">
        <v>5000</v>
      </c>
      <c r="EL88" t="s">
        <v>3140</v>
      </c>
      <c r="EM88" t="s">
        <v>2333</v>
      </c>
      <c r="EN88" t="s">
        <v>2334</v>
      </c>
      <c r="EO88">
        <v>3.5</v>
      </c>
      <c r="EP88" t="s">
        <v>2252</v>
      </c>
      <c r="EQ88" t="s">
        <v>2454</v>
      </c>
      <c r="ER88" t="s">
        <v>2455</v>
      </c>
      <c r="ES88">
        <v>28000</v>
      </c>
      <c r="ET88">
        <v>28000</v>
      </c>
      <c r="EU88">
        <v>28000</v>
      </c>
      <c r="EV88">
        <v>28000</v>
      </c>
      <c r="HA88" t="s">
        <v>3141</v>
      </c>
      <c r="HB88" t="s">
        <v>85</v>
      </c>
      <c r="HC88" t="s">
        <v>2488</v>
      </c>
      <c r="HD88" t="s">
        <v>92</v>
      </c>
      <c r="HE88">
        <v>0</v>
      </c>
      <c r="HF88">
        <v>0</v>
      </c>
      <c r="HG88">
        <v>0</v>
      </c>
      <c r="HH88">
        <v>0</v>
      </c>
      <c r="HI88">
        <v>0</v>
      </c>
      <c r="HJ88">
        <v>0</v>
      </c>
    </row>
    <row r="89" ht="15" customHeight="1" spans="1:218" x14ac:dyDescent="0.25">
      <c r="A89" t="s">
        <v>264</v>
      </c>
      <c r="B89" t="s">
        <v>262</v>
      </c>
      <c r="C89">
        <v>680</v>
      </c>
      <c r="D89">
        <v>750</v>
      </c>
      <c r="E89">
        <v>810</v>
      </c>
      <c r="F89">
        <v>810</v>
      </c>
      <c r="CQ89" t="s">
        <v>3142</v>
      </c>
      <c r="CR89" t="s">
        <v>121</v>
      </c>
      <c r="CS89" t="s">
        <v>601</v>
      </c>
      <c r="CT89" t="s">
        <v>2404</v>
      </c>
      <c r="CU89" t="s">
        <v>79</v>
      </c>
      <c r="CV89" t="s">
        <v>242</v>
      </c>
      <c r="CW89">
        <v>0</v>
      </c>
      <c r="DB89">
        <v>850</v>
      </c>
      <c r="DC89">
        <v>850</v>
      </c>
      <c r="DD89">
        <v>850</v>
      </c>
      <c r="DE89">
        <v>850</v>
      </c>
      <c r="DG89" t="s">
        <v>3143</v>
      </c>
      <c r="DH89" t="s">
        <v>82</v>
      </c>
      <c r="DJ89" t="s">
        <v>761</v>
      </c>
      <c r="DK89" t="s">
        <v>692</v>
      </c>
      <c r="DL89">
        <v>42.31</v>
      </c>
      <c r="DM89" t="s">
        <v>669</v>
      </c>
      <c r="DN89" t="s">
        <v>669</v>
      </c>
      <c r="DO89">
        <v>0</v>
      </c>
      <c r="DP89">
        <v>0</v>
      </c>
      <c r="DQ89">
        <v>0</v>
      </c>
      <c r="DR89" t="s">
        <v>2608</v>
      </c>
      <c r="EB89" t="s">
        <v>3144</v>
      </c>
      <c r="EC89" t="s">
        <v>2696</v>
      </c>
      <c r="ED89" t="s">
        <v>2697</v>
      </c>
      <c r="EE89" t="s">
        <v>561</v>
      </c>
      <c r="EF89" t="s">
        <v>2684</v>
      </c>
      <c r="EG89">
        <v>1</v>
      </c>
      <c r="EH89">
        <v>1</v>
      </c>
      <c r="EI89">
        <v>1</v>
      </c>
      <c r="EJ89">
        <v>1</v>
      </c>
      <c r="EL89" t="s">
        <v>3145</v>
      </c>
      <c r="EM89" t="s">
        <v>2333</v>
      </c>
      <c r="EN89" t="s">
        <v>2334</v>
      </c>
      <c r="EO89">
        <v>4</v>
      </c>
      <c r="EP89" t="s">
        <v>2252</v>
      </c>
      <c r="EQ89" t="s">
        <v>2485</v>
      </c>
      <c r="ER89" t="s">
        <v>2486</v>
      </c>
      <c r="ES89">
        <v>32000</v>
      </c>
      <c r="ET89">
        <v>32000</v>
      </c>
      <c r="EU89">
        <v>32000</v>
      </c>
      <c r="EV89">
        <v>32000</v>
      </c>
      <c r="HA89" t="s">
        <v>3146</v>
      </c>
      <c r="HB89" t="s">
        <v>85</v>
      </c>
      <c r="HC89" t="s">
        <v>2442</v>
      </c>
      <c r="HD89" t="s">
        <v>95</v>
      </c>
      <c r="HE89">
        <v>0</v>
      </c>
      <c r="HF89">
        <v>0</v>
      </c>
      <c r="HG89">
        <v>0</v>
      </c>
      <c r="HH89">
        <v>0</v>
      </c>
      <c r="HI89">
        <v>0</v>
      </c>
      <c r="HJ89">
        <v>0</v>
      </c>
    </row>
    <row r="90" ht="15" customHeight="1" spans="1:218" x14ac:dyDescent="0.25">
      <c r="A90" t="s">
        <v>620</v>
      </c>
      <c r="B90" t="s">
        <v>2250</v>
      </c>
      <c r="C90">
        <v>360</v>
      </c>
      <c r="D90">
        <v>400</v>
      </c>
      <c r="E90">
        <v>430</v>
      </c>
      <c r="F90">
        <v>430</v>
      </c>
      <c r="CQ90" t="s">
        <v>3147</v>
      </c>
      <c r="CR90" t="s">
        <v>121</v>
      </c>
      <c r="CS90" t="s">
        <v>229</v>
      </c>
      <c r="CT90" t="s">
        <v>227</v>
      </c>
      <c r="CU90" t="s">
        <v>90</v>
      </c>
      <c r="CV90" t="s">
        <v>228</v>
      </c>
      <c r="CW90">
        <v>0</v>
      </c>
      <c r="DB90">
        <v>270</v>
      </c>
      <c r="DC90">
        <v>300</v>
      </c>
      <c r="DD90">
        <v>330</v>
      </c>
      <c r="DE90">
        <v>350</v>
      </c>
      <c r="DG90" t="s">
        <v>3148</v>
      </c>
      <c r="DH90" t="s">
        <v>82</v>
      </c>
      <c r="DI90" t="s">
        <v>1004</v>
      </c>
      <c r="DJ90" t="s">
        <v>1005</v>
      </c>
      <c r="DK90" t="s">
        <v>692</v>
      </c>
      <c r="DL90">
        <v>42.31</v>
      </c>
      <c r="DM90" t="s">
        <v>670</v>
      </c>
      <c r="DN90" t="s">
        <v>669</v>
      </c>
      <c r="DO90">
        <v>0</v>
      </c>
      <c r="DP90">
        <v>0</v>
      </c>
      <c r="DQ90">
        <v>276</v>
      </c>
      <c r="DR90" t="s">
        <v>3149</v>
      </c>
      <c r="EB90" t="s">
        <v>3150</v>
      </c>
      <c r="EC90" t="s">
        <v>2696</v>
      </c>
      <c r="ED90" t="s">
        <v>2697</v>
      </c>
      <c r="EE90" t="s">
        <v>563</v>
      </c>
      <c r="EF90" t="s">
        <v>2699</v>
      </c>
      <c r="EG90">
        <v>8000</v>
      </c>
      <c r="EH90">
        <v>8000</v>
      </c>
      <c r="EI90">
        <v>8000</v>
      </c>
      <c r="EJ90">
        <v>8000</v>
      </c>
      <c r="EL90" t="s">
        <v>3151</v>
      </c>
      <c r="EM90" t="s">
        <v>2333</v>
      </c>
      <c r="EN90" t="s">
        <v>2334</v>
      </c>
      <c r="EO90">
        <v>4.5</v>
      </c>
      <c r="EP90" t="s">
        <v>2252</v>
      </c>
      <c r="EQ90" t="s">
        <v>2512</v>
      </c>
      <c r="ER90" t="s">
        <v>2513</v>
      </c>
      <c r="ES90">
        <v>36000</v>
      </c>
      <c r="ET90">
        <v>36000</v>
      </c>
      <c r="EU90">
        <v>36000</v>
      </c>
      <c r="EV90">
        <v>36000</v>
      </c>
      <c r="HA90" t="s">
        <v>3152</v>
      </c>
      <c r="HB90" t="s">
        <v>85</v>
      </c>
      <c r="HC90" t="s">
        <v>2461</v>
      </c>
      <c r="HD90" t="s">
        <v>98</v>
      </c>
      <c r="HE90">
        <v>0</v>
      </c>
      <c r="HF90">
        <v>0</v>
      </c>
      <c r="HG90">
        <v>0</v>
      </c>
      <c r="HH90">
        <v>0</v>
      </c>
      <c r="HI90">
        <v>0</v>
      </c>
      <c r="HJ90">
        <v>0</v>
      </c>
    </row>
    <row r="91" ht="15" customHeight="1" spans="1:218" x14ac:dyDescent="0.25">
      <c r="A91" t="s">
        <v>618</v>
      </c>
      <c r="B91" t="s">
        <v>2274</v>
      </c>
      <c r="C91">
        <v>580</v>
      </c>
      <c r="D91">
        <v>660</v>
      </c>
      <c r="E91">
        <v>760</v>
      </c>
      <c r="F91">
        <v>800</v>
      </c>
      <c r="CQ91" t="s">
        <v>3153</v>
      </c>
      <c r="CR91" t="s">
        <v>121</v>
      </c>
      <c r="CS91" t="s">
        <v>246</v>
      </c>
      <c r="CT91" t="s">
        <v>244</v>
      </c>
      <c r="CU91" t="s">
        <v>90</v>
      </c>
      <c r="CV91" t="s">
        <v>245</v>
      </c>
      <c r="CW91">
        <v>0</v>
      </c>
      <c r="DB91">
        <v>730</v>
      </c>
      <c r="DC91">
        <v>800</v>
      </c>
      <c r="DD91">
        <v>870</v>
      </c>
      <c r="DE91">
        <v>870</v>
      </c>
      <c r="DG91" t="s">
        <v>3154</v>
      </c>
      <c r="DH91" t="s">
        <v>82</v>
      </c>
      <c r="DI91" t="s">
        <v>1009</v>
      </c>
      <c r="DJ91" t="s">
        <v>1010</v>
      </c>
      <c r="DK91" t="s">
        <v>692</v>
      </c>
      <c r="DL91">
        <v>42.31</v>
      </c>
      <c r="DM91" t="s">
        <v>669</v>
      </c>
      <c r="DN91" t="s">
        <v>670</v>
      </c>
      <c r="DO91">
        <v>1</v>
      </c>
      <c r="DP91">
        <v>675</v>
      </c>
      <c r="DQ91">
        <v>675</v>
      </c>
      <c r="DR91" t="s">
        <v>3155</v>
      </c>
      <c r="EB91" t="s">
        <v>3156</v>
      </c>
      <c r="EC91" t="s">
        <v>2696</v>
      </c>
      <c r="ED91" t="s">
        <v>2697</v>
      </c>
      <c r="EE91" t="s">
        <v>556</v>
      </c>
      <c r="EF91" t="s">
        <v>2713</v>
      </c>
      <c r="EG91">
        <v>1</v>
      </c>
      <c r="EH91">
        <v>1</v>
      </c>
      <c r="EI91">
        <v>1</v>
      </c>
      <c r="EJ91">
        <v>1</v>
      </c>
      <c r="EL91" t="s">
        <v>3157</v>
      </c>
      <c r="EM91" t="s">
        <v>2333</v>
      </c>
      <c r="EN91" t="s">
        <v>2334</v>
      </c>
      <c r="EO91">
        <v>5</v>
      </c>
      <c r="EP91" t="s">
        <v>2252</v>
      </c>
      <c r="EQ91" t="s">
        <v>2541</v>
      </c>
      <c r="ER91" t="s">
        <v>2542</v>
      </c>
      <c r="ES91">
        <v>40000</v>
      </c>
      <c r="ET91">
        <v>40000</v>
      </c>
      <c r="EU91">
        <v>40000</v>
      </c>
      <c r="EV91">
        <v>40000</v>
      </c>
      <c r="HA91" t="s">
        <v>3158</v>
      </c>
      <c r="HB91" t="s">
        <v>85</v>
      </c>
      <c r="HC91" t="s">
        <v>2475</v>
      </c>
      <c r="HD91" t="s">
        <v>101</v>
      </c>
      <c r="HE91">
        <v>0</v>
      </c>
      <c r="HF91">
        <v>0</v>
      </c>
      <c r="HG91">
        <v>0</v>
      </c>
      <c r="HH91">
        <v>0</v>
      </c>
      <c r="HI91">
        <v>0</v>
      </c>
      <c r="HJ91">
        <v>0</v>
      </c>
    </row>
    <row r="92" ht="15" customHeight="1" spans="1:218" x14ac:dyDescent="0.25">
      <c r="A92" t="s">
        <v>616</v>
      </c>
      <c r="B92" t="s">
        <v>2291</v>
      </c>
      <c r="C92">
        <v>1230</v>
      </c>
      <c r="D92">
        <v>1360</v>
      </c>
      <c r="E92">
        <v>1470</v>
      </c>
      <c r="F92">
        <v>1470</v>
      </c>
      <c r="CQ92" t="s">
        <v>3159</v>
      </c>
      <c r="CR92" t="s">
        <v>121</v>
      </c>
      <c r="CS92" t="s">
        <v>255</v>
      </c>
      <c r="CT92" t="s">
        <v>253</v>
      </c>
      <c r="CU92" t="s">
        <v>90</v>
      </c>
      <c r="CV92" t="s">
        <v>254</v>
      </c>
      <c r="CW92">
        <v>0</v>
      </c>
      <c r="DB92">
        <v>980</v>
      </c>
      <c r="DC92">
        <v>1080</v>
      </c>
      <c r="DD92">
        <v>1170</v>
      </c>
      <c r="DE92">
        <v>1170</v>
      </c>
      <c r="DG92" t="s">
        <v>3160</v>
      </c>
      <c r="DH92" t="s">
        <v>82</v>
      </c>
      <c r="DI92" t="s">
        <v>1012</v>
      </c>
      <c r="DJ92" t="s">
        <v>1013</v>
      </c>
      <c r="DK92" t="s">
        <v>692</v>
      </c>
      <c r="DL92">
        <v>42.31</v>
      </c>
      <c r="DM92" t="s">
        <v>670</v>
      </c>
      <c r="DN92" t="s">
        <v>669</v>
      </c>
      <c r="DO92">
        <v>0</v>
      </c>
      <c r="DP92">
        <v>0</v>
      </c>
      <c r="DQ92">
        <v>355</v>
      </c>
      <c r="DR92" t="s">
        <v>3161</v>
      </c>
      <c r="EB92" t="s">
        <v>3162</v>
      </c>
      <c r="EC92" t="s">
        <v>2696</v>
      </c>
      <c r="EE92" t="s">
        <v>551</v>
      </c>
      <c r="EL92" t="s">
        <v>3163</v>
      </c>
      <c r="EM92" t="s">
        <v>2333</v>
      </c>
      <c r="EN92" t="s">
        <v>2334</v>
      </c>
      <c r="EO92">
        <v>5.5</v>
      </c>
      <c r="EP92" t="s">
        <v>2252</v>
      </c>
      <c r="EQ92" t="s">
        <v>2572</v>
      </c>
      <c r="ER92" t="s">
        <v>2573</v>
      </c>
      <c r="ES92">
        <v>44000</v>
      </c>
      <c r="ET92">
        <v>44000</v>
      </c>
      <c r="EU92">
        <v>44000</v>
      </c>
      <c r="EV92">
        <v>44000</v>
      </c>
      <c r="HA92" t="s">
        <v>3164</v>
      </c>
      <c r="HB92" t="s">
        <v>85</v>
      </c>
      <c r="HC92" t="s">
        <v>2547</v>
      </c>
      <c r="HD92" t="s">
        <v>147</v>
      </c>
      <c r="HE92">
        <v>0</v>
      </c>
      <c r="HF92">
        <v>0</v>
      </c>
      <c r="HG92">
        <v>0</v>
      </c>
      <c r="HH92">
        <v>0</v>
      </c>
      <c r="HI92">
        <v>0</v>
      </c>
      <c r="HJ92">
        <v>0</v>
      </c>
    </row>
    <row r="93" ht="15" customHeight="1" spans="1:218" x14ac:dyDescent="0.25">
      <c r="A93" t="s">
        <v>614</v>
      </c>
      <c r="B93" t="s">
        <v>2304</v>
      </c>
      <c r="C93">
        <v>730</v>
      </c>
      <c r="D93">
        <v>800</v>
      </c>
      <c r="E93">
        <v>870</v>
      </c>
      <c r="F93">
        <v>870</v>
      </c>
      <c r="CQ93" t="s">
        <v>3165</v>
      </c>
      <c r="CR93" t="s">
        <v>121</v>
      </c>
      <c r="CS93" t="s">
        <v>599</v>
      </c>
      <c r="CT93" t="s">
        <v>2421</v>
      </c>
      <c r="CU93" t="s">
        <v>90</v>
      </c>
      <c r="CV93" t="s">
        <v>2798</v>
      </c>
      <c r="CW93">
        <v>0</v>
      </c>
      <c r="DB93">
        <v>930</v>
      </c>
      <c r="DC93">
        <v>930</v>
      </c>
      <c r="DD93">
        <v>930</v>
      </c>
      <c r="DE93">
        <v>930</v>
      </c>
      <c r="DG93" t="s">
        <v>3166</v>
      </c>
      <c r="DH93" t="s">
        <v>82</v>
      </c>
      <c r="DJ93" t="s">
        <v>924</v>
      </c>
      <c r="DK93" t="s">
        <v>668</v>
      </c>
      <c r="DL93">
        <v>38.46</v>
      </c>
      <c r="DM93" t="s">
        <v>669</v>
      </c>
      <c r="DN93" t="s">
        <v>669</v>
      </c>
      <c r="DO93">
        <v>0</v>
      </c>
      <c r="DP93">
        <v>0</v>
      </c>
      <c r="DQ93">
        <v>0</v>
      </c>
      <c r="DR93" t="s">
        <v>3000</v>
      </c>
      <c r="EB93" t="s">
        <v>3167</v>
      </c>
      <c r="EC93" t="s">
        <v>2696</v>
      </c>
      <c r="EE93" t="s">
        <v>290</v>
      </c>
      <c r="EL93" t="s">
        <v>3168</v>
      </c>
      <c r="EM93" t="s">
        <v>2333</v>
      </c>
      <c r="EN93" t="s">
        <v>2334</v>
      </c>
      <c r="EO93">
        <v>6</v>
      </c>
      <c r="EP93" t="s">
        <v>2252</v>
      </c>
      <c r="EQ93" t="s">
        <v>2601</v>
      </c>
      <c r="ER93" t="s">
        <v>2602</v>
      </c>
      <c r="ES93">
        <v>48000</v>
      </c>
      <c r="ET93">
        <v>48000</v>
      </c>
      <c r="EU93">
        <v>48000</v>
      </c>
      <c r="EV93">
        <v>48000</v>
      </c>
      <c r="HA93" t="s">
        <v>3169</v>
      </c>
      <c r="HB93" t="s">
        <v>85</v>
      </c>
      <c r="HC93" t="s">
        <v>2563</v>
      </c>
      <c r="HD93" t="s">
        <v>96</v>
      </c>
      <c r="HE93">
        <v>0</v>
      </c>
      <c r="HF93">
        <v>0</v>
      </c>
      <c r="HG93">
        <v>0</v>
      </c>
      <c r="HH93">
        <v>0</v>
      </c>
      <c r="HI93">
        <v>0</v>
      </c>
      <c r="HJ93">
        <v>0</v>
      </c>
    </row>
    <row r="94" ht="15" customHeight="1" spans="1:218" x14ac:dyDescent="0.25">
      <c r="A94" t="s">
        <v>286</v>
      </c>
      <c r="B94" t="s">
        <v>284</v>
      </c>
      <c r="C94">
        <v>680</v>
      </c>
      <c r="D94">
        <v>750</v>
      </c>
      <c r="E94">
        <v>810</v>
      </c>
      <c r="F94">
        <v>810</v>
      </c>
      <c r="CQ94" t="s">
        <v>3170</v>
      </c>
      <c r="CR94" t="s">
        <v>121</v>
      </c>
      <c r="CS94" t="s">
        <v>243</v>
      </c>
      <c r="CT94" t="s">
        <v>241</v>
      </c>
      <c r="CU94" t="s">
        <v>90</v>
      </c>
      <c r="CV94" t="s">
        <v>242</v>
      </c>
      <c r="CW94">
        <v>0</v>
      </c>
      <c r="DB94">
        <v>1250</v>
      </c>
      <c r="DC94">
        <v>1250</v>
      </c>
      <c r="DD94">
        <v>1250</v>
      </c>
      <c r="DE94">
        <v>1250</v>
      </c>
      <c r="DG94" t="s">
        <v>3171</v>
      </c>
      <c r="DH94" t="s">
        <v>82</v>
      </c>
      <c r="DI94" t="s">
        <v>1017</v>
      </c>
      <c r="DJ94" t="s">
        <v>1018</v>
      </c>
      <c r="DK94" t="s">
        <v>668</v>
      </c>
      <c r="DL94">
        <v>38.46</v>
      </c>
      <c r="DM94" t="s">
        <v>669</v>
      </c>
      <c r="DN94" t="s">
        <v>670</v>
      </c>
      <c r="DO94">
        <v>1</v>
      </c>
      <c r="DP94">
        <v>7.2</v>
      </c>
      <c r="DQ94">
        <v>7.2</v>
      </c>
      <c r="DR94" t="s">
        <v>3172</v>
      </c>
      <c r="EB94" t="s">
        <v>3173</v>
      </c>
      <c r="EC94" t="s">
        <v>2696</v>
      </c>
      <c r="EE94" t="s">
        <v>275</v>
      </c>
      <c r="EL94" t="s">
        <v>3174</v>
      </c>
      <c r="EM94" t="s">
        <v>2333</v>
      </c>
      <c r="EN94" t="s">
        <v>2334</v>
      </c>
      <c r="EO94">
        <v>6.5</v>
      </c>
      <c r="EP94" t="s">
        <v>2252</v>
      </c>
      <c r="EQ94" t="s">
        <v>2628</v>
      </c>
      <c r="ER94" t="s">
        <v>2629</v>
      </c>
      <c r="ES94">
        <v>52000</v>
      </c>
      <c r="ET94">
        <v>52000</v>
      </c>
      <c r="EU94">
        <v>52000</v>
      </c>
      <c r="EV94">
        <v>52000</v>
      </c>
      <c r="HA94" t="s">
        <v>3175</v>
      </c>
      <c r="HB94" t="s">
        <v>85</v>
      </c>
      <c r="HC94" t="s">
        <v>2576</v>
      </c>
      <c r="HD94" t="s">
        <v>2073</v>
      </c>
      <c r="HE94">
        <v>0</v>
      </c>
      <c r="HF94">
        <v>0</v>
      </c>
      <c r="HG94">
        <v>0</v>
      </c>
      <c r="HH94">
        <v>0</v>
      </c>
      <c r="HI94">
        <v>0</v>
      </c>
      <c r="HJ94">
        <v>0</v>
      </c>
    </row>
    <row r="95" ht="15" customHeight="1" spans="1:218" x14ac:dyDescent="0.25">
      <c r="A95" t="s">
        <v>272</v>
      </c>
      <c r="B95" t="s">
        <v>270</v>
      </c>
      <c r="C95">
        <v>1430</v>
      </c>
      <c r="D95">
        <v>1580</v>
      </c>
      <c r="E95">
        <v>1710</v>
      </c>
      <c r="F95">
        <v>1710</v>
      </c>
      <c r="CQ95" t="s">
        <v>3176</v>
      </c>
      <c r="CR95" t="s">
        <v>121</v>
      </c>
      <c r="CS95" t="s">
        <v>593</v>
      </c>
      <c r="CT95" t="s">
        <v>2469</v>
      </c>
      <c r="CU95" t="s">
        <v>79</v>
      </c>
      <c r="CV95" t="s">
        <v>2819</v>
      </c>
      <c r="CW95">
        <v>0</v>
      </c>
      <c r="DB95">
        <v>1500</v>
      </c>
      <c r="DC95">
        <v>1500</v>
      </c>
      <c r="DD95">
        <v>1500</v>
      </c>
      <c r="DE95">
        <v>1500</v>
      </c>
      <c r="DG95" t="s">
        <v>3177</v>
      </c>
      <c r="DH95" t="s">
        <v>82</v>
      </c>
      <c r="DI95" t="s">
        <v>1021</v>
      </c>
      <c r="DJ95" t="s">
        <v>1022</v>
      </c>
      <c r="DK95" t="s">
        <v>668</v>
      </c>
      <c r="DL95">
        <v>38.46</v>
      </c>
      <c r="DM95" t="s">
        <v>670</v>
      </c>
      <c r="DN95" t="s">
        <v>669</v>
      </c>
      <c r="DO95">
        <v>0</v>
      </c>
      <c r="DP95">
        <v>0</v>
      </c>
      <c r="DQ95">
        <v>1067.07</v>
      </c>
      <c r="DR95" t="s">
        <v>3178</v>
      </c>
      <c r="EB95" t="s">
        <v>3179</v>
      </c>
      <c r="EC95" t="s">
        <v>2696</v>
      </c>
      <c r="EE95" t="s">
        <v>298</v>
      </c>
      <c r="EL95" t="s">
        <v>3180</v>
      </c>
      <c r="EM95" t="s">
        <v>2333</v>
      </c>
      <c r="EN95" t="s">
        <v>2334</v>
      </c>
      <c r="EO95">
        <v>7</v>
      </c>
      <c r="EP95" t="s">
        <v>2252</v>
      </c>
      <c r="EQ95" t="s">
        <v>2659</v>
      </c>
      <c r="ER95" t="s">
        <v>2660</v>
      </c>
      <c r="ES95">
        <v>56000</v>
      </c>
      <c r="ET95">
        <v>56000</v>
      </c>
      <c r="EU95">
        <v>56000</v>
      </c>
      <c r="EV95">
        <v>56000</v>
      </c>
      <c r="HA95" t="s">
        <v>3181</v>
      </c>
      <c r="HB95" t="s">
        <v>85</v>
      </c>
      <c r="HC95" t="s">
        <v>2590</v>
      </c>
      <c r="HD95" t="s">
        <v>2074</v>
      </c>
      <c r="HE95">
        <v>0</v>
      </c>
      <c r="HF95">
        <v>0</v>
      </c>
      <c r="HG95">
        <v>0</v>
      </c>
      <c r="HH95">
        <v>0</v>
      </c>
      <c r="HI95">
        <v>0</v>
      </c>
      <c r="HJ95">
        <v>0</v>
      </c>
    </row>
    <row r="96" ht="15" customHeight="1" spans="1:218" x14ac:dyDescent="0.25">
      <c r="A96" t="s">
        <v>283</v>
      </c>
      <c r="B96" t="s">
        <v>281</v>
      </c>
      <c r="C96">
        <v>360</v>
      </c>
      <c r="D96">
        <v>400</v>
      </c>
      <c r="E96">
        <v>430</v>
      </c>
      <c r="F96">
        <v>430</v>
      </c>
      <c r="CQ96" t="s">
        <v>3182</v>
      </c>
      <c r="CR96" t="s">
        <v>121</v>
      </c>
      <c r="CS96" t="s">
        <v>591</v>
      </c>
      <c r="CT96" t="s">
        <v>2483</v>
      </c>
      <c r="CU96" t="s">
        <v>79</v>
      </c>
      <c r="CV96" t="s">
        <v>2819</v>
      </c>
      <c r="CW96">
        <v>0</v>
      </c>
      <c r="DB96">
        <v>3000</v>
      </c>
      <c r="DC96">
        <v>3000</v>
      </c>
      <c r="DD96">
        <v>3000</v>
      </c>
      <c r="DE96">
        <v>3000</v>
      </c>
      <c r="DG96" t="s">
        <v>3183</v>
      </c>
      <c r="DH96" t="s">
        <v>82</v>
      </c>
      <c r="DI96" t="s">
        <v>1026</v>
      </c>
      <c r="DJ96" t="s">
        <v>1027</v>
      </c>
      <c r="DK96" t="s">
        <v>668</v>
      </c>
      <c r="DL96">
        <v>38.46</v>
      </c>
      <c r="DM96" t="s">
        <v>670</v>
      </c>
      <c r="DN96" t="s">
        <v>669</v>
      </c>
      <c r="DO96">
        <v>0</v>
      </c>
      <c r="DP96">
        <v>0</v>
      </c>
      <c r="DQ96">
        <v>515.62</v>
      </c>
      <c r="DR96" t="s">
        <v>3184</v>
      </c>
      <c r="EB96" t="s">
        <v>3185</v>
      </c>
      <c r="EC96" t="s">
        <v>2696</v>
      </c>
      <c r="EE96" t="s">
        <v>286</v>
      </c>
      <c r="EL96" t="s">
        <v>3186</v>
      </c>
      <c r="EM96" t="s">
        <v>2333</v>
      </c>
      <c r="EN96" t="s">
        <v>2334</v>
      </c>
      <c r="EO96">
        <v>7.5</v>
      </c>
      <c r="EP96" t="s">
        <v>2252</v>
      </c>
      <c r="EQ96" t="s">
        <v>2686</v>
      </c>
      <c r="ER96" t="s">
        <v>2687</v>
      </c>
      <c r="ES96">
        <v>60000</v>
      </c>
      <c r="ET96">
        <v>60000</v>
      </c>
      <c r="EU96">
        <v>60000</v>
      </c>
      <c r="EV96">
        <v>60000</v>
      </c>
      <c r="HA96" t="s">
        <v>3187</v>
      </c>
      <c r="HB96" t="s">
        <v>85</v>
      </c>
      <c r="HC96" t="s">
        <v>2604</v>
      </c>
      <c r="HD96" t="s">
        <v>2075</v>
      </c>
      <c r="HE96">
        <v>0</v>
      </c>
      <c r="HF96">
        <v>0</v>
      </c>
      <c r="HG96">
        <v>0</v>
      </c>
      <c r="HH96">
        <v>0</v>
      </c>
      <c r="HI96">
        <v>0</v>
      </c>
      <c r="HJ96">
        <v>0</v>
      </c>
    </row>
    <row r="97" ht="15" customHeight="1" spans="1:218" x14ac:dyDescent="0.25">
      <c r="A97" t="s">
        <v>267</v>
      </c>
      <c r="B97" t="s">
        <v>265</v>
      </c>
      <c r="C97">
        <v>1920</v>
      </c>
      <c r="D97">
        <v>2120</v>
      </c>
      <c r="E97">
        <v>2290</v>
      </c>
      <c r="F97">
        <v>2290</v>
      </c>
      <c r="CQ97" t="s">
        <v>3188</v>
      </c>
      <c r="CR97" t="s">
        <v>121</v>
      </c>
      <c r="CS97" t="s">
        <v>261</v>
      </c>
      <c r="CT97" t="s">
        <v>259</v>
      </c>
      <c r="CU97" t="s">
        <v>88</v>
      </c>
      <c r="CV97" t="s">
        <v>260</v>
      </c>
      <c r="CW97">
        <v>0</v>
      </c>
      <c r="DB97">
        <v>860</v>
      </c>
      <c r="DC97">
        <v>950</v>
      </c>
      <c r="DD97">
        <v>1020</v>
      </c>
      <c r="DE97">
        <v>1020</v>
      </c>
      <c r="DG97" t="s">
        <v>3189</v>
      </c>
      <c r="DH97" t="s">
        <v>82</v>
      </c>
      <c r="DI97" t="s">
        <v>1029</v>
      </c>
      <c r="DJ97" t="s">
        <v>1030</v>
      </c>
      <c r="DK97" t="s">
        <v>668</v>
      </c>
      <c r="DL97">
        <v>38.46</v>
      </c>
      <c r="DM97" t="s">
        <v>670</v>
      </c>
      <c r="DN97" t="s">
        <v>670</v>
      </c>
      <c r="DO97">
        <v>0</v>
      </c>
      <c r="DP97">
        <v>0</v>
      </c>
      <c r="DQ97">
        <v>37.68</v>
      </c>
      <c r="DR97" t="s">
        <v>3190</v>
      </c>
      <c r="EB97" t="s">
        <v>3191</v>
      </c>
      <c r="EC97" t="s">
        <v>2696</v>
      </c>
      <c r="EE97" t="s">
        <v>272</v>
      </c>
      <c r="EL97" t="s">
        <v>3192</v>
      </c>
      <c r="EM97" t="s">
        <v>2333</v>
      </c>
      <c r="EN97" t="s">
        <v>2334</v>
      </c>
      <c r="EO97">
        <v>8</v>
      </c>
      <c r="EP97" t="s">
        <v>2252</v>
      </c>
      <c r="EQ97" t="s">
        <v>2715</v>
      </c>
      <c r="ER97" t="s">
        <v>2716</v>
      </c>
      <c r="ES97">
        <v>64000</v>
      </c>
      <c r="ET97">
        <v>64000</v>
      </c>
      <c r="EU97">
        <v>64000</v>
      </c>
      <c r="EV97">
        <v>64000</v>
      </c>
      <c r="HA97" t="s">
        <v>3193</v>
      </c>
      <c r="HB97" t="s">
        <v>85</v>
      </c>
      <c r="HC97" t="s">
        <v>2619</v>
      </c>
      <c r="HD97" t="s">
        <v>150</v>
      </c>
      <c r="HE97">
        <v>0</v>
      </c>
      <c r="HF97">
        <v>0</v>
      </c>
      <c r="HG97">
        <v>0</v>
      </c>
      <c r="HH97">
        <v>0</v>
      </c>
      <c r="HI97">
        <v>0</v>
      </c>
      <c r="HJ97">
        <v>0</v>
      </c>
    </row>
    <row r="98" ht="15" customHeight="1" spans="1:218" x14ac:dyDescent="0.25">
      <c r="A98" t="s">
        <v>258</v>
      </c>
      <c r="B98" t="s">
        <v>256</v>
      </c>
      <c r="C98">
        <v>2910</v>
      </c>
      <c r="D98">
        <v>3220</v>
      </c>
      <c r="E98">
        <v>3470</v>
      </c>
      <c r="F98">
        <v>3470</v>
      </c>
      <c r="CQ98" t="s">
        <v>3194</v>
      </c>
      <c r="CR98" t="s">
        <v>121</v>
      </c>
      <c r="CS98" t="s">
        <v>578</v>
      </c>
      <c r="CT98" t="s">
        <v>577</v>
      </c>
      <c r="CU98" t="s">
        <v>88</v>
      </c>
      <c r="CV98" t="s">
        <v>2851</v>
      </c>
      <c r="CW98">
        <v>0</v>
      </c>
      <c r="DB98">
        <v>100000</v>
      </c>
      <c r="DC98">
        <v>100000</v>
      </c>
      <c r="DD98">
        <v>100000</v>
      </c>
      <c r="DE98">
        <v>100000</v>
      </c>
      <c r="DG98" t="s">
        <v>3195</v>
      </c>
      <c r="DH98" t="s">
        <v>82</v>
      </c>
      <c r="DI98" t="s">
        <v>1034</v>
      </c>
      <c r="DJ98" t="s">
        <v>1035</v>
      </c>
      <c r="DK98" t="s">
        <v>668</v>
      </c>
      <c r="DL98">
        <v>38.46</v>
      </c>
      <c r="DM98" t="s">
        <v>669</v>
      </c>
      <c r="DN98" t="s">
        <v>670</v>
      </c>
      <c r="DO98">
        <v>1</v>
      </c>
      <c r="DP98">
        <v>560.65</v>
      </c>
      <c r="DQ98">
        <v>560.65</v>
      </c>
      <c r="DR98" t="s">
        <v>3196</v>
      </c>
      <c r="EB98" t="s">
        <v>3197</v>
      </c>
      <c r="EC98" t="s">
        <v>2696</v>
      </c>
      <c r="EE98" t="s">
        <v>283</v>
      </c>
      <c r="EL98" t="s">
        <v>3198</v>
      </c>
      <c r="EM98" t="s">
        <v>2349</v>
      </c>
      <c r="EN98" t="s">
        <v>2350</v>
      </c>
      <c r="EO98">
        <v>0.5</v>
      </c>
      <c r="EP98" t="s">
        <v>2252</v>
      </c>
      <c r="EQ98" t="s">
        <v>2253</v>
      </c>
      <c r="ER98" t="s">
        <v>2254</v>
      </c>
      <c r="ES98">
        <v>4000</v>
      </c>
      <c r="ET98">
        <v>4000</v>
      </c>
      <c r="EU98">
        <v>4000</v>
      </c>
      <c r="EV98">
        <v>4000</v>
      </c>
      <c r="HA98" t="s">
        <v>3199</v>
      </c>
      <c r="HB98" t="s">
        <v>86</v>
      </c>
      <c r="HC98" t="s">
        <v>2264</v>
      </c>
      <c r="HD98" t="s">
        <v>142</v>
      </c>
      <c r="HE98">
        <v>0</v>
      </c>
      <c r="HF98">
        <v>0</v>
      </c>
      <c r="HG98">
        <v>0</v>
      </c>
      <c r="HH98">
        <v>0</v>
      </c>
      <c r="HI98">
        <v>0</v>
      </c>
      <c r="HJ98">
        <v>0</v>
      </c>
    </row>
    <row r="99" ht="15" customHeight="1" spans="1:218" x14ac:dyDescent="0.25">
      <c r="A99" t="s">
        <v>222</v>
      </c>
      <c r="B99" t="s">
        <v>220</v>
      </c>
      <c r="C99">
        <v>2430</v>
      </c>
      <c r="D99">
        <v>2690</v>
      </c>
      <c r="E99">
        <v>2900</v>
      </c>
      <c r="F99">
        <v>2900</v>
      </c>
      <c r="CQ99" t="s">
        <v>3200</v>
      </c>
      <c r="CR99" t="s">
        <v>121</v>
      </c>
      <c r="CS99" t="s">
        <v>569</v>
      </c>
      <c r="CT99" t="s">
        <v>567</v>
      </c>
      <c r="CU99" t="s">
        <v>88</v>
      </c>
      <c r="CV99" t="s">
        <v>2859</v>
      </c>
      <c r="CW99">
        <v>0</v>
      </c>
      <c r="DB99">
        <v>2000</v>
      </c>
      <c r="DC99">
        <v>2000</v>
      </c>
      <c r="DD99">
        <v>2000</v>
      </c>
      <c r="DE99">
        <v>2000</v>
      </c>
      <c r="DG99" t="s">
        <v>3201</v>
      </c>
      <c r="DH99" t="s">
        <v>82</v>
      </c>
      <c r="DI99" t="s">
        <v>1037</v>
      </c>
      <c r="DJ99" t="s">
        <v>1038</v>
      </c>
      <c r="DK99" t="s">
        <v>668</v>
      </c>
      <c r="DL99">
        <v>38.46</v>
      </c>
      <c r="DM99" t="s">
        <v>670</v>
      </c>
      <c r="DN99" t="s">
        <v>669</v>
      </c>
      <c r="DO99">
        <v>0</v>
      </c>
      <c r="DP99">
        <v>0</v>
      </c>
      <c r="DQ99">
        <v>181.39</v>
      </c>
      <c r="DR99" t="s">
        <v>3202</v>
      </c>
      <c r="EB99" t="s">
        <v>3203</v>
      </c>
      <c r="EC99" t="s">
        <v>2696</v>
      </c>
      <c r="EE99" t="s">
        <v>267</v>
      </c>
      <c r="EL99" t="s">
        <v>3204</v>
      </c>
      <c r="EM99" t="s">
        <v>2349</v>
      </c>
      <c r="EN99" t="s">
        <v>2350</v>
      </c>
      <c r="EO99">
        <v>1</v>
      </c>
      <c r="EP99" t="s">
        <v>2252</v>
      </c>
      <c r="EQ99" t="s">
        <v>2293</v>
      </c>
      <c r="ER99" t="s">
        <v>2294</v>
      </c>
      <c r="ES99">
        <v>8000</v>
      </c>
      <c r="ET99">
        <v>8000</v>
      </c>
      <c r="EU99">
        <v>8000</v>
      </c>
      <c r="EV99">
        <v>8000</v>
      </c>
      <c r="HA99" t="s">
        <v>3205</v>
      </c>
      <c r="HB99" t="s">
        <v>86</v>
      </c>
      <c r="HC99" t="s">
        <v>2282</v>
      </c>
      <c r="HD99" t="s">
        <v>37</v>
      </c>
      <c r="HE99">
        <v>0</v>
      </c>
      <c r="HF99">
        <v>0</v>
      </c>
      <c r="HG99">
        <v>0</v>
      </c>
      <c r="HH99">
        <v>0</v>
      </c>
      <c r="HI99">
        <v>0</v>
      </c>
      <c r="HJ99">
        <v>0</v>
      </c>
    </row>
    <row r="100" ht="15" customHeight="1" spans="1:218" x14ac:dyDescent="0.25">
      <c r="A100" t="s">
        <v>233</v>
      </c>
      <c r="B100" t="s">
        <v>231</v>
      </c>
      <c r="C100">
        <v>1110</v>
      </c>
      <c r="D100">
        <v>1220</v>
      </c>
      <c r="E100">
        <v>1320</v>
      </c>
      <c r="F100">
        <v>1320</v>
      </c>
      <c r="CQ100" t="s">
        <v>3206</v>
      </c>
      <c r="CR100" t="s">
        <v>121</v>
      </c>
      <c r="CS100" t="s">
        <v>556</v>
      </c>
      <c r="CT100" t="s">
        <v>2713</v>
      </c>
      <c r="CU100" t="s">
        <v>79</v>
      </c>
      <c r="CV100" t="s">
        <v>2867</v>
      </c>
      <c r="CW100">
        <v>0</v>
      </c>
      <c r="DB100">
        <v>550</v>
      </c>
      <c r="DC100">
        <v>850</v>
      </c>
      <c r="DD100">
        <v>1200</v>
      </c>
      <c r="DE100">
        <v>1200</v>
      </c>
      <c r="DG100" t="s">
        <v>3207</v>
      </c>
      <c r="DH100" t="s">
        <v>82</v>
      </c>
      <c r="DJ100" t="s">
        <v>730</v>
      </c>
      <c r="DK100" t="s">
        <v>692</v>
      </c>
      <c r="DL100">
        <v>38.46</v>
      </c>
      <c r="DM100" t="s">
        <v>669</v>
      </c>
      <c r="DN100" t="s">
        <v>669</v>
      </c>
      <c r="DO100">
        <v>0</v>
      </c>
      <c r="DP100">
        <v>0</v>
      </c>
      <c r="DQ100">
        <v>0</v>
      </c>
      <c r="DR100" t="s">
        <v>2505</v>
      </c>
      <c r="EB100" t="s">
        <v>3208</v>
      </c>
      <c r="EC100" t="s">
        <v>2696</v>
      </c>
      <c r="EE100" t="s">
        <v>258</v>
      </c>
      <c r="EL100" t="s">
        <v>3209</v>
      </c>
      <c r="EM100" t="s">
        <v>2349</v>
      </c>
      <c r="EN100" t="s">
        <v>2350</v>
      </c>
      <c r="EO100">
        <v>1.5</v>
      </c>
      <c r="EP100" t="s">
        <v>2252</v>
      </c>
      <c r="EQ100" t="s">
        <v>2322</v>
      </c>
      <c r="ER100" t="s">
        <v>2323</v>
      </c>
      <c r="ES100">
        <v>12000</v>
      </c>
      <c r="ET100">
        <v>12000</v>
      </c>
      <c r="EU100">
        <v>12000</v>
      </c>
      <c r="EV100">
        <v>12000</v>
      </c>
      <c r="HA100" t="s">
        <v>3210</v>
      </c>
      <c r="HB100" t="s">
        <v>86</v>
      </c>
      <c r="HC100" t="s">
        <v>2296</v>
      </c>
      <c r="HD100" t="s">
        <v>38</v>
      </c>
      <c r="HE100">
        <v>0</v>
      </c>
      <c r="HF100">
        <v>0</v>
      </c>
      <c r="HG100">
        <v>0</v>
      </c>
      <c r="HH100">
        <v>0</v>
      </c>
      <c r="HI100">
        <v>0</v>
      </c>
      <c r="HJ100">
        <v>0</v>
      </c>
    </row>
    <row r="101" ht="15" customHeight="1" spans="1:218" x14ac:dyDescent="0.25">
      <c r="A101" t="s">
        <v>612</v>
      </c>
      <c r="B101" t="s">
        <v>2320</v>
      </c>
      <c r="C101">
        <v>360</v>
      </c>
      <c r="D101">
        <v>400</v>
      </c>
      <c r="E101">
        <v>430</v>
      </c>
      <c r="F101">
        <v>430</v>
      </c>
      <c r="CQ101" t="s">
        <v>3211</v>
      </c>
      <c r="CR101" t="s">
        <v>121</v>
      </c>
      <c r="CS101" t="s">
        <v>596</v>
      </c>
      <c r="CT101" t="s">
        <v>2452</v>
      </c>
      <c r="CU101" t="s">
        <v>79</v>
      </c>
      <c r="CV101" t="s">
        <v>594</v>
      </c>
      <c r="CW101">
        <v>0</v>
      </c>
      <c r="DB101">
        <v>350</v>
      </c>
      <c r="DC101">
        <v>350</v>
      </c>
      <c r="DD101">
        <v>350</v>
      </c>
      <c r="DE101">
        <v>350</v>
      </c>
      <c r="DG101" t="s">
        <v>3212</v>
      </c>
      <c r="DH101" t="s">
        <v>82</v>
      </c>
      <c r="DI101" t="s">
        <v>1040</v>
      </c>
      <c r="DJ101" t="s">
        <v>1041</v>
      </c>
      <c r="DK101" t="s">
        <v>692</v>
      </c>
      <c r="DL101">
        <v>38.46</v>
      </c>
      <c r="DM101" t="s">
        <v>669</v>
      </c>
      <c r="DN101" t="s">
        <v>670</v>
      </c>
      <c r="DO101">
        <v>10</v>
      </c>
      <c r="DP101">
        <v>160</v>
      </c>
      <c r="DQ101">
        <v>160</v>
      </c>
      <c r="DR101" t="s">
        <v>3213</v>
      </c>
      <c r="EB101" t="s">
        <v>3214</v>
      </c>
      <c r="EC101" t="s">
        <v>2696</v>
      </c>
      <c r="EE101" t="s">
        <v>222</v>
      </c>
      <c r="EL101" t="s">
        <v>3215</v>
      </c>
      <c r="EM101" t="s">
        <v>2349</v>
      </c>
      <c r="EN101" t="s">
        <v>2350</v>
      </c>
      <c r="EO101">
        <v>2</v>
      </c>
      <c r="EP101" t="s">
        <v>2252</v>
      </c>
      <c r="EQ101" t="s">
        <v>2354</v>
      </c>
      <c r="ER101" t="s">
        <v>2355</v>
      </c>
      <c r="ES101">
        <v>16000</v>
      </c>
      <c r="ET101">
        <v>16000</v>
      </c>
      <c r="EU101">
        <v>16000</v>
      </c>
      <c r="EV101">
        <v>16000</v>
      </c>
      <c r="HA101" t="s">
        <v>3216</v>
      </c>
      <c r="HB101" t="s">
        <v>86</v>
      </c>
      <c r="HC101" t="s">
        <v>2310</v>
      </c>
      <c r="HD101" t="s">
        <v>39</v>
      </c>
      <c r="HE101">
        <v>0</v>
      </c>
      <c r="HF101">
        <v>0</v>
      </c>
      <c r="HG101">
        <v>0</v>
      </c>
      <c r="HH101">
        <v>0</v>
      </c>
      <c r="HI101">
        <v>0</v>
      </c>
      <c r="HJ101">
        <v>0</v>
      </c>
    </row>
    <row r="102" ht="15" customHeight="1" spans="1:218" x14ac:dyDescent="0.25">
      <c r="A102" t="s">
        <v>225</v>
      </c>
      <c r="B102" t="s">
        <v>223</v>
      </c>
      <c r="C102">
        <v>2730</v>
      </c>
      <c r="D102">
        <v>3020</v>
      </c>
      <c r="E102">
        <v>3260</v>
      </c>
      <c r="F102">
        <v>3260</v>
      </c>
      <c r="CQ102" t="s">
        <v>3217</v>
      </c>
      <c r="CR102" t="s">
        <v>121</v>
      </c>
      <c r="CS102" t="s">
        <v>561</v>
      </c>
      <c r="CT102" t="s">
        <v>2684</v>
      </c>
      <c r="CU102" t="s">
        <v>79</v>
      </c>
      <c r="CV102" t="s">
        <v>2881</v>
      </c>
      <c r="CW102">
        <v>0</v>
      </c>
      <c r="DB102">
        <v>1250</v>
      </c>
      <c r="DC102">
        <v>1250</v>
      </c>
      <c r="DD102">
        <v>1250</v>
      </c>
      <c r="DE102">
        <v>1250</v>
      </c>
      <c r="DG102" t="s">
        <v>3218</v>
      </c>
      <c r="DH102" t="s">
        <v>82</v>
      </c>
      <c r="DI102" t="s">
        <v>1042</v>
      </c>
      <c r="DJ102" t="s">
        <v>1043</v>
      </c>
      <c r="DK102" t="s">
        <v>692</v>
      </c>
      <c r="DL102">
        <v>38.46</v>
      </c>
      <c r="DM102" t="s">
        <v>670</v>
      </c>
      <c r="DN102" t="s">
        <v>669</v>
      </c>
      <c r="DO102">
        <v>0</v>
      </c>
      <c r="DP102">
        <v>0</v>
      </c>
      <c r="DQ102">
        <v>538.65</v>
      </c>
      <c r="DR102" t="s">
        <v>3219</v>
      </c>
      <c r="EB102" t="s">
        <v>3220</v>
      </c>
      <c r="EC102" t="s">
        <v>2696</v>
      </c>
      <c r="EE102" t="s">
        <v>233</v>
      </c>
      <c r="EL102" t="s">
        <v>3221</v>
      </c>
      <c r="EM102" t="s">
        <v>2349</v>
      </c>
      <c r="EN102" t="s">
        <v>2350</v>
      </c>
      <c r="EO102">
        <v>2.5</v>
      </c>
      <c r="EP102" t="s">
        <v>2252</v>
      </c>
      <c r="EQ102" t="s">
        <v>2389</v>
      </c>
      <c r="ER102" t="s">
        <v>2390</v>
      </c>
      <c r="ES102">
        <v>19000</v>
      </c>
      <c r="ET102">
        <v>19000</v>
      </c>
      <c r="EU102">
        <v>19000</v>
      </c>
      <c r="EV102">
        <v>19000</v>
      </c>
      <c r="HA102" t="s">
        <v>3222</v>
      </c>
      <c r="HB102" t="s">
        <v>86</v>
      </c>
      <c r="HC102" t="s">
        <v>2326</v>
      </c>
      <c r="HD102" t="s">
        <v>143</v>
      </c>
      <c r="HE102">
        <v>0</v>
      </c>
      <c r="HF102">
        <v>0</v>
      </c>
      <c r="HG102">
        <v>0</v>
      </c>
      <c r="HH102">
        <v>0</v>
      </c>
      <c r="HI102">
        <v>0</v>
      </c>
      <c r="HJ102">
        <v>0</v>
      </c>
    </row>
    <row r="103" ht="15" customHeight="1" spans="1:218" x14ac:dyDescent="0.25">
      <c r="A103" t="s">
        <v>288</v>
      </c>
      <c r="B103" t="s">
        <v>287</v>
      </c>
      <c r="C103">
        <v>450</v>
      </c>
      <c r="D103">
        <v>530</v>
      </c>
      <c r="E103">
        <v>580</v>
      </c>
      <c r="F103">
        <v>580</v>
      </c>
      <c r="CQ103" t="s">
        <v>3223</v>
      </c>
      <c r="CR103" t="s">
        <v>121</v>
      </c>
      <c r="CS103" t="s">
        <v>584</v>
      </c>
      <c r="CT103" t="s">
        <v>2510</v>
      </c>
      <c r="CU103" t="s">
        <v>88</v>
      </c>
      <c r="CV103" t="s">
        <v>2890</v>
      </c>
      <c r="CW103">
        <v>0</v>
      </c>
      <c r="DB103">
        <v>3020</v>
      </c>
      <c r="DC103">
        <v>3020</v>
      </c>
      <c r="DD103">
        <v>3020</v>
      </c>
      <c r="DE103">
        <v>3020</v>
      </c>
      <c r="DG103" t="s">
        <v>3224</v>
      </c>
      <c r="DH103" t="s">
        <v>82</v>
      </c>
      <c r="DI103" t="s">
        <v>1047</v>
      </c>
      <c r="DJ103" t="s">
        <v>1048</v>
      </c>
      <c r="DK103" t="s">
        <v>692</v>
      </c>
      <c r="DL103">
        <v>38.46</v>
      </c>
      <c r="DM103" t="s">
        <v>669</v>
      </c>
      <c r="DN103" t="s">
        <v>670</v>
      </c>
      <c r="DO103">
        <v>2.5</v>
      </c>
      <c r="DP103">
        <v>282.5</v>
      </c>
      <c r="DQ103">
        <v>282.5</v>
      </c>
      <c r="DR103" t="s">
        <v>3225</v>
      </c>
      <c r="EB103" t="s">
        <v>3226</v>
      </c>
      <c r="EC103" t="s">
        <v>2696</v>
      </c>
      <c r="EE103" t="s">
        <v>225</v>
      </c>
      <c r="EL103" t="s">
        <v>3227</v>
      </c>
      <c r="EM103" t="s">
        <v>2349</v>
      </c>
      <c r="EN103" t="s">
        <v>2350</v>
      </c>
      <c r="EO103">
        <v>3</v>
      </c>
      <c r="EP103" t="s">
        <v>2252</v>
      </c>
      <c r="EQ103" t="s">
        <v>2423</v>
      </c>
      <c r="ER103" t="s">
        <v>2424</v>
      </c>
      <c r="ES103">
        <v>22000</v>
      </c>
      <c r="ET103">
        <v>22000</v>
      </c>
      <c r="EU103">
        <v>22000</v>
      </c>
      <c r="EV103">
        <v>22000</v>
      </c>
      <c r="HA103" t="s">
        <v>3228</v>
      </c>
      <c r="HB103" t="s">
        <v>86</v>
      </c>
      <c r="HC103" t="s">
        <v>2342</v>
      </c>
      <c r="HD103" t="s">
        <v>79</v>
      </c>
      <c r="HE103">
        <v>0</v>
      </c>
      <c r="HF103">
        <v>0</v>
      </c>
      <c r="HG103">
        <v>0</v>
      </c>
      <c r="HH103">
        <v>0</v>
      </c>
      <c r="HI103">
        <v>0</v>
      </c>
      <c r="HJ103">
        <v>0</v>
      </c>
    </row>
    <row r="104" ht="15" customHeight="1" spans="1:218" x14ac:dyDescent="0.25">
      <c r="A104" t="s">
        <v>269</v>
      </c>
      <c r="B104" t="s">
        <v>268</v>
      </c>
      <c r="C104">
        <v>280</v>
      </c>
      <c r="D104">
        <v>280</v>
      </c>
      <c r="E104">
        <v>280</v>
      </c>
      <c r="F104">
        <v>280</v>
      </c>
      <c r="CQ104" t="s">
        <v>3229</v>
      </c>
      <c r="CR104" t="s">
        <v>121</v>
      </c>
      <c r="CS104" t="s">
        <v>582</v>
      </c>
      <c r="CT104" t="s">
        <v>2525</v>
      </c>
      <c r="CU104" t="s">
        <v>88</v>
      </c>
      <c r="CV104" t="s">
        <v>581</v>
      </c>
      <c r="CW104">
        <v>0</v>
      </c>
      <c r="DB104">
        <v>2470</v>
      </c>
      <c r="DC104">
        <v>2470</v>
      </c>
      <c r="DD104">
        <v>2470</v>
      </c>
      <c r="DE104">
        <v>2470</v>
      </c>
      <c r="DG104" t="s">
        <v>3230</v>
      </c>
      <c r="DH104" t="s">
        <v>82</v>
      </c>
      <c r="DI104" t="s">
        <v>1050</v>
      </c>
      <c r="DJ104" t="s">
        <v>1051</v>
      </c>
      <c r="DK104" t="s">
        <v>692</v>
      </c>
      <c r="DL104">
        <v>38.46</v>
      </c>
      <c r="DM104" t="s">
        <v>669</v>
      </c>
      <c r="DN104" t="s">
        <v>670</v>
      </c>
      <c r="DO104">
        <v>10</v>
      </c>
      <c r="DP104">
        <v>170</v>
      </c>
      <c r="DQ104">
        <v>170</v>
      </c>
      <c r="DR104" t="s">
        <v>3231</v>
      </c>
      <c r="EB104" t="s">
        <v>3232</v>
      </c>
      <c r="EC104" t="s">
        <v>2696</v>
      </c>
      <c r="EE104" t="s">
        <v>288</v>
      </c>
      <c r="EL104" t="s">
        <v>3233</v>
      </c>
      <c r="EM104" t="s">
        <v>2349</v>
      </c>
      <c r="EN104" t="s">
        <v>2350</v>
      </c>
      <c r="EO104">
        <v>3.5</v>
      </c>
      <c r="EP104" t="s">
        <v>2252</v>
      </c>
      <c r="EQ104" t="s">
        <v>2454</v>
      </c>
      <c r="ER104" t="s">
        <v>2455</v>
      </c>
      <c r="ES104">
        <v>25000</v>
      </c>
      <c r="ET104">
        <v>25000</v>
      </c>
      <c r="EU104">
        <v>25000</v>
      </c>
      <c r="EV104">
        <v>25000</v>
      </c>
      <c r="HA104" t="s">
        <v>3234</v>
      </c>
      <c r="HB104" t="s">
        <v>86</v>
      </c>
      <c r="HC104" t="s">
        <v>2361</v>
      </c>
      <c r="HD104" t="s">
        <v>144</v>
      </c>
      <c r="HE104">
        <v>0</v>
      </c>
      <c r="HF104">
        <v>0</v>
      </c>
      <c r="HG104">
        <v>0</v>
      </c>
      <c r="HH104">
        <v>0</v>
      </c>
      <c r="HI104">
        <v>0</v>
      </c>
      <c r="HJ104">
        <v>0</v>
      </c>
    </row>
    <row r="105" ht="15" customHeight="1" spans="1:218" x14ac:dyDescent="0.25">
      <c r="A105" t="s">
        <v>237</v>
      </c>
      <c r="B105" t="s">
        <v>235</v>
      </c>
      <c r="C105">
        <v>2650</v>
      </c>
      <c r="D105">
        <v>2650</v>
      </c>
      <c r="E105">
        <v>2650</v>
      </c>
      <c r="F105">
        <v>2650</v>
      </c>
      <c r="CQ105" t="s">
        <v>3235</v>
      </c>
      <c r="CR105" t="s">
        <v>121</v>
      </c>
      <c r="CS105" t="s">
        <v>580</v>
      </c>
      <c r="CT105" t="s">
        <v>2539</v>
      </c>
      <c r="CU105" t="s">
        <v>88</v>
      </c>
      <c r="CV105" t="s">
        <v>2909</v>
      </c>
      <c r="CW105">
        <v>0</v>
      </c>
      <c r="DB105">
        <v>10480</v>
      </c>
      <c r="DC105">
        <v>10480</v>
      </c>
      <c r="DD105">
        <v>10480</v>
      </c>
      <c r="DE105">
        <v>10480</v>
      </c>
      <c r="DG105" t="s">
        <v>3236</v>
      </c>
      <c r="DH105" t="s">
        <v>82</v>
      </c>
      <c r="DI105" t="s">
        <v>1053</v>
      </c>
      <c r="DJ105" t="s">
        <v>1054</v>
      </c>
      <c r="DK105" t="s">
        <v>692</v>
      </c>
      <c r="DL105">
        <v>38.46</v>
      </c>
      <c r="DM105" t="s">
        <v>669</v>
      </c>
      <c r="DN105" t="s">
        <v>670</v>
      </c>
      <c r="DO105">
        <v>1</v>
      </c>
      <c r="DP105">
        <v>4.31</v>
      </c>
      <c r="DQ105">
        <v>4.31</v>
      </c>
      <c r="DR105" t="s">
        <v>3237</v>
      </c>
      <c r="EB105" t="s">
        <v>3238</v>
      </c>
      <c r="EC105" t="s">
        <v>2696</v>
      </c>
      <c r="ED105" t="s">
        <v>2697</v>
      </c>
      <c r="EE105" t="s">
        <v>269</v>
      </c>
      <c r="EF105" t="s">
        <v>3239</v>
      </c>
      <c r="EG105">
        <v>695</v>
      </c>
      <c r="EH105">
        <v>765</v>
      </c>
      <c r="EI105">
        <v>765</v>
      </c>
      <c r="EJ105">
        <v>880</v>
      </c>
      <c r="EL105" t="s">
        <v>3240</v>
      </c>
      <c r="EM105" t="s">
        <v>2349</v>
      </c>
      <c r="EN105" t="s">
        <v>2350</v>
      </c>
      <c r="EO105">
        <v>4</v>
      </c>
      <c r="EP105" t="s">
        <v>2252</v>
      </c>
      <c r="EQ105" t="s">
        <v>2485</v>
      </c>
      <c r="ER105" t="s">
        <v>2486</v>
      </c>
      <c r="ES105">
        <v>28000</v>
      </c>
      <c r="ET105">
        <v>28000</v>
      </c>
      <c r="EU105">
        <v>28000</v>
      </c>
      <c r="EV105">
        <v>28000</v>
      </c>
      <c r="HA105" t="s">
        <v>3241</v>
      </c>
      <c r="HB105" t="s">
        <v>86</v>
      </c>
      <c r="HC105" t="s">
        <v>2376</v>
      </c>
      <c r="HD105" t="s">
        <v>81</v>
      </c>
      <c r="HE105">
        <v>0</v>
      </c>
      <c r="HF105">
        <v>0</v>
      </c>
      <c r="HG105">
        <v>0</v>
      </c>
      <c r="HH105">
        <v>0</v>
      </c>
      <c r="HI105">
        <v>0</v>
      </c>
      <c r="HJ105">
        <v>0</v>
      </c>
    </row>
    <row r="106" ht="15" customHeight="1" spans="1:218" x14ac:dyDescent="0.25">
      <c r="A106" t="s">
        <v>290</v>
      </c>
      <c r="B106" t="s">
        <v>289</v>
      </c>
      <c r="C106">
        <v>420</v>
      </c>
      <c r="D106">
        <v>460</v>
      </c>
      <c r="E106">
        <v>500</v>
      </c>
      <c r="F106">
        <v>500</v>
      </c>
      <c r="CQ106" t="s">
        <v>3242</v>
      </c>
      <c r="CR106" t="s">
        <v>121</v>
      </c>
      <c r="CS106" t="s">
        <v>296</v>
      </c>
      <c r="CT106" t="s">
        <v>294</v>
      </c>
      <c r="CU106" t="s">
        <v>88</v>
      </c>
      <c r="CV106" t="s">
        <v>295</v>
      </c>
      <c r="CW106">
        <v>0</v>
      </c>
      <c r="DB106">
        <v>150</v>
      </c>
      <c r="DC106">
        <v>150</v>
      </c>
      <c r="DD106">
        <v>150</v>
      </c>
      <c r="DE106">
        <v>150</v>
      </c>
      <c r="DG106" t="s">
        <v>3243</v>
      </c>
      <c r="DH106" t="s">
        <v>82</v>
      </c>
      <c r="DI106" t="s">
        <v>1056</v>
      </c>
      <c r="DJ106" t="s">
        <v>1057</v>
      </c>
      <c r="DK106" t="s">
        <v>692</v>
      </c>
      <c r="DL106">
        <v>38.46</v>
      </c>
      <c r="DM106" t="s">
        <v>670</v>
      </c>
      <c r="DN106" t="s">
        <v>669</v>
      </c>
      <c r="DO106">
        <v>0</v>
      </c>
      <c r="DP106">
        <v>0</v>
      </c>
      <c r="DQ106">
        <v>205.5</v>
      </c>
      <c r="DR106" t="s">
        <v>3244</v>
      </c>
      <c r="EB106" t="s">
        <v>3245</v>
      </c>
      <c r="EC106" t="s">
        <v>2696</v>
      </c>
      <c r="ED106" t="s">
        <v>2697</v>
      </c>
      <c r="EE106" t="s">
        <v>237</v>
      </c>
      <c r="EF106" t="s">
        <v>3246</v>
      </c>
      <c r="EG106">
        <v>1500</v>
      </c>
      <c r="EH106">
        <v>1650</v>
      </c>
      <c r="EI106">
        <v>1650</v>
      </c>
      <c r="EJ106">
        <v>1900</v>
      </c>
      <c r="EL106" t="s">
        <v>3247</v>
      </c>
      <c r="EM106" t="s">
        <v>2349</v>
      </c>
      <c r="EN106" t="s">
        <v>2350</v>
      </c>
      <c r="EO106">
        <v>4.5</v>
      </c>
      <c r="EP106" t="s">
        <v>2252</v>
      </c>
      <c r="EQ106" t="s">
        <v>2512</v>
      </c>
      <c r="ER106" t="s">
        <v>2513</v>
      </c>
      <c r="ES106">
        <v>31000</v>
      </c>
      <c r="ET106">
        <v>31000</v>
      </c>
      <c r="EU106">
        <v>31000</v>
      </c>
      <c r="EV106">
        <v>31000</v>
      </c>
      <c r="HA106" t="s">
        <v>3248</v>
      </c>
      <c r="HB106" t="s">
        <v>86</v>
      </c>
      <c r="HC106" t="s">
        <v>2393</v>
      </c>
      <c r="HD106" t="s">
        <v>88</v>
      </c>
      <c r="HE106">
        <v>0</v>
      </c>
      <c r="HF106">
        <v>0</v>
      </c>
      <c r="HG106">
        <v>0</v>
      </c>
      <c r="HH106">
        <v>0</v>
      </c>
      <c r="HI106">
        <v>0</v>
      </c>
      <c r="HJ106">
        <v>0</v>
      </c>
    </row>
    <row r="107" ht="15" customHeight="1" spans="1:218" x14ac:dyDescent="0.25">
      <c r="A107" t="s">
        <v>610</v>
      </c>
      <c r="B107" t="s">
        <v>2336</v>
      </c>
      <c r="C107">
        <v>480</v>
      </c>
      <c r="D107">
        <v>530</v>
      </c>
      <c r="E107">
        <v>570</v>
      </c>
      <c r="F107">
        <v>570</v>
      </c>
      <c r="CQ107" t="s">
        <v>3206</v>
      </c>
      <c r="CR107" t="s">
        <v>121</v>
      </c>
      <c r="CS107" t="s">
        <v>556</v>
      </c>
      <c r="CT107" t="s">
        <v>2713</v>
      </c>
      <c r="CU107" t="s">
        <v>79</v>
      </c>
      <c r="CV107" t="s">
        <v>2867</v>
      </c>
      <c r="CW107">
        <v>0</v>
      </c>
      <c r="DB107">
        <v>550</v>
      </c>
      <c r="DC107">
        <v>850</v>
      </c>
      <c r="DD107">
        <v>1200</v>
      </c>
      <c r="DE107">
        <v>1200</v>
      </c>
      <c r="DG107" t="s">
        <v>3249</v>
      </c>
      <c r="DH107" t="s">
        <v>82</v>
      </c>
      <c r="DI107" t="s">
        <v>1059</v>
      </c>
      <c r="DJ107" t="s">
        <v>195</v>
      </c>
      <c r="DK107" t="s">
        <v>692</v>
      </c>
      <c r="DL107">
        <v>38.46</v>
      </c>
      <c r="DM107" t="s">
        <v>669</v>
      </c>
      <c r="DN107" t="s">
        <v>670</v>
      </c>
      <c r="DO107">
        <v>2</v>
      </c>
      <c r="DP107">
        <v>53250</v>
      </c>
      <c r="DQ107">
        <v>53250</v>
      </c>
      <c r="DR107" t="s">
        <v>3250</v>
      </c>
      <c r="EB107" t="s">
        <v>3251</v>
      </c>
      <c r="EC107" t="s">
        <v>2696</v>
      </c>
      <c r="EE107" t="s">
        <v>249</v>
      </c>
      <c r="EL107" t="s">
        <v>3252</v>
      </c>
      <c r="EM107" t="s">
        <v>2349</v>
      </c>
      <c r="EN107" t="s">
        <v>2350</v>
      </c>
      <c r="EO107">
        <v>5</v>
      </c>
      <c r="EP107" t="s">
        <v>2252</v>
      </c>
      <c r="EQ107" t="s">
        <v>2541</v>
      </c>
      <c r="ER107" t="s">
        <v>2542</v>
      </c>
      <c r="ES107">
        <v>34000</v>
      </c>
      <c r="ET107">
        <v>34000</v>
      </c>
      <c r="EU107">
        <v>34000</v>
      </c>
      <c r="EV107">
        <v>34000</v>
      </c>
      <c r="HA107" t="s">
        <v>3253</v>
      </c>
      <c r="HB107" t="s">
        <v>86</v>
      </c>
      <c r="HC107" t="s">
        <v>2410</v>
      </c>
      <c r="HD107" t="s">
        <v>90</v>
      </c>
      <c r="HE107">
        <v>0</v>
      </c>
      <c r="HF107">
        <v>0</v>
      </c>
      <c r="HG107">
        <v>0</v>
      </c>
      <c r="HH107">
        <v>0</v>
      </c>
      <c r="HI107">
        <v>0</v>
      </c>
      <c r="HJ107">
        <v>0</v>
      </c>
    </row>
    <row r="108" ht="15" customHeight="1" spans="1:218" x14ac:dyDescent="0.25">
      <c r="A108" t="s">
        <v>608</v>
      </c>
      <c r="B108" t="s">
        <v>2352</v>
      </c>
      <c r="C108">
        <v>980</v>
      </c>
      <c r="D108">
        <v>1080</v>
      </c>
      <c r="E108">
        <v>1170</v>
      </c>
      <c r="F108">
        <v>1170</v>
      </c>
      <c r="CQ108" t="s">
        <v>3254</v>
      </c>
      <c r="CR108" t="s">
        <v>125</v>
      </c>
      <c r="CS108" t="s">
        <v>290</v>
      </c>
      <c r="CT108" t="s">
        <v>289</v>
      </c>
      <c r="CU108" t="s">
        <v>81</v>
      </c>
      <c r="CV108" t="s">
        <v>289</v>
      </c>
      <c r="CW108">
        <v>0</v>
      </c>
      <c r="DB108">
        <v>420</v>
      </c>
      <c r="DC108">
        <v>460</v>
      </c>
      <c r="DD108">
        <v>500</v>
      </c>
      <c r="DE108">
        <v>500</v>
      </c>
      <c r="DG108" t="s">
        <v>3255</v>
      </c>
      <c r="DH108" t="s">
        <v>82</v>
      </c>
      <c r="DI108" t="s">
        <v>1061</v>
      </c>
      <c r="DJ108" t="s">
        <v>1062</v>
      </c>
      <c r="DK108" t="s">
        <v>692</v>
      </c>
      <c r="DL108">
        <v>38.46</v>
      </c>
      <c r="DM108" t="s">
        <v>670</v>
      </c>
      <c r="DN108" t="s">
        <v>670</v>
      </c>
      <c r="DO108">
        <v>1</v>
      </c>
      <c r="DP108">
        <v>169.69</v>
      </c>
      <c r="DQ108">
        <v>172.84</v>
      </c>
      <c r="DR108" t="s">
        <v>3256</v>
      </c>
      <c r="EB108" t="s">
        <v>3257</v>
      </c>
      <c r="EC108" t="s">
        <v>2696</v>
      </c>
      <c r="EE108" t="s">
        <v>293</v>
      </c>
      <c r="EL108" t="s">
        <v>3258</v>
      </c>
      <c r="EM108" t="s">
        <v>2349</v>
      </c>
      <c r="EN108" t="s">
        <v>2350</v>
      </c>
      <c r="EO108">
        <v>5.5</v>
      </c>
      <c r="EP108" t="s">
        <v>2252</v>
      </c>
      <c r="EQ108" t="s">
        <v>2572</v>
      </c>
      <c r="ER108" t="s">
        <v>2573</v>
      </c>
      <c r="ES108">
        <v>37000</v>
      </c>
      <c r="ET108">
        <v>37000</v>
      </c>
      <c r="EU108">
        <v>37000</v>
      </c>
      <c r="EV108">
        <v>37000</v>
      </c>
      <c r="HA108" t="s">
        <v>3259</v>
      </c>
      <c r="HB108" t="s">
        <v>86</v>
      </c>
      <c r="HC108" t="s">
        <v>2426</v>
      </c>
      <c r="HD108" t="s">
        <v>99</v>
      </c>
      <c r="HE108">
        <v>0</v>
      </c>
      <c r="HF108">
        <v>0</v>
      </c>
      <c r="HG108">
        <v>0</v>
      </c>
      <c r="HH108">
        <v>0</v>
      </c>
      <c r="HI108">
        <v>0</v>
      </c>
      <c r="HJ108">
        <v>0</v>
      </c>
    </row>
    <row r="109" ht="15" customHeight="1" spans="1:218" x14ac:dyDescent="0.25">
      <c r="A109" t="s">
        <v>606</v>
      </c>
      <c r="B109" t="s">
        <v>2371</v>
      </c>
      <c r="C109">
        <v>740</v>
      </c>
      <c r="D109">
        <v>820</v>
      </c>
      <c r="E109">
        <v>880</v>
      </c>
      <c r="F109">
        <v>880</v>
      </c>
      <c r="CQ109" t="s">
        <v>3260</v>
      </c>
      <c r="CR109" t="s">
        <v>125</v>
      </c>
      <c r="CS109" t="s">
        <v>275</v>
      </c>
      <c r="CT109" t="s">
        <v>273</v>
      </c>
      <c r="CU109" t="s">
        <v>81</v>
      </c>
      <c r="CV109" t="s">
        <v>274</v>
      </c>
      <c r="CW109">
        <v>0</v>
      </c>
      <c r="DB109">
        <v>1000</v>
      </c>
      <c r="DC109">
        <v>1110</v>
      </c>
      <c r="DD109">
        <v>1200</v>
      </c>
      <c r="DE109">
        <v>1200</v>
      </c>
      <c r="DG109" t="s">
        <v>3261</v>
      </c>
      <c r="DH109" t="s">
        <v>82</v>
      </c>
      <c r="DI109" t="s">
        <v>1066</v>
      </c>
      <c r="DJ109" t="s">
        <v>1067</v>
      </c>
      <c r="DK109" t="s">
        <v>692</v>
      </c>
      <c r="DL109">
        <v>38.46</v>
      </c>
      <c r="DM109" t="s">
        <v>670</v>
      </c>
      <c r="DN109" t="s">
        <v>669</v>
      </c>
      <c r="DO109">
        <v>0</v>
      </c>
      <c r="DP109">
        <v>0</v>
      </c>
      <c r="DQ109">
        <v>175.5</v>
      </c>
      <c r="DR109" t="s">
        <v>3262</v>
      </c>
      <c r="EB109" t="s">
        <v>3263</v>
      </c>
      <c r="EC109" t="s">
        <v>2696</v>
      </c>
      <c r="EE109" t="s">
        <v>280</v>
      </c>
      <c r="EL109" t="s">
        <v>3264</v>
      </c>
      <c r="EM109" t="s">
        <v>2349</v>
      </c>
      <c r="EN109" t="s">
        <v>2350</v>
      </c>
      <c r="EO109">
        <v>6</v>
      </c>
      <c r="EP109" t="s">
        <v>2252</v>
      </c>
      <c r="EQ109" t="s">
        <v>2601</v>
      </c>
      <c r="ER109" t="s">
        <v>2602</v>
      </c>
      <c r="ES109">
        <v>40000</v>
      </c>
      <c r="ET109">
        <v>40000</v>
      </c>
      <c r="EU109">
        <v>40000</v>
      </c>
      <c r="EV109">
        <v>40000</v>
      </c>
      <c r="HA109" t="s">
        <v>3265</v>
      </c>
      <c r="HB109" t="s">
        <v>86</v>
      </c>
      <c r="HC109" t="s">
        <v>2411</v>
      </c>
      <c r="HD109" t="s">
        <v>145</v>
      </c>
      <c r="HE109">
        <v>0</v>
      </c>
      <c r="HF109">
        <v>0</v>
      </c>
      <c r="HG109">
        <v>0</v>
      </c>
      <c r="HH109">
        <v>0</v>
      </c>
      <c r="HI109">
        <v>0</v>
      </c>
      <c r="HJ109">
        <v>0</v>
      </c>
    </row>
    <row r="110" ht="15" customHeight="1" spans="1:218" x14ac:dyDescent="0.25">
      <c r="A110" t="s">
        <v>240</v>
      </c>
      <c r="B110" t="s">
        <v>238</v>
      </c>
      <c r="C110">
        <v>3620</v>
      </c>
      <c r="D110">
        <v>3620</v>
      </c>
      <c r="E110">
        <v>3620</v>
      </c>
      <c r="F110">
        <v>3620</v>
      </c>
      <c r="CQ110" t="s">
        <v>3266</v>
      </c>
      <c r="CR110" t="s">
        <v>125</v>
      </c>
      <c r="CS110" t="s">
        <v>551</v>
      </c>
      <c r="CT110" t="s">
        <v>548</v>
      </c>
      <c r="CU110" t="s">
        <v>81</v>
      </c>
      <c r="CV110" t="s">
        <v>274</v>
      </c>
      <c r="CW110">
        <v>0</v>
      </c>
      <c r="DB110">
        <v>1670</v>
      </c>
      <c r="DC110">
        <v>1850</v>
      </c>
      <c r="DD110">
        <v>1990</v>
      </c>
      <c r="DE110">
        <v>1990</v>
      </c>
      <c r="DG110" t="s">
        <v>3267</v>
      </c>
      <c r="DH110" t="s">
        <v>82</v>
      </c>
      <c r="DJ110" t="s">
        <v>828</v>
      </c>
      <c r="DK110" t="s">
        <v>668</v>
      </c>
      <c r="DL110">
        <v>34.62</v>
      </c>
      <c r="DM110" t="s">
        <v>669</v>
      </c>
      <c r="DN110" t="s">
        <v>669</v>
      </c>
      <c r="DO110">
        <v>0</v>
      </c>
      <c r="DP110">
        <v>0</v>
      </c>
      <c r="DQ110">
        <v>0</v>
      </c>
      <c r="DR110" t="s">
        <v>2810</v>
      </c>
      <c r="EB110" t="s">
        <v>3268</v>
      </c>
      <c r="EC110" t="s">
        <v>2696</v>
      </c>
      <c r="ED110" t="s">
        <v>2697</v>
      </c>
      <c r="EE110" t="s">
        <v>264</v>
      </c>
      <c r="EF110" t="s">
        <v>262</v>
      </c>
      <c r="EG110">
        <v>580</v>
      </c>
      <c r="EH110">
        <v>640</v>
      </c>
      <c r="EI110">
        <v>640</v>
      </c>
      <c r="EJ110">
        <v>735</v>
      </c>
      <c r="EL110" t="s">
        <v>3269</v>
      </c>
      <c r="EM110" t="s">
        <v>2349</v>
      </c>
      <c r="EN110" t="s">
        <v>2350</v>
      </c>
      <c r="EO110">
        <v>6.5</v>
      </c>
      <c r="EP110" t="s">
        <v>2252</v>
      </c>
      <c r="EQ110" t="s">
        <v>2628</v>
      </c>
      <c r="ER110" t="s">
        <v>2629</v>
      </c>
      <c r="ES110">
        <v>43000</v>
      </c>
      <c r="ET110">
        <v>43000</v>
      </c>
      <c r="EU110">
        <v>43000</v>
      </c>
      <c r="EV110">
        <v>43000</v>
      </c>
      <c r="HA110" t="s">
        <v>3270</v>
      </c>
      <c r="HB110" t="s">
        <v>86</v>
      </c>
      <c r="HC110" t="s">
        <v>2460</v>
      </c>
      <c r="HD110" t="s">
        <v>89</v>
      </c>
      <c r="HE110">
        <v>0</v>
      </c>
      <c r="HF110">
        <v>0</v>
      </c>
      <c r="HG110">
        <v>0</v>
      </c>
      <c r="HH110">
        <v>0</v>
      </c>
      <c r="HI110">
        <v>0</v>
      </c>
      <c r="HJ110">
        <v>0</v>
      </c>
    </row>
    <row r="111" ht="15" customHeight="1" spans="1:218" x14ac:dyDescent="0.25">
      <c r="A111" t="s">
        <v>603</v>
      </c>
      <c r="B111" t="s">
        <v>2387</v>
      </c>
      <c r="C111">
        <v>350</v>
      </c>
      <c r="D111">
        <v>350</v>
      </c>
      <c r="E111">
        <v>350</v>
      </c>
      <c r="F111">
        <v>350</v>
      </c>
      <c r="CQ111" t="s">
        <v>3271</v>
      </c>
      <c r="CR111" t="s">
        <v>125</v>
      </c>
      <c r="CS111" t="s">
        <v>298</v>
      </c>
      <c r="CT111" t="s">
        <v>297</v>
      </c>
      <c r="CU111" t="s">
        <v>81</v>
      </c>
      <c r="CV111" t="s">
        <v>274</v>
      </c>
      <c r="CW111">
        <v>0</v>
      </c>
      <c r="DB111">
        <v>1</v>
      </c>
      <c r="DC111">
        <v>1</v>
      </c>
      <c r="DD111">
        <v>1</v>
      </c>
      <c r="DE111">
        <v>1</v>
      </c>
      <c r="DG111" t="s">
        <v>3272</v>
      </c>
      <c r="DH111" t="s">
        <v>82</v>
      </c>
      <c r="DI111" t="s">
        <v>1071</v>
      </c>
      <c r="DJ111" t="s">
        <v>1072</v>
      </c>
      <c r="DK111" t="s">
        <v>668</v>
      </c>
      <c r="DL111">
        <v>34.62</v>
      </c>
      <c r="DM111" t="s">
        <v>670</v>
      </c>
      <c r="DN111" t="s">
        <v>669</v>
      </c>
      <c r="DO111">
        <v>0</v>
      </c>
      <c r="DP111">
        <v>0</v>
      </c>
      <c r="DQ111">
        <v>2.64</v>
      </c>
      <c r="DR111" t="s">
        <v>3273</v>
      </c>
      <c r="EB111" t="s">
        <v>3274</v>
      </c>
      <c r="EC111" t="s">
        <v>2696</v>
      </c>
      <c r="EE111" t="s">
        <v>278</v>
      </c>
      <c r="EL111" t="s">
        <v>3275</v>
      </c>
      <c r="EM111" t="s">
        <v>2349</v>
      </c>
      <c r="EN111" t="s">
        <v>2350</v>
      </c>
      <c r="EO111">
        <v>7</v>
      </c>
      <c r="EP111" t="s">
        <v>2252</v>
      </c>
      <c r="EQ111" t="s">
        <v>2659</v>
      </c>
      <c r="ER111" t="s">
        <v>2660</v>
      </c>
      <c r="ES111">
        <v>46000</v>
      </c>
      <c r="ET111">
        <v>46000</v>
      </c>
      <c r="EU111">
        <v>46000</v>
      </c>
      <c r="EV111">
        <v>46000</v>
      </c>
      <c r="HA111" t="s">
        <v>3276</v>
      </c>
      <c r="HB111" t="s">
        <v>86</v>
      </c>
      <c r="HC111" t="s">
        <v>2427</v>
      </c>
      <c r="HD111" t="s">
        <v>146</v>
      </c>
      <c r="HE111">
        <v>0</v>
      </c>
      <c r="HF111">
        <v>0</v>
      </c>
      <c r="HG111">
        <v>0</v>
      </c>
      <c r="HH111">
        <v>0</v>
      </c>
      <c r="HI111">
        <v>0</v>
      </c>
      <c r="HJ111">
        <v>0</v>
      </c>
    </row>
    <row r="112" ht="15" customHeight="1" spans="1:218" x14ac:dyDescent="0.25">
      <c r="A112" t="s">
        <v>252</v>
      </c>
      <c r="B112" t="s">
        <v>250</v>
      </c>
      <c r="C112">
        <v>890</v>
      </c>
      <c r="D112">
        <v>890</v>
      </c>
      <c r="E112">
        <v>890</v>
      </c>
      <c r="F112">
        <v>890</v>
      </c>
      <c r="CQ112" t="s">
        <v>3277</v>
      </c>
      <c r="CR112" t="s">
        <v>125</v>
      </c>
      <c r="CS112" t="s">
        <v>620</v>
      </c>
      <c r="CT112" t="s">
        <v>2250</v>
      </c>
      <c r="CU112" t="s">
        <v>81</v>
      </c>
      <c r="CV112" t="s">
        <v>285</v>
      </c>
      <c r="CW112">
        <v>0</v>
      </c>
      <c r="DB112">
        <v>360</v>
      </c>
      <c r="DC112">
        <v>400</v>
      </c>
      <c r="DD112">
        <v>430</v>
      </c>
      <c r="DE112">
        <v>430</v>
      </c>
      <c r="DG112" t="s">
        <v>3278</v>
      </c>
      <c r="DH112" t="s">
        <v>82</v>
      </c>
      <c r="DI112" t="s">
        <v>1076</v>
      </c>
      <c r="DJ112" t="s">
        <v>1077</v>
      </c>
      <c r="DK112" t="s">
        <v>668</v>
      </c>
      <c r="DL112">
        <v>34.62</v>
      </c>
      <c r="DM112" t="s">
        <v>670</v>
      </c>
      <c r="DN112" t="s">
        <v>670</v>
      </c>
      <c r="DO112">
        <v>0</v>
      </c>
      <c r="DP112">
        <v>0</v>
      </c>
      <c r="DQ112">
        <v>420</v>
      </c>
      <c r="DR112" t="s">
        <v>3279</v>
      </c>
      <c r="EB112" t="s">
        <v>3280</v>
      </c>
      <c r="EC112" t="s">
        <v>2696</v>
      </c>
      <c r="ED112" t="s">
        <v>2697</v>
      </c>
      <c r="EE112" t="s">
        <v>240</v>
      </c>
      <c r="EF112" t="s">
        <v>238</v>
      </c>
      <c r="EG112">
        <v>4500</v>
      </c>
      <c r="EH112">
        <v>4500</v>
      </c>
      <c r="EI112">
        <v>4500</v>
      </c>
      <c r="EJ112">
        <v>4500</v>
      </c>
      <c r="EL112" t="s">
        <v>3281</v>
      </c>
      <c r="EM112" t="s">
        <v>2349</v>
      </c>
      <c r="EN112" t="s">
        <v>2350</v>
      </c>
      <c r="EO112">
        <v>7.5</v>
      </c>
      <c r="EP112" t="s">
        <v>2252</v>
      </c>
      <c r="EQ112" t="s">
        <v>2686</v>
      </c>
      <c r="ER112" t="s">
        <v>2687</v>
      </c>
      <c r="ES112">
        <v>49000</v>
      </c>
      <c r="ET112">
        <v>49000</v>
      </c>
      <c r="EU112">
        <v>49000</v>
      </c>
      <c r="EV112">
        <v>49000</v>
      </c>
      <c r="HA112" t="s">
        <v>3282</v>
      </c>
      <c r="HB112" t="s">
        <v>86</v>
      </c>
      <c r="HC112" t="s">
        <v>2488</v>
      </c>
      <c r="HD112" t="s">
        <v>92</v>
      </c>
      <c r="HE112">
        <v>0</v>
      </c>
      <c r="HF112">
        <v>0</v>
      </c>
      <c r="HG112">
        <v>0</v>
      </c>
      <c r="HH112">
        <v>0</v>
      </c>
      <c r="HI112">
        <v>0</v>
      </c>
      <c r="HJ112">
        <v>0</v>
      </c>
    </row>
    <row r="113" ht="15" customHeight="1" spans="1:218" x14ac:dyDescent="0.25">
      <c r="A113" t="s">
        <v>601</v>
      </c>
      <c r="B113" t="s">
        <v>2404</v>
      </c>
      <c r="C113">
        <v>850</v>
      </c>
      <c r="D113">
        <v>850</v>
      </c>
      <c r="E113">
        <v>850</v>
      </c>
      <c r="F113">
        <v>850</v>
      </c>
      <c r="CQ113" t="s">
        <v>3283</v>
      </c>
      <c r="CR113" t="s">
        <v>125</v>
      </c>
      <c r="CS113" t="s">
        <v>618</v>
      </c>
      <c r="CT113" t="s">
        <v>2274</v>
      </c>
      <c r="CU113" t="s">
        <v>81</v>
      </c>
      <c r="CV113" t="s">
        <v>285</v>
      </c>
      <c r="CW113">
        <v>0</v>
      </c>
      <c r="DB113">
        <v>580</v>
      </c>
      <c r="DC113">
        <v>660</v>
      </c>
      <c r="DD113">
        <v>760</v>
      </c>
      <c r="DE113">
        <v>800</v>
      </c>
      <c r="DG113" t="s">
        <v>3284</v>
      </c>
      <c r="DH113" t="s">
        <v>82</v>
      </c>
      <c r="DI113" t="s">
        <v>470</v>
      </c>
      <c r="DJ113" t="s">
        <v>1078</v>
      </c>
      <c r="DK113" t="s">
        <v>1079</v>
      </c>
      <c r="DL113">
        <v>34.62</v>
      </c>
      <c r="DM113" t="s">
        <v>669</v>
      </c>
      <c r="DN113" t="s">
        <v>670</v>
      </c>
      <c r="DO113">
        <v>1</v>
      </c>
      <c r="DP113">
        <v>5730</v>
      </c>
      <c r="DQ113">
        <v>5730</v>
      </c>
      <c r="DR113" t="s">
        <v>3285</v>
      </c>
      <c r="EB113" t="s">
        <v>3286</v>
      </c>
      <c r="EC113" t="s">
        <v>2696</v>
      </c>
      <c r="ED113" t="s">
        <v>2697</v>
      </c>
      <c r="EE113" t="s">
        <v>252</v>
      </c>
      <c r="EF113" t="s">
        <v>250</v>
      </c>
      <c r="EG113">
        <v>750</v>
      </c>
      <c r="EH113">
        <v>750</v>
      </c>
      <c r="EI113">
        <v>750</v>
      </c>
      <c r="EJ113">
        <v>750</v>
      </c>
      <c r="EL113" t="s">
        <v>3287</v>
      </c>
      <c r="EM113" t="s">
        <v>2349</v>
      </c>
      <c r="EN113" t="s">
        <v>2350</v>
      </c>
      <c r="EO113">
        <v>8</v>
      </c>
      <c r="EP113" t="s">
        <v>2252</v>
      </c>
      <c r="EQ113" t="s">
        <v>2715</v>
      </c>
      <c r="ER113" t="s">
        <v>2716</v>
      </c>
      <c r="ES113">
        <v>52000</v>
      </c>
      <c r="ET113">
        <v>52000</v>
      </c>
      <c r="EU113">
        <v>52000</v>
      </c>
      <c r="EV113">
        <v>52000</v>
      </c>
      <c r="HA113" t="s">
        <v>3288</v>
      </c>
      <c r="HB113" t="s">
        <v>86</v>
      </c>
      <c r="HC113" t="s">
        <v>2442</v>
      </c>
      <c r="HD113" t="s">
        <v>95</v>
      </c>
      <c r="HE113">
        <v>0</v>
      </c>
      <c r="HF113">
        <v>0</v>
      </c>
      <c r="HG113">
        <v>0</v>
      </c>
      <c r="HH113">
        <v>0</v>
      </c>
      <c r="HI113">
        <v>0</v>
      </c>
      <c r="HJ113">
        <v>0</v>
      </c>
    </row>
    <row r="114" ht="15" customHeight="1" spans="1:218" x14ac:dyDescent="0.25">
      <c r="A114" t="s">
        <v>229</v>
      </c>
      <c r="B114" t="s">
        <v>227</v>
      </c>
      <c r="C114">
        <v>270</v>
      </c>
      <c r="D114">
        <v>300</v>
      </c>
      <c r="E114">
        <v>330</v>
      </c>
      <c r="F114">
        <v>350</v>
      </c>
      <c r="CQ114" t="s">
        <v>3289</v>
      </c>
      <c r="CR114" t="s">
        <v>125</v>
      </c>
      <c r="CS114" t="s">
        <v>616</v>
      </c>
      <c r="CT114" t="s">
        <v>2291</v>
      </c>
      <c r="CU114" t="s">
        <v>81</v>
      </c>
      <c r="CV114" t="s">
        <v>285</v>
      </c>
      <c r="CW114">
        <v>0</v>
      </c>
      <c r="DB114">
        <v>1230</v>
      </c>
      <c r="DC114">
        <v>1360</v>
      </c>
      <c r="DD114">
        <v>1470</v>
      </c>
      <c r="DE114">
        <v>1470</v>
      </c>
      <c r="DG114" t="s">
        <v>3290</v>
      </c>
      <c r="DH114" t="s">
        <v>82</v>
      </c>
      <c r="DI114" t="s">
        <v>909</v>
      </c>
      <c r="DJ114" t="s">
        <v>1081</v>
      </c>
      <c r="DK114" t="s">
        <v>692</v>
      </c>
      <c r="DL114">
        <v>34.62</v>
      </c>
      <c r="DM114" t="s">
        <v>670</v>
      </c>
      <c r="DN114" t="s">
        <v>669</v>
      </c>
      <c r="DO114">
        <v>0</v>
      </c>
      <c r="DP114">
        <v>0</v>
      </c>
      <c r="DQ114">
        <v>100</v>
      </c>
      <c r="DR114" t="s">
        <v>3291</v>
      </c>
      <c r="EB114" t="s">
        <v>3292</v>
      </c>
      <c r="EC114" t="s">
        <v>2696</v>
      </c>
      <c r="ED114" t="s">
        <v>2697</v>
      </c>
      <c r="EE114" t="s">
        <v>229</v>
      </c>
      <c r="EF114" t="s">
        <v>227</v>
      </c>
      <c r="EG114">
        <v>85</v>
      </c>
      <c r="EH114">
        <v>95</v>
      </c>
      <c r="EI114">
        <v>95</v>
      </c>
      <c r="EJ114">
        <v>110</v>
      </c>
      <c r="EL114" t="s">
        <v>3293</v>
      </c>
      <c r="EM114" t="s">
        <v>2597</v>
      </c>
      <c r="EN114" t="s">
        <v>2598</v>
      </c>
      <c r="EO114">
        <v>0.5</v>
      </c>
      <c r="EP114" t="s">
        <v>2252</v>
      </c>
      <c r="EQ114" t="s">
        <v>2253</v>
      </c>
      <c r="ER114" t="s">
        <v>2254</v>
      </c>
      <c r="ES114">
        <v>4000</v>
      </c>
      <c r="ET114">
        <v>4000</v>
      </c>
      <c r="EU114">
        <v>4000</v>
      </c>
      <c r="EV114">
        <v>4000</v>
      </c>
      <c r="HA114" t="s">
        <v>3294</v>
      </c>
      <c r="HB114" t="s">
        <v>86</v>
      </c>
      <c r="HC114" t="s">
        <v>2461</v>
      </c>
      <c r="HD114" t="s">
        <v>98</v>
      </c>
      <c r="HE114">
        <v>0</v>
      </c>
      <c r="HF114">
        <v>0</v>
      </c>
      <c r="HG114">
        <v>0</v>
      </c>
      <c r="HH114">
        <v>0</v>
      </c>
      <c r="HI114">
        <v>0</v>
      </c>
      <c r="HJ114">
        <v>0</v>
      </c>
    </row>
    <row r="115" ht="15" customHeight="1" spans="1:218" x14ac:dyDescent="0.25">
      <c r="A115" t="s">
        <v>246</v>
      </c>
      <c r="B115" t="s">
        <v>244</v>
      </c>
      <c r="C115">
        <v>730</v>
      </c>
      <c r="D115">
        <v>800</v>
      </c>
      <c r="E115">
        <v>870</v>
      </c>
      <c r="F115">
        <v>870</v>
      </c>
      <c r="CQ115" t="s">
        <v>3295</v>
      </c>
      <c r="CR115" t="s">
        <v>125</v>
      </c>
      <c r="CS115" t="s">
        <v>614</v>
      </c>
      <c r="CT115" t="s">
        <v>2304</v>
      </c>
      <c r="CU115" t="s">
        <v>81</v>
      </c>
      <c r="CV115" t="s">
        <v>285</v>
      </c>
      <c r="CW115">
        <v>0</v>
      </c>
      <c r="DB115">
        <v>730</v>
      </c>
      <c r="DC115">
        <v>800</v>
      </c>
      <c r="DD115">
        <v>870</v>
      </c>
      <c r="DE115">
        <v>870</v>
      </c>
      <c r="DG115" t="s">
        <v>3296</v>
      </c>
      <c r="DH115" t="s">
        <v>82</v>
      </c>
      <c r="DI115" t="s">
        <v>1082</v>
      </c>
      <c r="DJ115" t="s">
        <v>1083</v>
      </c>
      <c r="DK115" t="s">
        <v>692</v>
      </c>
      <c r="DL115">
        <v>34.62</v>
      </c>
      <c r="DM115" t="s">
        <v>670</v>
      </c>
      <c r="DN115" t="s">
        <v>669</v>
      </c>
      <c r="DO115">
        <v>0</v>
      </c>
      <c r="DP115">
        <v>0</v>
      </c>
      <c r="DQ115">
        <v>187</v>
      </c>
      <c r="DR115" t="s">
        <v>3297</v>
      </c>
      <c r="EB115" t="s">
        <v>3298</v>
      </c>
      <c r="EC115" t="s">
        <v>2696</v>
      </c>
      <c r="ED115" t="s">
        <v>2697</v>
      </c>
      <c r="EE115" t="s">
        <v>246</v>
      </c>
      <c r="EF115" t="s">
        <v>244</v>
      </c>
      <c r="EG115">
        <v>180</v>
      </c>
      <c r="EH115">
        <v>180</v>
      </c>
      <c r="EI115">
        <v>180</v>
      </c>
      <c r="EJ115">
        <v>180</v>
      </c>
      <c r="EL115" t="s">
        <v>3299</v>
      </c>
      <c r="EM115" t="s">
        <v>2597</v>
      </c>
      <c r="EN115" t="s">
        <v>2598</v>
      </c>
      <c r="EO115">
        <v>1</v>
      </c>
      <c r="EP115" t="s">
        <v>2252</v>
      </c>
      <c r="EQ115" t="s">
        <v>2293</v>
      </c>
      <c r="ER115" t="s">
        <v>2294</v>
      </c>
      <c r="ES115">
        <v>8000</v>
      </c>
      <c r="ET115">
        <v>8000</v>
      </c>
      <c r="EU115">
        <v>8000</v>
      </c>
      <c r="EV115">
        <v>8000</v>
      </c>
      <c r="HA115" t="s">
        <v>3300</v>
      </c>
      <c r="HB115" t="s">
        <v>86</v>
      </c>
      <c r="HC115" t="s">
        <v>2475</v>
      </c>
      <c r="HD115" t="s">
        <v>101</v>
      </c>
      <c r="HE115">
        <v>0</v>
      </c>
      <c r="HF115">
        <v>0</v>
      </c>
      <c r="HG115">
        <v>0</v>
      </c>
      <c r="HH115">
        <v>0</v>
      </c>
      <c r="HI115">
        <v>0</v>
      </c>
      <c r="HJ115">
        <v>0</v>
      </c>
    </row>
    <row r="116" ht="15" customHeight="1" spans="1:218" x14ac:dyDescent="0.25">
      <c r="A116" t="s">
        <v>255</v>
      </c>
      <c r="B116" t="s">
        <v>253</v>
      </c>
      <c r="C116">
        <v>980</v>
      </c>
      <c r="D116">
        <v>1080</v>
      </c>
      <c r="E116">
        <v>1170</v>
      </c>
      <c r="F116">
        <v>1170</v>
      </c>
      <c r="CQ116" t="s">
        <v>3301</v>
      </c>
      <c r="CR116" t="s">
        <v>125</v>
      </c>
      <c r="CS116" t="s">
        <v>286</v>
      </c>
      <c r="CT116" t="s">
        <v>284</v>
      </c>
      <c r="CU116" t="s">
        <v>81</v>
      </c>
      <c r="CV116" t="s">
        <v>285</v>
      </c>
      <c r="CW116">
        <v>0</v>
      </c>
      <c r="DB116">
        <v>680</v>
      </c>
      <c r="DC116">
        <v>750</v>
      </c>
      <c r="DD116">
        <v>810</v>
      </c>
      <c r="DE116">
        <v>810</v>
      </c>
      <c r="DG116" t="s">
        <v>3302</v>
      </c>
      <c r="DH116" t="s">
        <v>82</v>
      </c>
      <c r="DI116" t="s">
        <v>1085</v>
      </c>
      <c r="DJ116" t="s">
        <v>1086</v>
      </c>
      <c r="DK116" t="s">
        <v>692</v>
      </c>
      <c r="DL116">
        <v>34.62</v>
      </c>
      <c r="DM116" t="s">
        <v>669</v>
      </c>
      <c r="DN116" t="s">
        <v>670</v>
      </c>
      <c r="DO116">
        <v>1</v>
      </c>
      <c r="DP116">
        <v>150</v>
      </c>
      <c r="DQ116">
        <v>150</v>
      </c>
      <c r="DR116" t="s">
        <v>3303</v>
      </c>
      <c r="EB116" t="s">
        <v>3304</v>
      </c>
      <c r="EC116" t="s">
        <v>2696</v>
      </c>
      <c r="EE116" t="s">
        <v>255</v>
      </c>
      <c r="EL116" t="s">
        <v>3305</v>
      </c>
      <c r="EM116" t="s">
        <v>2597</v>
      </c>
      <c r="EN116" t="s">
        <v>2598</v>
      </c>
      <c r="EO116">
        <v>1.5</v>
      </c>
      <c r="EP116" t="s">
        <v>2252</v>
      </c>
      <c r="EQ116" t="s">
        <v>2322</v>
      </c>
      <c r="ER116" t="s">
        <v>2323</v>
      </c>
      <c r="ES116">
        <v>12000</v>
      </c>
      <c r="ET116">
        <v>12000</v>
      </c>
      <c r="EU116">
        <v>12000</v>
      </c>
      <c r="EV116">
        <v>12000</v>
      </c>
      <c r="HA116" t="s">
        <v>3306</v>
      </c>
      <c r="HB116" t="s">
        <v>86</v>
      </c>
      <c r="HC116" t="s">
        <v>2547</v>
      </c>
      <c r="HD116" t="s">
        <v>147</v>
      </c>
      <c r="HE116">
        <v>0</v>
      </c>
      <c r="HF116">
        <v>0</v>
      </c>
      <c r="HG116">
        <v>0</v>
      </c>
      <c r="HH116">
        <v>0</v>
      </c>
      <c r="HI116">
        <v>0</v>
      </c>
      <c r="HJ116">
        <v>0</v>
      </c>
    </row>
    <row r="117" ht="15" customHeight="1" spans="1:218" x14ac:dyDescent="0.25">
      <c r="A117" t="s">
        <v>599</v>
      </c>
      <c r="B117" t="s">
        <v>2421</v>
      </c>
      <c r="C117">
        <v>930</v>
      </c>
      <c r="D117">
        <v>930</v>
      </c>
      <c r="E117">
        <v>930</v>
      </c>
      <c r="F117">
        <v>930</v>
      </c>
      <c r="CQ117" t="s">
        <v>3307</v>
      </c>
      <c r="CR117" t="s">
        <v>125</v>
      </c>
      <c r="CS117" t="s">
        <v>272</v>
      </c>
      <c r="CT117" t="s">
        <v>270</v>
      </c>
      <c r="CU117" t="s">
        <v>81</v>
      </c>
      <c r="CV117" t="s">
        <v>271</v>
      </c>
      <c r="CW117">
        <v>0</v>
      </c>
      <c r="DB117">
        <v>1430</v>
      </c>
      <c r="DC117">
        <v>1580</v>
      </c>
      <c r="DD117">
        <v>1710</v>
      </c>
      <c r="DE117">
        <v>1710</v>
      </c>
      <c r="DG117" t="s">
        <v>3308</v>
      </c>
      <c r="DH117" t="s">
        <v>82</v>
      </c>
      <c r="DI117" t="s">
        <v>1088</v>
      </c>
      <c r="DJ117" t="s">
        <v>1089</v>
      </c>
      <c r="DK117" t="s">
        <v>692</v>
      </c>
      <c r="DL117">
        <v>34.62</v>
      </c>
      <c r="DM117" t="s">
        <v>669</v>
      </c>
      <c r="DN117" t="s">
        <v>670</v>
      </c>
      <c r="DO117">
        <v>1</v>
      </c>
      <c r="DP117">
        <v>1063.13</v>
      </c>
      <c r="DQ117">
        <v>1063.13</v>
      </c>
      <c r="DR117" t="s">
        <v>3309</v>
      </c>
      <c r="EB117" t="s">
        <v>3310</v>
      </c>
      <c r="EC117" t="s">
        <v>2696</v>
      </c>
      <c r="EE117" t="s">
        <v>243</v>
      </c>
      <c r="EL117" t="s">
        <v>3311</v>
      </c>
      <c r="EM117" t="s">
        <v>2597</v>
      </c>
      <c r="EN117" t="s">
        <v>2598</v>
      </c>
      <c r="EO117">
        <v>2</v>
      </c>
      <c r="EP117" t="s">
        <v>2252</v>
      </c>
      <c r="EQ117" t="s">
        <v>2354</v>
      </c>
      <c r="ER117" t="s">
        <v>2355</v>
      </c>
      <c r="ES117">
        <v>16000</v>
      </c>
      <c r="ET117">
        <v>16000</v>
      </c>
      <c r="EU117">
        <v>16000</v>
      </c>
      <c r="EV117">
        <v>16000</v>
      </c>
      <c r="HA117" t="s">
        <v>3312</v>
      </c>
      <c r="HB117" t="s">
        <v>86</v>
      </c>
      <c r="HC117" t="s">
        <v>2563</v>
      </c>
      <c r="HD117" t="s">
        <v>96</v>
      </c>
      <c r="HE117">
        <v>0</v>
      </c>
      <c r="HF117">
        <v>0</v>
      </c>
      <c r="HG117">
        <v>0</v>
      </c>
      <c r="HH117">
        <v>0</v>
      </c>
      <c r="HI117">
        <v>0</v>
      </c>
      <c r="HJ117">
        <v>0</v>
      </c>
    </row>
    <row r="118" ht="15" customHeight="1" spans="1:218" x14ac:dyDescent="0.25">
      <c r="A118" t="s">
        <v>261</v>
      </c>
      <c r="B118" t="s">
        <v>259</v>
      </c>
      <c r="C118">
        <v>860</v>
      </c>
      <c r="D118">
        <v>950</v>
      </c>
      <c r="E118">
        <v>1020</v>
      </c>
      <c r="F118">
        <v>1020</v>
      </c>
      <c r="CQ118" t="s">
        <v>3313</v>
      </c>
      <c r="CR118" t="s">
        <v>125</v>
      </c>
      <c r="CS118" t="s">
        <v>283</v>
      </c>
      <c r="CT118" t="s">
        <v>281</v>
      </c>
      <c r="CU118" t="s">
        <v>81</v>
      </c>
      <c r="CV118" t="s">
        <v>282</v>
      </c>
      <c r="CW118">
        <v>0</v>
      </c>
      <c r="DB118">
        <v>360</v>
      </c>
      <c r="DC118">
        <v>400</v>
      </c>
      <c r="DD118">
        <v>430</v>
      </c>
      <c r="DE118">
        <v>430</v>
      </c>
      <c r="DG118" t="s">
        <v>3314</v>
      </c>
      <c r="DH118" t="s">
        <v>82</v>
      </c>
      <c r="DI118" t="s">
        <v>1093</v>
      </c>
      <c r="DJ118" t="s">
        <v>1094</v>
      </c>
      <c r="DK118" t="s">
        <v>692</v>
      </c>
      <c r="DL118">
        <v>34.62</v>
      </c>
      <c r="DM118" t="s">
        <v>669</v>
      </c>
      <c r="DN118" t="s">
        <v>670</v>
      </c>
      <c r="DO118">
        <v>1</v>
      </c>
      <c r="DP118">
        <v>464</v>
      </c>
      <c r="DQ118">
        <v>464</v>
      </c>
      <c r="DR118" t="s">
        <v>3315</v>
      </c>
      <c r="EB118" t="s">
        <v>3316</v>
      </c>
      <c r="EC118" t="s">
        <v>2696</v>
      </c>
      <c r="ED118" t="s">
        <v>2697</v>
      </c>
      <c r="EE118" t="s">
        <v>261</v>
      </c>
      <c r="EF118" t="s">
        <v>259</v>
      </c>
      <c r="EG118">
        <v>1</v>
      </c>
      <c r="EH118">
        <v>1</v>
      </c>
      <c r="EI118">
        <v>1</v>
      </c>
      <c r="EJ118">
        <v>1</v>
      </c>
      <c r="EL118" t="s">
        <v>3317</v>
      </c>
      <c r="EM118" t="s">
        <v>2597</v>
      </c>
      <c r="EN118" t="s">
        <v>2598</v>
      </c>
      <c r="EO118">
        <v>2.5</v>
      </c>
      <c r="EP118" t="s">
        <v>2252</v>
      </c>
      <c r="EQ118" t="s">
        <v>2389</v>
      </c>
      <c r="ER118" t="s">
        <v>2390</v>
      </c>
      <c r="ES118">
        <v>20000</v>
      </c>
      <c r="ET118">
        <v>20000</v>
      </c>
      <c r="EU118">
        <v>20000</v>
      </c>
      <c r="EV118">
        <v>20000</v>
      </c>
      <c r="HA118" t="s">
        <v>3318</v>
      </c>
      <c r="HB118" t="s">
        <v>86</v>
      </c>
      <c r="HC118" t="s">
        <v>2576</v>
      </c>
      <c r="HD118" t="s">
        <v>2073</v>
      </c>
      <c r="HE118">
        <v>0</v>
      </c>
      <c r="HF118">
        <v>0</v>
      </c>
      <c r="HG118">
        <v>0</v>
      </c>
      <c r="HH118">
        <v>0</v>
      </c>
      <c r="HI118">
        <v>0</v>
      </c>
      <c r="HJ118">
        <v>0</v>
      </c>
    </row>
    <row r="119" ht="15" customHeight="1" spans="1:218" x14ac:dyDescent="0.25">
      <c r="A119" t="s">
        <v>243</v>
      </c>
      <c r="B119" t="s">
        <v>241</v>
      </c>
      <c r="C119">
        <v>1250</v>
      </c>
      <c r="D119">
        <v>1250</v>
      </c>
      <c r="E119">
        <v>1250</v>
      </c>
      <c r="F119">
        <v>1250</v>
      </c>
      <c r="CQ119" t="s">
        <v>3319</v>
      </c>
      <c r="CR119" t="s">
        <v>125</v>
      </c>
      <c r="CS119" t="s">
        <v>267</v>
      </c>
      <c r="CT119" t="s">
        <v>265</v>
      </c>
      <c r="CU119" t="s">
        <v>81</v>
      </c>
      <c r="CV119" t="s">
        <v>266</v>
      </c>
      <c r="CW119">
        <v>0</v>
      </c>
      <c r="DB119">
        <v>1920</v>
      </c>
      <c r="DC119">
        <v>2120</v>
      </c>
      <c r="DD119">
        <v>2290</v>
      </c>
      <c r="DE119">
        <v>2290</v>
      </c>
      <c r="DG119" t="s">
        <v>3320</v>
      </c>
      <c r="DH119" t="s">
        <v>82</v>
      </c>
      <c r="DI119" t="s">
        <v>1096</v>
      </c>
      <c r="DJ119" t="s">
        <v>1097</v>
      </c>
      <c r="DK119" t="s">
        <v>692</v>
      </c>
      <c r="DL119">
        <v>34.62</v>
      </c>
      <c r="DM119" t="s">
        <v>669</v>
      </c>
      <c r="DN119" t="s">
        <v>670</v>
      </c>
      <c r="DO119">
        <v>1</v>
      </c>
      <c r="DP119">
        <v>221.72</v>
      </c>
      <c r="DQ119">
        <v>221.72</v>
      </c>
      <c r="DR119" t="s">
        <v>3321</v>
      </c>
      <c r="EB119" t="s">
        <v>3322</v>
      </c>
      <c r="EC119" t="s">
        <v>2696</v>
      </c>
      <c r="EE119" t="s">
        <v>296</v>
      </c>
      <c r="EL119" t="s">
        <v>3323</v>
      </c>
      <c r="EM119" t="s">
        <v>2597</v>
      </c>
      <c r="EN119" t="s">
        <v>2598</v>
      </c>
      <c r="EO119">
        <v>3</v>
      </c>
      <c r="EP119" t="s">
        <v>2252</v>
      </c>
      <c r="EQ119" t="s">
        <v>2423</v>
      </c>
      <c r="ER119" t="s">
        <v>2424</v>
      </c>
      <c r="ES119">
        <v>24000</v>
      </c>
      <c r="ET119">
        <v>24000</v>
      </c>
      <c r="EU119">
        <v>24000</v>
      </c>
      <c r="EV119">
        <v>24000</v>
      </c>
      <c r="HA119" t="s">
        <v>3324</v>
      </c>
      <c r="HB119" t="s">
        <v>86</v>
      </c>
      <c r="HC119" t="s">
        <v>2590</v>
      </c>
      <c r="HD119" t="s">
        <v>2074</v>
      </c>
      <c r="HE119">
        <v>0</v>
      </c>
      <c r="HF119">
        <v>0</v>
      </c>
      <c r="HG119">
        <v>0</v>
      </c>
      <c r="HH119">
        <v>0</v>
      </c>
      <c r="HI119">
        <v>0</v>
      </c>
      <c r="HJ119">
        <v>0</v>
      </c>
    </row>
    <row r="120" ht="15" customHeight="1" spans="1:218" x14ac:dyDescent="0.25">
      <c r="A120" t="s">
        <v>623</v>
      </c>
      <c r="B120" t="s">
        <v>2437</v>
      </c>
      <c r="C120">
        <v>1200</v>
      </c>
      <c r="D120">
        <v>1200</v>
      </c>
      <c r="E120">
        <v>1200</v>
      </c>
      <c r="F120">
        <v>1200</v>
      </c>
      <c r="CQ120" t="s">
        <v>3325</v>
      </c>
      <c r="CR120" t="s">
        <v>125</v>
      </c>
      <c r="CS120" t="s">
        <v>258</v>
      </c>
      <c r="CT120" t="s">
        <v>256</v>
      </c>
      <c r="CU120" t="s">
        <v>81</v>
      </c>
      <c r="CV120" t="s">
        <v>257</v>
      </c>
      <c r="CW120">
        <v>0</v>
      </c>
      <c r="DB120">
        <v>2910</v>
      </c>
      <c r="DC120">
        <v>3220</v>
      </c>
      <c r="DD120">
        <v>3470</v>
      </c>
      <c r="DE120">
        <v>3470</v>
      </c>
      <c r="DG120" t="s">
        <v>3326</v>
      </c>
      <c r="DH120" t="s">
        <v>82</v>
      </c>
      <c r="DI120" t="s">
        <v>1098</v>
      </c>
      <c r="DJ120" t="s">
        <v>1099</v>
      </c>
      <c r="DK120" t="s">
        <v>692</v>
      </c>
      <c r="DL120">
        <v>34.62</v>
      </c>
      <c r="DM120" t="s">
        <v>669</v>
      </c>
      <c r="DN120" t="s">
        <v>670</v>
      </c>
      <c r="DO120">
        <v>3</v>
      </c>
      <c r="DP120">
        <v>273</v>
      </c>
      <c r="DQ120">
        <v>273</v>
      </c>
      <c r="DR120" t="s">
        <v>3327</v>
      </c>
      <c r="EB120" t="s">
        <v>3328</v>
      </c>
      <c r="EC120" t="s">
        <v>2653</v>
      </c>
      <c r="EE120" t="s">
        <v>620</v>
      </c>
      <c r="EL120" t="s">
        <v>3329</v>
      </c>
      <c r="EM120" t="s">
        <v>2597</v>
      </c>
      <c r="EN120" t="s">
        <v>2598</v>
      </c>
      <c r="EO120">
        <v>3.5</v>
      </c>
      <c r="EP120" t="s">
        <v>2252</v>
      </c>
      <c r="EQ120" t="s">
        <v>2454</v>
      </c>
      <c r="ER120" t="s">
        <v>2455</v>
      </c>
      <c r="ES120">
        <v>28000</v>
      </c>
      <c r="ET120">
        <v>28000</v>
      </c>
      <c r="EU120">
        <v>28000</v>
      </c>
      <c r="EV120">
        <v>28000</v>
      </c>
      <c r="HA120" t="s">
        <v>3330</v>
      </c>
      <c r="HB120" t="s">
        <v>86</v>
      </c>
      <c r="HC120" t="s">
        <v>2604</v>
      </c>
      <c r="HD120" t="s">
        <v>2075</v>
      </c>
      <c r="HE120">
        <v>0</v>
      </c>
      <c r="HF120">
        <v>0</v>
      </c>
      <c r="HG120">
        <v>0</v>
      </c>
      <c r="HH120">
        <v>0</v>
      </c>
      <c r="HI120">
        <v>0</v>
      </c>
      <c r="HJ120">
        <v>0</v>
      </c>
    </row>
    <row r="121" ht="15" customHeight="1" spans="1:218" x14ac:dyDescent="0.25">
      <c r="A121" t="s">
        <v>596</v>
      </c>
      <c r="B121" t="s">
        <v>2452</v>
      </c>
      <c r="C121">
        <v>350</v>
      </c>
      <c r="D121">
        <v>350</v>
      </c>
      <c r="E121">
        <v>350</v>
      </c>
      <c r="F121">
        <v>350</v>
      </c>
      <c r="CQ121" t="s">
        <v>3331</v>
      </c>
      <c r="CR121" t="s">
        <v>125</v>
      </c>
      <c r="CS121" t="s">
        <v>222</v>
      </c>
      <c r="CT121" t="s">
        <v>220</v>
      </c>
      <c r="CU121" t="s">
        <v>81</v>
      </c>
      <c r="CV121" t="s">
        <v>221</v>
      </c>
      <c r="CW121">
        <v>0</v>
      </c>
      <c r="DB121">
        <v>2430</v>
      </c>
      <c r="DC121">
        <v>2690</v>
      </c>
      <c r="DD121">
        <v>2900</v>
      </c>
      <c r="DE121">
        <v>2900</v>
      </c>
      <c r="DG121" t="s">
        <v>3332</v>
      </c>
      <c r="DH121" t="s">
        <v>82</v>
      </c>
      <c r="DI121" t="s">
        <v>1100</v>
      </c>
      <c r="DJ121" t="s">
        <v>1101</v>
      </c>
      <c r="DK121" t="s">
        <v>692</v>
      </c>
      <c r="DL121">
        <v>34.62</v>
      </c>
      <c r="DM121" t="s">
        <v>670</v>
      </c>
      <c r="DN121" t="s">
        <v>670</v>
      </c>
      <c r="DO121">
        <v>8</v>
      </c>
      <c r="DP121">
        <v>728</v>
      </c>
      <c r="DQ121">
        <v>819</v>
      </c>
      <c r="DR121" t="s">
        <v>3333</v>
      </c>
      <c r="EB121" t="s">
        <v>3334</v>
      </c>
      <c r="EC121" t="s">
        <v>2653</v>
      </c>
      <c r="EE121" t="s">
        <v>618</v>
      </c>
      <c r="EL121" t="s">
        <v>3335</v>
      </c>
      <c r="EM121" t="s">
        <v>2597</v>
      </c>
      <c r="EN121" t="s">
        <v>2598</v>
      </c>
      <c r="EO121">
        <v>4</v>
      </c>
      <c r="EP121" t="s">
        <v>2252</v>
      </c>
      <c r="EQ121" t="s">
        <v>2485</v>
      </c>
      <c r="ER121" t="s">
        <v>2486</v>
      </c>
      <c r="ES121">
        <v>32000</v>
      </c>
      <c r="ET121">
        <v>32000</v>
      </c>
      <c r="EU121">
        <v>32000</v>
      </c>
      <c r="EV121">
        <v>32000</v>
      </c>
      <c r="HA121" t="s">
        <v>3336</v>
      </c>
      <c r="HB121" t="s">
        <v>86</v>
      </c>
      <c r="HC121" t="s">
        <v>2619</v>
      </c>
      <c r="HD121" t="s">
        <v>150</v>
      </c>
      <c r="HE121">
        <v>0</v>
      </c>
      <c r="HF121">
        <v>0</v>
      </c>
      <c r="HG121">
        <v>0</v>
      </c>
      <c r="HH121">
        <v>0</v>
      </c>
      <c r="HI121">
        <v>0</v>
      </c>
      <c r="HJ121">
        <v>0</v>
      </c>
    </row>
    <row r="122" ht="15" customHeight="1" spans="1:218" x14ac:dyDescent="0.25">
      <c r="A122" t="s">
        <v>593</v>
      </c>
      <c r="B122" t="s">
        <v>2469</v>
      </c>
      <c r="C122">
        <v>1500</v>
      </c>
      <c r="D122">
        <v>1500</v>
      </c>
      <c r="E122">
        <v>1500</v>
      </c>
      <c r="F122">
        <v>1500</v>
      </c>
      <c r="CQ122" t="s">
        <v>3337</v>
      </c>
      <c r="CR122" t="s">
        <v>125</v>
      </c>
      <c r="CS122" t="s">
        <v>233</v>
      </c>
      <c r="CT122" t="s">
        <v>231</v>
      </c>
      <c r="CU122" t="s">
        <v>81</v>
      </c>
      <c r="CV122" t="s">
        <v>232</v>
      </c>
      <c r="CW122">
        <v>0</v>
      </c>
      <c r="DB122">
        <v>1110</v>
      </c>
      <c r="DC122">
        <v>1220</v>
      </c>
      <c r="DD122">
        <v>1320</v>
      </c>
      <c r="DE122">
        <v>1320</v>
      </c>
      <c r="DG122" t="s">
        <v>3338</v>
      </c>
      <c r="DH122" t="s">
        <v>82</v>
      </c>
      <c r="DI122" t="s">
        <v>1102</v>
      </c>
      <c r="DJ122" t="s">
        <v>1103</v>
      </c>
      <c r="DK122" t="s">
        <v>692</v>
      </c>
      <c r="DL122">
        <v>34.62</v>
      </c>
      <c r="DM122" t="s">
        <v>669</v>
      </c>
      <c r="DN122" t="s">
        <v>670</v>
      </c>
      <c r="DO122">
        <v>1</v>
      </c>
      <c r="DP122">
        <v>767</v>
      </c>
      <c r="DQ122">
        <v>767</v>
      </c>
      <c r="DR122" t="s">
        <v>3339</v>
      </c>
      <c r="EB122" t="s">
        <v>3340</v>
      </c>
      <c r="EC122" t="s">
        <v>2653</v>
      </c>
      <c r="EE122" t="s">
        <v>616</v>
      </c>
      <c r="EL122" t="s">
        <v>3341</v>
      </c>
      <c r="EM122" t="s">
        <v>2597</v>
      </c>
      <c r="EN122" t="s">
        <v>2598</v>
      </c>
      <c r="EO122">
        <v>4.5</v>
      </c>
      <c r="EP122" t="s">
        <v>2252</v>
      </c>
      <c r="EQ122" t="s">
        <v>2512</v>
      </c>
      <c r="ER122" t="s">
        <v>2513</v>
      </c>
      <c r="ES122">
        <v>36000</v>
      </c>
      <c r="ET122">
        <v>36000</v>
      </c>
      <c r="EU122">
        <v>36000</v>
      </c>
      <c r="EV122">
        <v>36000</v>
      </c>
      <c r="HA122" t="s">
        <v>3342</v>
      </c>
      <c r="HB122" t="s">
        <v>87</v>
      </c>
      <c r="HC122" t="s">
        <v>2264</v>
      </c>
      <c r="HD122" t="s">
        <v>142</v>
      </c>
      <c r="HE122">
        <v>3</v>
      </c>
      <c r="HF122">
        <v>5</v>
      </c>
      <c r="HG122">
        <v>3.3076923076923075</v>
      </c>
      <c r="HH122">
        <v>3</v>
      </c>
      <c r="HI122">
        <v>3</v>
      </c>
      <c r="HJ122">
        <v>3.75</v>
      </c>
    </row>
    <row r="123" ht="15" customHeight="1" spans="1:218" x14ac:dyDescent="0.25">
      <c r="A123" t="s">
        <v>591</v>
      </c>
      <c r="B123" t="s">
        <v>2483</v>
      </c>
      <c r="C123">
        <v>3000</v>
      </c>
      <c r="D123">
        <v>3000</v>
      </c>
      <c r="E123">
        <v>3000</v>
      </c>
      <c r="F123">
        <v>3000</v>
      </c>
      <c r="CQ123" t="s">
        <v>3343</v>
      </c>
      <c r="CR123" t="s">
        <v>125</v>
      </c>
      <c r="CS123" t="s">
        <v>612</v>
      </c>
      <c r="CT123" t="s">
        <v>2320</v>
      </c>
      <c r="CU123" t="s">
        <v>81</v>
      </c>
      <c r="CV123" t="s">
        <v>2490</v>
      </c>
      <c r="CW123">
        <v>0</v>
      </c>
      <c r="DB123">
        <v>360</v>
      </c>
      <c r="DC123">
        <v>400</v>
      </c>
      <c r="DD123">
        <v>430</v>
      </c>
      <c r="DE123">
        <v>430</v>
      </c>
      <c r="DG123" t="s">
        <v>3344</v>
      </c>
      <c r="DH123" t="s">
        <v>82</v>
      </c>
      <c r="DJ123" t="s">
        <v>677</v>
      </c>
      <c r="DK123" t="s">
        <v>668</v>
      </c>
      <c r="DL123">
        <v>30.77</v>
      </c>
      <c r="DM123" t="s">
        <v>669</v>
      </c>
      <c r="DN123" t="s">
        <v>669</v>
      </c>
      <c r="DO123">
        <v>0</v>
      </c>
      <c r="DP123">
        <v>0</v>
      </c>
      <c r="DQ123">
        <v>0</v>
      </c>
      <c r="DR123" t="s">
        <v>2286</v>
      </c>
      <c r="EB123" t="s">
        <v>3345</v>
      </c>
      <c r="EC123" t="s">
        <v>2653</v>
      </c>
      <c r="EE123" t="s">
        <v>614</v>
      </c>
      <c r="EL123" t="s">
        <v>3346</v>
      </c>
      <c r="EM123" t="s">
        <v>2597</v>
      </c>
      <c r="EN123" t="s">
        <v>2598</v>
      </c>
      <c r="EO123">
        <v>5</v>
      </c>
      <c r="EP123" t="s">
        <v>2252</v>
      </c>
      <c r="EQ123" t="s">
        <v>2541</v>
      </c>
      <c r="ER123" t="s">
        <v>2542</v>
      </c>
      <c r="ES123">
        <v>40000</v>
      </c>
      <c r="ET123">
        <v>40000</v>
      </c>
      <c r="EU123">
        <v>40000</v>
      </c>
      <c r="EV123">
        <v>40000</v>
      </c>
      <c r="HA123" t="s">
        <v>3347</v>
      </c>
      <c r="HB123" t="s">
        <v>87</v>
      </c>
      <c r="HC123" t="s">
        <v>2282</v>
      </c>
      <c r="HD123" t="s">
        <v>37</v>
      </c>
      <c r="HE123">
        <v>1</v>
      </c>
      <c r="HF123">
        <v>4</v>
      </c>
      <c r="HG123">
        <v>2.3076923076923075</v>
      </c>
      <c r="HH123">
        <v>2</v>
      </c>
      <c r="HI123">
        <v>2</v>
      </c>
      <c r="HJ123">
        <v>3</v>
      </c>
    </row>
    <row r="124" ht="15" customHeight="1" spans="1:218" x14ac:dyDescent="0.25">
      <c r="A124" t="s">
        <v>2423</v>
      </c>
      <c r="B124" t="s">
        <v>2424</v>
      </c>
      <c r="C124">
        <v>32090</v>
      </c>
      <c r="D124">
        <v>35440</v>
      </c>
      <c r="E124">
        <v>38310</v>
      </c>
      <c r="F124">
        <v>38310</v>
      </c>
      <c r="CQ124" t="s">
        <v>3348</v>
      </c>
      <c r="CR124" t="s">
        <v>125</v>
      </c>
      <c r="CS124" t="s">
        <v>225</v>
      </c>
      <c r="CT124" t="s">
        <v>223</v>
      </c>
      <c r="CU124" t="s">
        <v>81</v>
      </c>
      <c r="CV124" t="s">
        <v>224</v>
      </c>
      <c r="CW124">
        <v>0</v>
      </c>
      <c r="DB124">
        <v>2730</v>
      </c>
      <c r="DC124">
        <v>3020</v>
      </c>
      <c r="DD124">
        <v>3260</v>
      </c>
      <c r="DE124">
        <v>3260</v>
      </c>
      <c r="DG124" t="s">
        <v>3349</v>
      </c>
      <c r="DH124" t="s">
        <v>82</v>
      </c>
      <c r="DJ124" t="s">
        <v>962</v>
      </c>
      <c r="DK124" t="s">
        <v>668</v>
      </c>
      <c r="DL124">
        <v>30.77</v>
      </c>
      <c r="DM124" t="s">
        <v>669</v>
      </c>
      <c r="DN124" t="s">
        <v>669</v>
      </c>
      <c r="DO124">
        <v>0</v>
      </c>
      <c r="DP124">
        <v>0</v>
      </c>
      <c r="DQ124">
        <v>0</v>
      </c>
      <c r="DR124" t="s">
        <v>3063</v>
      </c>
      <c r="EB124" t="s">
        <v>3350</v>
      </c>
      <c r="EC124" t="s">
        <v>2653</v>
      </c>
      <c r="EE124" t="s">
        <v>612</v>
      </c>
      <c r="EL124" t="s">
        <v>3351</v>
      </c>
      <c r="EM124" t="s">
        <v>2597</v>
      </c>
      <c r="EN124" t="s">
        <v>2598</v>
      </c>
      <c r="EO124">
        <v>5.5</v>
      </c>
      <c r="EP124" t="s">
        <v>2252</v>
      </c>
      <c r="EQ124" t="s">
        <v>2572</v>
      </c>
      <c r="ER124" t="s">
        <v>2573</v>
      </c>
      <c r="ES124">
        <v>44000</v>
      </c>
      <c r="ET124">
        <v>44000</v>
      </c>
      <c r="EU124">
        <v>44000</v>
      </c>
      <c r="EV124">
        <v>44000</v>
      </c>
      <c r="HA124" t="s">
        <v>3352</v>
      </c>
      <c r="HB124" t="s">
        <v>87</v>
      </c>
      <c r="HC124" t="s">
        <v>2296</v>
      </c>
      <c r="HD124" t="s">
        <v>38</v>
      </c>
      <c r="HE124">
        <v>0</v>
      </c>
      <c r="HF124">
        <v>2</v>
      </c>
      <c r="HG124">
        <v>1</v>
      </c>
      <c r="HH124">
        <v>0.25</v>
      </c>
      <c r="HI124">
        <v>1</v>
      </c>
      <c r="HJ124">
        <v>1.75</v>
      </c>
    </row>
    <row r="125" ht="15" customHeight="1" spans="1:218" x14ac:dyDescent="0.25">
      <c r="A125" t="s">
        <v>584</v>
      </c>
      <c r="B125" t="s">
        <v>2510</v>
      </c>
      <c r="C125">
        <v>3020</v>
      </c>
      <c r="D125">
        <v>3020</v>
      </c>
      <c r="E125">
        <v>3020</v>
      </c>
      <c r="F125">
        <v>3020</v>
      </c>
      <c r="CQ125" t="s">
        <v>3353</v>
      </c>
      <c r="CR125" t="s">
        <v>125</v>
      </c>
      <c r="CS125" t="s">
        <v>288</v>
      </c>
      <c r="CT125" t="s">
        <v>287</v>
      </c>
      <c r="CU125" t="s">
        <v>81</v>
      </c>
      <c r="CV125" t="s">
        <v>236</v>
      </c>
      <c r="CW125">
        <v>0</v>
      </c>
      <c r="DB125">
        <v>450</v>
      </c>
      <c r="DC125">
        <v>530</v>
      </c>
      <c r="DD125">
        <v>580</v>
      </c>
      <c r="DE125">
        <v>580</v>
      </c>
      <c r="DG125" t="s">
        <v>3354</v>
      </c>
      <c r="DH125" t="s">
        <v>82</v>
      </c>
      <c r="DI125" t="s">
        <v>1107</v>
      </c>
      <c r="DJ125" t="s">
        <v>1108</v>
      </c>
      <c r="DK125" t="s">
        <v>668</v>
      </c>
      <c r="DL125">
        <v>30.77</v>
      </c>
      <c r="DM125" t="s">
        <v>670</v>
      </c>
      <c r="DN125" t="s">
        <v>670</v>
      </c>
      <c r="DO125">
        <v>0</v>
      </c>
      <c r="DP125">
        <v>0</v>
      </c>
      <c r="DQ125">
        <v>120</v>
      </c>
      <c r="DR125" t="s">
        <v>3355</v>
      </c>
      <c r="EB125" t="s">
        <v>3356</v>
      </c>
      <c r="EC125" t="s">
        <v>2653</v>
      </c>
      <c r="ED125" t="s">
        <v>2654</v>
      </c>
      <c r="EE125" t="s">
        <v>610</v>
      </c>
      <c r="EF125" t="s">
        <v>2336</v>
      </c>
      <c r="EG125">
        <v>720</v>
      </c>
      <c r="EH125">
        <v>800</v>
      </c>
      <c r="EI125">
        <v>860</v>
      </c>
      <c r="EJ125">
        <v>860</v>
      </c>
      <c r="EL125" t="s">
        <v>3357</v>
      </c>
      <c r="EM125" t="s">
        <v>2597</v>
      </c>
      <c r="EN125" t="s">
        <v>2598</v>
      </c>
      <c r="EO125">
        <v>6</v>
      </c>
      <c r="EP125" t="s">
        <v>2252</v>
      </c>
      <c r="EQ125" t="s">
        <v>2601</v>
      </c>
      <c r="ER125" t="s">
        <v>2602</v>
      </c>
      <c r="ES125">
        <v>48000</v>
      </c>
      <c r="ET125">
        <v>48000</v>
      </c>
      <c r="EU125">
        <v>48000</v>
      </c>
      <c r="EV125">
        <v>48000</v>
      </c>
      <c r="HA125" t="s">
        <v>3358</v>
      </c>
      <c r="HB125" t="s">
        <v>87</v>
      </c>
      <c r="HC125" t="s">
        <v>2310</v>
      </c>
      <c r="HD125" t="s">
        <v>39</v>
      </c>
      <c r="HE125">
        <v>2</v>
      </c>
      <c r="HF125">
        <v>5</v>
      </c>
      <c r="HG125">
        <v>2.8846153846153846</v>
      </c>
      <c r="HH125">
        <v>2.5</v>
      </c>
      <c r="HI125">
        <v>3</v>
      </c>
      <c r="HJ125">
        <v>3</v>
      </c>
    </row>
    <row r="126" ht="15" customHeight="1" spans="1:218" x14ac:dyDescent="0.25">
      <c r="A126" t="s">
        <v>582</v>
      </c>
      <c r="B126" t="s">
        <v>2525</v>
      </c>
      <c r="C126">
        <v>2470</v>
      </c>
      <c r="D126">
        <v>2470</v>
      </c>
      <c r="E126">
        <v>2470</v>
      </c>
      <c r="F126">
        <v>2470</v>
      </c>
      <c r="CQ126" t="s">
        <v>3359</v>
      </c>
      <c r="CR126" t="s">
        <v>125</v>
      </c>
      <c r="CS126" t="s">
        <v>269</v>
      </c>
      <c r="CT126" t="s">
        <v>268</v>
      </c>
      <c r="CU126" t="s">
        <v>81</v>
      </c>
      <c r="CV126" t="s">
        <v>236</v>
      </c>
      <c r="CW126">
        <v>0</v>
      </c>
      <c r="DB126">
        <v>280</v>
      </c>
      <c r="DC126">
        <v>280</v>
      </c>
      <c r="DD126">
        <v>280</v>
      </c>
      <c r="DE126">
        <v>280</v>
      </c>
      <c r="DG126" t="s">
        <v>3360</v>
      </c>
      <c r="DH126" t="s">
        <v>82</v>
      </c>
      <c r="DI126" t="s">
        <v>1112</v>
      </c>
      <c r="DJ126" t="s">
        <v>1113</v>
      </c>
      <c r="DK126" t="s">
        <v>668</v>
      </c>
      <c r="DL126">
        <v>30.77</v>
      </c>
      <c r="DM126" t="s">
        <v>670</v>
      </c>
      <c r="DN126" t="s">
        <v>669</v>
      </c>
      <c r="DO126">
        <v>0</v>
      </c>
      <c r="DP126">
        <v>0</v>
      </c>
      <c r="DQ126">
        <v>2669.03</v>
      </c>
      <c r="DR126" t="s">
        <v>3361</v>
      </c>
      <c r="EB126" t="s">
        <v>3362</v>
      </c>
      <c r="EC126" t="s">
        <v>2653</v>
      </c>
      <c r="ED126" t="s">
        <v>2654</v>
      </c>
      <c r="EE126" t="s">
        <v>608</v>
      </c>
      <c r="EF126" t="s">
        <v>2352</v>
      </c>
      <c r="EG126">
        <v>1470</v>
      </c>
      <c r="EH126">
        <v>1620</v>
      </c>
      <c r="EI126">
        <v>1760</v>
      </c>
      <c r="EJ126">
        <v>1760</v>
      </c>
      <c r="EL126" t="s">
        <v>3363</v>
      </c>
      <c r="EM126" t="s">
        <v>2597</v>
      </c>
      <c r="EN126" t="s">
        <v>2598</v>
      </c>
      <c r="EO126">
        <v>6.5</v>
      </c>
      <c r="EP126" t="s">
        <v>2252</v>
      </c>
      <c r="EQ126" t="s">
        <v>2628</v>
      </c>
      <c r="ER126" t="s">
        <v>2629</v>
      </c>
      <c r="ES126">
        <v>52000</v>
      </c>
      <c r="ET126">
        <v>52000</v>
      </c>
      <c r="EU126">
        <v>52000</v>
      </c>
      <c r="EV126">
        <v>52000</v>
      </c>
      <c r="HA126" t="s">
        <v>3364</v>
      </c>
      <c r="HB126" t="s">
        <v>87</v>
      </c>
      <c r="HC126" t="s">
        <v>2326</v>
      </c>
      <c r="HD126" t="s">
        <v>143</v>
      </c>
      <c r="HE126">
        <v>33</v>
      </c>
      <c r="HF126">
        <v>46</v>
      </c>
      <c r="HG126">
        <v>38.84615384615385</v>
      </c>
      <c r="HH126">
        <v>36.25</v>
      </c>
      <c r="HI126">
        <v>39</v>
      </c>
      <c r="HJ126">
        <v>41</v>
      </c>
    </row>
    <row r="127" ht="15" customHeight="1" spans="1:218" x14ac:dyDescent="0.25">
      <c r="A127" t="s">
        <v>580</v>
      </c>
      <c r="B127" t="s">
        <v>2539</v>
      </c>
      <c r="C127">
        <v>10480</v>
      </c>
      <c r="D127">
        <v>10480</v>
      </c>
      <c r="E127">
        <v>10480</v>
      </c>
      <c r="F127">
        <v>10480</v>
      </c>
      <c r="CQ127" t="s">
        <v>3365</v>
      </c>
      <c r="CR127" t="s">
        <v>125</v>
      </c>
      <c r="CS127" t="s">
        <v>237</v>
      </c>
      <c r="CT127" t="s">
        <v>235</v>
      </c>
      <c r="CU127" t="s">
        <v>81</v>
      </c>
      <c r="CV127" t="s">
        <v>236</v>
      </c>
      <c r="CW127">
        <v>0</v>
      </c>
      <c r="DB127">
        <v>2650</v>
      </c>
      <c r="DC127">
        <v>2650</v>
      </c>
      <c r="DD127">
        <v>2650</v>
      </c>
      <c r="DE127">
        <v>2650</v>
      </c>
      <c r="DG127" t="s">
        <v>3366</v>
      </c>
      <c r="DH127" t="s">
        <v>82</v>
      </c>
      <c r="DI127" t="s">
        <v>1115</v>
      </c>
      <c r="DJ127" t="s">
        <v>1116</v>
      </c>
      <c r="DK127" t="s">
        <v>668</v>
      </c>
      <c r="DL127">
        <v>30.77</v>
      </c>
      <c r="DM127" t="s">
        <v>669</v>
      </c>
      <c r="DN127" t="s">
        <v>670</v>
      </c>
      <c r="DO127">
        <v>1</v>
      </c>
      <c r="DP127">
        <v>31.55</v>
      </c>
      <c r="DQ127">
        <v>31.55</v>
      </c>
      <c r="DR127" t="s">
        <v>3367</v>
      </c>
      <c r="EB127" t="s">
        <v>3368</v>
      </c>
      <c r="EC127" t="s">
        <v>2653</v>
      </c>
      <c r="ED127" t="s">
        <v>2654</v>
      </c>
      <c r="EE127" t="s">
        <v>606</v>
      </c>
      <c r="EF127" t="s">
        <v>2371</v>
      </c>
      <c r="EG127">
        <v>1110</v>
      </c>
      <c r="EH127">
        <v>1230</v>
      </c>
      <c r="EI127">
        <v>1320</v>
      </c>
      <c r="EJ127">
        <v>1320</v>
      </c>
      <c r="EL127" t="s">
        <v>3369</v>
      </c>
      <c r="EM127" t="s">
        <v>2597</v>
      </c>
      <c r="EN127" t="s">
        <v>2598</v>
      </c>
      <c r="EO127">
        <v>7</v>
      </c>
      <c r="EP127" t="s">
        <v>2252</v>
      </c>
      <c r="EQ127" t="s">
        <v>2659</v>
      </c>
      <c r="ER127" t="s">
        <v>2660</v>
      </c>
      <c r="ES127">
        <v>56000</v>
      </c>
      <c r="ET127">
        <v>56000</v>
      </c>
      <c r="EU127">
        <v>56000</v>
      </c>
      <c r="EV127">
        <v>56000</v>
      </c>
      <c r="HA127" t="s">
        <v>3370</v>
      </c>
      <c r="HB127" t="s">
        <v>87</v>
      </c>
      <c r="HC127" t="s">
        <v>2342</v>
      </c>
      <c r="HD127" t="s">
        <v>79</v>
      </c>
      <c r="HE127">
        <v>31220</v>
      </c>
      <c r="HF127">
        <v>77056</v>
      </c>
      <c r="HG127">
        <v>47079</v>
      </c>
      <c r="HH127">
        <v>41910</v>
      </c>
      <c r="HI127">
        <v>45064</v>
      </c>
      <c r="HJ127">
        <v>54051</v>
      </c>
    </row>
    <row r="128" ht="15" customHeight="1" spans="1:218" x14ac:dyDescent="0.25">
      <c r="A128" t="s">
        <v>578</v>
      </c>
      <c r="B128" t="s">
        <v>577</v>
      </c>
      <c r="C128">
        <v>100000</v>
      </c>
      <c r="D128">
        <v>100000</v>
      </c>
      <c r="E128">
        <v>100000</v>
      </c>
      <c r="F128">
        <v>100000</v>
      </c>
      <c r="CQ128" t="s">
        <v>3371</v>
      </c>
      <c r="CR128" t="s">
        <v>125</v>
      </c>
      <c r="CS128" t="s">
        <v>249</v>
      </c>
      <c r="CT128" t="s">
        <v>247</v>
      </c>
      <c r="CU128" t="s">
        <v>81</v>
      </c>
      <c r="CV128" t="s">
        <v>248</v>
      </c>
      <c r="CW128">
        <v>0</v>
      </c>
      <c r="DB128">
        <v>310</v>
      </c>
      <c r="DC128">
        <v>340</v>
      </c>
      <c r="DD128">
        <v>370</v>
      </c>
      <c r="DE128">
        <v>370</v>
      </c>
      <c r="DG128" t="s">
        <v>3372</v>
      </c>
      <c r="DH128" t="s">
        <v>82</v>
      </c>
      <c r="DI128" t="s">
        <v>1118</v>
      </c>
      <c r="DJ128" t="s">
        <v>1119</v>
      </c>
      <c r="DK128" t="s">
        <v>668</v>
      </c>
      <c r="DL128">
        <v>30.77</v>
      </c>
      <c r="DM128" t="s">
        <v>670</v>
      </c>
      <c r="DN128" t="s">
        <v>670</v>
      </c>
      <c r="DO128">
        <v>2</v>
      </c>
      <c r="DP128">
        <v>89.86</v>
      </c>
      <c r="DQ128">
        <v>336.98</v>
      </c>
      <c r="DR128" t="s">
        <v>3373</v>
      </c>
      <c r="EB128" t="s">
        <v>3374</v>
      </c>
      <c r="EC128" t="s">
        <v>2653</v>
      </c>
      <c r="ED128" t="s">
        <v>2654</v>
      </c>
      <c r="EE128" t="s">
        <v>603</v>
      </c>
      <c r="EF128" t="s">
        <v>2387</v>
      </c>
      <c r="EG128">
        <v>530</v>
      </c>
      <c r="EH128">
        <v>530</v>
      </c>
      <c r="EI128">
        <v>530</v>
      </c>
      <c r="EJ128">
        <v>530</v>
      </c>
      <c r="EL128" t="s">
        <v>3375</v>
      </c>
      <c r="EM128" t="s">
        <v>2597</v>
      </c>
      <c r="EN128" t="s">
        <v>2598</v>
      </c>
      <c r="EO128">
        <v>7.5</v>
      </c>
      <c r="EP128" t="s">
        <v>2252</v>
      </c>
      <c r="EQ128" t="s">
        <v>2686</v>
      </c>
      <c r="ER128" t="s">
        <v>2687</v>
      </c>
      <c r="ES128">
        <v>60000</v>
      </c>
      <c r="ET128">
        <v>60000</v>
      </c>
      <c r="EU128">
        <v>60000</v>
      </c>
      <c r="EV128">
        <v>60000</v>
      </c>
      <c r="HA128" t="s">
        <v>3376</v>
      </c>
      <c r="HB128" t="s">
        <v>87</v>
      </c>
      <c r="HC128" t="s">
        <v>2361</v>
      </c>
      <c r="HD128" t="s">
        <v>144</v>
      </c>
      <c r="HE128">
        <v>10406.666666666666</v>
      </c>
      <c r="HF128">
        <v>18842.666666666668</v>
      </c>
      <c r="HG128">
        <v>14285.520512820514</v>
      </c>
      <c r="HH128">
        <v>13042.666666666666</v>
      </c>
      <c r="HI128">
        <v>13970</v>
      </c>
      <c r="HJ128">
        <v>15021.333333333334</v>
      </c>
    </row>
    <row r="129" ht="15" customHeight="1" spans="1:218" x14ac:dyDescent="0.25">
      <c r="A129" t="s">
        <v>249</v>
      </c>
      <c r="B129" t="s">
        <v>247</v>
      </c>
      <c r="C129">
        <v>310</v>
      </c>
      <c r="D129">
        <v>340</v>
      </c>
      <c r="E129">
        <v>370</v>
      </c>
      <c r="F129">
        <v>370</v>
      </c>
      <c r="CQ129" t="s">
        <v>3377</v>
      </c>
      <c r="CR129" t="s">
        <v>125</v>
      </c>
      <c r="CS129" t="s">
        <v>293</v>
      </c>
      <c r="CT129" t="s">
        <v>291</v>
      </c>
      <c r="CU129" t="s">
        <v>81</v>
      </c>
      <c r="CV129" t="s">
        <v>292</v>
      </c>
      <c r="CW129">
        <v>0</v>
      </c>
      <c r="DB129">
        <v>330</v>
      </c>
      <c r="DC129">
        <v>370</v>
      </c>
      <c r="DD129">
        <v>400</v>
      </c>
      <c r="DE129">
        <v>400</v>
      </c>
      <c r="DG129" t="s">
        <v>3378</v>
      </c>
      <c r="DH129" t="s">
        <v>82</v>
      </c>
      <c r="DI129" t="s">
        <v>1120</v>
      </c>
      <c r="DJ129" t="s">
        <v>1121</v>
      </c>
      <c r="DK129" t="s">
        <v>668</v>
      </c>
      <c r="DL129">
        <v>30.77</v>
      </c>
      <c r="DM129" t="s">
        <v>669</v>
      </c>
      <c r="DN129" t="s">
        <v>670</v>
      </c>
      <c r="DO129">
        <v>1</v>
      </c>
      <c r="DP129">
        <v>62.24</v>
      </c>
      <c r="DQ129">
        <v>62.24</v>
      </c>
      <c r="DR129" t="s">
        <v>3379</v>
      </c>
      <c r="EB129" t="s">
        <v>3380</v>
      </c>
      <c r="EC129" t="s">
        <v>2653</v>
      </c>
      <c r="ED129" t="s">
        <v>2654</v>
      </c>
      <c r="EE129" t="s">
        <v>601</v>
      </c>
      <c r="EF129" t="s">
        <v>2404</v>
      </c>
      <c r="EG129">
        <v>1280</v>
      </c>
      <c r="EH129">
        <v>1280</v>
      </c>
      <c r="EI129">
        <v>1280</v>
      </c>
      <c r="EJ129">
        <v>1280</v>
      </c>
      <c r="EL129" t="s">
        <v>3381</v>
      </c>
      <c r="EM129" t="s">
        <v>2597</v>
      </c>
      <c r="EN129" t="s">
        <v>2598</v>
      </c>
      <c r="EO129">
        <v>8</v>
      </c>
      <c r="EP129" t="s">
        <v>2252</v>
      </c>
      <c r="EQ129" t="s">
        <v>2715</v>
      </c>
      <c r="ER129" t="s">
        <v>2716</v>
      </c>
      <c r="ES129">
        <v>64000</v>
      </c>
      <c r="ET129">
        <v>64000</v>
      </c>
      <c r="EU129">
        <v>64000</v>
      </c>
      <c r="EV129">
        <v>64000</v>
      </c>
      <c r="HA129" t="s">
        <v>3382</v>
      </c>
      <c r="HB129" t="s">
        <v>87</v>
      </c>
      <c r="HC129" t="s">
        <v>2376</v>
      </c>
      <c r="HD129" t="s">
        <v>81</v>
      </c>
      <c r="HE129">
        <v>6350</v>
      </c>
      <c r="HF129">
        <v>33830</v>
      </c>
      <c r="HG129">
        <v>15199.26923076923</v>
      </c>
      <c r="HH129">
        <v>9027.5</v>
      </c>
      <c r="HI129">
        <v>15370</v>
      </c>
      <c r="HJ129">
        <v>18402.5</v>
      </c>
    </row>
    <row r="130" ht="15" customHeight="1" spans="1:218" x14ac:dyDescent="0.25">
      <c r="A130" t="s">
        <v>293</v>
      </c>
      <c r="B130" t="s">
        <v>291</v>
      </c>
      <c r="C130">
        <v>330</v>
      </c>
      <c r="D130">
        <v>370</v>
      </c>
      <c r="E130">
        <v>400</v>
      </c>
      <c r="F130">
        <v>400</v>
      </c>
      <c r="CQ130" t="s">
        <v>3383</v>
      </c>
      <c r="CR130" t="s">
        <v>125</v>
      </c>
      <c r="CS130" t="s">
        <v>327</v>
      </c>
      <c r="CT130" t="s">
        <v>328</v>
      </c>
      <c r="CU130" t="s">
        <v>81</v>
      </c>
      <c r="CV130" t="s">
        <v>248</v>
      </c>
      <c r="CW130">
        <v>0</v>
      </c>
      <c r="DB130">
        <v>1050</v>
      </c>
      <c r="DC130">
        <v>1160</v>
      </c>
      <c r="DD130">
        <v>1250</v>
      </c>
      <c r="DE130">
        <v>1250</v>
      </c>
      <c r="DG130" t="s">
        <v>3384</v>
      </c>
      <c r="DH130" t="s">
        <v>82</v>
      </c>
      <c r="DI130" t="s">
        <v>1123</v>
      </c>
      <c r="DJ130" t="s">
        <v>1124</v>
      </c>
      <c r="DK130" t="s">
        <v>668</v>
      </c>
      <c r="DL130">
        <v>30.77</v>
      </c>
      <c r="DM130" t="s">
        <v>669</v>
      </c>
      <c r="DN130" t="s">
        <v>670</v>
      </c>
      <c r="DO130">
        <v>1</v>
      </c>
      <c r="DP130">
        <v>21.02</v>
      </c>
      <c r="DQ130">
        <v>21.02</v>
      </c>
      <c r="DR130" t="s">
        <v>3385</v>
      </c>
      <c r="EB130" t="s">
        <v>3386</v>
      </c>
      <c r="EC130" t="s">
        <v>2653</v>
      </c>
      <c r="ED130" t="s">
        <v>2654</v>
      </c>
      <c r="EE130" t="s">
        <v>599</v>
      </c>
      <c r="EF130" t="s">
        <v>2421</v>
      </c>
      <c r="EG130">
        <v>1400</v>
      </c>
      <c r="EH130">
        <v>1400</v>
      </c>
      <c r="EI130">
        <v>1400</v>
      </c>
      <c r="EJ130">
        <v>1400</v>
      </c>
      <c r="EL130" t="s">
        <v>3387</v>
      </c>
      <c r="EM130" t="s">
        <v>2449</v>
      </c>
      <c r="EN130" t="s">
        <v>2450</v>
      </c>
      <c r="EO130">
        <v>0.5</v>
      </c>
      <c r="EP130" t="s">
        <v>2252</v>
      </c>
      <c r="EQ130" t="s">
        <v>2253</v>
      </c>
      <c r="ER130" t="s">
        <v>2254</v>
      </c>
      <c r="ES130">
        <v>8410</v>
      </c>
      <c r="ET130">
        <v>8410</v>
      </c>
      <c r="EU130">
        <v>8410</v>
      </c>
      <c r="EV130">
        <v>8410</v>
      </c>
      <c r="HA130" t="s">
        <v>3388</v>
      </c>
      <c r="HB130" t="s">
        <v>87</v>
      </c>
      <c r="HC130" t="s">
        <v>2393</v>
      </c>
      <c r="HD130" t="s">
        <v>88</v>
      </c>
      <c r="HE130">
        <v>142770</v>
      </c>
      <c r="HF130">
        <v>175340</v>
      </c>
      <c r="HG130">
        <v>157665</v>
      </c>
      <c r="HH130">
        <v>154880</v>
      </c>
      <c r="HI130">
        <v>159090</v>
      </c>
      <c r="HJ130">
        <v>160140</v>
      </c>
    </row>
    <row r="131" ht="15" customHeight="1" spans="1:218" x14ac:dyDescent="0.25">
      <c r="A131" t="s">
        <v>327</v>
      </c>
      <c r="B131" t="s">
        <v>328</v>
      </c>
      <c r="C131">
        <v>1050</v>
      </c>
      <c r="D131">
        <v>1160</v>
      </c>
      <c r="E131">
        <v>1250</v>
      </c>
      <c r="F131">
        <v>1250</v>
      </c>
      <c r="CQ131" t="s">
        <v>3389</v>
      </c>
      <c r="CR131" t="s">
        <v>125</v>
      </c>
      <c r="CS131" t="s">
        <v>330</v>
      </c>
      <c r="CT131" t="s">
        <v>331</v>
      </c>
      <c r="CU131" t="s">
        <v>81</v>
      </c>
      <c r="CV131" t="s">
        <v>248</v>
      </c>
      <c r="CW131">
        <v>0</v>
      </c>
      <c r="DB131">
        <v>380</v>
      </c>
      <c r="DC131">
        <v>420</v>
      </c>
      <c r="DD131">
        <v>460</v>
      </c>
      <c r="DE131">
        <v>460</v>
      </c>
      <c r="DG131" t="s">
        <v>3390</v>
      </c>
      <c r="DH131" t="s">
        <v>82</v>
      </c>
      <c r="DI131" t="s">
        <v>1126</v>
      </c>
      <c r="DJ131" t="s">
        <v>1127</v>
      </c>
      <c r="DK131" t="s">
        <v>668</v>
      </c>
      <c r="DL131">
        <v>30.77</v>
      </c>
      <c r="DM131" t="s">
        <v>670</v>
      </c>
      <c r="DN131" t="s">
        <v>669</v>
      </c>
      <c r="DO131">
        <v>0</v>
      </c>
      <c r="DP131">
        <v>0</v>
      </c>
      <c r="DQ131">
        <v>14.57</v>
      </c>
      <c r="DR131" t="s">
        <v>3391</v>
      </c>
      <c r="EB131" t="s">
        <v>3392</v>
      </c>
      <c r="EC131" t="s">
        <v>2653</v>
      </c>
      <c r="ED131" t="s">
        <v>2654</v>
      </c>
      <c r="EE131" t="s">
        <v>623</v>
      </c>
      <c r="EF131" t="s">
        <v>2437</v>
      </c>
      <c r="EG131">
        <v>1800</v>
      </c>
      <c r="EH131">
        <v>1800</v>
      </c>
      <c r="EI131">
        <v>1800</v>
      </c>
      <c r="EJ131">
        <v>1800</v>
      </c>
      <c r="EL131" t="s">
        <v>3393</v>
      </c>
      <c r="EM131" t="s">
        <v>2449</v>
      </c>
      <c r="EN131" t="s">
        <v>2450</v>
      </c>
      <c r="EO131">
        <v>0.5</v>
      </c>
      <c r="EP131" t="s">
        <v>2276</v>
      </c>
      <c r="EQ131" t="s">
        <v>2277</v>
      </c>
      <c r="ER131" t="s">
        <v>2278</v>
      </c>
      <c r="ES131">
        <v>8410</v>
      </c>
      <c r="ET131">
        <v>8410</v>
      </c>
      <c r="EU131">
        <v>8410</v>
      </c>
      <c r="EV131">
        <v>8410</v>
      </c>
      <c r="HA131" t="s">
        <v>3394</v>
      </c>
      <c r="HB131" t="s">
        <v>87</v>
      </c>
      <c r="HC131" t="s">
        <v>2410</v>
      </c>
      <c r="HD131" t="s">
        <v>90</v>
      </c>
      <c r="HE131">
        <v>2925</v>
      </c>
      <c r="HF131">
        <v>17540</v>
      </c>
      <c r="HG131">
        <v>5407.5</v>
      </c>
      <c r="HH131">
        <v>4050</v>
      </c>
      <c r="HI131">
        <v>5090</v>
      </c>
      <c r="HJ131">
        <v>6150</v>
      </c>
    </row>
    <row r="132" ht="15" customHeight="1" spans="1:218" x14ac:dyDescent="0.25">
      <c r="A132" t="s">
        <v>330</v>
      </c>
      <c r="B132" t="s">
        <v>331</v>
      </c>
      <c r="C132">
        <v>380</v>
      </c>
      <c r="D132">
        <v>420</v>
      </c>
      <c r="E132">
        <v>460</v>
      </c>
      <c r="F132">
        <v>460</v>
      </c>
      <c r="CQ132" t="s">
        <v>3395</v>
      </c>
      <c r="CR132" t="s">
        <v>125</v>
      </c>
      <c r="CS132" t="s">
        <v>280</v>
      </c>
      <c r="CT132" t="s">
        <v>279</v>
      </c>
      <c r="CU132" t="s">
        <v>81</v>
      </c>
      <c r="CV132" t="s">
        <v>248</v>
      </c>
      <c r="CW132">
        <v>0</v>
      </c>
      <c r="DB132">
        <v>860</v>
      </c>
      <c r="DC132">
        <v>950</v>
      </c>
      <c r="DD132">
        <v>1020</v>
      </c>
      <c r="DE132">
        <v>1020</v>
      </c>
      <c r="DG132" t="s">
        <v>3396</v>
      </c>
      <c r="DH132" t="s">
        <v>82</v>
      </c>
      <c r="DI132" t="s">
        <v>1129</v>
      </c>
      <c r="DJ132" t="s">
        <v>1130</v>
      </c>
      <c r="DK132" t="s">
        <v>668</v>
      </c>
      <c r="DL132">
        <v>30.77</v>
      </c>
      <c r="DM132" t="s">
        <v>670</v>
      </c>
      <c r="DN132" t="s">
        <v>669</v>
      </c>
      <c r="DO132">
        <v>0</v>
      </c>
      <c r="DP132">
        <v>0</v>
      </c>
      <c r="DQ132">
        <v>88.19</v>
      </c>
      <c r="DR132" t="s">
        <v>3397</v>
      </c>
      <c r="EB132" t="s">
        <v>3398</v>
      </c>
      <c r="EC132" t="s">
        <v>2653</v>
      </c>
      <c r="ED132" t="s">
        <v>2654</v>
      </c>
      <c r="EE132" t="s">
        <v>596</v>
      </c>
      <c r="EF132" t="s">
        <v>2452</v>
      </c>
      <c r="EG132">
        <v>530</v>
      </c>
      <c r="EH132">
        <v>530</v>
      </c>
      <c r="EI132">
        <v>530</v>
      </c>
      <c r="EJ132">
        <v>530</v>
      </c>
      <c r="EL132" t="s">
        <v>3399</v>
      </c>
      <c r="EM132" t="s">
        <v>2449</v>
      </c>
      <c r="EN132" t="s">
        <v>2450</v>
      </c>
      <c r="EO132">
        <v>1</v>
      </c>
      <c r="EP132" t="s">
        <v>2252</v>
      </c>
      <c r="EQ132" t="s">
        <v>2293</v>
      </c>
      <c r="ER132" t="s">
        <v>2294</v>
      </c>
      <c r="ES132">
        <v>16830</v>
      </c>
      <c r="ET132">
        <v>16830</v>
      </c>
      <c r="EU132">
        <v>16830</v>
      </c>
      <c r="EV132">
        <v>16830</v>
      </c>
      <c r="HA132" t="s">
        <v>3400</v>
      </c>
      <c r="HB132" t="s">
        <v>87</v>
      </c>
      <c r="HC132" t="s">
        <v>2426</v>
      </c>
      <c r="HD132" t="s">
        <v>99</v>
      </c>
      <c r="HE132">
        <v>61630</v>
      </c>
      <c r="HF132">
        <v>161442</v>
      </c>
      <c r="HG132">
        <v>99763.84615384616</v>
      </c>
      <c r="HH132">
        <v>96442</v>
      </c>
      <c r="HI132">
        <v>98192</v>
      </c>
      <c r="HJ132">
        <v>99817</v>
      </c>
    </row>
    <row r="133" ht="15" customHeight="1" spans="1:218" x14ac:dyDescent="0.25">
      <c r="A133" t="s">
        <v>280</v>
      </c>
      <c r="B133" t="s">
        <v>279</v>
      </c>
      <c r="C133">
        <v>860</v>
      </c>
      <c r="D133">
        <v>950</v>
      </c>
      <c r="E133">
        <v>1020</v>
      </c>
      <c r="F133">
        <v>1020</v>
      </c>
      <c r="CQ133" t="s">
        <v>3401</v>
      </c>
      <c r="CR133" t="s">
        <v>125</v>
      </c>
      <c r="CS133" t="s">
        <v>576</v>
      </c>
      <c r="CT133" t="s">
        <v>574</v>
      </c>
      <c r="CU133" t="s">
        <v>88</v>
      </c>
      <c r="CV133" t="s">
        <v>575</v>
      </c>
      <c r="CW133">
        <v>0</v>
      </c>
      <c r="DB133">
        <v>2030</v>
      </c>
      <c r="DC133">
        <v>2210</v>
      </c>
      <c r="DD133">
        <v>2380</v>
      </c>
      <c r="DE133">
        <v>2560</v>
      </c>
      <c r="DG133" t="s">
        <v>3402</v>
      </c>
      <c r="DH133" t="s">
        <v>82</v>
      </c>
      <c r="DI133" t="s">
        <v>468</v>
      </c>
      <c r="DJ133" t="s">
        <v>469</v>
      </c>
      <c r="DK133" t="s">
        <v>1079</v>
      </c>
      <c r="DL133">
        <v>30.77</v>
      </c>
      <c r="DM133" t="s">
        <v>669</v>
      </c>
      <c r="DN133" t="s">
        <v>670</v>
      </c>
      <c r="DO133">
        <v>1</v>
      </c>
      <c r="DP133">
        <v>0.1</v>
      </c>
      <c r="DQ133">
        <v>0.1</v>
      </c>
      <c r="DR133" t="s">
        <v>3403</v>
      </c>
      <c r="EB133" t="s">
        <v>3404</v>
      </c>
      <c r="EC133" t="s">
        <v>2653</v>
      </c>
      <c r="ED133" t="s">
        <v>2654</v>
      </c>
      <c r="EE133" t="s">
        <v>593</v>
      </c>
      <c r="EF133" t="s">
        <v>2469</v>
      </c>
      <c r="EG133">
        <v>2250</v>
      </c>
      <c r="EH133">
        <v>2250</v>
      </c>
      <c r="EI133">
        <v>2250</v>
      </c>
      <c r="EJ133">
        <v>2250</v>
      </c>
      <c r="EL133" t="s">
        <v>3405</v>
      </c>
      <c r="EM133" t="s">
        <v>2449</v>
      </c>
      <c r="EN133" t="s">
        <v>2450</v>
      </c>
      <c r="EO133">
        <v>1</v>
      </c>
      <c r="EP133" t="s">
        <v>2276</v>
      </c>
      <c r="EQ133" t="s">
        <v>2306</v>
      </c>
      <c r="ER133" t="s">
        <v>2307</v>
      </c>
      <c r="ES133">
        <v>16830</v>
      </c>
      <c r="ET133">
        <v>16830</v>
      </c>
      <c r="EU133">
        <v>16830</v>
      </c>
      <c r="EV133">
        <v>16830</v>
      </c>
      <c r="HA133" t="s">
        <v>3406</v>
      </c>
      <c r="HB133" t="s">
        <v>87</v>
      </c>
      <c r="HC133" t="s">
        <v>2411</v>
      </c>
      <c r="HD133" t="s">
        <v>145</v>
      </c>
      <c r="HE133">
        <v>5055.58</v>
      </c>
      <c r="HF133">
        <v>15632.76</v>
      </c>
      <c r="HG133">
        <v>9266.440384615385</v>
      </c>
      <c r="HH133">
        <v>7802.504999999999</v>
      </c>
      <c r="HI133">
        <v>9060.435</v>
      </c>
      <c r="HJ133">
        <v>10629.0975</v>
      </c>
    </row>
    <row r="134" ht="15" customHeight="1" spans="1:218" x14ac:dyDescent="0.25">
      <c r="A134" t="s">
        <v>278</v>
      </c>
      <c r="B134" t="s">
        <v>276</v>
      </c>
      <c r="C134">
        <v>930</v>
      </c>
      <c r="D134">
        <v>1030</v>
      </c>
      <c r="E134">
        <v>1110</v>
      </c>
      <c r="F134">
        <v>1110</v>
      </c>
      <c r="CQ134" t="s">
        <v>3407</v>
      </c>
      <c r="CR134" t="s">
        <v>125</v>
      </c>
      <c r="CS134" t="s">
        <v>264</v>
      </c>
      <c r="CT134" t="s">
        <v>262</v>
      </c>
      <c r="CU134" t="s">
        <v>99</v>
      </c>
      <c r="CV134" t="s">
        <v>263</v>
      </c>
      <c r="CW134">
        <v>0</v>
      </c>
      <c r="DB134">
        <v>680</v>
      </c>
      <c r="DC134">
        <v>750</v>
      </c>
      <c r="DD134">
        <v>810</v>
      </c>
      <c r="DE134">
        <v>810</v>
      </c>
      <c r="DG134" t="s">
        <v>3408</v>
      </c>
      <c r="DH134" t="s">
        <v>82</v>
      </c>
      <c r="DJ134" t="s">
        <v>727</v>
      </c>
      <c r="DK134" t="s">
        <v>692</v>
      </c>
      <c r="DL134">
        <v>30.77</v>
      </c>
      <c r="DM134" t="s">
        <v>669</v>
      </c>
      <c r="DN134" t="s">
        <v>669</v>
      </c>
      <c r="DO134">
        <v>0</v>
      </c>
      <c r="DP134">
        <v>0</v>
      </c>
      <c r="DQ134">
        <v>0</v>
      </c>
      <c r="DR134" t="s">
        <v>2492</v>
      </c>
      <c r="EB134" t="s">
        <v>3409</v>
      </c>
      <c r="EC134" t="s">
        <v>2653</v>
      </c>
      <c r="ED134" t="s">
        <v>2654</v>
      </c>
      <c r="EE134" t="s">
        <v>591</v>
      </c>
      <c r="EF134" t="s">
        <v>2483</v>
      </c>
      <c r="EG134">
        <v>4500</v>
      </c>
      <c r="EH134">
        <v>4500</v>
      </c>
      <c r="EI134">
        <v>4500</v>
      </c>
      <c r="EJ134">
        <v>4500</v>
      </c>
      <c r="EL134" t="s">
        <v>3410</v>
      </c>
      <c r="EM134" t="s">
        <v>2449</v>
      </c>
      <c r="EN134" t="s">
        <v>2450</v>
      </c>
      <c r="EO134">
        <v>1.5</v>
      </c>
      <c r="EP134" t="s">
        <v>2252</v>
      </c>
      <c r="EQ134" t="s">
        <v>2322</v>
      </c>
      <c r="ER134" t="s">
        <v>2323</v>
      </c>
      <c r="ES134">
        <v>25230</v>
      </c>
      <c r="ET134">
        <v>25230</v>
      </c>
      <c r="EU134">
        <v>25230</v>
      </c>
      <c r="EV134">
        <v>25230</v>
      </c>
      <c r="HA134" t="s">
        <v>3411</v>
      </c>
      <c r="HB134" t="s">
        <v>87</v>
      </c>
      <c r="HC134" t="s">
        <v>2460</v>
      </c>
      <c r="HD134" t="s">
        <v>89</v>
      </c>
      <c r="HE134">
        <v>1685.1933333333334</v>
      </c>
      <c r="HF134">
        <v>3707.4133333333334</v>
      </c>
      <c r="HG134">
        <v>2794.4418717948715</v>
      </c>
      <c r="HH134">
        <v>2380.9435416666665</v>
      </c>
      <c r="HI134">
        <v>2855.3187500000004</v>
      </c>
      <c r="HJ134">
        <v>3198.258</v>
      </c>
    </row>
    <row r="135" ht="15" customHeight="1" spans="1:218" x14ac:dyDescent="0.25">
      <c r="A135" t="s">
        <v>576</v>
      </c>
      <c r="B135" t="s">
        <v>574</v>
      </c>
      <c r="C135">
        <v>2030</v>
      </c>
      <c r="D135">
        <v>2210</v>
      </c>
      <c r="E135">
        <v>2380</v>
      </c>
      <c r="F135">
        <v>2560</v>
      </c>
      <c r="CQ135" t="s">
        <v>3412</v>
      </c>
      <c r="CR135" t="s">
        <v>125</v>
      </c>
      <c r="CS135" t="s">
        <v>606</v>
      </c>
      <c r="CT135" t="s">
        <v>2371</v>
      </c>
      <c r="CU135" t="s">
        <v>99</v>
      </c>
      <c r="CV135" t="s">
        <v>277</v>
      </c>
      <c r="CW135">
        <v>0</v>
      </c>
      <c r="DB135">
        <v>740</v>
      </c>
      <c r="DC135">
        <v>820</v>
      </c>
      <c r="DD135">
        <v>880</v>
      </c>
      <c r="DE135">
        <v>880</v>
      </c>
      <c r="DG135" t="s">
        <v>3413</v>
      </c>
      <c r="DH135" t="s">
        <v>82</v>
      </c>
      <c r="DI135" t="s">
        <v>1135</v>
      </c>
      <c r="DJ135" t="s">
        <v>1136</v>
      </c>
      <c r="DK135" t="s">
        <v>692</v>
      </c>
      <c r="DL135">
        <v>30.77</v>
      </c>
      <c r="DM135" t="s">
        <v>669</v>
      </c>
      <c r="DN135" t="s">
        <v>670</v>
      </c>
      <c r="DO135">
        <v>40</v>
      </c>
      <c r="DP135">
        <v>937.2</v>
      </c>
      <c r="DQ135">
        <v>937.2</v>
      </c>
      <c r="DR135" t="s">
        <v>3414</v>
      </c>
      <c r="EB135" t="s">
        <v>3415</v>
      </c>
      <c r="EC135" t="s">
        <v>2653</v>
      </c>
      <c r="ED135" t="s">
        <v>2654</v>
      </c>
      <c r="EE135" t="s">
        <v>2423</v>
      </c>
      <c r="EF135" t="s">
        <v>2424</v>
      </c>
      <c r="EG135">
        <v>48140</v>
      </c>
      <c r="EH135">
        <v>53160</v>
      </c>
      <c r="EI135">
        <v>57470</v>
      </c>
      <c r="EJ135">
        <v>57470</v>
      </c>
      <c r="EL135" t="s">
        <v>3416</v>
      </c>
      <c r="EM135" t="s">
        <v>2449</v>
      </c>
      <c r="EN135" t="s">
        <v>2450</v>
      </c>
      <c r="EO135">
        <v>1.5</v>
      </c>
      <c r="EP135" t="s">
        <v>2276</v>
      </c>
      <c r="EQ135" t="s">
        <v>2338</v>
      </c>
      <c r="ER135" t="s">
        <v>2339</v>
      </c>
      <c r="ES135">
        <v>25230</v>
      </c>
      <c r="ET135">
        <v>25230</v>
      </c>
      <c r="EU135">
        <v>25230</v>
      </c>
      <c r="EV135">
        <v>25230</v>
      </c>
      <c r="HA135" t="s">
        <v>3417</v>
      </c>
      <c r="HB135" t="s">
        <v>87</v>
      </c>
      <c r="HC135" t="s">
        <v>2427</v>
      </c>
      <c r="HD135" t="s">
        <v>146</v>
      </c>
      <c r="HE135">
        <v>6306.92</v>
      </c>
      <c r="HF135">
        <v>16357.87</v>
      </c>
      <c r="HG135">
        <v>11027.838846153849</v>
      </c>
      <c r="HH135">
        <v>9677.2125</v>
      </c>
      <c r="HI135">
        <v>10711.305</v>
      </c>
      <c r="HJ135">
        <v>11936.6175</v>
      </c>
    </row>
    <row r="136" ht="15" customHeight="1" spans="1:218" x14ac:dyDescent="0.25">
      <c r="A136" t="s">
        <v>296</v>
      </c>
      <c r="B136" t="s">
        <v>294</v>
      </c>
      <c r="C136">
        <v>150</v>
      </c>
      <c r="D136">
        <v>150</v>
      </c>
      <c r="E136">
        <v>150</v>
      </c>
      <c r="F136">
        <v>150</v>
      </c>
      <c r="CQ136" t="s">
        <v>3418</v>
      </c>
      <c r="CR136" t="s">
        <v>125</v>
      </c>
      <c r="CS136" t="s">
        <v>278</v>
      </c>
      <c r="CT136" t="s">
        <v>276</v>
      </c>
      <c r="CU136" t="s">
        <v>88</v>
      </c>
      <c r="CV136" t="s">
        <v>277</v>
      </c>
      <c r="CW136">
        <v>0</v>
      </c>
      <c r="DB136">
        <v>930</v>
      </c>
      <c r="DC136">
        <v>1030</v>
      </c>
      <c r="DD136">
        <v>1110</v>
      </c>
      <c r="DE136">
        <v>1110</v>
      </c>
      <c r="DG136" t="s">
        <v>3419</v>
      </c>
      <c r="DH136" t="s">
        <v>82</v>
      </c>
      <c r="DI136" t="s">
        <v>1138</v>
      </c>
      <c r="DJ136" t="s">
        <v>1139</v>
      </c>
      <c r="DK136" t="s">
        <v>692</v>
      </c>
      <c r="DL136">
        <v>30.77</v>
      </c>
      <c r="DM136" t="s">
        <v>669</v>
      </c>
      <c r="DN136" t="s">
        <v>670</v>
      </c>
      <c r="DO136">
        <v>1</v>
      </c>
      <c r="DP136">
        <v>5.32</v>
      </c>
      <c r="DQ136">
        <v>5.32</v>
      </c>
      <c r="DR136" t="s">
        <v>3420</v>
      </c>
      <c r="EB136" t="s">
        <v>3421</v>
      </c>
      <c r="EC136" t="s">
        <v>2653</v>
      </c>
      <c r="ED136" t="s">
        <v>2654</v>
      </c>
      <c r="EE136" t="s">
        <v>584</v>
      </c>
      <c r="EF136" t="s">
        <v>2510</v>
      </c>
      <c r="EG136">
        <v>4530</v>
      </c>
      <c r="EH136">
        <v>4530</v>
      </c>
      <c r="EI136">
        <v>4530</v>
      </c>
      <c r="EJ136">
        <v>4530</v>
      </c>
      <c r="EL136" t="s">
        <v>3422</v>
      </c>
      <c r="EM136" t="s">
        <v>2449</v>
      </c>
      <c r="EN136" t="s">
        <v>2450</v>
      </c>
      <c r="EO136">
        <v>2</v>
      </c>
      <c r="EP136" t="s">
        <v>2252</v>
      </c>
      <c r="EQ136" t="s">
        <v>2354</v>
      </c>
      <c r="ER136" t="s">
        <v>2355</v>
      </c>
      <c r="ES136">
        <v>33640</v>
      </c>
      <c r="ET136">
        <v>33640</v>
      </c>
      <c r="EU136">
        <v>33640</v>
      </c>
      <c r="EV136">
        <v>33640</v>
      </c>
      <c r="HA136" t="s">
        <v>3423</v>
      </c>
      <c r="HB136" t="s">
        <v>87</v>
      </c>
      <c r="HC136" t="s">
        <v>2488</v>
      </c>
      <c r="HD136" t="s">
        <v>92</v>
      </c>
      <c r="HE136">
        <v>2102.306666666667</v>
      </c>
      <c r="HF136">
        <v>4392.966666666666</v>
      </c>
      <c r="HG136">
        <v>3345.6705064102566</v>
      </c>
      <c r="HH136">
        <v>3059.8</v>
      </c>
      <c r="HI136">
        <v>3428.828333333333</v>
      </c>
      <c r="HJ136">
        <v>3617.71</v>
      </c>
    </row>
    <row r="137" ht="15" customHeight="1" spans="1:218" x14ac:dyDescent="0.25">
      <c r="A137" t="s">
        <v>573</v>
      </c>
      <c r="B137" t="s">
        <v>2613</v>
      </c>
      <c r="C137">
        <v>1300</v>
      </c>
      <c r="D137">
        <v>1300</v>
      </c>
      <c r="E137">
        <v>1300</v>
      </c>
      <c r="F137">
        <v>1300</v>
      </c>
      <c r="CQ137" t="s">
        <v>3424</v>
      </c>
      <c r="CR137" t="s">
        <v>125</v>
      </c>
      <c r="CS137" t="s">
        <v>610</v>
      </c>
      <c r="CT137" t="s">
        <v>2336</v>
      </c>
      <c r="CU137" t="s">
        <v>90</v>
      </c>
      <c r="CV137" t="s">
        <v>289</v>
      </c>
      <c r="CW137">
        <v>0</v>
      </c>
      <c r="DB137">
        <v>480</v>
      </c>
      <c r="DC137">
        <v>530</v>
      </c>
      <c r="DD137">
        <v>570</v>
      </c>
      <c r="DE137">
        <v>570</v>
      </c>
      <c r="DG137" t="s">
        <v>3425</v>
      </c>
      <c r="DH137" t="s">
        <v>82</v>
      </c>
      <c r="DI137" t="s">
        <v>1141</v>
      </c>
      <c r="DJ137" t="s">
        <v>1142</v>
      </c>
      <c r="DK137" t="s">
        <v>692</v>
      </c>
      <c r="DL137">
        <v>30.77</v>
      </c>
      <c r="DM137" t="s">
        <v>669</v>
      </c>
      <c r="DN137" t="s">
        <v>670</v>
      </c>
      <c r="DO137">
        <v>1</v>
      </c>
      <c r="DP137">
        <v>3.98</v>
      </c>
      <c r="DQ137">
        <v>3.98</v>
      </c>
      <c r="DR137" t="s">
        <v>3426</v>
      </c>
      <c r="EB137" t="s">
        <v>3427</v>
      </c>
      <c r="EC137" t="s">
        <v>2653</v>
      </c>
      <c r="ED137" t="s">
        <v>2654</v>
      </c>
      <c r="EE137" t="s">
        <v>582</v>
      </c>
      <c r="EF137" t="s">
        <v>2525</v>
      </c>
      <c r="EG137">
        <v>3110</v>
      </c>
      <c r="EH137">
        <v>3440</v>
      </c>
      <c r="EI137">
        <v>3710</v>
      </c>
      <c r="EJ137">
        <v>3710</v>
      </c>
      <c r="EL137" t="s">
        <v>3428</v>
      </c>
      <c r="EM137" t="s">
        <v>2449</v>
      </c>
      <c r="EN137" t="s">
        <v>2450</v>
      </c>
      <c r="EO137">
        <v>2</v>
      </c>
      <c r="EP137" t="s">
        <v>2276</v>
      </c>
      <c r="EQ137" t="s">
        <v>2373</v>
      </c>
      <c r="ER137" t="s">
        <v>2374</v>
      </c>
      <c r="ES137">
        <v>33640</v>
      </c>
      <c r="ET137">
        <v>33640</v>
      </c>
      <c r="EU137">
        <v>33640</v>
      </c>
      <c r="EV137">
        <v>33640</v>
      </c>
      <c r="HA137" t="s">
        <v>3429</v>
      </c>
      <c r="HB137" t="s">
        <v>87</v>
      </c>
      <c r="HC137" t="s">
        <v>2442</v>
      </c>
      <c r="HD137" t="s">
        <v>95</v>
      </c>
      <c r="HE137">
        <v>5459.76</v>
      </c>
      <c r="HF137">
        <v>14791.84</v>
      </c>
      <c r="HG137">
        <v>9667.043461538462</v>
      </c>
      <c r="HH137">
        <v>8468.852499999999</v>
      </c>
      <c r="HI137">
        <v>9439.535</v>
      </c>
      <c r="HJ137">
        <v>11143.7</v>
      </c>
    </row>
    <row r="138" ht="15" customHeight="1" spans="1:218" x14ac:dyDescent="0.25">
      <c r="A138" t="s">
        <v>569</v>
      </c>
      <c r="B138" t="s">
        <v>567</v>
      </c>
      <c r="C138">
        <v>2000</v>
      </c>
      <c r="D138">
        <v>2000</v>
      </c>
      <c r="E138">
        <v>2000</v>
      </c>
      <c r="F138">
        <v>2000</v>
      </c>
      <c r="CQ138" t="s">
        <v>3430</v>
      </c>
      <c r="CR138" t="s">
        <v>125</v>
      </c>
      <c r="CS138" t="s">
        <v>608</v>
      </c>
      <c r="CT138" t="s">
        <v>2352</v>
      </c>
      <c r="CU138" t="s">
        <v>90</v>
      </c>
      <c r="CV138" t="s">
        <v>2706</v>
      </c>
      <c r="CW138">
        <v>0</v>
      </c>
      <c r="DB138">
        <v>980</v>
      </c>
      <c r="DC138">
        <v>1080</v>
      </c>
      <c r="DD138">
        <v>1170</v>
      </c>
      <c r="DE138">
        <v>1170</v>
      </c>
      <c r="DG138" t="s">
        <v>3431</v>
      </c>
      <c r="DH138" t="s">
        <v>82</v>
      </c>
      <c r="DJ138" t="s">
        <v>900</v>
      </c>
      <c r="DK138" t="s">
        <v>668</v>
      </c>
      <c r="DL138">
        <v>26.92</v>
      </c>
      <c r="DM138" t="s">
        <v>669</v>
      </c>
      <c r="DN138" t="s">
        <v>669</v>
      </c>
      <c r="DO138">
        <v>0</v>
      </c>
      <c r="DP138">
        <v>0</v>
      </c>
      <c r="DQ138">
        <v>0</v>
      </c>
      <c r="DR138" t="s">
        <v>2956</v>
      </c>
      <c r="EB138" t="s">
        <v>3432</v>
      </c>
      <c r="EC138" t="s">
        <v>2653</v>
      </c>
      <c r="ED138" t="s">
        <v>2654</v>
      </c>
      <c r="EE138" t="s">
        <v>580</v>
      </c>
      <c r="EF138" t="s">
        <v>2539</v>
      </c>
      <c r="EG138">
        <v>13170</v>
      </c>
      <c r="EH138">
        <v>14550</v>
      </c>
      <c r="EI138">
        <v>15720</v>
      </c>
      <c r="EJ138">
        <v>15720</v>
      </c>
      <c r="EL138" t="s">
        <v>3433</v>
      </c>
      <c r="EM138" t="s">
        <v>2449</v>
      </c>
      <c r="EN138" t="s">
        <v>2450</v>
      </c>
      <c r="EO138">
        <v>2.5</v>
      </c>
      <c r="EP138" t="s">
        <v>2252</v>
      </c>
      <c r="EQ138" t="s">
        <v>2389</v>
      </c>
      <c r="ER138" t="s">
        <v>2390</v>
      </c>
      <c r="ES138">
        <v>44860</v>
      </c>
      <c r="ET138">
        <v>44860</v>
      </c>
      <c r="EU138">
        <v>44860</v>
      </c>
      <c r="EV138">
        <v>44860</v>
      </c>
      <c r="HA138" t="s">
        <v>3434</v>
      </c>
      <c r="HB138" t="s">
        <v>87</v>
      </c>
      <c r="HC138" t="s">
        <v>2461</v>
      </c>
      <c r="HD138" t="s">
        <v>98</v>
      </c>
      <c r="HE138">
        <v>49210.94</v>
      </c>
      <c r="HF138">
        <v>142365.98</v>
      </c>
      <c r="HG138">
        <v>84196.25884615384</v>
      </c>
      <c r="HH138">
        <v>66040.54</v>
      </c>
      <c r="HI138">
        <v>72382.9</v>
      </c>
      <c r="HJ138">
        <v>107563.63</v>
      </c>
    </row>
    <row r="139" ht="15" customHeight="1" spans="1:218" x14ac:dyDescent="0.25">
      <c r="A139" t="s">
        <v>2641</v>
      </c>
      <c r="B139" t="s">
        <v>2642</v>
      </c>
      <c r="C139">
        <v>3320</v>
      </c>
      <c r="D139">
        <v>3320</v>
      </c>
      <c r="E139">
        <v>3320</v>
      </c>
      <c r="F139">
        <v>3320</v>
      </c>
      <c r="CQ139" t="s">
        <v>3435</v>
      </c>
      <c r="CR139" t="s">
        <v>125</v>
      </c>
      <c r="CS139" t="s">
        <v>240</v>
      </c>
      <c r="CT139" t="s">
        <v>238</v>
      </c>
      <c r="CU139" t="s">
        <v>90</v>
      </c>
      <c r="CV139" t="s">
        <v>239</v>
      </c>
      <c r="CW139">
        <v>0</v>
      </c>
      <c r="DB139">
        <v>3620</v>
      </c>
      <c r="DC139">
        <v>3620</v>
      </c>
      <c r="DD139">
        <v>3620</v>
      </c>
      <c r="DE139">
        <v>3620</v>
      </c>
      <c r="DG139" t="s">
        <v>3436</v>
      </c>
      <c r="DH139" t="s">
        <v>82</v>
      </c>
      <c r="DI139" t="s">
        <v>1146</v>
      </c>
      <c r="DJ139" t="s">
        <v>1147</v>
      </c>
      <c r="DK139" t="s">
        <v>668</v>
      </c>
      <c r="DL139">
        <v>26.92</v>
      </c>
      <c r="DM139" t="s">
        <v>670</v>
      </c>
      <c r="DN139" t="s">
        <v>669</v>
      </c>
      <c r="DO139">
        <v>0</v>
      </c>
      <c r="DP139">
        <v>0</v>
      </c>
      <c r="DQ139">
        <v>33.2</v>
      </c>
      <c r="DR139" t="s">
        <v>3437</v>
      </c>
      <c r="EB139" t="s">
        <v>3438</v>
      </c>
      <c r="EC139" t="s">
        <v>2653</v>
      </c>
      <c r="ED139" t="s">
        <v>2654</v>
      </c>
      <c r="EE139" t="s">
        <v>578</v>
      </c>
      <c r="EF139" t="s">
        <v>577</v>
      </c>
      <c r="EG139">
        <v>150000</v>
      </c>
      <c r="EH139">
        <v>150000</v>
      </c>
      <c r="EI139">
        <v>150000</v>
      </c>
      <c r="EJ139">
        <v>150000</v>
      </c>
      <c r="EL139" t="s">
        <v>3439</v>
      </c>
      <c r="EM139" t="s">
        <v>2449</v>
      </c>
      <c r="EN139" t="s">
        <v>2450</v>
      </c>
      <c r="EO139">
        <v>2.5</v>
      </c>
      <c r="EP139" t="s">
        <v>2276</v>
      </c>
      <c r="EQ139" t="s">
        <v>2406</v>
      </c>
      <c r="ER139" t="s">
        <v>2407</v>
      </c>
      <c r="ES139">
        <v>44860</v>
      </c>
      <c r="ET139">
        <v>44860</v>
      </c>
      <c r="EU139">
        <v>44860</v>
      </c>
      <c r="EV139">
        <v>44860</v>
      </c>
      <c r="HA139" t="s">
        <v>3440</v>
      </c>
      <c r="HB139" t="s">
        <v>87</v>
      </c>
      <c r="HC139" t="s">
        <v>2475</v>
      </c>
      <c r="HD139" t="s">
        <v>101</v>
      </c>
      <c r="HE139">
        <v>73205.15</v>
      </c>
      <c r="HF139">
        <v>114163.9</v>
      </c>
      <c r="HG139">
        <v>91343.3496153846</v>
      </c>
      <c r="HH139">
        <v>89130.07750000001</v>
      </c>
      <c r="HI139">
        <v>89130.16</v>
      </c>
      <c r="HJ139">
        <v>98838.05</v>
      </c>
    </row>
    <row r="140" ht="15" customHeight="1" spans="1:218" x14ac:dyDescent="0.25">
      <c r="A140" t="s">
        <v>2656</v>
      </c>
      <c r="B140" t="s">
        <v>2657</v>
      </c>
      <c r="C140">
        <v>4660</v>
      </c>
      <c r="D140">
        <v>4660</v>
      </c>
      <c r="E140">
        <v>4660</v>
      </c>
      <c r="F140">
        <v>4660</v>
      </c>
      <c r="CQ140" t="s">
        <v>3441</v>
      </c>
      <c r="CR140" t="s">
        <v>125</v>
      </c>
      <c r="CS140" t="s">
        <v>603</v>
      </c>
      <c r="CT140" t="s">
        <v>2387</v>
      </c>
      <c r="CU140" t="s">
        <v>90</v>
      </c>
      <c r="CV140" t="s">
        <v>239</v>
      </c>
      <c r="CW140">
        <v>0</v>
      </c>
      <c r="DB140">
        <v>350</v>
      </c>
      <c r="DC140">
        <v>350</v>
      </c>
      <c r="DD140">
        <v>350</v>
      </c>
      <c r="DE140">
        <v>350</v>
      </c>
      <c r="DG140" t="s">
        <v>3442</v>
      </c>
      <c r="DH140" t="s">
        <v>82</v>
      </c>
      <c r="DI140" t="s">
        <v>1149</v>
      </c>
      <c r="DJ140" t="s">
        <v>1150</v>
      </c>
      <c r="DK140" t="s">
        <v>692</v>
      </c>
      <c r="DL140">
        <v>26.92</v>
      </c>
      <c r="DM140" t="s">
        <v>670</v>
      </c>
      <c r="DN140" t="s">
        <v>669</v>
      </c>
      <c r="DO140">
        <v>0</v>
      </c>
      <c r="DP140">
        <v>0</v>
      </c>
      <c r="DQ140">
        <v>570</v>
      </c>
      <c r="DR140" t="s">
        <v>3443</v>
      </c>
      <c r="EB140" t="s">
        <v>3444</v>
      </c>
      <c r="EC140" t="s">
        <v>2653</v>
      </c>
      <c r="EE140" t="s">
        <v>327</v>
      </c>
      <c r="EL140" t="s">
        <v>3445</v>
      </c>
      <c r="EM140" t="s">
        <v>2449</v>
      </c>
      <c r="EN140" t="s">
        <v>2450</v>
      </c>
      <c r="EO140">
        <v>3</v>
      </c>
      <c r="EP140" t="s">
        <v>2252</v>
      </c>
      <c r="EQ140" t="s">
        <v>2423</v>
      </c>
      <c r="ER140" t="s">
        <v>2424</v>
      </c>
      <c r="ES140">
        <v>53270</v>
      </c>
      <c r="ET140">
        <v>53270</v>
      </c>
      <c r="EU140">
        <v>53270</v>
      </c>
      <c r="EV140">
        <v>53270</v>
      </c>
      <c r="HA140" t="s">
        <v>3446</v>
      </c>
      <c r="HB140" t="s">
        <v>87</v>
      </c>
      <c r="HC140" t="s">
        <v>2547</v>
      </c>
      <c r="HD140" t="s">
        <v>147</v>
      </c>
      <c r="HE140">
        <v>163037.45</v>
      </c>
      <c r="HF140">
        <v>275880.12</v>
      </c>
      <c r="HG140">
        <v>205500.93115384624</v>
      </c>
      <c r="HH140">
        <v>182949.10499999998</v>
      </c>
      <c r="HI140">
        <v>189217.605</v>
      </c>
      <c r="HJ140">
        <v>231144.73249999998</v>
      </c>
    </row>
    <row r="141" ht="15" customHeight="1" spans="1:218" x14ac:dyDescent="0.25">
      <c r="A141" t="s">
        <v>2670</v>
      </c>
      <c r="B141" t="s">
        <v>2671</v>
      </c>
      <c r="C141">
        <v>7680</v>
      </c>
      <c r="D141">
        <v>7680</v>
      </c>
      <c r="E141">
        <v>7680</v>
      </c>
      <c r="F141">
        <v>7680</v>
      </c>
      <c r="CQ141" t="s">
        <v>3447</v>
      </c>
      <c r="CR141" t="s">
        <v>125</v>
      </c>
      <c r="CS141" t="s">
        <v>252</v>
      </c>
      <c r="CT141" t="s">
        <v>250</v>
      </c>
      <c r="CU141" t="s">
        <v>90</v>
      </c>
      <c r="CV141" t="s">
        <v>251</v>
      </c>
      <c r="CW141">
        <v>0</v>
      </c>
      <c r="DB141">
        <v>890</v>
      </c>
      <c r="DC141">
        <v>890</v>
      </c>
      <c r="DD141">
        <v>890</v>
      </c>
      <c r="DE141">
        <v>890</v>
      </c>
      <c r="DG141" t="s">
        <v>3448</v>
      </c>
      <c r="DH141" t="s">
        <v>82</v>
      </c>
      <c r="DI141" t="s">
        <v>1154</v>
      </c>
      <c r="DJ141" t="s">
        <v>1155</v>
      </c>
      <c r="DK141" t="s">
        <v>692</v>
      </c>
      <c r="DL141">
        <v>26.92</v>
      </c>
      <c r="DM141" t="s">
        <v>669</v>
      </c>
      <c r="DN141" t="s">
        <v>670</v>
      </c>
      <c r="DO141">
        <v>1</v>
      </c>
      <c r="DP141">
        <v>277</v>
      </c>
      <c r="DQ141">
        <v>277</v>
      </c>
      <c r="DR141" t="s">
        <v>3449</v>
      </c>
      <c r="EB141" t="s">
        <v>3450</v>
      </c>
      <c r="EC141" t="s">
        <v>2653</v>
      </c>
      <c r="EE141" t="s">
        <v>330</v>
      </c>
      <c r="EL141" t="s">
        <v>3451</v>
      </c>
      <c r="EM141" t="s">
        <v>2449</v>
      </c>
      <c r="EN141" t="s">
        <v>2450</v>
      </c>
      <c r="EO141">
        <v>3</v>
      </c>
      <c r="EP141" t="s">
        <v>2276</v>
      </c>
      <c r="EQ141" t="s">
        <v>2439</v>
      </c>
      <c r="ER141" t="s">
        <v>2440</v>
      </c>
      <c r="ES141">
        <v>53270</v>
      </c>
      <c r="ET141">
        <v>53270</v>
      </c>
      <c r="EU141">
        <v>53270</v>
      </c>
      <c r="EV141">
        <v>53270</v>
      </c>
      <c r="HA141" t="s">
        <v>3452</v>
      </c>
      <c r="HB141" t="s">
        <v>87</v>
      </c>
      <c r="HC141" t="s">
        <v>2563</v>
      </c>
      <c r="HD141" t="s">
        <v>96</v>
      </c>
      <c r="HE141">
        <v>20379.68</v>
      </c>
      <c r="HF141">
        <v>34485.01</v>
      </c>
      <c r="HG141">
        <v>25687.615384615383</v>
      </c>
      <c r="HH141">
        <v>22868.637499999997</v>
      </c>
      <c r="HI141">
        <v>23652.2</v>
      </c>
      <c r="HJ141">
        <v>28893.0925</v>
      </c>
    </row>
    <row r="142" ht="15" customHeight="1" spans="1:218" x14ac:dyDescent="0.25">
      <c r="A142" t="s">
        <v>561</v>
      </c>
      <c r="B142" t="s">
        <v>2684</v>
      </c>
      <c r="C142">
        <v>1250</v>
      </c>
      <c r="D142">
        <v>1250</v>
      </c>
      <c r="E142">
        <v>1250</v>
      </c>
      <c r="F142">
        <v>1250</v>
      </c>
      <c r="CQ142" t="s">
        <v>3453</v>
      </c>
      <c r="CR142" t="s">
        <v>125</v>
      </c>
      <c r="CS142" t="s">
        <v>601</v>
      </c>
      <c r="CT142" t="s">
        <v>2404</v>
      </c>
      <c r="CU142" t="s">
        <v>79</v>
      </c>
      <c r="CV142" t="s">
        <v>242</v>
      </c>
      <c r="CW142">
        <v>0</v>
      </c>
      <c r="DB142">
        <v>850</v>
      </c>
      <c r="DC142">
        <v>850</v>
      </c>
      <c r="DD142">
        <v>850</v>
      </c>
      <c r="DE142">
        <v>850</v>
      </c>
      <c r="DG142" t="s">
        <v>3454</v>
      </c>
      <c r="DH142" t="s">
        <v>82</v>
      </c>
      <c r="DI142" t="s">
        <v>1157</v>
      </c>
      <c r="DJ142" t="s">
        <v>1158</v>
      </c>
      <c r="DK142" t="s">
        <v>692</v>
      </c>
      <c r="DL142">
        <v>26.92</v>
      </c>
      <c r="DM142" t="s">
        <v>669</v>
      </c>
      <c r="DN142" t="s">
        <v>670</v>
      </c>
      <c r="DO142">
        <v>1</v>
      </c>
      <c r="DP142">
        <v>650</v>
      </c>
      <c r="DQ142">
        <v>650</v>
      </c>
      <c r="DR142" t="s">
        <v>3455</v>
      </c>
      <c r="EB142" t="s">
        <v>3456</v>
      </c>
      <c r="EC142" t="s">
        <v>2653</v>
      </c>
      <c r="ED142" t="s">
        <v>2654</v>
      </c>
      <c r="EE142" t="s">
        <v>576</v>
      </c>
      <c r="EF142" t="s">
        <v>574</v>
      </c>
      <c r="EG142">
        <v>3050</v>
      </c>
      <c r="EH142">
        <v>3320</v>
      </c>
      <c r="EI142">
        <v>3570</v>
      </c>
      <c r="EJ142">
        <v>3840</v>
      </c>
      <c r="EL142" t="s">
        <v>3457</v>
      </c>
      <c r="EM142" t="s">
        <v>2449</v>
      </c>
      <c r="EN142" t="s">
        <v>2450</v>
      </c>
      <c r="EO142">
        <v>3.5</v>
      </c>
      <c r="EP142" t="s">
        <v>2252</v>
      </c>
      <c r="EQ142" t="s">
        <v>2454</v>
      </c>
      <c r="ER142" t="s">
        <v>2455</v>
      </c>
      <c r="ES142">
        <v>63080</v>
      </c>
      <c r="ET142">
        <v>63080</v>
      </c>
      <c r="EU142">
        <v>63080</v>
      </c>
      <c r="EV142">
        <v>63080</v>
      </c>
      <c r="HA142" t="s">
        <v>3458</v>
      </c>
      <c r="HB142" t="s">
        <v>87</v>
      </c>
      <c r="HC142" t="s">
        <v>2576</v>
      </c>
      <c r="HD142" t="s">
        <v>2073</v>
      </c>
      <c r="HE142">
        <v>279404</v>
      </c>
      <c r="HF142">
        <v>391128</v>
      </c>
      <c r="HG142">
        <v>325114.6153846154</v>
      </c>
      <c r="HH142">
        <v>314774.5</v>
      </c>
      <c r="HI142">
        <v>321609</v>
      </c>
      <c r="HJ142">
        <v>331811.49999999994</v>
      </c>
    </row>
    <row r="143" ht="15" customHeight="1" spans="1:218" x14ac:dyDescent="0.25">
      <c r="A143" t="s">
        <v>563</v>
      </c>
      <c r="B143" t="s">
        <v>2699</v>
      </c>
      <c r="C143">
        <v>10500</v>
      </c>
      <c r="D143">
        <v>10500</v>
      </c>
      <c r="E143">
        <v>10500</v>
      </c>
      <c r="F143">
        <v>10500</v>
      </c>
      <c r="CQ143" t="s">
        <v>3459</v>
      </c>
      <c r="CR143" t="s">
        <v>125</v>
      </c>
      <c r="CS143" t="s">
        <v>229</v>
      </c>
      <c r="CT143" t="s">
        <v>227</v>
      </c>
      <c r="CU143" t="s">
        <v>90</v>
      </c>
      <c r="CV143" t="s">
        <v>228</v>
      </c>
      <c r="CW143">
        <v>0</v>
      </c>
      <c r="DB143">
        <v>270</v>
      </c>
      <c r="DC143">
        <v>300</v>
      </c>
      <c r="DD143">
        <v>330</v>
      </c>
      <c r="DE143">
        <v>350</v>
      </c>
      <c r="DG143" t="s">
        <v>3460</v>
      </c>
      <c r="DH143" t="s">
        <v>82</v>
      </c>
      <c r="DI143" t="s">
        <v>1161</v>
      </c>
      <c r="DJ143" t="s">
        <v>204</v>
      </c>
      <c r="DK143" t="s">
        <v>692</v>
      </c>
      <c r="DL143">
        <v>26.92</v>
      </c>
      <c r="DM143" t="s">
        <v>669</v>
      </c>
      <c r="DN143" t="s">
        <v>670</v>
      </c>
      <c r="DO143">
        <v>1</v>
      </c>
      <c r="DP143">
        <v>4218.6</v>
      </c>
      <c r="DQ143">
        <v>4218.6</v>
      </c>
      <c r="DR143" t="s">
        <v>3461</v>
      </c>
      <c r="EB143" t="s">
        <v>3462</v>
      </c>
      <c r="EC143" t="s">
        <v>2653</v>
      </c>
      <c r="ED143" t="s">
        <v>2654</v>
      </c>
      <c r="EE143" t="s">
        <v>573</v>
      </c>
      <c r="EF143" t="s">
        <v>2613</v>
      </c>
      <c r="EG143">
        <v>1950</v>
      </c>
      <c r="EH143">
        <v>1950</v>
      </c>
      <c r="EI143">
        <v>1950</v>
      </c>
      <c r="EJ143">
        <v>1950</v>
      </c>
      <c r="EL143" t="s">
        <v>3463</v>
      </c>
      <c r="EM143" t="s">
        <v>2449</v>
      </c>
      <c r="EN143" t="s">
        <v>2450</v>
      </c>
      <c r="EO143">
        <v>3.5</v>
      </c>
      <c r="EP143" t="s">
        <v>2276</v>
      </c>
      <c r="EQ143" t="s">
        <v>2471</v>
      </c>
      <c r="ER143" t="s">
        <v>2472</v>
      </c>
      <c r="ES143">
        <v>63080</v>
      </c>
      <c r="ET143">
        <v>63080</v>
      </c>
      <c r="EU143">
        <v>63080</v>
      </c>
      <c r="EV143">
        <v>63080</v>
      </c>
      <c r="HA143" t="s">
        <v>3464</v>
      </c>
      <c r="HB143" t="s">
        <v>87</v>
      </c>
      <c r="HC143" t="s">
        <v>2590</v>
      </c>
      <c r="HD143" t="s">
        <v>2074</v>
      </c>
      <c r="HE143">
        <v>0</v>
      </c>
      <c r="HF143">
        <v>0</v>
      </c>
      <c r="HG143">
        <v>0</v>
      </c>
      <c r="HH143">
        <v>0</v>
      </c>
      <c r="HI143">
        <v>0</v>
      </c>
      <c r="HJ143">
        <v>0</v>
      </c>
    </row>
    <row r="144" ht="15" customHeight="1" spans="1:218" x14ac:dyDescent="0.25">
      <c r="A144" t="s">
        <v>556</v>
      </c>
      <c r="B144" t="s">
        <v>2713</v>
      </c>
      <c r="C144">
        <v>550</v>
      </c>
      <c r="D144">
        <v>850</v>
      </c>
      <c r="E144">
        <v>1200</v>
      </c>
      <c r="F144">
        <v>1200</v>
      </c>
      <c r="CQ144" t="s">
        <v>3465</v>
      </c>
      <c r="CR144" t="s">
        <v>125</v>
      </c>
      <c r="CS144" t="s">
        <v>246</v>
      </c>
      <c r="CT144" t="s">
        <v>244</v>
      </c>
      <c r="CU144" t="s">
        <v>90</v>
      </c>
      <c r="CV144" t="s">
        <v>245</v>
      </c>
      <c r="CW144">
        <v>0</v>
      </c>
      <c r="DB144">
        <v>730</v>
      </c>
      <c r="DC144">
        <v>800</v>
      </c>
      <c r="DD144">
        <v>870</v>
      </c>
      <c r="DE144">
        <v>870</v>
      </c>
      <c r="DG144" t="s">
        <v>3466</v>
      </c>
      <c r="DH144" t="s">
        <v>82</v>
      </c>
      <c r="DI144" t="s">
        <v>1165</v>
      </c>
      <c r="DJ144" t="s">
        <v>201</v>
      </c>
      <c r="DK144" t="s">
        <v>692</v>
      </c>
      <c r="DL144">
        <v>26.92</v>
      </c>
      <c r="DM144" t="s">
        <v>669</v>
      </c>
      <c r="DN144" t="s">
        <v>670</v>
      </c>
      <c r="DO144">
        <v>3</v>
      </c>
      <c r="DP144">
        <v>10578</v>
      </c>
      <c r="DQ144">
        <v>10578</v>
      </c>
      <c r="DR144" t="s">
        <v>3467</v>
      </c>
      <c r="EB144" t="s">
        <v>3468</v>
      </c>
      <c r="EC144" t="s">
        <v>2653</v>
      </c>
      <c r="ED144" t="s">
        <v>2654</v>
      </c>
      <c r="EE144" t="s">
        <v>569</v>
      </c>
      <c r="EF144" t="s">
        <v>567</v>
      </c>
      <c r="EG144">
        <v>3000</v>
      </c>
      <c r="EH144">
        <v>3000</v>
      </c>
      <c r="EI144">
        <v>3000</v>
      </c>
      <c r="EJ144">
        <v>3000</v>
      </c>
      <c r="EL144" t="s">
        <v>3469</v>
      </c>
      <c r="EM144" t="s">
        <v>2449</v>
      </c>
      <c r="EN144" t="s">
        <v>2450</v>
      </c>
      <c r="EO144">
        <v>4</v>
      </c>
      <c r="EP144" t="s">
        <v>2252</v>
      </c>
      <c r="EQ144" t="s">
        <v>2485</v>
      </c>
      <c r="ER144" t="s">
        <v>2486</v>
      </c>
      <c r="ES144">
        <v>71500</v>
      </c>
      <c r="ET144">
        <v>71500</v>
      </c>
      <c r="EU144">
        <v>71500</v>
      </c>
      <c r="EV144">
        <v>71500</v>
      </c>
      <c r="HA144" t="s">
        <v>3470</v>
      </c>
      <c r="HB144" t="s">
        <v>87</v>
      </c>
      <c r="HC144" t="s">
        <v>2604</v>
      </c>
      <c r="HD144" t="s">
        <v>2075</v>
      </c>
      <c r="HE144">
        <v>381.3</v>
      </c>
      <c r="HF144">
        <v>7755.38</v>
      </c>
      <c r="HG144">
        <v>2376.79</v>
      </c>
      <c r="HH144">
        <v>1144.8375</v>
      </c>
      <c r="HI144">
        <v>1914.83</v>
      </c>
      <c r="HJ144">
        <v>2778.05</v>
      </c>
    </row>
    <row r="145" ht="15" customHeight="1" spans="1:218" x14ac:dyDescent="0.25">
      <c r="A145" t="s">
        <v>275</v>
      </c>
      <c r="B145" t="s">
        <v>273</v>
      </c>
      <c r="C145">
        <v>1000</v>
      </c>
      <c r="D145">
        <v>1110</v>
      </c>
      <c r="E145">
        <v>1200</v>
      </c>
      <c r="F145">
        <v>1200</v>
      </c>
      <c r="CQ145" t="s">
        <v>3471</v>
      </c>
      <c r="CR145" t="s">
        <v>125</v>
      </c>
      <c r="CS145" t="s">
        <v>255</v>
      </c>
      <c r="CT145" t="s">
        <v>253</v>
      </c>
      <c r="CU145" t="s">
        <v>90</v>
      </c>
      <c r="CV145" t="s">
        <v>254</v>
      </c>
      <c r="CW145">
        <v>0</v>
      </c>
      <c r="DB145">
        <v>980</v>
      </c>
      <c r="DC145">
        <v>1080</v>
      </c>
      <c r="DD145">
        <v>1170</v>
      </c>
      <c r="DE145">
        <v>1170</v>
      </c>
      <c r="DG145" t="s">
        <v>3472</v>
      </c>
      <c r="DH145" t="s">
        <v>82</v>
      </c>
      <c r="DI145" t="s">
        <v>1167</v>
      </c>
      <c r="DJ145" t="s">
        <v>1168</v>
      </c>
      <c r="DK145" t="s">
        <v>692</v>
      </c>
      <c r="DL145">
        <v>26.92</v>
      </c>
      <c r="DM145" t="s">
        <v>669</v>
      </c>
      <c r="DN145" t="s">
        <v>670</v>
      </c>
      <c r="DO145">
        <v>1</v>
      </c>
      <c r="DP145">
        <v>221.5</v>
      </c>
      <c r="DQ145">
        <v>221.5</v>
      </c>
      <c r="DR145" t="s">
        <v>3473</v>
      </c>
      <c r="EB145" t="s">
        <v>3474</v>
      </c>
      <c r="EC145" t="s">
        <v>2653</v>
      </c>
      <c r="ED145" t="s">
        <v>2654</v>
      </c>
      <c r="EE145" t="s">
        <v>2641</v>
      </c>
      <c r="EF145" t="s">
        <v>3125</v>
      </c>
      <c r="EG145">
        <v>4980</v>
      </c>
      <c r="EH145">
        <v>4980</v>
      </c>
      <c r="EI145">
        <v>4980</v>
      </c>
      <c r="EJ145">
        <v>4980</v>
      </c>
      <c r="EL145" t="s">
        <v>3475</v>
      </c>
      <c r="EM145" t="s">
        <v>2449</v>
      </c>
      <c r="EN145" t="s">
        <v>2450</v>
      </c>
      <c r="EO145">
        <v>4</v>
      </c>
      <c r="EP145" t="s">
        <v>2276</v>
      </c>
      <c r="EQ145" t="s">
        <v>2498</v>
      </c>
      <c r="ER145" t="s">
        <v>2499</v>
      </c>
      <c r="ES145">
        <v>71500</v>
      </c>
      <c r="ET145">
        <v>71500</v>
      </c>
      <c r="EU145">
        <v>71500</v>
      </c>
      <c r="EV145">
        <v>71500</v>
      </c>
      <c r="HA145" t="s">
        <v>3476</v>
      </c>
      <c r="HB145" t="s">
        <v>87</v>
      </c>
      <c r="HC145" t="s">
        <v>2619</v>
      </c>
      <c r="HD145" t="s">
        <v>150</v>
      </c>
      <c r="HE145">
        <v>490629.41</v>
      </c>
      <c r="HF145">
        <v>640625.13</v>
      </c>
      <c r="HG145">
        <v>556303.1619230768</v>
      </c>
      <c r="HH145">
        <v>520489.6525</v>
      </c>
      <c r="HI145">
        <v>539491.3400000001</v>
      </c>
      <c r="HJ145">
        <v>596680.1275</v>
      </c>
    </row>
    <row r="146" ht="15" customHeight="1" spans="1:152" x14ac:dyDescent="0.25">
      <c r="A146" t="s">
        <v>551</v>
      </c>
      <c r="B146" t="s">
        <v>548</v>
      </c>
      <c r="C146">
        <v>1670</v>
      </c>
      <c r="D146">
        <v>1850</v>
      </c>
      <c r="E146">
        <v>1990</v>
      </c>
      <c r="F146">
        <v>1990</v>
      </c>
      <c r="CQ146" t="s">
        <v>3477</v>
      </c>
      <c r="CR146" t="s">
        <v>125</v>
      </c>
      <c r="CS146" t="s">
        <v>599</v>
      </c>
      <c r="CT146" t="s">
        <v>2421</v>
      </c>
      <c r="CU146" t="s">
        <v>90</v>
      </c>
      <c r="CV146" t="s">
        <v>2798</v>
      </c>
      <c r="CW146">
        <v>0</v>
      </c>
      <c r="DB146">
        <v>930</v>
      </c>
      <c r="DC146">
        <v>930</v>
      </c>
      <c r="DD146">
        <v>930</v>
      </c>
      <c r="DE146">
        <v>930</v>
      </c>
      <c r="DG146" t="s">
        <v>3478</v>
      </c>
      <c r="DH146" t="s">
        <v>82</v>
      </c>
      <c r="DI146" t="s">
        <v>1169</v>
      </c>
      <c r="DJ146" t="s">
        <v>1170</v>
      </c>
      <c r="DK146" t="s">
        <v>692</v>
      </c>
      <c r="DL146">
        <v>26.92</v>
      </c>
      <c r="DM146" t="s">
        <v>669</v>
      </c>
      <c r="DN146" t="s">
        <v>670</v>
      </c>
      <c r="DO146">
        <v>4</v>
      </c>
      <c r="DP146">
        <v>363.76</v>
      </c>
      <c r="DQ146">
        <v>363.76</v>
      </c>
      <c r="DR146" t="s">
        <v>3479</v>
      </c>
      <c r="EB146" t="s">
        <v>3480</v>
      </c>
      <c r="EC146" t="s">
        <v>2653</v>
      </c>
      <c r="ED146" t="s">
        <v>2654</v>
      </c>
      <c r="EE146" t="s">
        <v>2656</v>
      </c>
      <c r="EF146" t="s">
        <v>3133</v>
      </c>
      <c r="EG146">
        <v>6990</v>
      </c>
      <c r="EH146">
        <v>6990</v>
      </c>
      <c r="EI146">
        <v>6990</v>
      </c>
      <c r="EJ146">
        <v>6990</v>
      </c>
      <c r="EL146" t="s">
        <v>3481</v>
      </c>
      <c r="EM146" t="s">
        <v>2449</v>
      </c>
      <c r="EN146" t="s">
        <v>2450</v>
      </c>
      <c r="EO146">
        <v>4.5</v>
      </c>
      <c r="EP146" t="s">
        <v>2252</v>
      </c>
      <c r="EQ146" t="s">
        <v>2512</v>
      </c>
      <c r="ER146" t="s">
        <v>2513</v>
      </c>
      <c r="ES146">
        <v>80610</v>
      </c>
      <c r="ET146">
        <v>80610</v>
      </c>
      <c r="EU146">
        <v>80610</v>
      </c>
      <c r="EV146">
        <v>80610</v>
      </c>
    </row>
    <row r="147" ht="15" customHeight="1" spans="1:152" x14ac:dyDescent="0.25">
      <c r="A147" t="s">
        <v>298</v>
      </c>
      <c r="B147" t="s">
        <v>297</v>
      </c>
      <c r="C147">
        <v>1</v>
      </c>
      <c r="D147">
        <v>1</v>
      </c>
      <c r="E147">
        <v>1</v>
      </c>
      <c r="F147">
        <v>1</v>
      </c>
      <c r="CQ147" t="s">
        <v>3482</v>
      </c>
      <c r="CR147" t="s">
        <v>125</v>
      </c>
      <c r="CS147" t="s">
        <v>243</v>
      </c>
      <c r="CT147" t="s">
        <v>241</v>
      </c>
      <c r="CU147" t="s">
        <v>90</v>
      </c>
      <c r="CV147" t="s">
        <v>242</v>
      </c>
      <c r="CW147">
        <v>0</v>
      </c>
      <c r="DB147">
        <v>1250</v>
      </c>
      <c r="DC147">
        <v>1250</v>
      </c>
      <c r="DD147">
        <v>1250</v>
      </c>
      <c r="DE147">
        <v>1250</v>
      </c>
      <c r="DG147" t="s">
        <v>3483</v>
      </c>
      <c r="DH147" t="s">
        <v>82</v>
      </c>
      <c r="DI147" t="s">
        <v>1171</v>
      </c>
      <c r="DJ147" t="s">
        <v>1172</v>
      </c>
      <c r="DK147" t="s">
        <v>692</v>
      </c>
      <c r="DL147">
        <v>26.92</v>
      </c>
      <c r="DM147" t="s">
        <v>670</v>
      </c>
      <c r="DN147" t="s">
        <v>670</v>
      </c>
      <c r="DO147">
        <v>0</v>
      </c>
      <c r="DP147">
        <v>0</v>
      </c>
      <c r="DQ147">
        <v>75.75</v>
      </c>
      <c r="DR147" t="s">
        <v>3484</v>
      </c>
      <c r="EB147" t="s">
        <v>3485</v>
      </c>
      <c r="EC147" t="s">
        <v>2653</v>
      </c>
      <c r="ED147" t="s">
        <v>2654</v>
      </c>
      <c r="EE147" t="s">
        <v>2670</v>
      </c>
      <c r="EF147" t="s">
        <v>3139</v>
      </c>
      <c r="EG147">
        <v>11520</v>
      </c>
      <c r="EH147">
        <v>11520</v>
      </c>
      <c r="EI147">
        <v>11520</v>
      </c>
      <c r="EJ147">
        <v>11520</v>
      </c>
      <c r="EL147" t="s">
        <v>3486</v>
      </c>
      <c r="EM147" t="s">
        <v>2449</v>
      </c>
      <c r="EN147" t="s">
        <v>2450</v>
      </c>
      <c r="EO147">
        <v>4.5</v>
      </c>
      <c r="EP147" t="s">
        <v>2276</v>
      </c>
      <c r="EQ147" t="s">
        <v>2527</v>
      </c>
      <c r="ER147" t="s">
        <v>2528</v>
      </c>
      <c r="ES147">
        <v>80610</v>
      </c>
      <c r="ET147">
        <v>80610</v>
      </c>
      <c r="EU147">
        <v>80610</v>
      </c>
      <c r="EV147">
        <v>80610</v>
      </c>
    </row>
    <row r="148" ht="15" customHeight="1" spans="95:152" x14ac:dyDescent="0.25">
      <c r="CQ148" t="s">
        <v>3487</v>
      </c>
      <c r="CR148" t="s">
        <v>125</v>
      </c>
      <c r="CS148" t="s">
        <v>593</v>
      </c>
      <c r="CT148" t="s">
        <v>2469</v>
      </c>
      <c r="CU148" t="s">
        <v>79</v>
      </c>
      <c r="CV148" t="s">
        <v>2819</v>
      </c>
      <c r="CW148">
        <v>0</v>
      </c>
      <c r="DB148">
        <v>1500</v>
      </c>
      <c r="DC148">
        <v>1500</v>
      </c>
      <c r="DD148">
        <v>1500</v>
      </c>
      <c r="DE148">
        <v>1500</v>
      </c>
      <c r="DG148" t="s">
        <v>3488</v>
      </c>
      <c r="DH148" t="s">
        <v>82</v>
      </c>
      <c r="DI148" t="s">
        <v>1175</v>
      </c>
      <c r="DJ148" t="s">
        <v>1176</v>
      </c>
      <c r="DK148" t="s">
        <v>692</v>
      </c>
      <c r="DL148">
        <v>26.92</v>
      </c>
      <c r="DM148" t="s">
        <v>670</v>
      </c>
      <c r="DN148" t="s">
        <v>669</v>
      </c>
      <c r="DO148">
        <v>0</v>
      </c>
      <c r="DP148">
        <v>0</v>
      </c>
      <c r="DQ148">
        <v>1650</v>
      </c>
      <c r="DR148" t="s">
        <v>3489</v>
      </c>
      <c r="EB148" t="s">
        <v>3490</v>
      </c>
      <c r="EC148" t="s">
        <v>2653</v>
      </c>
      <c r="ED148" t="s">
        <v>2654</v>
      </c>
      <c r="EE148" t="s">
        <v>561</v>
      </c>
      <c r="EF148" t="s">
        <v>2684</v>
      </c>
      <c r="EG148">
        <v>1880</v>
      </c>
      <c r="EH148">
        <v>1880</v>
      </c>
      <c r="EI148">
        <v>1880</v>
      </c>
      <c r="EJ148">
        <v>1880</v>
      </c>
      <c r="EL148" t="s">
        <v>3491</v>
      </c>
      <c r="EM148" t="s">
        <v>2449</v>
      </c>
      <c r="EN148" t="s">
        <v>2450</v>
      </c>
      <c r="EO148">
        <v>5</v>
      </c>
      <c r="EP148" t="s">
        <v>2252</v>
      </c>
      <c r="EQ148" t="s">
        <v>2541</v>
      </c>
      <c r="ER148" t="s">
        <v>2542</v>
      </c>
      <c r="ES148">
        <v>89020</v>
      </c>
      <c r="ET148">
        <v>89020</v>
      </c>
      <c r="EU148">
        <v>89020</v>
      </c>
      <c r="EV148">
        <v>89020</v>
      </c>
    </row>
    <row r="149" ht="15" customHeight="1" spans="1:152" x14ac:dyDescent="0.25">
      <c r="A149" t="s">
        <v>3492</v>
      </c>
      <c r="CQ149" t="s">
        <v>3493</v>
      </c>
      <c r="CR149" t="s">
        <v>125</v>
      </c>
      <c r="CS149" t="s">
        <v>591</v>
      </c>
      <c r="CT149" t="s">
        <v>2483</v>
      </c>
      <c r="CU149" t="s">
        <v>79</v>
      </c>
      <c r="CV149" t="s">
        <v>2819</v>
      </c>
      <c r="CW149">
        <v>0</v>
      </c>
      <c r="DB149">
        <v>3000</v>
      </c>
      <c r="DC149">
        <v>3000</v>
      </c>
      <c r="DD149">
        <v>3000</v>
      </c>
      <c r="DE149">
        <v>3000</v>
      </c>
      <c r="DG149" t="s">
        <v>3494</v>
      </c>
      <c r="DH149" t="s">
        <v>82</v>
      </c>
      <c r="DI149" t="s">
        <v>1180</v>
      </c>
      <c r="DJ149" t="s">
        <v>1181</v>
      </c>
      <c r="DK149" t="s">
        <v>668</v>
      </c>
      <c r="DL149">
        <v>23.08</v>
      </c>
      <c r="DM149" t="s">
        <v>669</v>
      </c>
      <c r="DN149" t="s">
        <v>670</v>
      </c>
      <c r="DO149">
        <v>1</v>
      </c>
      <c r="DP149">
        <v>96.8</v>
      </c>
      <c r="DQ149">
        <v>96.8</v>
      </c>
      <c r="DR149" t="s">
        <v>3495</v>
      </c>
      <c r="EB149" t="s">
        <v>3496</v>
      </c>
      <c r="EC149" t="s">
        <v>2653</v>
      </c>
      <c r="ED149" t="s">
        <v>2654</v>
      </c>
      <c r="EE149" t="s">
        <v>563</v>
      </c>
      <c r="EF149" t="s">
        <v>2699</v>
      </c>
      <c r="EG149">
        <v>15750</v>
      </c>
      <c r="EH149">
        <v>15750</v>
      </c>
      <c r="EI149">
        <v>15750</v>
      </c>
      <c r="EJ149">
        <v>15750</v>
      </c>
      <c r="EL149" t="s">
        <v>3497</v>
      </c>
      <c r="EM149" t="s">
        <v>2449</v>
      </c>
      <c r="EN149" t="s">
        <v>2450</v>
      </c>
      <c r="EO149">
        <v>5</v>
      </c>
      <c r="EP149" t="s">
        <v>2276</v>
      </c>
      <c r="EQ149" t="s">
        <v>2559</v>
      </c>
      <c r="ER149" t="s">
        <v>2560</v>
      </c>
      <c r="ES149">
        <v>89020</v>
      </c>
      <c r="ET149">
        <v>89020</v>
      </c>
      <c r="EU149">
        <v>89020</v>
      </c>
      <c r="EV149">
        <v>89020</v>
      </c>
    </row>
    <row r="150" ht="15" customHeight="1" spans="1:152" x14ac:dyDescent="0.25">
      <c r="A150" t="s">
        <v>3498</v>
      </c>
      <c r="B150" t="s">
        <v>3499</v>
      </c>
      <c r="C150" t="s">
        <v>2161</v>
      </c>
      <c r="D150" t="s">
        <v>2162</v>
      </c>
      <c r="E150" t="s">
        <v>3500</v>
      </c>
      <c r="F150" t="s">
        <v>3501</v>
      </c>
      <c r="G150" t="s">
        <v>3502</v>
      </c>
      <c r="CQ150" t="s">
        <v>3503</v>
      </c>
      <c r="CR150" t="s">
        <v>125</v>
      </c>
      <c r="CS150" t="s">
        <v>261</v>
      </c>
      <c r="CT150" t="s">
        <v>259</v>
      </c>
      <c r="CU150" t="s">
        <v>88</v>
      </c>
      <c r="CV150" t="s">
        <v>260</v>
      </c>
      <c r="CW150">
        <v>0</v>
      </c>
      <c r="DB150">
        <v>860</v>
      </c>
      <c r="DC150">
        <v>950</v>
      </c>
      <c r="DD150">
        <v>1020</v>
      </c>
      <c r="DE150">
        <v>1020</v>
      </c>
      <c r="DG150" t="s">
        <v>3504</v>
      </c>
      <c r="DH150" t="s">
        <v>82</v>
      </c>
      <c r="DI150" t="s">
        <v>1185</v>
      </c>
      <c r="DJ150" t="s">
        <v>1186</v>
      </c>
      <c r="DK150" t="s">
        <v>668</v>
      </c>
      <c r="DL150">
        <v>23.08</v>
      </c>
      <c r="DM150" t="s">
        <v>670</v>
      </c>
      <c r="DN150" t="s">
        <v>669</v>
      </c>
      <c r="DO150">
        <v>0</v>
      </c>
      <c r="DP150">
        <v>0</v>
      </c>
      <c r="DQ150">
        <v>71.43</v>
      </c>
      <c r="DR150" t="s">
        <v>3505</v>
      </c>
      <c r="EB150" t="s">
        <v>3506</v>
      </c>
      <c r="EC150" t="s">
        <v>2653</v>
      </c>
      <c r="ED150" t="s">
        <v>2654</v>
      </c>
      <c r="EE150" t="s">
        <v>556</v>
      </c>
      <c r="EF150" t="s">
        <v>2713</v>
      </c>
      <c r="EG150">
        <v>830</v>
      </c>
      <c r="EH150">
        <v>1280</v>
      </c>
      <c r="EI150">
        <v>1800</v>
      </c>
      <c r="EJ150">
        <v>1800</v>
      </c>
      <c r="EL150" t="s">
        <v>3507</v>
      </c>
      <c r="EM150" t="s">
        <v>2449</v>
      </c>
      <c r="EN150" t="s">
        <v>2450</v>
      </c>
      <c r="EO150">
        <v>5.5</v>
      </c>
      <c r="EP150" t="s">
        <v>2252</v>
      </c>
      <c r="EQ150" t="s">
        <v>2572</v>
      </c>
      <c r="ER150" t="s">
        <v>2573</v>
      </c>
      <c r="ES150">
        <v>98130</v>
      </c>
      <c r="ET150">
        <v>98130</v>
      </c>
      <c r="EU150">
        <v>98130</v>
      </c>
      <c r="EV150">
        <v>98130</v>
      </c>
    </row>
    <row r="151" ht="15" customHeight="1" spans="1:152" x14ac:dyDescent="0.25">
      <c r="A151" t="s">
        <v>361</v>
      </c>
      <c r="B151" t="s">
        <v>379</v>
      </c>
      <c r="C151" t="s">
        <v>466</v>
      </c>
      <c r="D151" t="s">
        <v>467</v>
      </c>
      <c r="E151" t="s">
        <v>1216</v>
      </c>
      <c r="F151" t="s">
        <v>671</v>
      </c>
      <c r="G151" t="s">
        <v>1134</v>
      </c>
      <c r="CQ151" t="s">
        <v>3508</v>
      </c>
      <c r="CR151" t="s">
        <v>125</v>
      </c>
      <c r="CS151" t="s">
        <v>578</v>
      </c>
      <c r="CT151" t="s">
        <v>577</v>
      </c>
      <c r="CU151" t="s">
        <v>88</v>
      </c>
      <c r="CV151" t="s">
        <v>2851</v>
      </c>
      <c r="CW151">
        <v>0</v>
      </c>
      <c r="DB151">
        <v>100000</v>
      </c>
      <c r="DC151">
        <v>100000</v>
      </c>
      <c r="DD151">
        <v>100000</v>
      </c>
      <c r="DE151">
        <v>100000</v>
      </c>
      <c r="DG151" t="s">
        <v>3509</v>
      </c>
      <c r="DH151" t="s">
        <v>82</v>
      </c>
      <c r="DI151" t="s">
        <v>1190</v>
      </c>
      <c r="DJ151" t="s">
        <v>1191</v>
      </c>
      <c r="DK151" t="s">
        <v>668</v>
      </c>
      <c r="DL151">
        <v>23.08</v>
      </c>
      <c r="DM151" t="s">
        <v>669</v>
      </c>
      <c r="DN151" t="s">
        <v>670</v>
      </c>
      <c r="DO151">
        <v>1</v>
      </c>
      <c r="DP151">
        <v>31.59</v>
      </c>
      <c r="DQ151">
        <v>31.59</v>
      </c>
      <c r="DR151" t="s">
        <v>3510</v>
      </c>
      <c r="EB151" t="s">
        <v>3511</v>
      </c>
      <c r="EC151" t="s">
        <v>2653</v>
      </c>
      <c r="EE151" t="s">
        <v>551</v>
      </c>
      <c r="EL151" t="s">
        <v>3512</v>
      </c>
      <c r="EM151" t="s">
        <v>2449</v>
      </c>
      <c r="EN151" t="s">
        <v>2450</v>
      </c>
      <c r="EO151">
        <v>5.5</v>
      </c>
      <c r="EP151" t="s">
        <v>2276</v>
      </c>
      <c r="EQ151" t="s">
        <v>2586</v>
      </c>
      <c r="ER151" t="s">
        <v>2587</v>
      </c>
      <c r="ES151">
        <v>98130</v>
      </c>
      <c r="ET151">
        <v>98130</v>
      </c>
      <c r="EU151">
        <v>98130</v>
      </c>
      <c r="EV151">
        <v>98130</v>
      </c>
    </row>
    <row r="152" ht="15" customHeight="1" spans="1:152" x14ac:dyDescent="0.25">
      <c r="A152" t="s">
        <v>361</v>
      </c>
      <c r="B152" t="s">
        <v>379</v>
      </c>
      <c r="C152" t="s">
        <v>464</v>
      </c>
      <c r="D152" t="s">
        <v>465</v>
      </c>
      <c r="E152" t="s">
        <v>1578</v>
      </c>
      <c r="F152" t="s">
        <v>671</v>
      </c>
      <c r="G152" t="s">
        <v>1213</v>
      </c>
      <c r="CQ152" t="s">
        <v>3513</v>
      </c>
      <c r="CR152" t="s">
        <v>125</v>
      </c>
      <c r="CS152" t="s">
        <v>569</v>
      </c>
      <c r="CT152" t="s">
        <v>567</v>
      </c>
      <c r="CU152" t="s">
        <v>88</v>
      </c>
      <c r="CV152" t="s">
        <v>2859</v>
      </c>
      <c r="CW152">
        <v>0</v>
      </c>
      <c r="DB152">
        <v>2000</v>
      </c>
      <c r="DC152">
        <v>2000</v>
      </c>
      <c r="DD152">
        <v>2000</v>
      </c>
      <c r="DE152">
        <v>2000</v>
      </c>
      <c r="DG152" t="s">
        <v>3514</v>
      </c>
      <c r="DH152" t="s">
        <v>82</v>
      </c>
      <c r="DI152" t="s">
        <v>1193</v>
      </c>
      <c r="DJ152" t="s">
        <v>1194</v>
      </c>
      <c r="DK152" t="s">
        <v>668</v>
      </c>
      <c r="DL152">
        <v>23.08</v>
      </c>
      <c r="DM152" t="s">
        <v>670</v>
      </c>
      <c r="DN152" t="s">
        <v>670</v>
      </c>
      <c r="DO152">
        <v>1</v>
      </c>
      <c r="DP152">
        <v>93.94</v>
      </c>
      <c r="DQ152">
        <v>140.91</v>
      </c>
      <c r="DR152" t="s">
        <v>3515</v>
      </c>
      <c r="EB152" t="s">
        <v>3516</v>
      </c>
      <c r="EC152" t="s">
        <v>2653</v>
      </c>
      <c r="EE152" t="s">
        <v>290</v>
      </c>
      <c r="EL152" t="s">
        <v>3517</v>
      </c>
      <c r="EM152" t="s">
        <v>2449</v>
      </c>
      <c r="EN152" t="s">
        <v>2450</v>
      </c>
      <c r="EO152">
        <v>6</v>
      </c>
      <c r="EP152" t="s">
        <v>2252</v>
      </c>
      <c r="EQ152" t="s">
        <v>2601</v>
      </c>
      <c r="ER152" t="s">
        <v>2602</v>
      </c>
      <c r="ES152">
        <v>107240</v>
      </c>
      <c r="ET152">
        <v>107240</v>
      </c>
      <c r="EU152">
        <v>107240</v>
      </c>
      <c r="EV152">
        <v>107240</v>
      </c>
    </row>
    <row r="153" ht="15" customHeight="1" spans="1:152" x14ac:dyDescent="0.25">
      <c r="A153" t="s">
        <v>361</v>
      </c>
      <c r="B153" t="s">
        <v>379</v>
      </c>
      <c r="C153" t="s">
        <v>468</v>
      </c>
      <c r="D153" t="s">
        <v>469</v>
      </c>
      <c r="E153" t="s">
        <v>1070</v>
      </c>
      <c r="F153" t="s">
        <v>671</v>
      </c>
      <c r="G153" t="s">
        <v>1134</v>
      </c>
      <c r="CQ153" t="s">
        <v>3518</v>
      </c>
      <c r="CR153" t="s">
        <v>125</v>
      </c>
      <c r="CS153" t="s">
        <v>556</v>
      </c>
      <c r="CT153" t="s">
        <v>2713</v>
      </c>
      <c r="CU153" t="s">
        <v>79</v>
      </c>
      <c r="CV153" t="s">
        <v>2867</v>
      </c>
      <c r="CW153">
        <v>0</v>
      </c>
      <c r="DB153">
        <v>550</v>
      </c>
      <c r="DC153">
        <v>850</v>
      </c>
      <c r="DD153">
        <v>1200</v>
      </c>
      <c r="DE153">
        <v>1200</v>
      </c>
      <c r="DG153" t="s">
        <v>3519</v>
      </c>
      <c r="DH153" t="s">
        <v>82</v>
      </c>
      <c r="DI153" t="s">
        <v>1198</v>
      </c>
      <c r="DJ153" t="s">
        <v>1199</v>
      </c>
      <c r="DK153" t="s">
        <v>668</v>
      </c>
      <c r="DL153">
        <v>23.08</v>
      </c>
      <c r="DM153" t="s">
        <v>669</v>
      </c>
      <c r="DN153" t="s">
        <v>670</v>
      </c>
      <c r="DO153">
        <v>1</v>
      </c>
      <c r="DP153">
        <v>747.44</v>
      </c>
      <c r="DQ153">
        <v>747.44</v>
      </c>
      <c r="DR153" t="s">
        <v>3520</v>
      </c>
      <c r="EB153" t="s">
        <v>3521</v>
      </c>
      <c r="EC153" t="s">
        <v>2653</v>
      </c>
      <c r="EE153" t="s">
        <v>275</v>
      </c>
      <c r="EL153" t="s">
        <v>3522</v>
      </c>
      <c r="EM153" t="s">
        <v>2449</v>
      </c>
      <c r="EN153" t="s">
        <v>2450</v>
      </c>
      <c r="EO153">
        <v>6</v>
      </c>
      <c r="EP153" t="s">
        <v>2276</v>
      </c>
      <c r="EQ153" t="s">
        <v>2615</v>
      </c>
      <c r="ER153" t="s">
        <v>2616</v>
      </c>
      <c r="ES153">
        <v>107240</v>
      </c>
      <c r="ET153">
        <v>107240</v>
      </c>
      <c r="EU153">
        <v>107240</v>
      </c>
      <c r="EV153">
        <v>107240</v>
      </c>
    </row>
    <row r="154" ht="15" customHeight="1" spans="1:152" x14ac:dyDescent="0.25">
      <c r="A154" t="s">
        <v>361</v>
      </c>
      <c r="B154" t="s">
        <v>384</v>
      </c>
      <c r="C154" t="s">
        <v>470</v>
      </c>
      <c r="D154" t="s">
        <v>1078</v>
      </c>
      <c r="E154" t="s">
        <v>1070</v>
      </c>
      <c r="F154" t="s">
        <v>671</v>
      </c>
      <c r="G154" t="s">
        <v>1080</v>
      </c>
      <c r="CQ154" t="s">
        <v>3523</v>
      </c>
      <c r="CR154" t="s">
        <v>125</v>
      </c>
      <c r="CS154" t="s">
        <v>596</v>
      </c>
      <c r="CT154" t="s">
        <v>2452</v>
      </c>
      <c r="CU154" t="s">
        <v>79</v>
      </c>
      <c r="CV154" t="s">
        <v>594</v>
      </c>
      <c r="CW154">
        <v>0</v>
      </c>
      <c r="DB154">
        <v>350</v>
      </c>
      <c r="DC154">
        <v>350</v>
      </c>
      <c r="DD154">
        <v>350</v>
      </c>
      <c r="DE154">
        <v>350</v>
      </c>
      <c r="DG154" t="s">
        <v>3524</v>
      </c>
      <c r="DH154" t="s">
        <v>82</v>
      </c>
      <c r="DI154" t="s">
        <v>1201</v>
      </c>
      <c r="DJ154" t="s">
        <v>1202</v>
      </c>
      <c r="DK154" t="s">
        <v>668</v>
      </c>
      <c r="DL154">
        <v>23.08</v>
      </c>
      <c r="DM154" t="s">
        <v>670</v>
      </c>
      <c r="DN154" t="s">
        <v>670</v>
      </c>
      <c r="DO154">
        <v>1</v>
      </c>
      <c r="DP154">
        <v>93.92</v>
      </c>
      <c r="DQ154">
        <v>281.76</v>
      </c>
      <c r="DR154" t="s">
        <v>3525</v>
      </c>
      <c r="EB154" t="s">
        <v>3526</v>
      </c>
      <c r="EC154" t="s">
        <v>2653</v>
      </c>
      <c r="EE154" t="s">
        <v>298</v>
      </c>
      <c r="EL154" t="s">
        <v>3527</v>
      </c>
      <c r="EM154" t="s">
        <v>2449</v>
      </c>
      <c r="EN154" t="s">
        <v>2450</v>
      </c>
      <c r="EO154">
        <v>6.5</v>
      </c>
      <c r="EP154" t="s">
        <v>2252</v>
      </c>
      <c r="EQ154" t="s">
        <v>2628</v>
      </c>
      <c r="ER154" t="s">
        <v>2629</v>
      </c>
      <c r="ES154">
        <v>115650</v>
      </c>
      <c r="ET154">
        <v>115650</v>
      </c>
      <c r="EU154">
        <v>115650</v>
      </c>
      <c r="EV154">
        <v>115650</v>
      </c>
    </row>
    <row r="155" ht="15" customHeight="1" spans="1:152" x14ac:dyDescent="0.25">
      <c r="A155" t="s">
        <v>347</v>
      </c>
      <c r="B155" t="s">
        <v>348</v>
      </c>
      <c r="C155" t="s">
        <v>356</v>
      </c>
      <c r="D155" t="s">
        <v>357</v>
      </c>
      <c r="E155" t="s">
        <v>1578</v>
      </c>
      <c r="F155" t="s">
        <v>671</v>
      </c>
      <c r="G155" t="s">
        <v>1512</v>
      </c>
      <c r="CQ155" t="s">
        <v>3528</v>
      </c>
      <c r="CR155" t="s">
        <v>125</v>
      </c>
      <c r="CS155" t="s">
        <v>561</v>
      </c>
      <c r="CT155" t="s">
        <v>2684</v>
      </c>
      <c r="CU155" t="s">
        <v>79</v>
      </c>
      <c r="CV155" t="s">
        <v>2881</v>
      </c>
      <c r="CW155">
        <v>0</v>
      </c>
      <c r="DB155">
        <v>1250</v>
      </c>
      <c r="DC155">
        <v>1250</v>
      </c>
      <c r="DD155">
        <v>1250</v>
      </c>
      <c r="DE155">
        <v>1250</v>
      </c>
      <c r="DG155" t="s">
        <v>3529</v>
      </c>
      <c r="DH155" t="s">
        <v>82</v>
      </c>
      <c r="DI155" t="s">
        <v>1204</v>
      </c>
      <c r="DJ155" t="s">
        <v>1205</v>
      </c>
      <c r="DK155" t="s">
        <v>668</v>
      </c>
      <c r="DL155">
        <v>23.08</v>
      </c>
      <c r="DM155" t="s">
        <v>670</v>
      </c>
      <c r="DN155" t="s">
        <v>669</v>
      </c>
      <c r="DO155">
        <v>0</v>
      </c>
      <c r="DP155">
        <v>0</v>
      </c>
      <c r="DQ155">
        <v>3.51</v>
      </c>
      <c r="DR155" t="s">
        <v>3530</v>
      </c>
      <c r="EB155" t="s">
        <v>3531</v>
      </c>
      <c r="EC155" t="s">
        <v>2653</v>
      </c>
      <c r="EE155" t="s">
        <v>286</v>
      </c>
      <c r="EL155" t="s">
        <v>3532</v>
      </c>
      <c r="EM155" t="s">
        <v>2449</v>
      </c>
      <c r="EN155" t="s">
        <v>2450</v>
      </c>
      <c r="EO155">
        <v>6.5</v>
      </c>
      <c r="EP155" t="s">
        <v>2276</v>
      </c>
      <c r="EQ155" t="s">
        <v>2644</v>
      </c>
      <c r="ER155" t="s">
        <v>2645</v>
      </c>
      <c r="ES155">
        <v>115650</v>
      </c>
      <c r="ET155">
        <v>115650</v>
      </c>
      <c r="EU155">
        <v>115650</v>
      </c>
      <c r="EV155">
        <v>115650</v>
      </c>
    </row>
    <row r="156" ht="15" customHeight="1" spans="1:152" x14ac:dyDescent="0.25">
      <c r="A156" t="s">
        <v>347</v>
      </c>
      <c r="B156" t="s">
        <v>348</v>
      </c>
      <c r="C156" t="s">
        <v>350</v>
      </c>
      <c r="D156" t="s">
        <v>351</v>
      </c>
      <c r="E156" t="s">
        <v>1327</v>
      </c>
      <c r="F156" t="s">
        <v>671</v>
      </c>
      <c r="G156" t="s">
        <v>1512</v>
      </c>
      <c r="CQ156" t="s">
        <v>3533</v>
      </c>
      <c r="CR156" t="s">
        <v>125</v>
      </c>
      <c r="CS156" t="s">
        <v>584</v>
      </c>
      <c r="CT156" t="s">
        <v>2510</v>
      </c>
      <c r="CU156" t="s">
        <v>88</v>
      </c>
      <c r="CV156" t="s">
        <v>2890</v>
      </c>
      <c r="CW156">
        <v>0</v>
      </c>
      <c r="DB156">
        <v>3020</v>
      </c>
      <c r="DC156">
        <v>3020</v>
      </c>
      <c r="DD156">
        <v>3020</v>
      </c>
      <c r="DE156">
        <v>3020</v>
      </c>
      <c r="DG156" t="s">
        <v>3534</v>
      </c>
      <c r="DH156" t="s">
        <v>82</v>
      </c>
      <c r="DI156" t="s">
        <v>512</v>
      </c>
      <c r="DJ156" t="s">
        <v>1209</v>
      </c>
      <c r="DK156" t="s">
        <v>1079</v>
      </c>
      <c r="DL156">
        <v>23.08</v>
      </c>
      <c r="DM156" t="s">
        <v>669</v>
      </c>
      <c r="DN156" t="s">
        <v>670</v>
      </c>
      <c r="DO156">
        <v>1</v>
      </c>
      <c r="DP156">
        <v>1406.25</v>
      </c>
      <c r="DQ156">
        <v>1406.25</v>
      </c>
      <c r="DR156" t="s">
        <v>3535</v>
      </c>
      <c r="EB156" t="s">
        <v>3536</v>
      </c>
      <c r="EC156" t="s">
        <v>2653</v>
      </c>
      <c r="EE156" t="s">
        <v>272</v>
      </c>
      <c r="EL156" t="s">
        <v>3537</v>
      </c>
      <c r="EM156" t="s">
        <v>2449</v>
      </c>
      <c r="EN156" t="s">
        <v>2450</v>
      </c>
      <c r="EO156">
        <v>7</v>
      </c>
      <c r="EP156" t="s">
        <v>2252</v>
      </c>
      <c r="EQ156" t="s">
        <v>2659</v>
      </c>
      <c r="ER156" t="s">
        <v>2660</v>
      </c>
      <c r="ES156">
        <v>125470</v>
      </c>
      <c r="ET156">
        <v>125470</v>
      </c>
      <c r="EU156">
        <v>125470</v>
      </c>
      <c r="EV156">
        <v>125470</v>
      </c>
    </row>
    <row r="157" ht="15" customHeight="1" spans="1:152" x14ac:dyDescent="0.25">
      <c r="A157" t="s">
        <v>347</v>
      </c>
      <c r="B157" t="s">
        <v>348</v>
      </c>
      <c r="C157" t="s">
        <v>370</v>
      </c>
      <c r="D157" t="s">
        <v>371</v>
      </c>
      <c r="E157" t="s">
        <v>1418</v>
      </c>
      <c r="F157" t="s">
        <v>671</v>
      </c>
      <c r="G157" t="s">
        <v>1512</v>
      </c>
      <c r="CQ157" t="s">
        <v>3538</v>
      </c>
      <c r="CR157" t="s">
        <v>125</v>
      </c>
      <c r="CS157" t="s">
        <v>582</v>
      </c>
      <c r="CT157" t="s">
        <v>2525</v>
      </c>
      <c r="CU157" t="s">
        <v>88</v>
      </c>
      <c r="CV157" t="s">
        <v>581</v>
      </c>
      <c r="CW157">
        <v>0</v>
      </c>
      <c r="DB157">
        <v>2470</v>
      </c>
      <c r="DC157">
        <v>2470</v>
      </c>
      <c r="DD157">
        <v>2470</v>
      </c>
      <c r="DE157">
        <v>2470</v>
      </c>
      <c r="DG157" t="s">
        <v>3539</v>
      </c>
      <c r="DH157" t="s">
        <v>82</v>
      </c>
      <c r="DI157" t="s">
        <v>466</v>
      </c>
      <c r="DJ157" t="s">
        <v>467</v>
      </c>
      <c r="DK157" t="s">
        <v>1079</v>
      </c>
      <c r="DL157">
        <v>23.08</v>
      </c>
      <c r="DM157" t="s">
        <v>669</v>
      </c>
      <c r="DN157" t="s">
        <v>670</v>
      </c>
      <c r="DO157">
        <v>1</v>
      </c>
      <c r="DP157">
        <v>0.1</v>
      </c>
      <c r="DQ157">
        <v>0.1</v>
      </c>
      <c r="DR157" t="s">
        <v>3540</v>
      </c>
      <c r="EB157" t="s">
        <v>3541</v>
      </c>
      <c r="EC157" t="s">
        <v>2653</v>
      </c>
      <c r="EE157" t="s">
        <v>283</v>
      </c>
      <c r="EL157" t="s">
        <v>3542</v>
      </c>
      <c r="EM157" t="s">
        <v>2449</v>
      </c>
      <c r="EN157" t="s">
        <v>2450</v>
      </c>
      <c r="EO157">
        <v>7</v>
      </c>
      <c r="EP157" t="s">
        <v>2276</v>
      </c>
      <c r="EQ157" t="s">
        <v>2673</v>
      </c>
      <c r="ER157" t="s">
        <v>2674</v>
      </c>
      <c r="ES157">
        <v>125470</v>
      </c>
      <c r="ET157">
        <v>125470</v>
      </c>
      <c r="EU157">
        <v>125470</v>
      </c>
      <c r="EV157">
        <v>125470</v>
      </c>
    </row>
    <row r="158" ht="15" customHeight="1" spans="1:152" x14ac:dyDescent="0.25">
      <c r="A158" t="s">
        <v>347</v>
      </c>
      <c r="B158" t="s">
        <v>348</v>
      </c>
      <c r="C158" t="s">
        <v>376</v>
      </c>
      <c r="D158" t="s">
        <v>377</v>
      </c>
      <c r="E158" t="s">
        <v>1418</v>
      </c>
      <c r="F158" t="s">
        <v>671</v>
      </c>
      <c r="G158" t="s">
        <v>1512</v>
      </c>
      <c r="CQ158" t="s">
        <v>3543</v>
      </c>
      <c r="CR158" t="s">
        <v>125</v>
      </c>
      <c r="CS158" t="s">
        <v>580</v>
      </c>
      <c r="CT158" t="s">
        <v>2539</v>
      </c>
      <c r="CU158" t="s">
        <v>88</v>
      </c>
      <c r="CV158" t="s">
        <v>2909</v>
      </c>
      <c r="CW158">
        <v>0</v>
      </c>
      <c r="DB158">
        <v>10480</v>
      </c>
      <c r="DC158">
        <v>10480</v>
      </c>
      <c r="DD158">
        <v>10480</v>
      </c>
      <c r="DE158">
        <v>10480</v>
      </c>
      <c r="DG158" t="s">
        <v>3544</v>
      </c>
      <c r="DH158" t="s">
        <v>82</v>
      </c>
      <c r="DJ158" t="s">
        <v>1067</v>
      </c>
      <c r="DK158" t="s">
        <v>692</v>
      </c>
      <c r="DL158">
        <v>23.08</v>
      </c>
      <c r="DM158" t="s">
        <v>669</v>
      </c>
      <c r="DN158" t="s">
        <v>669</v>
      </c>
      <c r="DO158">
        <v>0</v>
      </c>
      <c r="DP158">
        <v>0</v>
      </c>
      <c r="DQ158">
        <v>0</v>
      </c>
      <c r="DR158" t="s">
        <v>3262</v>
      </c>
      <c r="EB158" t="s">
        <v>3545</v>
      </c>
      <c r="EC158" t="s">
        <v>2653</v>
      </c>
      <c r="EE158" t="s">
        <v>267</v>
      </c>
      <c r="EL158" t="s">
        <v>3546</v>
      </c>
      <c r="EM158" t="s">
        <v>2449</v>
      </c>
      <c r="EN158" t="s">
        <v>2450</v>
      </c>
      <c r="EO158">
        <v>7.5</v>
      </c>
      <c r="EP158" t="s">
        <v>2252</v>
      </c>
      <c r="EQ158" t="s">
        <v>2686</v>
      </c>
      <c r="ER158" t="s">
        <v>3547</v>
      </c>
      <c r="ES158">
        <v>133170</v>
      </c>
      <c r="ET158">
        <v>133170</v>
      </c>
      <c r="EU158">
        <v>133170</v>
      </c>
      <c r="EV158">
        <v>133170</v>
      </c>
    </row>
    <row r="159" ht="15" customHeight="1" spans="1:152" x14ac:dyDescent="0.25">
      <c r="A159" t="s">
        <v>347</v>
      </c>
      <c r="B159" t="s">
        <v>348</v>
      </c>
      <c r="C159" t="s">
        <v>382</v>
      </c>
      <c r="D159" t="s">
        <v>383</v>
      </c>
      <c r="E159" t="s">
        <v>1578</v>
      </c>
      <c r="F159" t="s">
        <v>671</v>
      </c>
      <c r="G159" t="s">
        <v>1512</v>
      </c>
      <c r="CQ159" t="s">
        <v>3548</v>
      </c>
      <c r="CR159" t="s">
        <v>125</v>
      </c>
      <c r="CS159" t="s">
        <v>296</v>
      </c>
      <c r="CT159" t="s">
        <v>294</v>
      </c>
      <c r="CU159" t="s">
        <v>88</v>
      </c>
      <c r="CV159" t="s">
        <v>295</v>
      </c>
      <c r="CW159">
        <v>0</v>
      </c>
      <c r="DB159">
        <v>150</v>
      </c>
      <c r="DC159">
        <v>150</v>
      </c>
      <c r="DD159">
        <v>150</v>
      </c>
      <c r="DE159">
        <v>150</v>
      </c>
      <c r="DG159" t="s">
        <v>3549</v>
      </c>
      <c r="DH159" t="s">
        <v>82</v>
      </c>
      <c r="DI159" t="s">
        <v>1217</v>
      </c>
      <c r="DJ159" t="s">
        <v>1218</v>
      </c>
      <c r="DK159" t="s">
        <v>692</v>
      </c>
      <c r="DL159">
        <v>23.08</v>
      </c>
      <c r="DM159" t="s">
        <v>669</v>
      </c>
      <c r="DN159" t="s">
        <v>670</v>
      </c>
      <c r="DO159">
        <v>1</v>
      </c>
      <c r="DP159">
        <v>117.19</v>
      </c>
      <c r="DQ159">
        <v>117.19</v>
      </c>
      <c r="DR159" t="s">
        <v>3550</v>
      </c>
      <c r="EB159" t="s">
        <v>3551</v>
      </c>
      <c r="EC159" t="s">
        <v>2653</v>
      </c>
      <c r="EE159" t="s">
        <v>258</v>
      </c>
      <c r="EL159" t="s">
        <v>3552</v>
      </c>
      <c r="EM159" t="s">
        <v>2449</v>
      </c>
      <c r="EN159" t="s">
        <v>2450</v>
      </c>
      <c r="EO159">
        <v>7.5</v>
      </c>
      <c r="EP159" t="s">
        <v>2276</v>
      </c>
      <c r="EQ159" t="s">
        <v>2701</v>
      </c>
      <c r="ER159" t="s">
        <v>2702</v>
      </c>
      <c r="ES159">
        <v>133170</v>
      </c>
      <c r="ET159">
        <v>133170</v>
      </c>
      <c r="EU159">
        <v>133170</v>
      </c>
      <c r="EV159">
        <v>133170</v>
      </c>
    </row>
    <row r="160" ht="15" customHeight="1" spans="1:152" x14ac:dyDescent="0.25">
      <c r="A160" t="s">
        <v>347</v>
      </c>
      <c r="B160" t="s">
        <v>348</v>
      </c>
      <c r="C160" t="s">
        <v>364</v>
      </c>
      <c r="D160" t="s">
        <v>365</v>
      </c>
      <c r="E160" t="s">
        <v>1578</v>
      </c>
      <c r="F160" t="s">
        <v>671</v>
      </c>
      <c r="G160" t="s">
        <v>1512</v>
      </c>
      <c r="CQ160" t="s">
        <v>3518</v>
      </c>
      <c r="CR160" t="s">
        <v>125</v>
      </c>
      <c r="CS160" t="s">
        <v>556</v>
      </c>
      <c r="CT160" t="s">
        <v>2713</v>
      </c>
      <c r="CU160" t="s">
        <v>79</v>
      </c>
      <c r="CV160" t="s">
        <v>2867</v>
      </c>
      <c r="CW160">
        <v>0</v>
      </c>
      <c r="DB160">
        <v>550</v>
      </c>
      <c r="DC160">
        <v>850</v>
      </c>
      <c r="DD160">
        <v>1200</v>
      </c>
      <c r="DE160">
        <v>1200</v>
      </c>
      <c r="DG160" t="s">
        <v>3553</v>
      </c>
      <c r="DH160" t="s">
        <v>82</v>
      </c>
      <c r="DI160" t="s">
        <v>1221</v>
      </c>
      <c r="DJ160" t="s">
        <v>1222</v>
      </c>
      <c r="DK160" t="s">
        <v>692</v>
      </c>
      <c r="DL160">
        <v>23.08</v>
      </c>
      <c r="DM160" t="s">
        <v>669</v>
      </c>
      <c r="DN160" t="s">
        <v>670</v>
      </c>
      <c r="DO160">
        <v>4</v>
      </c>
      <c r="DP160">
        <v>462</v>
      </c>
      <c r="DQ160">
        <v>462</v>
      </c>
      <c r="DR160" t="s">
        <v>3554</v>
      </c>
      <c r="EB160" t="s">
        <v>3555</v>
      </c>
      <c r="EC160" t="s">
        <v>2653</v>
      </c>
      <c r="EE160" t="s">
        <v>222</v>
      </c>
      <c r="EL160" t="s">
        <v>3556</v>
      </c>
      <c r="EM160" t="s">
        <v>2449</v>
      </c>
      <c r="EN160" t="s">
        <v>2450</v>
      </c>
      <c r="EO160">
        <v>8</v>
      </c>
      <c r="EP160" t="s">
        <v>2252</v>
      </c>
      <c r="EQ160" t="s">
        <v>2715</v>
      </c>
      <c r="ER160" t="s">
        <v>3557</v>
      </c>
      <c r="ES160">
        <v>139490</v>
      </c>
      <c r="ET160">
        <v>139490</v>
      </c>
      <c r="EU160">
        <v>139490</v>
      </c>
      <c r="EV160">
        <v>139490</v>
      </c>
    </row>
    <row r="161" ht="15" customHeight="1" spans="1:152" x14ac:dyDescent="0.25">
      <c r="A161" t="s">
        <v>347</v>
      </c>
      <c r="B161" t="s">
        <v>354</v>
      </c>
      <c r="C161" t="s">
        <v>390</v>
      </c>
      <c r="D161" t="s">
        <v>391</v>
      </c>
      <c r="E161" t="s">
        <v>1578</v>
      </c>
      <c r="F161" t="s">
        <v>671</v>
      </c>
      <c r="G161" t="s">
        <v>1369</v>
      </c>
      <c r="CQ161" t="s">
        <v>3558</v>
      </c>
      <c r="CR161" t="s">
        <v>85</v>
      </c>
      <c r="CS161" t="s">
        <v>290</v>
      </c>
      <c r="CT161" t="s">
        <v>289</v>
      </c>
      <c r="CU161" t="s">
        <v>81</v>
      </c>
      <c r="CV161" t="s">
        <v>289</v>
      </c>
      <c r="CW161">
        <v>0</v>
      </c>
      <c r="DB161">
        <v>420</v>
      </c>
      <c r="DC161">
        <v>460</v>
      </c>
      <c r="DD161">
        <v>500</v>
      </c>
      <c r="DE161">
        <v>500</v>
      </c>
      <c r="DG161" t="s">
        <v>3559</v>
      </c>
      <c r="DH161" t="s">
        <v>82</v>
      </c>
      <c r="DI161" t="s">
        <v>1224</v>
      </c>
      <c r="DJ161" t="s">
        <v>1225</v>
      </c>
      <c r="DK161" t="s">
        <v>692</v>
      </c>
      <c r="DL161">
        <v>23.08</v>
      </c>
      <c r="DM161" t="s">
        <v>669</v>
      </c>
      <c r="DN161" t="s">
        <v>670</v>
      </c>
      <c r="DO161">
        <v>5</v>
      </c>
      <c r="DP161">
        <v>75</v>
      </c>
      <c r="DQ161">
        <v>75</v>
      </c>
      <c r="DR161" t="s">
        <v>3560</v>
      </c>
      <c r="EB161" t="s">
        <v>3561</v>
      </c>
      <c r="EC161" t="s">
        <v>2653</v>
      </c>
      <c r="EE161" t="s">
        <v>233</v>
      </c>
      <c r="EL161" t="s">
        <v>3562</v>
      </c>
      <c r="EM161" t="s">
        <v>2449</v>
      </c>
      <c r="EN161" t="s">
        <v>2450</v>
      </c>
      <c r="EO161">
        <v>8</v>
      </c>
      <c r="EP161" t="s">
        <v>2276</v>
      </c>
      <c r="EQ161" t="s">
        <v>2728</v>
      </c>
      <c r="ER161" t="s">
        <v>3563</v>
      </c>
      <c r="ES161">
        <v>139490</v>
      </c>
      <c r="ET161">
        <v>139490</v>
      </c>
      <c r="EU161">
        <v>139490</v>
      </c>
      <c r="EV161">
        <v>139490</v>
      </c>
    </row>
    <row r="162" ht="15" customHeight="1" spans="1:152" x14ac:dyDescent="0.25">
      <c r="A162" t="s">
        <v>347</v>
      </c>
      <c r="B162" t="s">
        <v>354</v>
      </c>
      <c r="C162" t="s">
        <v>395</v>
      </c>
      <c r="D162" t="s">
        <v>396</v>
      </c>
      <c r="E162" t="s">
        <v>1578</v>
      </c>
      <c r="F162" t="s">
        <v>671</v>
      </c>
      <c r="G162" t="s">
        <v>1369</v>
      </c>
      <c r="CQ162" t="s">
        <v>3564</v>
      </c>
      <c r="CR162" t="s">
        <v>85</v>
      </c>
      <c r="CS162" t="s">
        <v>275</v>
      </c>
      <c r="CT162" t="s">
        <v>273</v>
      </c>
      <c r="CU162" t="s">
        <v>81</v>
      </c>
      <c r="CV162" t="s">
        <v>274</v>
      </c>
      <c r="CW162">
        <v>0</v>
      </c>
      <c r="DB162">
        <v>1000</v>
      </c>
      <c r="DC162">
        <v>1110</v>
      </c>
      <c r="DD162">
        <v>1200</v>
      </c>
      <c r="DE162">
        <v>1200</v>
      </c>
      <c r="DG162" t="s">
        <v>3565</v>
      </c>
      <c r="DH162" t="s">
        <v>82</v>
      </c>
      <c r="DI162" t="s">
        <v>1227</v>
      </c>
      <c r="DJ162" t="s">
        <v>1228</v>
      </c>
      <c r="DK162" t="s">
        <v>692</v>
      </c>
      <c r="DL162">
        <v>23.08</v>
      </c>
      <c r="DM162" t="s">
        <v>669</v>
      </c>
      <c r="DN162" t="s">
        <v>670</v>
      </c>
      <c r="DO162">
        <v>45</v>
      </c>
      <c r="DP162">
        <v>1476</v>
      </c>
      <c r="DQ162">
        <v>1476</v>
      </c>
      <c r="DR162" t="s">
        <v>3566</v>
      </c>
      <c r="EB162" t="s">
        <v>3567</v>
      </c>
      <c r="EC162" t="s">
        <v>2653</v>
      </c>
      <c r="EE162" t="s">
        <v>225</v>
      </c>
      <c r="EL162" t="s">
        <v>3568</v>
      </c>
      <c r="EM162" t="s">
        <v>2555</v>
      </c>
      <c r="EN162" t="s">
        <v>2556</v>
      </c>
      <c r="EO162">
        <v>0.5</v>
      </c>
      <c r="EP162" t="s">
        <v>2252</v>
      </c>
      <c r="EQ162" t="s">
        <v>2253</v>
      </c>
      <c r="ER162" t="s">
        <v>2254</v>
      </c>
      <c r="ES162">
        <v>7500</v>
      </c>
      <c r="ET162">
        <v>7500</v>
      </c>
      <c r="EU162">
        <v>7500</v>
      </c>
      <c r="EV162">
        <v>7500</v>
      </c>
    </row>
    <row r="163" ht="15" customHeight="1" spans="1:152" x14ac:dyDescent="0.25">
      <c r="A163" t="s">
        <v>347</v>
      </c>
      <c r="B163" t="s">
        <v>354</v>
      </c>
      <c r="C163" t="s">
        <v>400</v>
      </c>
      <c r="D163" t="s">
        <v>401</v>
      </c>
      <c r="E163" t="s">
        <v>1578</v>
      </c>
      <c r="F163" t="s">
        <v>671</v>
      </c>
      <c r="G163" t="s">
        <v>1369</v>
      </c>
      <c r="CQ163" t="s">
        <v>3569</v>
      </c>
      <c r="CR163" t="s">
        <v>85</v>
      </c>
      <c r="CS163" t="s">
        <v>551</v>
      </c>
      <c r="CT163" t="s">
        <v>548</v>
      </c>
      <c r="CU163" t="s">
        <v>81</v>
      </c>
      <c r="CV163" t="s">
        <v>274</v>
      </c>
      <c r="CW163">
        <v>0</v>
      </c>
      <c r="DB163">
        <v>1670</v>
      </c>
      <c r="DC163">
        <v>1850</v>
      </c>
      <c r="DD163">
        <v>1990</v>
      </c>
      <c r="DE163">
        <v>1990</v>
      </c>
      <c r="DG163" t="s">
        <v>3570</v>
      </c>
      <c r="DH163" t="s">
        <v>82</v>
      </c>
      <c r="DI163" t="s">
        <v>1230</v>
      </c>
      <c r="DJ163" t="s">
        <v>1231</v>
      </c>
      <c r="DK163" t="s">
        <v>692</v>
      </c>
      <c r="DL163">
        <v>23.08</v>
      </c>
      <c r="DM163" t="s">
        <v>669</v>
      </c>
      <c r="DN163" t="s">
        <v>670</v>
      </c>
      <c r="DO163">
        <v>1</v>
      </c>
      <c r="DP163">
        <v>534</v>
      </c>
      <c r="DQ163">
        <v>534</v>
      </c>
      <c r="DR163" t="s">
        <v>3571</v>
      </c>
      <c r="EB163" t="s">
        <v>3572</v>
      </c>
      <c r="EC163" t="s">
        <v>2653</v>
      </c>
      <c r="EE163" t="s">
        <v>288</v>
      </c>
      <c r="EL163" t="s">
        <v>3573</v>
      </c>
      <c r="EM163" t="s">
        <v>2555</v>
      </c>
      <c r="EN163" t="s">
        <v>2556</v>
      </c>
      <c r="EO163">
        <v>0.5</v>
      </c>
      <c r="EP163" t="s">
        <v>2276</v>
      </c>
      <c r="EQ163" t="s">
        <v>2277</v>
      </c>
      <c r="ER163" t="s">
        <v>2278</v>
      </c>
      <c r="ES163">
        <v>9750</v>
      </c>
      <c r="ET163">
        <v>9750</v>
      </c>
      <c r="EU163">
        <v>9750</v>
      </c>
      <c r="EV163">
        <v>9750</v>
      </c>
    </row>
    <row r="164" ht="15" customHeight="1" spans="1:152" x14ac:dyDescent="0.25">
      <c r="A164" t="s">
        <v>347</v>
      </c>
      <c r="B164" t="s">
        <v>354</v>
      </c>
      <c r="C164" t="s">
        <v>387</v>
      </c>
      <c r="D164" t="s">
        <v>388</v>
      </c>
      <c r="E164" t="s">
        <v>1578</v>
      </c>
      <c r="F164" t="s">
        <v>671</v>
      </c>
      <c r="G164" t="s">
        <v>1369</v>
      </c>
      <c r="CQ164" t="s">
        <v>3574</v>
      </c>
      <c r="CR164" t="s">
        <v>85</v>
      </c>
      <c r="CS164" t="s">
        <v>298</v>
      </c>
      <c r="CT164" t="s">
        <v>297</v>
      </c>
      <c r="CU164" t="s">
        <v>81</v>
      </c>
      <c r="CV164" t="s">
        <v>274</v>
      </c>
      <c r="CW164">
        <v>0</v>
      </c>
      <c r="DB164">
        <v>1</v>
      </c>
      <c r="DC164">
        <v>1</v>
      </c>
      <c r="DD164">
        <v>1</v>
      </c>
      <c r="DE164">
        <v>1</v>
      </c>
      <c r="DG164" t="s">
        <v>3575</v>
      </c>
      <c r="DH164" t="s">
        <v>82</v>
      </c>
      <c r="DI164" t="s">
        <v>1235</v>
      </c>
      <c r="DJ164" t="s">
        <v>198</v>
      </c>
      <c r="DK164" t="s">
        <v>692</v>
      </c>
      <c r="DL164">
        <v>23.08</v>
      </c>
      <c r="DM164" t="s">
        <v>669</v>
      </c>
      <c r="DN164" t="s">
        <v>670</v>
      </c>
      <c r="DO164">
        <v>1</v>
      </c>
      <c r="DP164">
        <v>28040</v>
      </c>
      <c r="DQ164">
        <v>28040</v>
      </c>
      <c r="DR164" t="s">
        <v>3576</v>
      </c>
      <c r="EB164" t="s">
        <v>3577</v>
      </c>
      <c r="EC164" t="s">
        <v>2653</v>
      </c>
      <c r="ED164" t="s">
        <v>2654</v>
      </c>
      <c r="EE164" t="s">
        <v>269</v>
      </c>
      <c r="EF164" t="s">
        <v>268</v>
      </c>
      <c r="EG164">
        <v>420</v>
      </c>
      <c r="EH164">
        <v>420</v>
      </c>
      <c r="EI164">
        <v>420</v>
      </c>
      <c r="EJ164">
        <v>420</v>
      </c>
      <c r="EL164" t="s">
        <v>3578</v>
      </c>
      <c r="EM164" t="s">
        <v>2555</v>
      </c>
      <c r="EN164" t="s">
        <v>2556</v>
      </c>
      <c r="EO164">
        <v>1</v>
      </c>
      <c r="EP164" t="s">
        <v>2252</v>
      </c>
      <c r="EQ164" t="s">
        <v>2293</v>
      </c>
      <c r="ER164" t="s">
        <v>2294</v>
      </c>
      <c r="ES164">
        <v>13850</v>
      </c>
      <c r="ET164">
        <v>13850</v>
      </c>
      <c r="EU164">
        <v>13850</v>
      </c>
      <c r="EV164">
        <v>13850</v>
      </c>
    </row>
    <row r="165" ht="15" customHeight="1" spans="1:152" x14ac:dyDescent="0.25">
      <c r="A165" t="s">
        <v>347</v>
      </c>
      <c r="B165" t="s">
        <v>362</v>
      </c>
      <c r="C165" t="s">
        <v>415</v>
      </c>
      <c r="D165" t="s">
        <v>416</v>
      </c>
      <c r="E165" t="s">
        <v>1418</v>
      </c>
      <c r="F165" t="s">
        <v>671</v>
      </c>
      <c r="G165" t="s">
        <v>1369</v>
      </c>
      <c r="CQ165" t="s">
        <v>3579</v>
      </c>
      <c r="CR165" t="s">
        <v>85</v>
      </c>
      <c r="CS165" t="s">
        <v>620</v>
      </c>
      <c r="CT165" t="s">
        <v>2250</v>
      </c>
      <c r="CU165" t="s">
        <v>81</v>
      </c>
      <c r="CV165" t="s">
        <v>285</v>
      </c>
      <c r="CW165">
        <v>0</v>
      </c>
      <c r="DB165">
        <v>360</v>
      </c>
      <c r="DC165">
        <v>400</v>
      </c>
      <c r="DD165">
        <v>430</v>
      </c>
      <c r="DE165">
        <v>430</v>
      </c>
      <c r="DG165" t="s">
        <v>3580</v>
      </c>
      <c r="DH165" t="s">
        <v>82</v>
      </c>
      <c r="DI165" t="s">
        <v>1237</v>
      </c>
      <c r="DJ165" t="s">
        <v>1238</v>
      </c>
      <c r="DK165" t="s">
        <v>692</v>
      </c>
      <c r="DL165">
        <v>23.08</v>
      </c>
      <c r="DM165" t="s">
        <v>669</v>
      </c>
      <c r="DN165" t="s">
        <v>670</v>
      </c>
      <c r="DO165">
        <v>1</v>
      </c>
      <c r="DP165">
        <v>3862</v>
      </c>
      <c r="DQ165">
        <v>3862</v>
      </c>
      <c r="DR165" t="s">
        <v>3581</v>
      </c>
      <c r="EB165" t="s">
        <v>3582</v>
      </c>
      <c r="EC165" t="s">
        <v>2653</v>
      </c>
      <c r="ED165" t="s">
        <v>2654</v>
      </c>
      <c r="EE165" t="s">
        <v>237</v>
      </c>
      <c r="EF165" t="s">
        <v>235</v>
      </c>
      <c r="EG165">
        <v>3980</v>
      </c>
      <c r="EH165">
        <v>3980</v>
      </c>
      <c r="EI165">
        <v>3980</v>
      </c>
      <c r="EJ165">
        <v>3980</v>
      </c>
      <c r="EL165" t="s">
        <v>3583</v>
      </c>
      <c r="EM165" t="s">
        <v>2555</v>
      </c>
      <c r="EN165" t="s">
        <v>2556</v>
      </c>
      <c r="EO165">
        <v>1</v>
      </c>
      <c r="EP165" t="s">
        <v>2276</v>
      </c>
      <c r="EQ165" t="s">
        <v>2306</v>
      </c>
      <c r="ER165" t="s">
        <v>2307</v>
      </c>
      <c r="ES165">
        <v>18005</v>
      </c>
      <c r="ET165">
        <v>18005</v>
      </c>
      <c r="EU165">
        <v>18005</v>
      </c>
      <c r="EV165">
        <v>18005</v>
      </c>
    </row>
    <row r="166" ht="15" customHeight="1" spans="1:152" x14ac:dyDescent="0.25">
      <c r="A166" t="s">
        <v>347</v>
      </c>
      <c r="B166" t="s">
        <v>362</v>
      </c>
      <c r="C166" t="s">
        <v>409</v>
      </c>
      <c r="D166" t="s">
        <v>410</v>
      </c>
      <c r="E166" t="s">
        <v>1578</v>
      </c>
      <c r="F166" t="s">
        <v>671</v>
      </c>
      <c r="G166" t="s">
        <v>1369</v>
      </c>
      <c r="CQ166" t="s">
        <v>3584</v>
      </c>
      <c r="CR166" t="s">
        <v>85</v>
      </c>
      <c r="CS166" t="s">
        <v>618</v>
      </c>
      <c r="CT166" t="s">
        <v>2274</v>
      </c>
      <c r="CU166" t="s">
        <v>81</v>
      </c>
      <c r="CV166" t="s">
        <v>285</v>
      </c>
      <c r="CW166">
        <v>0</v>
      </c>
      <c r="DB166">
        <v>580</v>
      </c>
      <c r="DC166">
        <v>660</v>
      </c>
      <c r="DD166">
        <v>760</v>
      </c>
      <c r="DE166">
        <v>800</v>
      </c>
      <c r="DG166" t="s">
        <v>3585</v>
      </c>
      <c r="DH166" t="s">
        <v>82</v>
      </c>
      <c r="DI166" t="s">
        <v>1240</v>
      </c>
      <c r="DJ166" t="s">
        <v>1241</v>
      </c>
      <c r="DK166" t="s">
        <v>692</v>
      </c>
      <c r="DL166">
        <v>23.08</v>
      </c>
      <c r="DM166" t="s">
        <v>669</v>
      </c>
      <c r="DN166" t="s">
        <v>670</v>
      </c>
      <c r="DO166">
        <v>5</v>
      </c>
      <c r="DP166">
        <v>38.35</v>
      </c>
      <c r="DQ166">
        <v>38.35</v>
      </c>
      <c r="DR166" t="s">
        <v>3586</v>
      </c>
      <c r="EB166" t="s">
        <v>3587</v>
      </c>
      <c r="EC166" t="s">
        <v>2653</v>
      </c>
      <c r="EE166" t="s">
        <v>249</v>
      </c>
      <c r="EL166" t="s">
        <v>3588</v>
      </c>
      <c r="EM166" t="s">
        <v>2555</v>
      </c>
      <c r="EN166" t="s">
        <v>2556</v>
      </c>
      <c r="EO166">
        <v>1.5</v>
      </c>
      <c r="EP166" t="s">
        <v>2252</v>
      </c>
      <c r="EQ166" t="s">
        <v>2322</v>
      </c>
      <c r="ER166" t="s">
        <v>2323</v>
      </c>
      <c r="ES166">
        <v>20800</v>
      </c>
      <c r="ET166">
        <v>20800</v>
      </c>
      <c r="EU166">
        <v>20800</v>
      </c>
      <c r="EV166">
        <v>20800</v>
      </c>
    </row>
    <row r="167" ht="15" customHeight="1" spans="1:152" x14ac:dyDescent="0.25">
      <c r="A167" t="s">
        <v>361</v>
      </c>
      <c r="B167" t="s">
        <v>362</v>
      </c>
      <c r="C167" t="s">
        <v>403</v>
      </c>
      <c r="D167" t="s">
        <v>404</v>
      </c>
      <c r="E167" t="s">
        <v>1301</v>
      </c>
      <c r="F167" t="s">
        <v>671</v>
      </c>
      <c r="G167" t="s">
        <v>1369</v>
      </c>
      <c r="CQ167" t="s">
        <v>3589</v>
      </c>
      <c r="CR167" t="s">
        <v>85</v>
      </c>
      <c r="CS167" t="s">
        <v>616</v>
      </c>
      <c r="CT167" t="s">
        <v>2291</v>
      </c>
      <c r="CU167" t="s">
        <v>81</v>
      </c>
      <c r="CV167" t="s">
        <v>285</v>
      </c>
      <c r="CW167">
        <v>0</v>
      </c>
      <c r="DB167">
        <v>1230</v>
      </c>
      <c r="DC167">
        <v>1360</v>
      </c>
      <c r="DD167">
        <v>1470</v>
      </c>
      <c r="DE167">
        <v>1470</v>
      </c>
      <c r="DG167" t="s">
        <v>3590</v>
      </c>
      <c r="DH167" t="s">
        <v>82</v>
      </c>
      <c r="DI167" t="s">
        <v>1242</v>
      </c>
      <c r="DJ167" t="s">
        <v>1243</v>
      </c>
      <c r="DK167" t="s">
        <v>692</v>
      </c>
      <c r="DL167">
        <v>23.08</v>
      </c>
      <c r="DM167" t="s">
        <v>670</v>
      </c>
      <c r="DN167" t="s">
        <v>669</v>
      </c>
      <c r="DO167">
        <v>0</v>
      </c>
      <c r="DP167">
        <v>0</v>
      </c>
      <c r="DQ167">
        <v>222.25</v>
      </c>
      <c r="DR167" t="s">
        <v>3591</v>
      </c>
      <c r="EB167" t="s">
        <v>3592</v>
      </c>
      <c r="EC167" t="s">
        <v>2653</v>
      </c>
      <c r="EE167" t="s">
        <v>293</v>
      </c>
      <c r="EL167" t="s">
        <v>3593</v>
      </c>
      <c r="EM167" t="s">
        <v>2555</v>
      </c>
      <c r="EN167" t="s">
        <v>2556</v>
      </c>
      <c r="EO167">
        <v>1.5</v>
      </c>
      <c r="EP167" t="s">
        <v>2276</v>
      </c>
      <c r="EQ167" t="s">
        <v>2338</v>
      </c>
      <c r="ER167" t="s">
        <v>2339</v>
      </c>
      <c r="ES167">
        <v>27040</v>
      </c>
      <c r="ET167">
        <v>27040</v>
      </c>
      <c r="EU167">
        <v>27040</v>
      </c>
      <c r="EV167">
        <v>27040</v>
      </c>
    </row>
    <row r="168" ht="15" customHeight="1" spans="1:152" x14ac:dyDescent="0.25">
      <c r="A168" t="s">
        <v>347</v>
      </c>
      <c r="B168" t="s">
        <v>362</v>
      </c>
      <c r="C168" t="s">
        <v>406</v>
      </c>
      <c r="D168" t="s">
        <v>407</v>
      </c>
      <c r="E168" t="s">
        <v>1301</v>
      </c>
      <c r="F168" t="s">
        <v>671</v>
      </c>
      <c r="G168" t="s">
        <v>1369</v>
      </c>
      <c r="CQ168" t="s">
        <v>3594</v>
      </c>
      <c r="CR168" t="s">
        <v>85</v>
      </c>
      <c r="CS168" t="s">
        <v>614</v>
      </c>
      <c r="CT168" t="s">
        <v>2304</v>
      </c>
      <c r="CU168" t="s">
        <v>81</v>
      </c>
      <c r="CV168" t="s">
        <v>285</v>
      </c>
      <c r="CW168">
        <v>0</v>
      </c>
      <c r="DB168">
        <v>730</v>
      </c>
      <c r="DC168">
        <v>800</v>
      </c>
      <c r="DD168">
        <v>870</v>
      </c>
      <c r="DE168">
        <v>870</v>
      </c>
      <c r="DG168" t="s">
        <v>3595</v>
      </c>
      <c r="DH168" t="s">
        <v>82</v>
      </c>
      <c r="DI168" t="s">
        <v>1247</v>
      </c>
      <c r="DJ168" t="s">
        <v>1248</v>
      </c>
      <c r="DK168" t="s">
        <v>692</v>
      </c>
      <c r="DL168">
        <v>23.08</v>
      </c>
      <c r="DM168" t="s">
        <v>670</v>
      </c>
      <c r="DN168" t="s">
        <v>669</v>
      </c>
      <c r="DO168">
        <v>0</v>
      </c>
      <c r="DP168">
        <v>0</v>
      </c>
      <c r="DQ168">
        <v>56.25</v>
      </c>
      <c r="DR168" t="s">
        <v>3596</v>
      </c>
      <c r="EB168" t="s">
        <v>3597</v>
      </c>
      <c r="EC168" t="s">
        <v>2653</v>
      </c>
      <c r="EE168" t="s">
        <v>280</v>
      </c>
      <c r="EL168" t="s">
        <v>3598</v>
      </c>
      <c r="EM168" t="s">
        <v>2555</v>
      </c>
      <c r="EN168" t="s">
        <v>2556</v>
      </c>
      <c r="EO168">
        <v>2</v>
      </c>
      <c r="EP168" t="s">
        <v>2252</v>
      </c>
      <c r="EQ168" t="s">
        <v>2354</v>
      </c>
      <c r="ER168" t="s">
        <v>2355</v>
      </c>
      <c r="ES168">
        <v>27700</v>
      </c>
      <c r="ET168">
        <v>27700</v>
      </c>
      <c r="EU168">
        <v>27700</v>
      </c>
      <c r="EV168">
        <v>27700</v>
      </c>
    </row>
    <row r="169" ht="15" customHeight="1" spans="1:152" x14ac:dyDescent="0.25">
      <c r="A169" t="s">
        <v>347</v>
      </c>
      <c r="B169" t="s">
        <v>362</v>
      </c>
      <c r="C169" t="s">
        <v>412</v>
      </c>
      <c r="D169" t="s">
        <v>413</v>
      </c>
      <c r="E169" t="s">
        <v>1578</v>
      </c>
      <c r="F169" t="s">
        <v>671</v>
      </c>
      <c r="G169" t="s">
        <v>1369</v>
      </c>
      <c r="CQ169" t="s">
        <v>3599</v>
      </c>
      <c r="CR169" t="s">
        <v>85</v>
      </c>
      <c r="CS169" t="s">
        <v>286</v>
      </c>
      <c r="CT169" t="s">
        <v>284</v>
      </c>
      <c r="CU169" t="s">
        <v>81</v>
      </c>
      <c r="CV169" t="s">
        <v>285</v>
      </c>
      <c r="CW169">
        <v>0</v>
      </c>
      <c r="DB169">
        <v>680</v>
      </c>
      <c r="DC169">
        <v>750</v>
      </c>
      <c r="DD169">
        <v>810</v>
      </c>
      <c r="DE169">
        <v>810</v>
      </c>
      <c r="DG169" t="s">
        <v>3600</v>
      </c>
      <c r="DH169" t="s">
        <v>82</v>
      </c>
      <c r="DI169" t="s">
        <v>1250</v>
      </c>
      <c r="DJ169" t="s">
        <v>1251</v>
      </c>
      <c r="DK169" t="s">
        <v>692</v>
      </c>
      <c r="DL169">
        <v>23.08</v>
      </c>
      <c r="DM169" t="s">
        <v>670</v>
      </c>
      <c r="DN169" t="s">
        <v>669</v>
      </c>
      <c r="DO169">
        <v>0</v>
      </c>
      <c r="DP169">
        <v>0</v>
      </c>
      <c r="DQ169">
        <v>276.57</v>
      </c>
      <c r="DR169" t="s">
        <v>3601</v>
      </c>
      <c r="EB169" t="s">
        <v>3602</v>
      </c>
      <c r="EC169" t="s">
        <v>2653</v>
      </c>
      <c r="ED169" t="s">
        <v>2654</v>
      </c>
      <c r="EE169" t="s">
        <v>264</v>
      </c>
      <c r="EF169" t="s">
        <v>262</v>
      </c>
      <c r="EG169">
        <v>1020</v>
      </c>
      <c r="EH169">
        <v>1130</v>
      </c>
      <c r="EI169">
        <v>1220</v>
      </c>
      <c r="EJ169">
        <v>1220</v>
      </c>
      <c r="EL169" t="s">
        <v>3603</v>
      </c>
      <c r="EM169" t="s">
        <v>2555</v>
      </c>
      <c r="EN169" t="s">
        <v>2556</v>
      </c>
      <c r="EO169">
        <v>2</v>
      </c>
      <c r="EP169" t="s">
        <v>2276</v>
      </c>
      <c r="EQ169" t="s">
        <v>2373</v>
      </c>
      <c r="ER169" t="s">
        <v>2374</v>
      </c>
      <c r="ES169">
        <v>36010</v>
      </c>
      <c r="ET169">
        <v>36010</v>
      </c>
      <c r="EU169">
        <v>36010</v>
      </c>
      <c r="EV169">
        <v>36010</v>
      </c>
    </row>
    <row r="170" ht="15" customHeight="1" spans="1:152" x14ac:dyDescent="0.25">
      <c r="A170" t="s">
        <v>385</v>
      </c>
      <c r="B170" t="s">
        <v>360</v>
      </c>
      <c r="C170" t="s">
        <v>512</v>
      </c>
      <c r="D170" t="s">
        <v>513</v>
      </c>
      <c r="E170" t="s">
        <v>1145</v>
      </c>
      <c r="F170" t="s">
        <v>671</v>
      </c>
      <c r="G170" t="s">
        <v>1210</v>
      </c>
      <c r="CQ170" t="s">
        <v>3604</v>
      </c>
      <c r="CR170" t="s">
        <v>85</v>
      </c>
      <c r="CS170" t="s">
        <v>272</v>
      </c>
      <c r="CT170" t="s">
        <v>270</v>
      </c>
      <c r="CU170" t="s">
        <v>81</v>
      </c>
      <c r="CV170" t="s">
        <v>271</v>
      </c>
      <c r="CW170">
        <v>0</v>
      </c>
      <c r="DB170">
        <v>1430</v>
      </c>
      <c r="DC170">
        <v>1580</v>
      </c>
      <c r="DD170">
        <v>1710</v>
      </c>
      <c r="DE170">
        <v>1710</v>
      </c>
      <c r="DG170" t="s">
        <v>3605</v>
      </c>
      <c r="DH170" t="s">
        <v>82</v>
      </c>
      <c r="DI170" t="s">
        <v>1255</v>
      </c>
      <c r="DJ170" t="s">
        <v>1256</v>
      </c>
      <c r="DK170" t="s">
        <v>692</v>
      </c>
      <c r="DL170">
        <v>23.08</v>
      </c>
      <c r="DM170" t="s">
        <v>669</v>
      </c>
      <c r="DN170" t="s">
        <v>670</v>
      </c>
      <c r="DO170">
        <v>1</v>
      </c>
      <c r="DP170">
        <v>3393.25</v>
      </c>
      <c r="DQ170">
        <v>3393.25</v>
      </c>
      <c r="DR170" t="s">
        <v>3606</v>
      </c>
      <c r="EB170" t="s">
        <v>3607</v>
      </c>
      <c r="EC170" t="s">
        <v>2653</v>
      </c>
      <c r="ED170" t="s">
        <v>2654</v>
      </c>
      <c r="EE170" t="s">
        <v>278</v>
      </c>
      <c r="EF170" t="s">
        <v>276</v>
      </c>
      <c r="EG170">
        <v>1400</v>
      </c>
      <c r="EH170">
        <v>1550</v>
      </c>
      <c r="EI170">
        <v>1670</v>
      </c>
      <c r="EJ170">
        <v>1670</v>
      </c>
      <c r="EL170" t="s">
        <v>3608</v>
      </c>
      <c r="EM170" t="s">
        <v>2555</v>
      </c>
      <c r="EN170" t="s">
        <v>2556</v>
      </c>
      <c r="EO170">
        <v>2.5</v>
      </c>
      <c r="EP170" t="s">
        <v>2252</v>
      </c>
      <c r="EQ170" t="s">
        <v>2389</v>
      </c>
      <c r="ER170" t="s">
        <v>2390</v>
      </c>
      <c r="ES170">
        <v>36950</v>
      </c>
      <c r="ET170">
        <v>36950</v>
      </c>
      <c r="EU170">
        <v>36950</v>
      </c>
      <c r="EV170">
        <v>36950</v>
      </c>
    </row>
    <row r="171" ht="15" customHeight="1" spans="1:152" x14ac:dyDescent="0.25">
      <c r="A171" t="s">
        <v>385</v>
      </c>
      <c r="B171" t="s">
        <v>360</v>
      </c>
      <c r="C171" t="s">
        <v>514</v>
      </c>
      <c r="D171" t="s">
        <v>515</v>
      </c>
      <c r="E171" t="s">
        <v>1578</v>
      </c>
      <c r="F171" t="s">
        <v>671</v>
      </c>
      <c r="G171" t="s">
        <v>1817</v>
      </c>
      <c r="CQ171" t="s">
        <v>3609</v>
      </c>
      <c r="CR171" t="s">
        <v>85</v>
      </c>
      <c r="CS171" t="s">
        <v>283</v>
      </c>
      <c r="CT171" t="s">
        <v>281</v>
      </c>
      <c r="CU171" t="s">
        <v>81</v>
      </c>
      <c r="CV171" t="s">
        <v>282</v>
      </c>
      <c r="CW171">
        <v>0</v>
      </c>
      <c r="DB171">
        <v>360</v>
      </c>
      <c r="DC171">
        <v>400</v>
      </c>
      <c r="DD171">
        <v>430</v>
      </c>
      <c r="DE171">
        <v>430</v>
      </c>
      <c r="DG171" t="s">
        <v>3610</v>
      </c>
      <c r="DH171" t="s">
        <v>82</v>
      </c>
      <c r="DI171" t="s">
        <v>1260</v>
      </c>
      <c r="DJ171" t="s">
        <v>1261</v>
      </c>
      <c r="DK171" t="s">
        <v>692</v>
      </c>
      <c r="DL171">
        <v>23.08</v>
      </c>
      <c r="DM171" t="s">
        <v>670</v>
      </c>
      <c r="DN171" t="s">
        <v>669</v>
      </c>
      <c r="DO171">
        <v>0</v>
      </c>
      <c r="DP171">
        <v>0</v>
      </c>
      <c r="DQ171">
        <v>245</v>
      </c>
      <c r="DR171" t="s">
        <v>3611</v>
      </c>
      <c r="EB171" t="s">
        <v>3612</v>
      </c>
      <c r="EC171" t="s">
        <v>2653</v>
      </c>
      <c r="ED171" t="s">
        <v>2654</v>
      </c>
      <c r="EE171" t="s">
        <v>240</v>
      </c>
      <c r="EF171" t="s">
        <v>238</v>
      </c>
      <c r="EG171">
        <v>5430</v>
      </c>
      <c r="EH171">
        <v>5430</v>
      </c>
      <c r="EI171">
        <v>5430</v>
      </c>
      <c r="EJ171">
        <v>5430</v>
      </c>
      <c r="EL171" t="s">
        <v>3613</v>
      </c>
      <c r="EM171" t="s">
        <v>2555</v>
      </c>
      <c r="EN171" t="s">
        <v>2556</v>
      </c>
      <c r="EO171">
        <v>2.5</v>
      </c>
      <c r="EP171" t="s">
        <v>2276</v>
      </c>
      <c r="EQ171" t="s">
        <v>2406</v>
      </c>
      <c r="ER171" t="s">
        <v>2407</v>
      </c>
      <c r="ES171">
        <v>48035</v>
      </c>
      <c r="ET171">
        <v>48035</v>
      </c>
      <c r="EU171">
        <v>48035</v>
      </c>
      <c r="EV171">
        <v>48035</v>
      </c>
    </row>
    <row r="172" ht="15" customHeight="1" spans="1:152" x14ac:dyDescent="0.25">
      <c r="A172" t="s">
        <v>380</v>
      </c>
      <c r="B172" t="s">
        <v>360</v>
      </c>
      <c r="C172" t="s">
        <v>508</v>
      </c>
      <c r="D172" t="s">
        <v>509</v>
      </c>
      <c r="E172" t="s">
        <v>1578</v>
      </c>
      <c r="F172" t="s">
        <v>671</v>
      </c>
      <c r="G172" t="s">
        <v>1818</v>
      </c>
      <c r="CQ172" t="s">
        <v>3614</v>
      </c>
      <c r="CR172" t="s">
        <v>85</v>
      </c>
      <c r="CS172" t="s">
        <v>267</v>
      </c>
      <c r="CT172" t="s">
        <v>265</v>
      </c>
      <c r="CU172" t="s">
        <v>81</v>
      </c>
      <c r="CV172" t="s">
        <v>266</v>
      </c>
      <c r="CW172">
        <v>0</v>
      </c>
      <c r="DB172">
        <v>1920</v>
      </c>
      <c r="DC172">
        <v>2120</v>
      </c>
      <c r="DD172">
        <v>2290</v>
      </c>
      <c r="DE172">
        <v>2290</v>
      </c>
      <c r="DG172" t="s">
        <v>3615</v>
      </c>
      <c r="DH172" t="s">
        <v>82</v>
      </c>
      <c r="DI172" t="s">
        <v>1263</v>
      </c>
      <c r="DJ172" t="s">
        <v>1264</v>
      </c>
      <c r="DK172" t="s">
        <v>692</v>
      </c>
      <c r="DL172">
        <v>23.08</v>
      </c>
      <c r="DM172" t="s">
        <v>670</v>
      </c>
      <c r="DN172" t="s">
        <v>670</v>
      </c>
      <c r="DO172">
        <v>0</v>
      </c>
      <c r="DP172">
        <v>0</v>
      </c>
      <c r="DQ172">
        <v>490.5</v>
      </c>
      <c r="DR172" t="s">
        <v>3616</v>
      </c>
      <c r="EB172" t="s">
        <v>3617</v>
      </c>
      <c r="EC172" t="s">
        <v>2653</v>
      </c>
      <c r="ED172" t="s">
        <v>2654</v>
      </c>
      <c r="EE172" t="s">
        <v>252</v>
      </c>
      <c r="EF172" t="s">
        <v>250</v>
      </c>
      <c r="EG172">
        <v>1340</v>
      </c>
      <c r="EH172">
        <v>1340</v>
      </c>
      <c r="EI172">
        <v>1340</v>
      </c>
      <c r="EJ172">
        <v>1340</v>
      </c>
      <c r="EL172" t="s">
        <v>3618</v>
      </c>
      <c r="EM172" t="s">
        <v>2555</v>
      </c>
      <c r="EN172" t="s">
        <v>2556</v>
      </c>
      <c r="EO172">
        <v>3</v>
      </c>
      <c r="EP172" t="s">
        <v>2252</v>
      </c>
      <c r="EQ172" t="s">
        <v>2423</v>
      </c>
      <c r="ER172" t="s">
        <v>2424</v>
      </c>
      <c r="ES172">
        <v>43900</v>
      </c>
      <c r="ET172">
        <v>43900</v>
      </c>
      <c r="EU172">
        <v>43900</v>
      </c>
      <c r="EV172">
        <v>43900</v>
      </c>
    </row>
    <row r="173" ht="15" customHeight="1" spans="1:152" x14ac:dyDescent="0.25">
      <c r="A173" t="s">
        <v>380</v>
      </c>
      <c r="B173" t="s">
        <v>360</v>
      </c>
      <c r="C173" t="s">
        <v>510</v>
      </c>
      <c r="D173" t="s">
        <v>511</v>
      </c>
      <c r="E173" t="s">
        <v>1578</v>
      </c>
      <c r="F173" t="s">
        <v>671</v>
      </c>
      <c r="G173" t="s">
        <v>1819</v>
      </c>
      <c r="CQ173" t="s">
        <v>3619</v>
      </c>
      <c r="CR173" t="s">
        <v>85</v>
      </c>
      <c r="CS173" t="s">
        <v>258</v>
      </c>
      <c r="CT173" t="s">
        <v>256</v>
      </c>
      <c r="CU173" t="s">
        <v>81</v>
      </c>
      <c r="CV173" t="s">
        <v>257</v>
      </c>
      <c r="CW173">
        <v>0</v>
      </c>
      <c r="DB173">
        <v>2910</v>
      </c>
      <c r="DC173">
        <v>3220</v>
      </c>
      <c r="DD173">
        <v>3470</v>
      </c>
      <c r="DE173">
        <v>3470</v>
      </c>
      <c r="DG173" t="s">
        <v>3620</v>
      </c>
      <c r="DH173" t="s">
        <v>82</v>
      </c>
      <c r="DJ173" t="s">
        <v>674</v>
      </c>
      <c r="DK173" t="s">
        <v>668</v>
      </c>
      <c r="DL173">
        <v>19.23</v>
      </c>
      <c r="DM173" t="s">
        <v>669</v>
      </c>
      <c r="DN173" t="s">
        <v>669</v>
      </c>
      <c r="DO173">
        <v>0</v>
      </c>
      <c r="DP173">
        <v>0</v>
      </c>
      <c r="DQ173">
        <v>0</v>
      </c>
      <c r="DR173" t="s">
        <v>2269</v>
      </c>
      <c r="EB173" t="s">
        <v>3621</v>
      </c>
      <c r="EC173" t="s">
        <v>2653</v>
      </c>
      <c r="ED173" t="s">
        <v>2654</v>
      </c>
      <c r="EE173" t="s">
        <v>229</v>
      </c>
      <c r="EF173" t="s">
        <v>227</v>
      </c>
      <c r="EG173">
        <v>410</v>
      </c>
      <c r="EH173">
        <v>450</v>
      </c>
      <c r="EI173">
        <v>500</v>
      </c>
      <c r="EJ173">
        <v>530</v>
      </c>
      <c r="EL173" t="s">
        <v>3622</v>
      </c>
      <c r="EM173" t="s">
        <v>2555</v>
      </c>
      <c r="EN173" t="s">
        <v>2556</v>
      </c>
      <c r="EO173">
        <v>3</v>
      </c>
      <c r="EP173" t="s">
        <v>2276</v>
      </c>
      <c r="EQ173" t="s">
        <v>2439</v>
      </c>
      <c r="ER173" t="s">
        <v>2440</v>
      </c>
      <c r="ES173">
        <v>57070</v>
      </c>
      <c r="ET173">
        <v>57070</v>
      </c>
      <c r="EU173">
        <v>57070</v>
      </c>
      <c r="EV173">
        <v>57070</v>
      </c>
    </row>
    <row r="174" ht="15" customHeight="1" spans="1:152" x14ac:dyDescent="0.25">
      <c r="A174" t="s">
        <v>368</v>
      </c>
      <c r="B174" t="s">
        <v>348</v>
      </c>
      <c r="C174" t="s">
        <v>502</v>
      </c>
      <c r="D174" t="s">
        <v>503</v>
      </c>
      <c r="E174" t="s">
        <v>1578</v>
      </c>
      <c r="F174" t="s">
        <v>671</v>
      </c>
      <c r="G174" t="s">
        <v>1302</v>
      </c>
      <c r="CQ174" t="s">
        <v>3623</v>
      </c>
      <c r="CR174" t="s">
        <v>85</v>
      </c>
      <c r="CS174" t="s">
        <v>222</v>
      </c>
      <c r="CT174" t="s">
        <v>220</v>
      </c>
      <c r="CU174" t="s">
        <v>81</v>
      </c>
      <c r="CV174" t="s">
        <v>221</v>
      </c>
      <c r="CW174">
        <v>0</v>
      </c>
      <c r="DB174">
        <v>2430</v>
      </c>
      <c r="DC174">
        <v>2690</v>
      </c>
      <c r="DD174">
        <v>2900</v>
      </c>
      <c r="DE174">
        <v>2900</v>
      </c>
      <c r="DG174" t="s">
        <v>3624</v>
      </c>
      <c r="DH174" t="s">
        <v>82</v>
      </c>
      <c r="DI174" t="s">
        <v>1268</v>
      </c>
      <c r="DJ174" t="s">
        <v>1269</v>
      </c>
      <c r="DK174" t="s">
        <v>668</v>
      </c>
      <c r="DL174">
        <v>19.23</v>
      </c>
      <c r="DM174" t="s">
        <v>670</v>
      </c>
      <c r="DN174" t="s">
        <v>669</v>
      </c>
      <c r="DO174">
        <v>0</v>
      </c>
      <c r="DP174">
        <v>0</v>
      </c>
      <c r="DQ174">
        <v>5.86</v>
      </c>
      <c r="DR174" t="s">
        <v>3625</v>
      </c>
      <c r="EB174" t="s">
        <v>3626</v>
      </c>
      <c r="EC174" t="s">
        <v>2653</v>
      </c>
      <c r="ED174" t="s">
        <v>2654</v>
      </c>
      <c r="EE174" t="s">
        <v>246</v>
      </c>
      <c r="EF174" t="s">
        <v>244</v>
      </c>
      <c r="EG174">
        <v>1100</v>
      </c>
      <c r="EH174">
        <v>1200</v>
      </c>
      <c r="EI174">
        <v>1310</v>
      </c>
      <c r="EJ174">
        <v>1310</v>
      </c>
      <c r="EL174" t="s">
        <v>3627</v>
      </c>
      <c r="EM174" t="s">
        <v>2555</v>
      </c>
      <c r="EN174" t="s">
        <v>2556</v>
      </c>
      <c r="EO174">
        <v>3.5</v>
      </c>
      <c r="EP174" t="s">
        <v>2252</v>
      </c>
      <c r="EQ174" t="s">
        <v>2454</v>
      </c>
      <c r="ER174" t="s">
        <v>2455</v>
      </c>
      <c r="ES174">
        <v>52000</v>
      </c>
      <c r="ET174">
        <v>52000</v>
      </c>
      <c r="EU174">
        <v>52000</v>
      </c>
      <c r="EV174">
        <v>52000</v>
      </c>
    </row>
    <row r="175" ht="15" customHeight="1" spans="1:152" x14ac:dyDescent="0.25">
      <c r="A175" t="s">
        <v>347</v>
      </c>
      <c r="B175" t="s">
        <v>362</v>
      </c>
      <c r="C175" t="s">
        <v>506</v>
      </c>
      <c r="D175" t="s">
        <v>507</v>
      </c>
      <c r="E175" t="s">
        <v>1578</v>
      </c>
      <c r="F175" t="s">
        <v>671</v>
      </c>
      <c r="G175" t="s">
        <v>1134</v>
      </c>
      <c r="CQ175" t="s">
        <v>3628</v>
      </c>
      <c r="CR175" t="s">
        <v>85</v>
      </c>
      <c r="CS175" t="s">
        <v>233</v>
      </c>
      <c r="CT175" t="s">
        <v>231</v>
      </c>
      <c r="CU175" t="s">
        <v>81</v>
      </c>
      <c r="CV175" t="s">
        <v>232</v>
      </c>
      <c r="CW175">
        <v>0</v>
      </c>
      <c r="DB175">
        <v>1110</v>
      </c>
      <c r="DC175">
        <v>1220</v>
      </c>
      <c r="DD175">
        <v>1320</v>
      </c>
      <c r="DE175">
        <v>1320</v>
      </c>
      <c r="DG175" t="s">
        <v>3629</v>
      </c>
      <c r="DH175" t="s">
        <v>82</v>
      </c>
      <c r="DI175" t="s">
        <v>1273</v>
      </c>
      <c r="DJ175" t="s">
        <v>1274</v>
      </c>
      <c r="DK175" t="s">
        <v>668</v>
      </c>
      <c r="DL175">
        <v>19.23</v>
      </c>
      <c r="DM175" t="s">
        <v>669</v>
      </c>
      <c r="DN175" t="s">
        <v>670</v>
      </c>
      <c r="DO175">
        <v>3</v>
      </c>
      <c r="DP175">
        <v>186.72</v>
      </c>
      <c r="DQ175">
        <v>186.72</v>
      </c>
      <c r="DR175" t="s">
        <v>3630</v>
      </c>
      <c r="EB175" t="s">
        <v>3631</v>
      </c>
      <c r="EC175" t="s">
        <v>2653</v>
      </c>
      <c r="ED175" t="s">
        <v>2654</v>
      </c>
      <c r="EE175" t="s">
        <v>255</v>
      </c>
      <c r="EF175" t="s">
        <v>253</v>
      </c>
      <c r="EG175">
        <v>1470</v>
      </c>
      <c r="EH175">
        <v>1620</v>
      </c>
      <c r="EI175">
        <v>1760</v>
      </c>
      <c r="EJ175">
        <v>1760</v>
      </c>
      <c r="EL175" t="s">
        <v>3632</v>
      </c>
      <c r="EM175" t="s">
        <v>2555</v>
      </c>
      <c r="EN175" t="s">
        <v>2556</v>
      </c>
      <c r="EO175">
        <v>3.5</v>
      </c>
      <c r="EP175" t="s">
        <v>2276</v>
      </c>
      <c r="EQ175" t="s">
        <v>2471</v>
      </c>
      <c r="ER175" t="s">
        <v>2472</v>
      </c>
      <c r="ES175">
        <v>67600</v>
      </c>
      <c r="ET175">
        <v>67600</v>
      </c>
      <c r="EU175">
        <v>67600</v>
      </c>
      <c r="EV175">
        <v>67600</v>
      </c>
    </row>
    <row r="176" ht="15" customHeight="1" spans="1:152" x14ac:dyDescent="0.25">
      <c r="A176" t="s">
        <v>374</v>
      </c>
      <c r="B176" t="s">
        <v>362</v>
      </c>
      <c r="C176" t="s">
        <v>504</v>
      </c>
      <c r="D176" t="s">
        <v>505</v>
      </c>
      <c r="E176" t="s">
        <v>1327</v>
      </c>
      <c r="F176" t="s">
        <v>671</v>
      </c>
      <c r="G176" t="s">
        <v>1213</v>
      </c>
      <c r="CQ176" t="s">
        <v>3633</v>
      </c>
      <c r="CR176" t="s">
        <v>85</v>
      </c>
      <c r="CS176" t="s">
        <v>612</v>
      </c>
      <c r="CT176" t="s">
        <v>2320</v>
      </c>
      <c r="CU176" t="s">
        <v>81</v>
      </c>
      <c r="CV176" t="s">
        <v>2490</v>
      </c>
      <c r="CW176">
        <v>0</v>
      </c>
      <c r="DB176">
        <v>360</v>
      </c>
      <c r="DC176">
        <v>400</v>
      </c>
      <c r="DD176">
        <v>430</v>
      </c>
      <c r="DE176">
        <v>430</v>
      </c>
      <c r="DG176" t="s">
        <v>3634</v>
      </c>
      <c r="DH176" t="s">
        <v>82</v>
      </c>
      <c r="DI176" t="s">
        <v>1275</v>
      </c>
      <c r="DJ176" t="s">
        <v>1276</v>
      </c>
      <c r="DK176" t="s">
        <v>668</v>
      </c>
      <c r="DL176">
        <v>19.23</v>
      </c>
      <c r="DM176" t="s">
        <v>670</v>
      </c>
      <c r="DN176" t="s">
        <v>670</v>
      </c>
      <c r="DO176">
        <v>1</v>
      </c>
      <c r="DP176">
        <v>93.92</v>
      </c>
      <c r="DQ176">
        <v>375.68</v>
      </c>
      <c r="DR176" t="s">
        <v>3635</v>
      </c>
      <c r="EB176" t="s">
        <v>3636</v>
      </c>
      <c r="EC176" t="s">
        <v>2653</v>
      </c>
      <c r="ED176" t="s">
        <v>2654</v>
      </c>
      <c r="EE176" t="s">
        <v>243</v>
      </c>
      <c r="EF176" t="s">
        <v>241</v>
      </c>
      <c r="EG176">
        <v>1880</v>
      </c>
      <c r="EH176">
        <v>1880</v>
      </c>
      <c r="EI176">
        <v>1880</v>
      </c>
      <c r="EJ176">
        <v>1880</v>
      </c>
      <c r="EL176" t="s">
        <v>3637</v>
      </c>
      <c r="EM176" t="s">
        <v>2555</v>
      </c>
      <c r="EN176" t="s">
        <v>2556</v>
      </c>
      <c r="EO176">
        <v>4</v>
      </c>
      <c r="EP176" t="s">
        <v>2252</v>
      </c>
      <c r="EQ176" t="s">
        <v>2485</v>
      </c>
      <c r="ER176" t="s">
        <v>2486</v>
      </c>
      <c r="ES176">
        <v>58900</v>
      </c>
      <c r="ET176">
        <v>58900</v>
      </c>
      <c r="EU176">
        <v>58900</v>
      </c>
      <c r="EV176">
        <v>58900</v>
      </c>
    </row>
    <row r="177" ht="15" customHeight="1" spans="1:152" x14ac:dyDescent="0.25">
      <c r="A177" t="s">
        <v>368</v>
      </c>
      <c r="B177" t="s">
        <v>348</v>
      </c>
      <c r="C177" t="s">
        <v>474</v>
      </c>
      <c r="D177" t="s">
        <v>475</v>
      </c>
      <c r="E177" t="s">
        <v>1578</v>
      </c>
      <c r="F177" t="s">
        <v>671</v>
      </c>
      <c r="G177" t="s">
        <v>1814</v>
      </c>
      <c r="CQ177" t="s">
        <v>3638</v>
      </c>
      <c r="CR177" t="s">
        <v>85</v>
      </c>
      <c r="CS177" t="s">
        <v>225</v>
      </c>
      <c r="CT177" t="s">
        <v>223</v>
      </c>
      <c r="CU177" t="s">
        <v>81</v>
      </c>
      <c r="CV177" t="s">
        <v>224</v>
      </c>
      <c r="CW177">
        <v>0</v>
      </c>
      <c r="DB177">
        <v>2730</v>
      </c>
      <c r="DC177">
        <v>3020</v>
      </c>
      <c r="DD177">
        <v>3260</v>
      </c>
      <c r="DE177">
        <v>3260</v>
      </c>
      <c r="DG177" t="s">
        <v>3639</v>
      </c>
      <c r="DH177" t="s">
        <v>82</v>
      </c>
      <c r="DI177" t="s">
        <v>1277</v>
      </c>
      <c r="DJ177" t="s">
        <v>1278</v>
      </c>
      <c r="DK177" t="s">
        <v>692</v>
      </c>
      <c r="DL177">
        <v>19.23</v>
      </c>
      <c r="DM177" t="s">
        <v>669</v>
      </c>
      <c r="DN177" t="s">
        <v>670</v>
      </c>
      <c r="DO177">
        <v>1</v>
      </c>
      <c r="DP177">
        <v>1063.13</v>
      </c>
      <c r="DQ177">
        <v>1063.13</v>
      </c>
      <c r="DR177" t="s">
        <v>3640</v>
      </c>
      <c r="EB177" t="s">
        <v>3641</v>
      </c>
      <c r="EC177" t="s">
        <v>2653</v>
      </c>
      <c r="ED177" t="s">
        <v>2654</v>
      </c>
      <c r="EE177" t="s">
        <v>261</v>
      </c>
      <c r="EF177" t="s">
        <v>259</v>
      </c>
      <c r="EG177">
        <v>1290</v>
      </c>
      <c r="EH177">
        <v>1430</v>
      </c>
      <c r="EI177">
        <v>1530</v>
      </c>
      <c r="EJ177">
        <v>1530</v>
      </c>
      <c r="EL177" t="s">
        <v>3642</v>
      </c>
      <c r="EM177" t="s">
        <v>2555</v>
      </c>
      <c r="EN177" t="s">
        <v>2556</v>
      </c>
      <c r="EO177">
        <v>4</v>
      </c>
      <c r="EP177" t="s">
        <v>2276</v>
      </c>
      <c r="EQ177" t="s">
        <v>2498</v>
      </c>
      <c r="ER177" t="s">
        <v>2499</v>
      </c>
      <c r="ES177">
        <v>76570</v>
      </c>
      <c r="ET177">
        <v>76570</v>
      </c>
      <c r="EU177">
        <v>76570</v>
      </c>
      <c r="EV177">
        <v>76570</v>
      </c>
    </row>
    <row r="178" ht="15" customHeight="1" spans="1:152" x14ac:dyDescent="0.25">
      <c r="A178" t="s">
        <v>368</v>
      </c>
      <c r="B178" t="s">
        <v>348</v>
      </c>
      <c r="C178" t="s">
        <v>478</v>
      </c>
      <c r="D178" t="s">
        <v>479</v>
      </c>
      <c r="E178" t="s">
        <v>1301</v>
      </c>
      <c r="F178" t="s">
        <v>671</v>
      </c>
      <c r="G178" t="s">
        <v>1302</v>
      </c>
      <c r="CQ178" t="s">
        <v>3643</v>
      </c>
      <c r="CR178" t="s">
        <v>85</v>
      </c>
      <c r="CS178" t="s">
        <v>288</v>
      </c>
      <c r="CT178" t="s">
        <v>287</v>
      </c>
      <c r="CU178" t="s">
        <v>81</v>
      </c>
      <c r="CV178" t="s">
        <v>236</v>
      </c>
      <c r="CW178">
        <v>0</v>
      </c>
      <c r="DB178">
        <v>450</v>
      </c>
      <c r="DC178">
        <v>530</v>
      </c>
      <c r="DD178">
        <v>580</v>
      </c>
      <c r="DE178">
        <v>580</v>
      </c>
      <c r="DG178" t="s">
        <v>3644</v>
      </c>
      <c r="DH178" t="s">
        <v>82</v>
      </c>
      <c r="DI178" t="s">
        <v>1279</v>
      </c>
      <c r="DJ178" t="s">
        <v>1280</v>
      </c>
      <c r="DK178" t="s">
        <v>692</v>
      </c>
      <c r="DL178">
        <v>19.23</v>
      </c>
      <c r="DM178" t="s">
        <v>670</v>
      </c>
      <c r="DN178" t="s">
        <v>670</v>
      </c>
      <c r="DO178">
        <v>1</v>
      </c>
      <c r="DP178">
        <v>90.94</v>
      </c>
      <c r="DQ178">
        <v>90.94</v>
      </c>
      <c r="DR178" t="s">
        <v>3645</v>
      </c>
      <c r="EB178" t="s">
        <v>3646</v>
      </c>
      <c r="EC178" t="s">
        <v>2653</v>
      </c>
      <c r="ED178" t="s">
        <v>2654</v>
      </c>
      <c r="EE178" t="s">
        <v>296</v>
      </c>
      <c r="EF178" t="s">
        <v>294</v>
      </c>
      <c r="EG178">
        <v>230</v>
      </c>
      <c r="EH178">
        <v>230</v>
      </c>
      <c r="EI178">
        <v>230</v>
      </c>
      <c r="EJ178">
        <v>230</v>
      </c>
      <c r="EL178" t="s">
        <v>3647</v>
      </c>
      <c r="EM178" t="s">
        <v>2555</v>
      </c>
      <c r="EN178" t="s">
        <v>2556</v>
      </c>
      <c r="EO178">
        <v>4.5</v>
      </c>
      <c r="EP178" t="s">
        <v>2252</v>
      </c>
      <c r="EQ178" t="s">
        <v>2512</v>
      </c>
      <c r="ER178" t="s">
        <v>2513</v>
      </c>
      <c r="ES178">
        <v>66400</v>
      </c>
      <c r="ET178">
        <v>66400</v>
      </c>
      <c r="EU178">
        <v>66400</v>
      </c>
      <c r="EV178">
        <v>66400</v>
      </c>
    </row>
    <row r="179" ht="15" customHeight="1" spans="1:152" x14ac:dyDescent="0.25">
      <c r="A179" t="s">
        <v>368</v>
      </c>
      <c r="B179" t="s">
        <v>348</v>
      </c>
      <c r="C179" t="s">
        <v>472</v>
      </c>
      <c r="D179" t="s">
        <v>473</v>
      </c>
      <c r="E179" t="s">
        <v>1418</v>
      </c>
      <c r="F179" t="s">
        <v>671</v>
      </c>
      <c r="G179" t="s">
        <v>1302</v>
      </c>
      <c r="CQ179" t="s">
        <v>3648</v>
      </c>
      <c r="CR179" t="s">
        <v>85</v>
      </c>
      <c r="CS179" t="s">
        <v>269</v>
      </c>
      <c r="CT179" t="s">
        <v>268</v>
      </c>
      <c r="CU179" t="s">
        <v>81</v>
      </c>
      <c r="CV179" t="s">
        <v>236</v>
      </c>
      <c r="CW179">
        <v>0</v>
      </c>
      <c r="DB179">
        <v>280</v>
      </c>
      <c r="DC179">
        <v>280</v>
      </c>
      <c r="DD179">
        <v>280</v>
      </c>
      <c r="DE179">
        <v>280</v>
      </c>
      <c r="DG179" t="s">
        <v>3649</v>
      </c>
      <c r="DH179" t="s">
        <v>82</v>
      </c>
      <c r="DI179" t="s">
        <v>1281</v>
      </c>
      <c r="DJ179" t="s">
        <v>1282</v>
      </c>
      <c r="DK179" t="s">
        <v>692</v>
      </c>
      <c r="DL179">
        <v>19.23</v>
      </c>
      <c r="DM179" t="s">
        <v>670</v>
      </c>
      <c r="DN179" t="s">
        <v>669</v>
      </c>
      <c r="DO179">
        <v>0</v>
      </c>
      <c r="DP179">
        <v>0</v>
      </c>
      <c r="DQ179">
        <v>135</v>
      </c>
      <c r="DR179" t="s">
        <v>3650</v>
      </c>
      <c r="EB179" t="s">
        <v>3651</v>
      </c>
      <c r="EC179" t="s">
        <v>2333</v>
      </c>
      <c r="ED179" t="s">
        <v>2334</v>
      </c>
      <c r="EE179" t="s">
        <v>620</v>
      </c>
      <c r="EF179" t="s">
        <v>2250</v>
      </c>
      <c r="EG179">
        <v>335</v>
      </c>
      <c r="EH179">
        <v>370</v>
      </c>
      <c r="EI179">
        <v>370</v>
      </c>
      <c r="EJ179">
        <v>425</v>
      </c>
      <c r="EL179" t="s">
        <v>3652</v>
      </c>
      <c r="EM179" t="s">
        <v>2555</v>
      </c>
      <c r="EN179" t="s">
        <v>2556</v>
      </c>
      <c r="EO179">
        <v>4.5</v>
      </c>
      <c r="EP179" t="s">
        <v>2276</v>
      </c>
      <c r="EQ179" t="s">
        <v>2527</v>
      </c>
      <c r="ER179" t="s">
        <v>2528</v>
      </c>
      <c r="ES179">
        <v>86320</v>
      </c>
      <c r="ET179">
        <v>86320</v>
      </c>
      <c r="EU179">
        <v>86320</v>
      </c>
      <c r="EV179">
        <v>86320</v>
      </c>
    </row>
    <row r="180" ht="15" customHeight="1" spans="1:152" x14ac:dyDescent="0.25">
      <c r="A180" t="s">
        <v>368</v>
      </c>
      <c r="B180" t="s">
        <v>348</v>
      </c>
      <c r="C180" t="s">
        <v>476</v>
      </c>
      <c r="D180" t="s">
        <v>477</v>
      </c>
      <c r="E180" t="s">
        <v>1578</v>
      </c>
      <c r="F180" t="s">
        <v>671</v>
      </c>
      <c r="G180" t="s">
        <v>1814</v>
      </c>
      <c r="CQ180" t="s">
        <v>3653</v>
      </c>
      <c r="CR180" t="s">
        <v>85</v>
      </c>
      <c r="CS180" t="s">
        <v>237</v>
      </c>
      <c r="CT180" t="s">
        <v>235</v>
      </c>
      <c r="CU180" t="s">
        <v>81</v>
      </c>
      <c r="CV180" t="s">
        <v>236</v>
      </c>
      <c r="CW180">
        <v>0</v>
      </c>
      <c r="DB180">
        <v>2650</v>
      </c>
      <c r="DC180">
        <v>2650</v>
      </c>
      <c r="DD180">
        <v>2650</v>
      </c>
      <c r="DE180">
        <v>2650</v>
      </c>
      <c r="DG180" t="s">
        <v>3654</v>
      </c>
      <c r="DH180" t="s">
        <v>82</v>
      </c>
      <c r="DI180" t="s">
        <v>1284</v>
      </c>
      <c r="DJ180" t="s">
        <v>1285</v>
      </c>
      <c r="DK180" t="s">
        <v>668</v>
      </c>
      <c r="DL180">
        <v>15.38</v>
      </c>
      <c r="DM180" t="s">
        <v>670</v>
      </c>
      <c r="DN180" t="s">
        <v>669</v>
      </c>
      <c r="DO180">
        <v>0</v>
      </c>
      <c r="DP180">
        <v>0</v>
      </c>
      <c r="DQ180">
        <v>349.5</v>
      </c>
      <c r="DR180" t="s">
        <v>3655</v>
      </c>
      <c r="EB180" t="s">
        <v>3656</v>
      </c>
      <c r="EC180" t="s">
        <v>2333</v>
      </c>
      <c r="ED180" t="s">
        <v>2334</v>
      </c>
      <c r="EE180" t="s">
        <v>618</v>
      </c>
      <c r="EF180" t="s">
        <v>2274</v>
      </c>
      <c r="EG180">
        <v>290</v>
      </c>
      <c r="EH180">
        <v>320</v>
      </c>
      <c r="EI180">
        <v>320</v>
      </c>
      <c r="EJ180">
        <v>370</v>
      </c>
      <c r="EL180" t="s">
        <v>3657</v>
      </c>
      <c r="EM180" t="s">
        <v>2555</v>
      </c>
      <c r="EN180" t="s">
        <v>2556</v>
      </c>
      <c r="EO180">
        <v>5</v>
      </c>
      <c r="EP180" t="s">
        <v>2252</v>
      </c>
      <c r="EQ180" t="s">
        <v>2541</v>
      </c>
      <c r="ER180" t="s">
        <v>2542</v>
      </c>
      <c r="ES180">
        <v>73350</v>
      </c>
      <c r="ET180">
        <v>73350</v>
      </c>
      <c r="EU180">
        <v>73350</v>
      </c>
      <c r="EV180">
        <v>73350</v>
      </c>
    </row>
    <row r="181" ht="15" customHeight="1" spans="1:152" x14ac:dyDescent="0.25">
      <c r="A181" t="s">
        <v>368</v>
      </c>
      <c r="B181" t="s">
        <v>367</v>
      </c>
      <c r="C181" t="s">
        <v>480</v>
      </c>
      <c r="D181" t="s">
        <v>481</v>
      </c>
      <c r="E181" t="s">
        <v>1578</v>
      </c>
      <c r="F181" t="s">
        <v>671</v>
      </c>
      <c r="G181" t="s">
        <v>1302</v>
      </c>
      <c r="CQ181" t="s">
        <v>3658</v>
      </c>
      <c r="CR181" t="s">
        <v>85</v>
      </c>
      <c r="CS181" t="s">
        <v>249</v>
      </c>
      <c r="CT181" t="s">
        <v>247</v>
      </c>
      <c r="CU181" t="s">
        <v>81</v>
      </c>
      <c r="CV181" t="s">
        <v>248</v>
      </c>
      <c r="CW181">
        <v>0</v>
      </c>
      <c r="DB181">
        <v>310</v>
      </c>
      <c r="DC181">
        <v>340</v>
      </c>
      <c r="DD181">
        <v>370</v>
      </c>
      <c r="DE181">
        <v>370</v>
      </c>
      <c r="DG181" t="s">
        <v>3659</v>
      </c>
      <c r="DH181" t="s">
        <v>82</v>
      </c>
      <c r="DI181" t="s">
        <v>1287</v>
      </c>
      <c r="DJ181" t="s">
        <v>1288</v>
      </c>
      <c r="DK181" t="s">
        <v>668</v>
      </c>
      <c r="DL181">
        <v>15.38</v>
      </c>
      <c r="DM181" t="s">
        <v>669</v>
      </c>
      <c r="DN181" t="s">
        <v>670</v>
      </c>
      <c r="DO181">
        <v>1</v>
      </c>
      <c r="DP181">
        <v>56.84</v>
      </c>
      <c r="DQ181">
        <v>56.84</v>
      </c>
      <c r="DR181" t="s">
        <v>3660</v>
      </c>
      <c r="EB181" t="s">
        <v>3661</v>
      </c>
      <c r="EC181" t="s">
        <v>2333</v>
      </c>
      <c r="ED181" t="s">
        <v>2334</v>
      </c>
      <c r="EE181" t="s">
        <v>616</v>
      </c>
      <c r="EF181" t="s">
        <v>2291</v>
      </c>
      <c r="EG181">
        <v>945</v>
      </c>
      <c r="EH181">
        <v>1040</v>
      </c>
      <c r="EI181">
        <v>1040</v>
      </c>
      <c r="EJ181">
        <v>1195</v>
      </c>
      <c r="EL181" t="s">
        <v>3662</v>
      </c>
      <c r="EM181" t="s">
        <v>2555</v>
      </c>
      <c r="EN181" t="s">
        <v>2556</v>
      </c>
      <c r="EO181">
        <v>5</v>
      </c>
      <c r="EP181" t="s">
        <v>2276</v>
      </c>
      <c r="EQ181" t="s">
        <v>2559</v>
      </c>
      <c r="ER181" t="s">
        <v>2560</v>
      </c>
      <c r="ES181">
        <v>95875</v>
      </c>
      <c r="ET181">
        <v>95875</v>
      </c>
      <c r="EU181">
        <v>95875</v>
      </c>
      <c r="EV181">
        <v>95875</v>
      </c>
    </row>
    <row r="182" ht="15" customHeight="1" spans="1:152" x14ac:dyDescent="0.25">
      <c r="A182" t="s">
        <v>368</v>
      </c>
      <c r="B182" t="s">
        <v>354</v>
      </c>
      <c r="C182" t="s">
        <v>482</v>
      </c>
      <c r="D182" t="s">
        <v>483</v>
      </c>
      <c r="E182" t="s">
        <v>1578</v>
      </c>
      <c r="F182" t="s">
        <v>671</v>
      </c>
      <c r="G182" t="s">
        <v>1820</v>
      </c>
      <c r="CQ182" t="s">
        <v>3663</v>
      </c>
      <c r="CR182" t="s">
        <v>85</v>
      </c>
      <c r="CS182" t="s">
        <v>293</v>
      </c>
      <c r="CT182" t="s">
        <v>291</v>
      </c>
      <c r="CU182" t="s">
        <v>81</v>
      </c>
      <c r="CV182" t="s">
        <v>292</v>
      </c>
      <c r="CW182">
        <v>0</v>
      </c>
      <c r="DB182">
        <v>330</v>
      </c>
      <c r="DC182">
        <v>370</v>
      </c>
      <c r="DD182">
        <v>400</v>
      </c>
      <c r="DE182">
        <v>400</v>
      </c>
      <c r="DG182" t="s">
        <v>3664</v>
      </c>
      <c r="DH182" t="s">
        <v>82</v>
      </c>
      <c r="DI182" t="s">
        <v>1292</v>
      </c>
      <c r="DJ182" t="s">
        <v>1293</v>
      </c>
      <c r="DK182" t="s">
        <v>668</v>
      </c>
      <c r="DL182">
        <v>15.38</v>
      </c>
      <c r="DM182" t="s">
        <v>669</v>
      </c>
      <c r="DN182" t="s">
        <v>670</v>
      </c>
      <c r="DO182">
        <v>1</v>
      </c>
      <c r="DP182">
        <v>270</v>
      </c>
      <c r="DQ182">
        <v>270</v>
      </c>
      <c r="DR182" t="s">
        <v>3665</v>
      </c>
      <c r="EB182" t="s">
        <v>3666</v>
      </c>
      <c r="EC182" t="s">
        <v>2333</v>
      </c>
      <c r="ED182" t="s">
        <v>2334</v>
      </c>
      <c r="EE182" t="s">
        <v>614</v>
      </c>
      <c r="EF182" t="s">
        <v>2304</v>
      </c>
      <c r="EG182">
        <v>380</v>
      </c>
      <c r="EH182">
        <v>420</v>
      </c>
      <c r="EI182">
        <v>420</v>
      </c>
      <c r="EJ182">
        <v>485</v>
      </c>
      <c r="EL182" t="s">
        <v>3667</v>
      </c>
      <c r="EM182" t="s">
        <v>2555</v>
      </c>
      <c r="EN182" t="s">
        <v>2556</v>
      </c>
      <c r="EO182">
        <v>5.5</v>
      </c>
      <c r="EP182" t="s">
        <v>2252</v>
      </c>
      <c r="EQ182" t="s">
        <v>2572</v>
      </c>
      <c r="ER182" t="s">
        <v>2573</v>
      </c>
      <c r="ES182">
        <v>80850</v>
      </c>
      <c r="ET182">
        <v>80850</v>
      </c>
      <c r="EU182">
        <v>80850</v>
      </c>
      <c r="EV182">
        <v>80850</v>
      </c>
    </row>
    <row r="183" ht="15" customHeight="1" spans="1:152" x14ac:dyDescent="0.25">
      <c r="A183" t="s">
        <v>368</v>
      </c>
      <c r="B183" t="s">
        <v>354</v>
      </c>
      <c r="C183" t="s">
        <v>484</v>
      </c>
      <c r="D183" t="s">
        <v>485</v>
      </c>
      <c r="E183" t="s">
        <v>1578</v>
      </c>
      <c r="F183" t="s">
        <v>671</v>
      </c>
      <c r="G183" t="s">
        <v>1821</v>
      </c>
      <c r="CQ183" t="s">
        <v>3668</v>
      </c>
      <c r="CR183" t="s">
        <v>85</v>
      </c>
      <c r="CS183" t="s">
        <v>327</v>
      </c>
      <c r="CT183" t="s">
        <v>328</v>
      </c>
      <c r="CU183" t="s">
        <v>81</v>
      </c>
      <c r="CV183" t="s">
        <v>248</v>
      </c>
      <c r="CW183">
        <v>0</v>
      </c>
      <c r="DB183">
        <v>1050</v>
      </c>
      <c r="DC183">
        <v>1160</v>
      </c>
      <c r="DD183">
        <v>1250</v>
      </c>
      <c r="DE183">
        <v>1250</v>
      </c>
      <c r="DG183" t="s">
        <v>3669</v>
      </c>
      <c r="DH183" t="s">
        <v>82</v>
      </c>
      <c r="DI183" t="s">
        <v>1193</v>
      </c>
      <c r="DJ183" t="s">
        <v>1294</v>
      </c>
      <c r="DK183" t="s">
        <v>668</v>
      </c>
      <c r="DL183">
        <v>15.38</v>
      </c>
      <c r="DM183" t="s">
        <v>669</v>
      </c>
      <c r="DN183" t="s">
        <v>670</v>
      </c>
      <c r="DO183">
        <v>1</v>
      </c>
      <c r="DP183">
        <v>94.01</v>
      </c>
      <c r="DQ183">
        <v>94.01</v>
      </c>
      <c r="DR183" t="s">
        <v>3670</v>
      </c>
      <c r="EB183" t="s">
        <v>3671</v>
      </c>
      <c r="EC183" t="s">
        <v>2333</v>
      </c>
      <c r="ED183" t="s">
        <v>2334</v>
      </c>
      <c r="EE183" t="s">
        <v>612</v>
      </c>
      <c r="EF183" t="s">
        <v>2320</v>
      </c>
      <c r="EG183">
        <v>200</v>
      </c>
      <c r="EH183">
        <v>220</v>
      </c>
      <c r="EI183">
        <v>220</v>
      </c>
      <c r="EJ183">
        <v>255</v>
      </c>
      <c r="EL183" t="s">
        <v>3672</v>
      </c>
      <c r="EM183" t="s">
        <v>2555</v>
      </c>
      <c r="EN183" t="s">
        <v>2556</v>
      </c>
      <c r="EO183">
        <v>5.5</v>
      </c>
      <c r="EP183" t="s">
        <v>2276</v>
      </c>
      <c r="EQ183" t="s">
        <v>2586</v>
      </c>
      <c r="ER183" t="s">
        <v>2587</v>
      </c>
      <c r="ES183">
        <v>105105</v>
      </c>
      <c r="ET183">
        <v>105105</v>
      </c>
      <c r="EU183">
        <v>105105</v>
      </c>
      <c r="EV183">
        <v>105105</v>
      </c>
    </row>
    <row r="184" ht="15" customHeight="1" spans="1:152" x14ac:dyDescent="0.25">
      <c r="A184" t="s">
        <v>368</v>
      </c>
      <c r="B184" t="s">
        <v>354</v>
      </c>
      <c r="C184" t="s">
        <v>486</v>
      </c>
      <c r="D184" t="s">
        <v>487</v>
      </c>
      <c r="E184" t="s">
        <v>1578</v>
      </c>
      <c r="F184" t="s">
        <v>671</v>
      </c>
      <c r="G184" t="s">
        <v>1821</v>
      </c>
      <c r="CQ184" t="s">
        <v>3673</v>
      </c>
      <c r="CR184" t="s">
        <v>85</v>
      </c>
      <c r="CS184" t="s">
        <v>330</v>
      </c>
      <c r="CT184" t="s">
        <v>331</v>
      </c>
      <c r="CU184" t="s">
        <v>81</v>
      </c>
      <c r="CV184" t="s">
        <v>248</v>
      </c>
      <c r="CW184">
        <v>0</v>
      </c>
      <c r="DB184">
        <v>380</v>
      </c>
      <c r="DC184">
        <v>420</v>
      </c>
      <c r="DD184">
        <v>460</v>
      </c>
      <c r="DE184">
        <v>460</v>
      </c>
      <c r="DG184" t="s">
        <v>3674</v>
      </c>
      <c r="DH184" t="s">
        <v>82</v>
      </c>
      <c r="DI184" t="s">
        <v>1295</v>
      </c>
      <c r="DJ184" t="s">
        <v>1296</v>
      </c>
      <c r="DK184" t="s">
        <v>668</v>
      </c>
      <c r="DL184">
        <v>15.38</v>
      </c>
      <c r="DM184" t="s">
        <v>669</v>
      </c>
      <c r="DN184" t="s">
        <v>670</v>
      </c>
      <c r="DO184">
        <v>1</v>
      </c>
      <c r="DP184">
        <v>697.55</v>
      </c>
      <c r="DQ184">
        <v>697.55</v>
      </c>
      <c r="DR184" t="s">
        <v>3675</v>
      </c>
      <c r="EB184" t="s">
        <v>3676</v>
      </c>
      <c r="EC184" t="s">
        <v>2333</v>
      </c>
      <c r="ED184" t="s">
        <v>2334</v>
      </c>
      <c r="EE184" t="s">
        <v>610</v>
      </c>
      <c r="EF184" t="s">
        <v>2336</v>
      </c>
      <c r="EG184">
        <v>475</v>
      </c>
      <c r="EH184">
        <v>525</v>
      </c>
      <c r="EI184">
        <v>525</v>
      </c>
      <c r="EJ184">
        <v>605</v>
      </c>
      <c r="EL184" t="s">
        <v>3677</v>
      </c>
      <c r="EM184" t="s">
        <v>2555</v>
      </c>
      <c r="EN184" t="s">
        <v>2556</v>
      </c>
      <c r="EO184">
        <v>6</v>
      </c>
      <c r="EP184" t="s">
        <v>2252</v>
      </c>
      <c r="EQ184" t="s">
        <v>2601</v>
      </c>
      <c r="ER184" t="s">
        <v>2602</v>
      </c>
      <c r="ES184">
        <v>88350</v>
      </c>
      <c r="ET184">
        <v>88350</v>
      </c>
      <c r="EU184">
        <v>88350</v>
      </c>
      <c r="EV184">
        <v>88350</v>
      </c>
    </row>
    <row r="185" ht="15" customHeight="1" spans="1:152" x14ac:dyDescent="0.25">
      <c r="A185" t="s">
        <v>368</v>
      </c>
      <c r="B185" t="s">
        <v>354</v>
      </c>
      <c r="C185" t="s">
        <v>488</v>
      </c>
      <c r="D185" t="s">
        <v>489</v>
      </c>
      <c r="E185" t="s">
        <v>1578</v>
      </c>
      <c r="F185" t="s">
        <v>671</v>
      </c>
      <c r="G185" t="s">
        <v>1821</v>
      </c>
      <c r="CQ185" t="s">
        <v>3678</v>
      </c>
      <c r="CR185" t="s">
        <v>85</v>
      </c>
      <c r="CS185" t="s">
        <v>280</v>
      </c>
      <c r="CT185" t="s">
        <v>279</v>
      </c>
      <c r="CU185" t="s">
        <v>81</v>
      </c>
      <c r="CV185" t="s">
        <v>248</v>
      </c>
      <c r="CW185">
        <v>0</v>
      </c>
      <c r="DB185">
        <v>860</v>
      </c>
      <c r="DC185">
        <v>950</v>
      </c>
      <c r="DD185">
        <v>1020</v>
      </c>
      <c r="DE185">
        <v>1020</v>
      </c>
      <c r="DG185" t="s">
        <v>3679</v>
      </c>
      <c r="DH185" t="s">
        <v>82</v>
      </c>
      <c r="DI185" t="s">
        <v>1298</v>
      </c>
      <c r="DJ185" t="s">
        <v>1299</v>
      </c>
      <c r="DK185" t="s">
        <v>668</v>
      </c>
      <c r="DL185">
        <v>15.38</v>
      </c>
      <c r="DM185" t="s">
        <v>670</v>
      </c>
      <c r="DN185" t="s">
        <v>669</v>
      </c>
      <c r="DO185">
        <v>0</v>
      </c>
      <c r="DP185">
        <v>0</v>
      </c>
      <c r="DQ185">
        <v>56.25</v>
      </c>
      <c r="DR185" t="s">
        <v>3680</v>
      </c>
      <c r="EB185" t="s">
        <v>3681</v>
      </c>
      <c r="EC185" t="s">
        <v>2333</v>
      </c>
      <c r="EE185" t="s">
        <v>608</v>
      </c>
      <c r="EL185" t="s">
        <v>3682</v>
      </c>
      <c r="EM185" t="s">
        <v>2555</v>
      </c>
      <c r="EN185" t="s">
        <v>2556</v>
      </c>
      <c r="EO185">
        <v>6</v>
      </c>
      <c r="EP185" t="s">
        <v>2276</v>
      </c>
      <c r="EQ185" t="s">
        <v>2615</v>
      </c>
      <c r="ER185" t="s">
        <v>2616</v>
      </c>
      <c r="ES185">
        <v>114855</v>
      </c>
      <c r="ET185">
        <v>114855</v>
      </c>
      <c r="EU185">
        <v>114855</v>
      </c>
      <c r="EV185">
        <v>114855</v>
      </c>
    </row>
    <row r="186" ht="15" customHeight="1" spans="1:152" x14ac:dyDescent="0.25">
      <c r="A186" t="s">
        <v>368</v>
      </c>
      <c r="B186" t="s">
        <v>362</v>
      </c>
      <c r="C186" t="s">
        <v>490</v>
      </c>
      <c r="D186" t="s">
        <v>491</v>
      </c>
      <c r="E186" t="s">
        <v>1578</v>
      </c>
      <c r="F186" t="s">
        <v>671</v>
      </c>
      <c r="G186" t="s">
        <v>1826</v>
      </c>
      <c r="CQ186" t="s">
        <v>3683</v>
      </c>
      <c r="CR186" t="s">
        <v>85</v>
      </c>
      <c r="CS186" t="s">
        <v>576</v>
      </c>
      <c r="CT186" t="s">
        <v>574</v>
      </c>
      <c r="CU186" t="s">
        <v>88</v>
      </c>
      <c r="CV186" t="s">
        <v>575</v>
      </c>
      <c r="CW186">
        <v>0</v>
      </c>
      <c r="DB186">
        <v>2030</v>
      </c>
      <c r="DC186">
        <v>2210</v>
      </c>
      <c r="DD186">
        <v>2380</v>
      </c>
      <c r="DE186">
        <v>2560</v>
      </c>
      <c r="DG186" t="s">
        <v>3684</v>
      </c>
      <c r="DH186" t="s">
        <v>82</v>
      </c>
      <c r="DI186" t="s">
        <v>478</v>
      </c>
      <c r="DJ186" t="s">
        <v>479</v>
      </c>
      <c r="DK186" t="s">
        <v>1079</v>
      </c>
      <c r="DL186">
        <v>15.38</v>
      </c>
      <c r="DM186" t="s">
        <v>669</v>
      </c>
      <c r="DN186" t="s">
        <v>670</v>
      </c>
      <c r="DO186">
        <v>1</v>
      </c>
      <c r="DP186">
        <v>43628</v>
      </c>
      <c r="DQ186">
        <v>43628</v>
      </c>
      <c r="DR186" t="s">
        <v>3685</v>
      </c>
      <c r="EB186" t="s">
        <v>3686</v>
      </c>
      <c r="EC186" t="s">
        <v>2333</v>
      </c>
      <c r="EE186" t="s">
        <v>606</v>
      </c>
      <c r="EL186" t="s">
        <v>3687</v>
      </c>
      <c r="EM186" t="s">
        <v>2555</v>
      </c>
      <c r="EN186" t="s">
        <v>2556</v>
      </c>
      <c r="EO186">
        <v>6.5</v>
      </c>
      <c r="EP186" t="s">
        <v>2252</v>
      </c>
      <c r="EQ186" t="s">
        <v>2628</v>
      </c>
      <c r="ER186" t="s">
        <v>2629</v>
      </c>
      <c r="ES186">
        <v>95300</v>
      </c>
      <c r="ET186">
        <v>95300</v>
      </c>
      <c r="EU186">
        <v>95300</v>
      </c>
      <c r="EV186">
        <v>95300</v>
      </c>
    </row>
    <row r="187" ht="15" customHeight="1" spans="1:152" x14ac:dyDescent="0.25">
      <c r="A187" t="s">
        <v>368</v>
      </c>
      <c r="B187" t="s">
        <v>362</v>
      </c>
      <c r="C187" t="s">
        <v>492</v>
      </c>
      <c r="D187" t="s">
        <v>493</v>
      </c>
      <c r="E187" t="s">
        <v>1578</v>
      </c>
      <c r="F187" t="s">
        <v>671</v>
      </c>
      <c r="G187" t="s">
        <v>1371</v>
      </c>
      <c r="CQ187" t="s">
        <v>3688</v>
      </c>
      <c r="CR187" t="s">
        <v>85</v>
      </c>
      <c r="CS187" t="s">
        <v>264</v>
      </c>
      <c r="CT187" t="s">
        <v>262</v>
      </c>
      <c r="CU187" t="s">
        <v>99</v>
      </c>
      <c r="CV187" t="s">
        <v>263</v>
      </c>
      <c r="CW187">
        <v>0</v>
      </c>
      <c r="DB187">
        <v>680</v>
      </c>
      <c r="DC187">
        <v>750</v>
      </c>
      <c r="DD187">
        <v>810</v>
      </c>
      <c r="DE187">
        <v>810</v>
      </c>
      <c r="DG187" t="s">
        <v>3689</v>
      </c>
      <c r="DH187" t="s">
        <v>82</v>
      </c>
      <c r="DJ187" t="s">
        <v>851</v>
      </c>
      <c r="DK187" t="s">
        <v>692</v>
      </c>
      <c r="DL187">
        <v>15.38</v>
      </c>
      <c r="DM187" t="s">
        <v>669</v>
      </c>
      <c r="DN187" t="s">
        <v>669</v>
      </c>
      <c r="DO187">
        <v>0</v>
      </c>
      <c r="DP187">
        <v>0</v>
      </c>
      <c r="DQ187">
        <v>0</v>
      </c>
      <c r="DR187" t="s">
        <v>2861</v>
      </c>
      <c r="EB187" t="s">
        <v>3690</v>
      </c>
      <c r="EC187" t="s">
        <v>2333</v>
      </c>
      <c r="ED187" t="s">
        <v>2334</v>
      </c>
      <c r="EE187" t="s">
        <v>603</v>
      </c>
      <c r="EF187" t="s">
        <v>2387</v>
      </c>
      <c r="EG187">
        <v>295</v>
      </c>
      <c r="EH187">
        <v>295</v>
      </c>
      <c r="EI187">
        <v>295</v>
      </c>
      <c r="EJ187">
        <v>295</v>
      </c>
      <c r="EL187" t="s">
        <v>3691</v>
      </c>
      <c r="EM187" t="s">
        <v>2555</v>
      </c>
      <c r="EN187" t="s">
        <v>2556</v>
      </c>
      <c r="EO187">
        <v>6.5</v>
      </c>
      <c r="EP187" t="s">
        <v>2276</v>
      </c>
      <c r="EQ187" t="s">
        <v>2644</v>
      </c>
      <c r="ER187" t="s">
        <v>2645</v>
      </c>
      <c r="ES187">
        <v>123890</v>
      </c>
      <c r="ET187">
        <v>123890</v>
      </c>
      <c r="EU187">
        <v>123890</v>
      </c>
      <c r="EV187">
        <v>123890</v>
      </c>
    </row>
    <row r="188" ht="15" customHeight="1" spans="1:152" x14ac:dyDescent="0.25">
      <c r="A188" t="s">
        <v>368</v>
      </c>
      <c r="B188" t="s">
        <v>362</v>
      </c>
      <c r="C188" t="s">
        <v>494</v>
      </c>
      <c r="D188" t="s">
        <v>1370</v>
      </c>
      <c r="E188" t="s">
        <v>1327</v>
      </c>
      <c r="F188" t="s">
        <v>671</v>
      </c>
      <c r="G188" t="s">
        <v>1371</v>
      </c>
      <c r="CQ188" t="s">
        <v>3692</v>
      </c>
      <c r="CR188" t="s">
        <v>85</v>
      </c>
      <c r="CS188" t="s">
        <v>606</v>
      </c>
      <c r="CT188" t="s">
        <v>2371</v>
      </c>
      <c r="CU188" t="s">
        <v>99</v>
      </c>
      <c r="CV188" t="s">
        <v>277</v>
      </c>
      <c r="CW188">
        <v>0</v>
      </c>
      <c r="DB188">
        <v>740</v>
      </c>
      <c r="DC188">
        <v>820</v>
      </c>
      <c r="DD188">
        <v>880</v>
      </c>
      <c r="DE188">
        <v>880</v>
      </c>
      <c r="DG188" t="s">
        <v>3693</v>
      </c>
      <c r="DH188" t="s">
        <v>82</v>
      </c>
      <c r="DJ188" t="s">
        <v>1172</v>
      </c>
      <c r="DK188" t="s">
        <v>692</v>
      </c>
      <c r="DL188">
        <v>15.38</v>
      </c>
      <c r="DM188" t="s">
        <v>669</v>
      </c>
      <c r="DN188" t="s">
        <v>669</v>
      </c>
      <c r="DO188">
        <v>0</v>
      </c>
      <c r="DP188">
        <v>0</v>
      </c>
      <c r="DQ188">
        <v>0</v>
      </c>
      <c r="DR188" t="s">
        <v>3484</v>
      </c>
      <c r="EB188" t="s">
        <v>3694</v>
      </c>
      <c r="EC188" t="s">
        <v>2333</v>
      </c>
      <c r="ED188" t="s">
        <v>2334</v>
      </c>
      <c r="EE188" t="s">
        <v>601</v>
      </c>
      <c r="EF188" t="s">
        <v>2404</v>
      </c>
      <c r="EG188">
        <v>1</v>
      </c>
      <c r="EH188">
        <v>1</v>
      </c>
      <c r="EI188">
        <v>1</v>
      </c>
      <c r="EJ188">
        <v>1</v>
      </c>
      <c r="EL188" t="s">
        <v>3695</v>
      </c>
      <c r="EM188" t="s">
        <v>2555</v>
      </c>
      <c r="EN188" t="s">
        <v>2556</v>
      </c>
      <c r="EO188">
        <v>7</v>
      </c>
      <c r="EP188" t="s">
        <v>2252</v>
      </c>
      <c r="EQ188" t="s">
        <v>2659</v>
      </c>
      <c r="ER188" t="s">
        <v>2660</v>
      </c>
      <c r="ES188">
        <v>103350</v>
      </c>
      <c r="ET188">
        <v>103350</v>
      </c>
      <c r="EU188">
        <v>103350</v>
      </c>
      <c r="EV188">
        <v>103350</v>
      </c>
    </row>
    <row r="189" ht="15" customHeight="1" spans="1:152" x14ac:dyDescent="0.25">
      <c r="A189" t="s">
        <v>368</v>
      </c>
      <c r="B189" t="s">
        <v>362</v>
      </c>
      <c r="C189" t="s">
        <v>496</v>
      </c>
      <c r="D189" t="s">
        <v>1827</v>
      </c>
      <c r="E189" t="s">
        <v>1578</v>
      </c>
      <c r="F189" t="s">
        <v>671</v>
      </c>
      <c r="G189" t="s">
        <v>1371</v>
      </c>
      <c r="CQ189" t="s">
        <v>3696</v>
      </c>
      <c r="CR189" t="s">
        <v>85</v>
      </c>
      <c r="CS189" t="s">
        <v>278</v>
      </c>
      <c r="CT189" t="s">
        <v>276</v>
      </c>
      <c r="CU189" t="s">
        <v>88</v>
      </c>
      <c r="CV189" t="s">
        <v>277</v>
      </c>
      <c r="CW189">
        <v>0</v>
      </c>
      <c r="DB189">
        <v>930</v>
      </c>
      <c r="DC189">
        <v>1030</v>
      </c>
      <c r="DD189">
        <v>1110</v>
      </c>
      <c r="DE189">
        <v>1110</v>
      </c>
      <c r="DG189" t="s">
        <v>3697</v>
      </c>
      <c r="DH189" t="s">
        <v>82</v>
      </c>
      <c r="DI189" t="s">
        <v>1303</v>
      </c>
      <c r="DJ189" t="s">
        <v>1304</v>
      </c>
      <c r="DK189" t="s">
        <v>692</v>
      </c>
      <c r="DL189">
        <v>15.38</v>
      </c>
      <c r="DM189" t="s">
        <v>670</v>
      </c>
      <c r="DN189" t="s">
        <v>669</v>
      </c>
      <c r="DO189">
        <v>0</v>
      </c>
      <c r="DP189">
        <v>0</v>
      </c>
      <c r="DQ189">
        <v>436</v>
      </c>
      <c r="DR189" t="s">
        <v>3698</v>
      </c>
      <c r="EB189" t="s">
        <v>3699</v>
      </c>
      <c r="EC189" t="s">
        <v>2333</v>
      </c>
      <c r="ED189" t="s">
        <v>2334</v>
      </c>
      <c r="EE189" t="s">
        <v>599</v>
      </c>
      <c r="EF189" t="s">
        <v>2421</v>
      </c>
      <c r="EG189">
        <v>600</v>
      </c>
      <c r="EH189">
        <v>600</v>
      </c>
      <c r="EI189">
        <v>600</v>
      </c>
      <c r="EJ189">
        <v>600</v>
      </c>
      <c r="EL189" t="s">
        <v>3700</v>
      </c>
      <c r="EM189" t="s">
        <v>2555</v>
      </c>
      <c r="EN189" t="s">
        <v>2556</v>
      </c>
      <c r="EO189">
        <v>7</v>
      </c>
      <c r="EP189" t="s">
        <v>2276</v>
      </c>
      <c r="EQ189" t="s">
        <v>2673</v>
      </c>
      <c r="ER189" t="s">
        <v>2674</v>
      </c>
      <c r="ES189">
        <v>134355</v>
      </c>
      <c r="ET189">
        <v>134355</v>
      </c>
      <c r="EU189">
        <v>134355</v>
      </c>
      <c r="EV189">
        <v>134355</v>
      </c>
    </row>
    <row r="190" ht="15" customHeight="1" spans="1:152" x14ac:dyDescent="0.25">
      <c r="A190" t="s">
        <v>368</v>
      </c>
      <c r="B190" t="s">
        <v>362</v>
      </c>
      <c r="C190" t="s">
        <v>498</v>
      </c>
      <c r="D190" t="s">
        <v>499</v>
      </c>
      <c r="E190" t="s">
        <v>1578</v>
      </c>
      <c r="F190" t="s">
        <v>671</v>
      </c>
      <c r="G190" t="s">
        <v>1371</v>
      </c>
      <c r="CQ190" t="s">
        <v>3701</v>
      </c>
      <c r="CR190" t="s">
        <v>85</v>
      </c>
      <c r="CS190" t="s">
        <v>610</v>
      </c>
      <c r="CT190" t="s">
        <v>2336</v>
      </c>
      <c r="CU190" t="s">
        <v>90</v>
      </c>
      <c r="CV190" t="s">
        <v>289</v>
      </c>
      <c r="CW190">
        <v>0</v>
      </c>
      <c r="DB190">
        <v>480</v>
      </c>
      <c r="DC190">
        <v>530</v>
      </c>
      <c r="DD190">
        <v>570</v>
      </c>
      <c r="DE190">
        <v>570</v>
      </c>
      <c r="DG190" t="s">
        <v>3702</v>
      </c>
      <c r="DH190" t="s">
        <v>82</v>
      </c>
      <c r="DI190" t="s">
        <v>1308</v>
      </c>
      <c r="DJ190" t="s">
        <v>1309</v>
      </c>
      <c r="DK190" t="s">
        <v>692</v>
      </c>
      <c r="DL190">
        <v>15.38</v>
      </c>
      <c r="DM190" t="s">
        <v>670</v>
      </c>
      <c r="DN190" t="s">
        <v>669</v>
      </c>
      <c r="DO190">
        <v>0</v>
      </c>
      <c r="DP190">
        <v>0</v>
      </c>
      <c r="DQ190">
        <v>420</v>
      </c>
      <c r="DR190" t="s">
        <v>3703</v>
      </c>
      <c r="EB190" t="s">
        <v>3704</v>
      </c>
      <c r="EC190" t="s">
        <v>2333</v>
      </c>
      <c r="EE190" t="s">
        <v>623</v>
      </c>
      <c r="EL190" t="s">
        <v>3705</v>
      </c>
      <c r="EM190" t="s">
        <v>2555</v>
      </c>
      <c r="EN190" t="s">
        <v>2556</v>
      </c>
      <c r="EO190">
        <v>7.5</v>
      </c>
      <c r="EP190" t="s">
        <v>2252</v>
      </c>
      <c r="EQ190" t="s">
        <v>2686</v>
      </c>
      <c r="ER190" t="s">
        <v>2687</v>
      </c>
      <c r="ES190">
        <v>109750</v>
      </c>
      <c r="ET190">
        <v>109750</v>
      </c>
      <c r="EU190">
        <v>109750</v>
      </c>
      <c r="EV190">
        <v>109750</v>
      </c>
    </row>
    <row r="191" ht="15" customHeight="1" spans="1:152" x14ac:dyDescent="0.25">
      <c r="A191" t="s">
        <v>368</v>
      </c>
      <c r="B191" t="s">
        <v>362</v>
      </c>
      <c r="C191" t="s">
        <v>500</v>
      </c>
      <c r="D191" t="s">
        <v>501</v>
      </c>
      <c r="E191" t="s">
        <v>1578</v>
      </c>
      <c r="F191" t="s">
        <v>671</v>
      </c>
      <c r="G191" t="s">
        <v>1828</v>
      </c>
      <c r="CQ191" t="s">
        <v>3706</v>
      </c>
      <c r="CR191" t="s">
        <v>85</v>
      </c>
      <c r="CS191" t="s">
        <v>608</v>
      </c>
      <c r="CT191" t="s">
        <v>2352</v>
      </c>
      <c r="CU191" t="s">
        <v>90</v>
      </c>
      <c r="CV191" t="s">
        <v>2706</v>
      </c>
      <c r="CW191">
        <v>0</v>
      </c>
      <c r="DB191">
        <v>980</v>
      </c>
      <c r="DC191">
        <v>1080</v>
      </c>
      <c r="DD191">
        <v>1170</v>
      </c>
      <c r="DE191">
        <v>1170</v>
      </c>
      <c r="DG191" t="s">
        <v>3707</v>
      </c>
      <c r="DH191" t="s">
        <v>82</v>
      </c>
      <c r="DI191" t="s">
        <v>1310</v>
      </c>
      <c r="DJ191" t="s">
        <v>1311</v>
      </c>
      <c r="DK191" t="s">
        <v>692</v>
      </c>
      <c r="DL191">
        <v>15.38</v>
      </c>
      <c r="DM191" t="s">
        <v>669</v>
      </c>
      <c r="DN191" t="s">
        <v>670</v>
      </c>
      <c r="DO191">
        <v>1</v>
      </c>
      <c r="DP191">
        <v>4500</v>
      </c>
      <c r="DQ191">
        <v>4500</v>
      </c>
      <c r="DR191" t="s">
        <v>3708</v>
      </c>
      <c r="EB191" t="s">
        <v>3709</v>
      </c>
      <c r="EC191" t="s">
        <v>2333</v>
      </c>
      <c r="EE191" t="s">
        <v>596</v>
      </c>
      <c r="EL191" t="s">
        <v>3710</v>
      </c>
      <c r="EM191" t="s">
        <v>2555</v>
      </c>
      <c r="EN191" t="s">
        <v>2556</v>
      </c>
      <c r="EO191">
        <v>7.5</v>
      </c>
      <c r="EP191" t="s">
        <v>2276</v>
      </c>
      <c r="EQ191" t="s">
        <v>2701</v>
      </c>
      <c r="ER191" t="s">
        <v>2702</v>
      </c>
      <c r="ES191">
        <v>142675</v>
      </c>
      <c r="ET191">
        <v>142675</v>
      </c>
      <c r="EU191">
        <v>142675</v>
      </c>
      <c r="EV191">
        <v>142675</v>
      </c>
    </row>
    <row r="192" ht="15" customHeight="1" spans="1:152" x14ac:dyDescent="0.25">
      <c r="A192" t="s">
        <v>353</v>
      </c>
      <c r="B192" t="s">
        <v>348</v>
      </c>
      <c r="C192" t="s">
        <v>428</v>
      </c>
      <c r="D192" t="s">
        <v>429</v>
      </c>
      <c r="E192" t="s">
        <v>1578</v>
      </c>
      <c r="F192" t="s">
        <v>671</v>
      </c>
      <c r="G192" t="s">
        <v>1811</v>
      </c>
      <c r="CQ192" t="s">
        <v>3711</v>
      </c>
      <c r="CR192" t="s">
        <v>85</v>
      </c>
      <c r="CS192" t="s">
        <v>240</v>
      </c>
      <c r="CT192" t="s">
        <v>238</v>
      </c>
      <c r="CU192" t="s">
        <v>90</v>
      </c>
      <c r="CV192" t="s">
        <v>239</v>
      </c>
      <c r="CW192">
        <v>0</v>
      </c>
      <c r="DB192">
        <v>3620</v>
      </c>
      <c r="DC192">
        <v>3620</v>
      </c>
      <c r="DD192">
        <v>3620</v>
      </c>
      <c r="DE192">
        <v>3620</v>
      </c>
      <c r="DG192" t="s">
        <v>3712</v>
      </c>
      <c r="DH192" t="s">
        <v>82</v>
      </c>
      <c r="DI192" t="s">
        <v>1313</v>
      </c>
      <c r="DJ192" t="s">
        <v>203</v>
      </c>
      <c r="DK192" t="s">
        <v>692</v>
      </c>
      <c r="DL192">
        <v>15.38</v>
      </c>
      <c r="DM192" t="s">
        <v>669</v>
      </c>
      <c r="DN192" t="s">
        <v>670</v>
      </c>
      <c r="DO192">
        <v>3</v>
      </c>
      <c r="DP192">
        <v>9999.99</v>
      </c>
      <c r="DQ192">
        <v>9999.99</v>
      </c>
      <c r="DR192" t="s">
        <v>3713</v>
      </c>
      <c r="EB192" t="s">
        <v>3714</v>
      </c>
      <c r="EC192" t="s">
        <v>2333</v>
      </c>
      <c r="ED192" t="s">
        <v>2334</v>
      </c>
      <c r="EE192" t="s">
        <v>593</v>
      </c>
      <c r="EF192" t="s">
        <v>2469</v>
      </c>
      <c r="EG192">
        <v>1</v>
      </c>
      <c r="EH192">
        <v>1</v>
      </c>
      <c r="EI192">
        <v>1</v>
      </c>
      <c r="EJ192">
        <v>1</v>
      </c>
      <c r="EL192" t="s">
        <v>3715</v>
      </c>
      <c r="EM192" t="s">
        <v>2555</v>
      </c>
      <c r="EN192" t="s">
        <v>2556</v>
      </c>
      <c r="EO192">
        <v>8</v>
      </c>
      <c r="EP192" t="s">
        <v>2252</v>
      </c>
      <c r="EQ192" t="s">
        <v>2715</v>
      </c>
      <c r="ER192" t="s">
        <v>2716</v>
      </c>
      <c r="ES192">
        <v>114900</v>
      </c>
      <c r="ET192">
        <v>114900</v>
      </c>
      <c r="EU192">
        <v>114900</v>
      </c>
      <c r="EV192">
        <v>114900</v>
      </c>
    </row>
    <row r="193" ht="15" customHeight="1" spans="1:152" x14ac:dyDescent="0.25">
      <c r="A193" t="s">
        <v>353</v>
      </c>
      <c r="B193" t="s">
        <v>348</v>
      </c>
      <c r="C193" t="s">
        <v>426</v>
      </c>
      <c r="D193" t="s">
        <v>427</v>
      </c>
      <c r="E193" t="s">
        <v>1578</v>
      </c>
      <c r="F193" t="s">
        <v>671</v>
      </c>
      <c r="G193" t="s">
        <v>1812</v>
      </c>
      <c r="CQ193" t="s">
        <v>3716</v>
      </c>
      <c r="CR193" t="s">
        <v>85</v>
      </c>
      <c r="CS193" t="s">
        <v>603</v>
      </c>
      <c r="CT193" t="s">
        <v>2387</v>
      </c>
      <c r="CU193" t="s">
        <v>90</v>
      </c>
      <c r="CV193" t="s">
        <v>239</v>
      </c>
      <c r="CW193">
        <v>0</v>
      </c>
      <c r="DB193">
        <v>350</v>
      </c>
      <c r="DC193">
        <v>350</v>
      </c>
      <c r="DD193">
        <v>350</v>
      </c>
      <c r="DE193">
        <v>350</v>
      </c>
      <c r="DG193" t="s">
        <v>3717</v>
      </c>
      <c r="DH193" t="s">
        <v>82</v>
      </c>
      <c r="DI193" t="s">
        <v>1316</v>
      </c>
      <c r="DJ193" t="s">
        <v>199</v>
      </c>
      <c r="DK193" t="s">
        <v>692</v>
      </c>
      <c r="DL193">
        <v>15.38</v>
      </c>
      <c r="DM193" t="s">
        <v>669</v>
      </c>
      <c r="DN193" t="s">
        <v>670</v>
      </c>
      <c r="DO193">
        <v>1</v>
      </c>
      <c r="DP193">
        <v>28040</v>
      </c>
      <c r="DQ193">
        <v>28040</v>
      </c>
      <c r="DR193" t="s">
        <v>3718</v>
      </c>
      <c r="EB193" t="s">
        <v>3719</v>
      </c>
      <c r="EC193" t="s">
        <v>2333</v>
      </c>
      <c r="ED193" t="s">
        <v>2334</v>
      </c>
      <c r="EE193" t="s">
        <v>591</v>
      </c>
      <c r="EF193" t="s">
        <v>3058</v>
      </c>
      <c r="EG193">
        <v>1000</v>
      </c>
      <c r="EH193">
        <v>1000</v>
      </c>
      <c r="EI193">
        <v>1000</v>
      </c>
      <c r="EJ193">
        <v>1000</v>
      </c>
      <c r="EL193" t="s">
        <v>3720</v>
      </c>
      <c r="EM193" t="s">
        <v>2555</v>
      </c>
      <c r="EN193" t="s">
        <v>2556</v>
      </c>
      <c r="EO193">
        <v>8</v>
      </c>
      <c r="EP193" t="s">
        <v>2276</v>
      </c>
      <c r="EQ193" t="s">
        <v>2728</v>
      </c>
      <c r="ER193" t="s">
        <v>2729</v>
      </c>
      <c r="ES193">
        <v>149370</v>
      </c>
      <c r="ET193">
        <v>149370</v>
      </c>
      <c r="EU193">
        <v>149370</v>
      </c>
      <c r="EV193">
        <v>149370</v>
      </c>
    </row>
    <row r="194" ht="15" customHeight="1" spans="1:152" x14ac:dyDescent="0.25">
      <c r="A194" t="s">
        <v>353</v>
      </c>
      <c r="B194" t="s">
        <v>348</v>
      </c>
      <c r="C194" t="s">
        <v>430</v>
      </c>
      <c r="D194" t="s">
        <v>431</v>
      </c>
      <c r="E194" t="s">
        <v>1578</v>
      </c>
      <c r="F194" t="s">
        <v>671</v>
      </c>
      <c r="G194" t="s">
        <v>1812</v>
      </c>
      <c r="CQ194" t="s">
        <v>3721</v>
      </c>
      <c r="CR194" t="s">
        <v>85</v>
      </c>
      <c r="CS194" t="s">
        <v>252</v>
      </c>
      <c r="CT194" t="s">
        <v>250</v>
      </c>
      <c r="CU194" t="s">
        <v>90</v>
      </c>
      <c r="CV194" t="s">
        <v>251</v>
      </c>
      <c r="CW194">
        <v>0</v>
      </c>
      <c r="DB194">
        <v>890</v>
      </c>
      <c r="DC194">
        <v>890</v>
      </c>
      <c r="DD194">
        <v>890</v>
      </c>
      <c r="DE194">
        <v>890</v>
      </c>
      <c r="DG194" t="s">
        <v>3722</v>
      </c>
      <c r="DH194" t="s">
        <v>82</v>
      </c>
      <c r="DI194" t="s">
        <v>1317</v>
      </c>
      <c r="DJ194" t="s">
        <v>1318</v>
      </c>
      <c r="DK194" t="s">
        <v>692</v>
      </c>
      <c r="DL194">
        <v>15.38</v>
      </c>
      <c r="DM194" t="s">
        <v>669</v>
      </c>
      <c r="DN194" t="s">
        <v>670</v>
      </c>
      <c r="DO194">
        <v>2</v>
      </c>
      <c r="DP194">
        <v>1120</v>
      </c>
      <c r="DQ194">
        <v>1120</v>
      </c>
      <c r="DR194" t="s">
        <v>3723</v>
      </c>
      <c r="EB194" t="s">
        <v>3724</v>
      </c>
      <c r="EC194" t="s">
        <v>2333</v>
      </c>
      <c r="ED194" t="s">
        <v>2334</v>
      </c>
      <c r="EE194" t="s">
        <v>2423</v>
      </c>
      <c r="EF194" t="s">
        <v>2424</v>
      </c>
      <c r="EG194">
        <v>24000</v>
      </c>
      <c r="EH194">
        <v>24000</v>
      </c>
      <c r="EI194">
        <v>24000</v>
      </c>
      <c r="EJ194">
        <v>24000</v>
      </c>
      <c r="EL194" t="s">
        <v>3725</v>
      </c>
      <c r="EM194" t="s">
        <v>2368</v>
      </c>
      <c r="EN194" t="s">
        <v>2369</v>
      </c>
      <c r="EO194">
        <v>0.5</v>
      </c>
      <c r="EP194" t="s">
        <v>2252</v>
      </c>
      <c r="EQ194" t="s">
        <v>2253</v>
      </c>
      <c r="ER194" t="s">
        <v>2254</v>
      </c>
      <c r="ES194">
        <v>7130</v>
      </c>
      <c r="ET194">
        <v>7130</v>
      </c>
      <c r="EU194">
        <v>7130</v>
      </c>
      <c r="EV194">
        <v>7130</v>
      </c>
    </row>
    <row r="195" ht="15" customHeight="1" spans="1:152" x14ac:dyDescent="0.25">
      <c r="A195" t="s">
        <v>353</v>
      </c>
      <c r="B195" t="s">
        <v>348</v>
      </c>
      <c r="C195" t="s">
        <v>432</v>
      </c>
      <c r="D195" t="s">
        <v>433</v>
      </c>
      <c r="E195" t="s">
        <v>1578</v>
      </c>
      <c r="F195" t="s">
        <v>671</v>
      </c>
      <c r="G195" t="s">
        <v>1813</v>
      </c>
      <c r="CQ195" t="s">
        <v>3726</v>
      </c>
      <c r="CR195" t="s">
        <v>85</v>
      </c>
      <c r="CS195" t="s">
        <v>601</v>
      </c>
      <c r="CT195" t="s">
        <v>2404</v>
      </c>
      <c r="CU195" t="s">
        <v>79</v>
      </c>
      <c r="CV195" t="s">
        <v>242</v>
      </c>
      <c r="CW195">
        <v>0</v>
      </c>
      <c r="DB195">
        <v>850</v>
      </c>
      <c r="DC195">
        <v>850</v>
      </c>
      <c r="DD195">
        <v>850</v>
      </c>
      <c r="DE195">
        <v>850</v>
      </c>
      <c r="DG195" t="s">
        <v>3727</v>
      </c>
      <c r="DH195" t="s">
        <v>82</v>
      </c>
      <c r="DI195" t="s">
        <v>1320</v>
      </c>
      <c r="DJ195" t="s">
        <v>1321</v>
      </c>
      <c r="DK195" t="s">
        <v>692</v>
      </c>
      <c r="DL195">
        <v>15.38</v>
      </c>
      <c r="DM195" t="s">
        <v>670</v>
      </c>
      <c r="DN195" t="s">
        <v>669</v>
      </c>
      <c r="DO195">
        <v>0</v>
      </c>
      <c r="DP195">
        <v>0</v>
      </c>
      <c r="DQ195">
        <v>79.43</v>
      </c>
      <c r="DR195" t="s">
        <v>3728</v>
      </c>
      <c r="EB195" t="s">
        <v>3729</v>
      </c>
      <c r="EC195" t="s">
        <v>2333</v>
      </c>
      <c r="EE195" t="s">
        <v>584</v>
      </c>
      <c r="EL195" t="s">
        <v>3730</v>
      </c>
      <c r="EM195" t="s">
        <v>2368</v>
      </c>
      <c r="EN195" t="s">
        <v>2369</v>
      </c>
      <c r="EO195">
        <v>0.5</v>
      </c>
      <c r="EP195" t="s">
        <v>2276</v>
      </c>
      <c r="EQ195" t="s">
        <v>2277</v>
      </c>
      <c r="ER195" t="s">
        <v>2278</v>
      </c>
      <c r="ES195">
        <v>10695</v>
      </c>
      <c r="ET195">
        <v>10695</v>
      </c>
      <c r="EU195">
        <v>10695</v>
      </c>
      <c r="EV195">
        <v>10695</v>
      </c>
    </row>
    <row r="196" ht="15" customHeight="1" spans="1:152" x14ac:dyDescent="0.25">
      <c r="A196" t="s">
        <v>353</v>
      </c>
      <c r="B196" t="s">
        <v>348</v>
      </c>
      <c r="C196" t="s">
        <v>434</v>
      </c>
      <c r="D196" t="s">
        <v>435</v>
      </c>
      <c r="E196" t="s">
        <v>1578</v>
      </c>
      <c r="F196" t="s">
        <v>671</v>
      </c>
      <c r="G196" t="s">
        <v>1813</v>
      </c>
      <c r="CQ196" t="s">
        <v>3731</v>
      </c>
      <c r="CR196" t="s">
        <v>85</v>
      </c>
      <c r="CS196" t="s">
        <v>229</v>
      </c>
      <c r="CT196" t="s">
        <v>227</v>
      </c>
      <c r="CU196" t="s">
        <v>90</v>
      </c>
      <c r="CV196" t="s">
        <v>228</v>
      </c>
      <c r="CW196">
        <v>0</v>
      </c>
      <c r="DB196">
        <v>270</v>
      </c>
      <c r="DC196">
        <v>300</v>
      </c>
      <c r="DD196">
        <v>330</v>
      </c>
      <c r="DE196">
        <v>350</v>
      </c>
      <c r="DG196" t="s">
        <v>3732</v>
      </c>
      <c r="DH196" t="s">
        <v>82</v>
      </c>
      <c r="DI196" t="s">
        <v>1324</v>
      </c>
      <c r="DJ196" t="s">
        <v>1325</v>
      </c>
      <c r="DK196" t="s">
        <v>692</v>
      </c>
      <c r="DL196">
        <v>15.38</v>
      </c>
      <c r="DM196" t="s">
        <v>670</v>
      </c>
      <c r="DN196" t="s">
        <v>670</v>
      </c>
      <c r="DO196">
        <v>0</v>
      </c>
      <c r="DP196">
        <v>0</v>
      </c>
      <c r="DQ196">
        <v>107.43</v>
      </c>
      <c r="DR196" t="s">
        <v>3733</v>
      </c>
      <c r="EB196" t="s">
        <v>3734</v>
      </c>
      <c r="EC196" t="s">
        <v>2333</v>
      </c>
      <c r="ED196" t="s">
        <v>2334</v>
      </c>
      <c r="EE196" t="s">
        <v>582</v>
      </c>
      <c r="EF196" t="s">
        <v>2525</v>
      </c>
      <c r="EG196">
        <v>1</v>
      </c>
      <c r="EH196">
        <v>1</v>
      </c>
      <c r="EI196">
        <v>1</v>
      </c>
      <c r="EJ196">
        <v>1</v>
      </c>
      <c r="EL196" t="s">
        <v>3735</v>
      </c>
      <c r="EM196" t="s">
        <v>2368</v>
      </c>
      <c r="EN196" t="s">
        <v>2369</v>
      </c>
      <c r="EO196">
        <v>1</v>
      </c>
      <c r="EP196" t="s">
        <v>2252</v>
      </c>
      <c r="EQ196" t="s">
        <v>2293</v>
      </c>
      <c r="ER196" t="s">
        <v>2294</v>
      </c>
      <c r="ES196">
        <v>14260</v>
      </c>
      <c r="ET196">
        <v>14260</v>
      </c>
      <c r="EU196">
        <v>14260</v>
      </c>
      <c r="EV196">
        <v>14260</v>
      </c>
    </row>
    <row r="197" ht="15" customHeight="1" spans="1:152" x14ac:dyDescent="0.25">
      <c r="A197" t="s">
        <v>353</v>
      </c>
      <c r="B197" t="s">
        <v>348</v>
      </c>
      <c r="C197" t="s">
        <v>437</v>
      </c>
      <c r="D197" t="s">
        <v>438</v>
      </c>
      <c r="E197" t="s">
        <v>1578</v>
      </c>
      <c r="F197" t="s">
        <v>671</v>
      </c>
      <c r="G197" t="s">
        <v>1812</v>
      </c>
      <c r="CQ197" t="s">
        <v>3736</v>
      </c>
      <c r="CR197" t="s">
        <v>85</v>
      </c>
      <c r="CS197" t="s">
        <v>246</v>
      </c>
      <c r="CT197" t="s">
        <v>244</v>
      </c>
      <c r="CU197" t="s">
        <v>90</v>
      </c>
      <c r="CV197" t="s">
        <v>245</v>
      </c>
      <c r="CW197">
        <v>0</v>
      </c>
      <c r="DB197">
        <v>730</v>
      </c>
      <c r="DC197">
        <v>800</v>
      </c>
      <c r="DD197">
        <v>870</v>
      </c>
      <c r="DE197">
        <v>870</v>
      </c>
      <c r="DG197" t="s">
        <v>3737</v>
      </c>
      <c r="DH197" t="s">
        <v>82</v>
      </c>
      <c r="DJ197" t="s">
        <v>1027</v>
      </c>
      <c r="DK197" t="s">
        <v>668</v>
      </c>
      <c r="DL197">
        <v>11.54</v>
      </c>
      <c r="DM197" t="s">
        <v>669</v>
      </c>
      <c r="DN197" t="s">
        <v>669</v>
      </c>
      <c r="DO197">
        <v>0</v>
      </c>
      <c r="DP197">
        <v>0</v>
      </c>
      <c r="DQ197">
        <v>0</v>
      </c>
      <c r="DR197" t="s">
        <v>3184</v>
      </c>
      <c r="EB197" t="s">
        <v>3738</v>
      </c>
      <c r="EC197" t="s">
        <v>2333</v>
      </c>
      <c r="ED197" t="s">
        <v>2334</v>
      </c>
      <c r="EE197" t="s">
        <v>580</v>
      </c>
      <c r="EF197" t="s">
        <v>2539</v>
      </c>
      <c r="EG197">
        <v>1</v>
      </c>
      <c r="EH197">
        <v>1</v>
      </c>
      <c r="EI197">
        <v>1</v>
      </c>
      <c r="EJ197">
        <v>1</v>
      </c>
      <c r="EL197" t="s">
        <v>3739</v>
      </c>
      <c r="EM197" t="s">
        <v>2368</v>
      </c>
      <c r="EN197" t="s">
        <v>2369</v>
      </c>
      <c r="EO197">
        <v>1</v>
      </c>
      <c r="EP197" t="s">
        <v>2276</v>
      </c>
      <c r="EQ197" t="s">
        <v>2306</v>
      </c>
      <c r="ER197" t="s">
        <v>2307</v>
      </c>
      <c r="ES197">
        <v>21390</v>
      </c>
      <c r="ET197">
        <v>21390</v>
      </c>
      <c r="EU197">
        <v>21390</v>
      </c>
      <c r="EV197">
        <v>21390</v>
      </c>
    </row>
    <row r="198" ht="15" customHeight="1" spans="1:152" x14ac:dyDescent="0.25">
      <c r="A198" t="s">
        <v>353</v>
      </c>
      <c r="B198" t="s">
        <v>348</v>
      </c>
      <c r="C198" t="s">
        <v>420</v>
      </c>
      <c r="D198" t="s">
        <v>421</v>
      </c>
      <c r="E198" t="s">
        <v>1578</v>
      </c>
      <c r="F198" t="s">
        <v>671</v>
      </c>
      <c r="G198" t="s">
        <v>1813</v>
      </c>
      <c r="CQ198" t="s">
        <v>3740</v>
      </c>
      <c r="CR198" t="s">
        <v>85</v>
      </c>
      <c r="CS198" t="s">
        <v>255</v>
      </c>
      <c r="CT198" t="s">
        <v>253</v>
      </c>
      <c r="CU198" t="s">
        <v>90</v>
      </c>
      <c r="CV198" t="s">
        <v>254</v>
      </c>
      <c r="CW198">
        <v>0</v>
      </c>
      <c r="DB198">
        <v>980</v>
      </c>
      <c r="DC198">
        <v>1080</v>
      </c>
      <c r="DD198">
        <v>1170</v>
      </c>
      <c r="DE198">
        <v>1170</v>
      </c>
      <c r="DG198" t="s">
        <v>3741</v>
      </c>
      <c r="DH198" t="s">
        <v>82</v>
      </c>
      <c r="DJ198" t="s">
        <v>1030</v>
      </c>
      <c r="DK198" t="s">
        <v>668</v>
      </c>
      <c r="DL198">
        <v>11.54</v>
      </c>
      <c r="DM198" t="s">
        <v>669</v>
      </c>
      <c r="DN198" t="s">
        <v>669</v>
      </c>
      <c r="DO198">
        <v>0</v>
      </c>
      <c r="DP198">
        <v>0</v>
      </c>
      <c r="DQ198">
        <v>0</v>
      </c>
      <c r="DR198" t="s">
        <v>3190</v>
      </c>
      <c r="EB198" t="s">
        <v>3742</v>
      </c>
      <c r="EC198" t="s">
        <v>2333</v>
      </c>
      <c r="ED198" t="s">
        <v>2334</v>
      </c>
      <c r="EE198" t="s">
        <v>578</v>
      </c>
      <c r="EF198" t="s">
        <v>577</v>
      </c>
      <c r="EG198">
        <v>120000</v>
      </c>
      <c r="EH198">
        <v>120000</v>
      </c>
      <c r="EI198">
        <v>120000</v>
      </c>
      <c r="EJ198">
        <v>120000</v>
      </c>
      <c r="EL198" t="s">
        <v>3743</v>
      </c>
      <c r="EM198" t="s">
        <v>2368</v>
      </c>
      <c r="EN198" t="s">
        <v>2369</v>
      </c>
      <c r="EO198">
        <v>1.5</v>
      </c>
      <c r="EP198" t="s">
        <v>2252</v>
      </c>
      <c r="EQ198" t="s">
        <v>2322</v>
      </c>
      <c r="ER198" t="s">
        <v>2323</v>
      </c>
      <c r="ES198">
        <v>21380</v>
      </c>
      <c r="ET198">
        <v>21380</v>
      </c>
      <c r="EU198">
        <v>21380</v>
      </c>
      <c r="EV198">
        <v>21380</v>
      </c>
    </row>
    <row r="199" ht="15" customHeight="1" spans="1:152" x14ac:dyDescent="0.25">
      <c r="A199" t="s">
        <v>353</v>
      </c>
      <c r="B199" t="s">
        <v>348</v>
      </c>
      <c r="C199" t="s">
        <v>424</v>
      </c>
      <c r="D199" t="s">
        <v>425</v>
      </c>
      <c r="E199" t="s">
        <v>1578</v>
      </c>
      <c r="F199" t="s">
        <v>671</v>
      </c>
      <c r="G199" t="s">
        <v>1816</v>
      </c>
      <c r="CQ199" t="s">
        <v>3744</v>
      </c>
      <c r="CR199" t="s">
        <v>85</v>
      </c>
      <c r="CS199" t="s">
        <v>599</v>
      </c>
      <c r="CT199" t="s">
        <v>2421</v>
      </c>
      <c r="CU199" t="s">
        <v>90</v>
      </c>
      <c r="CV199" t="s">
        <v>2798</v>
      </c>
      <c r="CW199">
        <v>0</v>
      </c>
      <c r="DB199">
        <v>930</v>
      </c>
      <c r="DC199">
        <v>930</v>
      </c>
      <c r="DD199">
        <v>930</v>
      </c>
      <c r="DE199">
        <v>930</v>
      </c>
      <c r="DG199" t="s">
        <v>3745</v>
      </c>
      <c r="DH199" t="s">
        <v>82</v>
      </c>
      <c r="DI199" t="s">
        <v>1328</v>
      </c>
      <c r="DJ199" t="s">
        <v>1329</v>
      </c>
      <c r="DK199" t="s">
        <v>668</v>
      </c>
      <c r="DL199">
        <v>11.54</v>
      </c>
      <c r="DM199" t="s">
        <v>669</v>
      </c>
      <c r="DN199" t="s">
        <v>670</v>
      </c>
      <c r="DO199">
        <v>4</v>
      </c>
      <c r="DP199">
        <v>52.2</v>
      </c>
      <c r="DQ199">
        <v>52.2</v>
      </c>
      <c r="DR199" t="s">
        <v>3746</v>
      </c>
      <c r="EB199" t="s">
        <v>3747</v>
      </c>
      <c r="EC199" t="s">
        <v>2333</v>
      </c>
      <c r="ED199" t="s">
        <v>2334</v>
      </c>
      <c r="EE199" t="s">
        <v>327</v>
      </c>
      <c r="EF199" t="s">
        <v>328</v>
      </c>
      <c r="EG199">
        <v>475</v>
      </c>
      <c r="EH199">
        <v>525</v>
      </c>
      <c r="EI199">
        <v>525</v>
      </c>
      <c r="EJ199">
        <v>605</v>
      </c>
      <c r="EL199" t="s">
        <v>3748</v>
      </c>
      <c r="EM199" t="s">
        <v>2368</v>
      </c>
      <c r="EN199" t="s">
        <v>2369</v>
      </c>
      <c r="EO199">
        <v>1.5</v>
      </c>
      <c r="EP199" t="s">
        <v>2276</v>
      </c>
      <c r="EQ199" t="s">
        <v>2338</v>
      </c>
      <c r="ER199" t="s">
        <v>2339</v>
      </c>
      <c r="ES199">
        <v>32070</v>
      </c>
      <c r="ET199">
        <v>32070</v>
      </c>
      <c r="EU199">
        <v>32070</v>
      </c>
      <c r="EV199">
        <v>32070</v>
      </c>
    </row>
    <row r="200" ht="15" customHeight="1" spans="1:152" x14ac:dyDescent="0.25">
      <c r="A200" t="s">
        <v>353</v>
      </c>
      <c r="B200" t="s">
        <v>348</v>
      </c>
      <c r="C200" t="s">
        <v>418</v>
      </c>
      <c r="D200" t="s">
        <v>419</v>
      </c>
      <c r="E200" t="s">
        <v>1578</v>
      </c>
      <c r="F200" t="s">
        <v>671</v>
      </c>
      <c r="G200" t="s">
        <v>1811</v>
      </c>
      <c r="CQ200" t="s">
        <v>3749</v>
      </c>
      <c r="CR200" t="s">
        <v>85</v>
      </c>
      <c r="CS200" t="s">
        <v>243</v>
      </c>
      <c r="CT200" t="s">
        <v>241</v>
      </c>
      <c r="CU200" t="s">
        <v>90</v>
      </c>
      <c r="CV200" t="s">
        <v>242</v>
      </c>
      <c r="CW200">
        <v>0</v>
      </c>
      <c r="DB200">
        <v>1250</v>
      </c>
      <c r="DC200">
        <v>1250</v>
      </c>
      <c r="DD200">
        <v>1250</v>
      </c>
      <c r="DE200">
        <v>1250</v>
      </c>
      <c r="DG200" t="s">
        <v>3750</v>
      </c>
      <c r="DH200" t="s">
        <v>82</v>
      </c>
      <c r="DI200" t="s">
        <v>1331</v>
      </c>
      <c r="DJ200" t="s">
        <v>1332</v>
      </c>
      <c r="DK200" t="s">
        <v>668</v>
      </c>
      <c r="DL200">
        <v>11.54</v>
      </c>
      <c r="DM200" t="s">
        <v>670</v>
      </c>
      <c r="DN200" t="s">
        <v>669</v>
      </c>
      <c r="DO200">
        <v>0</v>
      </c>
      <c r="DP200">
        <v>0</v>
      </c>
      <c r="DQ200">
        <v>22.91</v>
      </c>
      <c r="DR200" t="s">
        <v>3751</v>
      </c>
      <c r="EB200" t="s">
        <v>3752</v>
      </c>
      <c r="EC200" t="s">
        <v>2333</v>
      </c>
      <c r="ED200" t="s">
        <v>2334</v>
      </c>
      <c r="EE200" t="s">
        <v>330</v>
      </c>
      <c r="EF200" t="s">
        <v>331</v>
      </c>
      <c r="EG200">
        <v>240</v>
      </c>
      <c r="EH200">
        <v>265</v>
      </c>
      <c r="EI200">
        <v>265</v>
      </c>
      <c r="EJ200">
        <v>305</v>
      </c>
      <c r="EL200" t="s">
        <v>3753</v>
      </c>
      <c r="EM200" t="s">
        <v>2368</v>
      </c>
      <c r="EN200" t="s">
        <v>2369</v>
      </c>
      <c r="EO200">
        <v>2</v>
      </c>
      <c r="EP200" t="s">
        <v>2252</v>
      </c>
      <c r="EQ200" t="s">
        <v>2354</v>
      </c>
      <c r="ER200" t="s">
        <v>2355</v>
      </c>
      <c r="ES200">
        <v>28510</v>
      </c>
      <c r="ET200">
        <v>28510</v>
      </c>
      <c r="EU200">
        <v>28510</v>
      </c>
      <c r="EV200">
        <v>28510</v>
      </c>
    </row>
    <row r="201" ht="15" customHeight="1" spans="1:152" x14ac:dyDescent="0.25">
      <c r="A201" t="s">
        <v>353</v>
      </c>
      <c r="B201" t="s">
        <v>348</v>
      </c>
      <c r="C201" t="s">
        <v>422</v>
      </c>
      <c r="D201" t="s">
        <v>423</v>
      </c>
      <c r="E201" t="s">
        <v>1578</v>
      </c>
      <c r="F201" t="s">
        <v>671</v>
      </c>
      <c r="G201" t="s">
        <v>1811</v>
      </c>
      <c r="CQ201" t="s">
        <v>3754</v>
      </c>
      <c r="CR201" t="s">
        <v>85</v>
      </c>
      <c r="CS201" t="s">
        <v>593</v>
      </c>
      <c r="CT201" t="s">
        <v>2469</v>
      </c>
      <c r="CU201" t="s">
        <v>79</v>
      </c>
      <c r="CV201" t="s">
        <v>2819</v>
      </c>
      <c r="CW201">
        <v>0</v>
      </c>
      <c r="DB201">
        <v>1500</v>
      </c>
      <c r="DC201">
        <v>1500</v>
      </c>
      <c r="DD201">
        <v>1500</v>
      </c>
      <c r="DE201">
        <v>1500</v>
      </c>
      <c r="DG201" t="s">
        <v>3755</v>
      </c>
      <c r="DH201" t="s">
        <v>82</v>
      </c>
      <c r="DI201" t="s">
        <v>1336</v>
      </c>
      <c r="DJ201" t="s">
        <v>1337</v>
      </c>
      <c r="DK201" t="s">
        <v>668</v>
      </c>
      <c r="DL201">
        <v>11.54</v>
      </c>
      <c r="DM201" t="s">
        <v>669</v>
      </c>
      <c r="DN201" t="s">
        <v>670</v>
      </c>
      <c r="DO201">
        <v>1</v>
      </c>
      <c r="DP201">
        <v>687</v>
      </c>
      <c r="DQ201">
        <v>687</v>
      </c>
      <c r="DR201" t="s">
        <v>3756</v>
      </c>
      <c r="EB201" t="s">
        <v>3757</v>
      </c>
      <c r="EC201" t="s">
        <v>2333</v>
      </c>
      <c r="EE201" t="s">
        <v>576</v>
      </c>
      <c r="EL201" t="s">
        <v>3758</v>
      </c>
      <c r="EM201" t="s">
        <v>2368</v>
      </c>
      <c r="EN201" t="s">
        <v>2369</v>
      </c>
      <c r="EO201">
        <v>2</v>
      </c>
      <c r="EP201" t="s">
        <v>2276</v>
      </c>
      <c r="EQ201" t="s">
        <v>2373</v>
      </c>
      <c r="ER201" t="s">
        <v>2374</v>
      </c>
      <c r="ES201">
        <v>42765</v>
      </c>
      <c r="ET201">
        <v>42765</v>
      </c>
      <c r="EU201">
        <v>42765</v>
      </c>
      <c r="EV201">
        <v>42765</v>
      </c>
    </row>
    <row r="202" ht="15" customHeight="1" spans="1:152" x14ac:dyDescent="0.25">
      <c r="A202" t="s">
        <v>353</v>
      </c>
      <c r="B202" t="s">
        <v>367</v>
      </c>
      <c r="C202" t="s">
        <v>442</v>
      </c>
      <c r="D202" t="s">
        <v>443</v>
      </c>
      <c r="E202" t="s">
        <v>1578</v>
      </c>
      <c r="F202" t="s">
        <v>671</v>
      </c>
      <c r="G202" t="s">
        <v>1367</v>
      </c>
      <c r="CQ202" t="s">
        <v>3759</v>
      </c>
      <c r="CR202" t="s">
        <v>85</v>
      </c>
      <c r="CS202" t="s">
        <v>591</v>
      </c>
      <c r="CT202" t="s">
        <v>2483</v>
      </c>
      <c r="CU202" t="s">
        <v>79</v>
      </c>
      <c r="CV202" t="s">
        <v>2819</v>
      </c>
      <c r="CW202">
        <v>0</v>
      </c>
      <c r="DB202">
        <v>3000</v>
      </c>
      <c r="DC202">
        <v>3000</v>
      </c>
      <c r="DD202">
        <v>3000</v>
      </c>
      <c r="DE202">
        <v>3000</v>
      </c>
      <c r="DG202" t="s">
        <v>3760</v>
      </c>
      <c r="DH202" t="s">
        <v>82</v>
      </c>
      <c r="DI202" t="s">
        <v>1341</v>
      </c>
      <c r="DJ202" t="s">
        <v>1342</v>
      </c>
      <c r="DK202" t="s">
        <v>668</v>
      </c>
      <c r="DL202">
        <v>11.54</v>
      </c>
      <c r="DM202" t="s">
        <v>669</v>
      </c>
      <c r="DN202" t="s">
        <v>670</v>
      </c>
      <c r="DO202">
        <v>1</v>
      </c>
      <c r="DP202">
        <v>14.5</v>
      </c>
      <c r="DQ202">
        <v>14.5</v>
      </c>
      <c r="DR202" t="s">
        <v>3761</v>
      </c>
      <c r="EB202" t="s">
        <v>3762</v>
      </c>
      <c r="EC202" t="s">
        <v>2333</v>
      </c>
      <c r="ED202" t="s">
        <v>2334</v>
      </c>
      <c r="EE202" t="s">
        <v>573</v>
      </c>
      <c r="EF202" t="s">
        <v>2613</v>
      </c>
      <c r="EG202">
        <v>1510</v>
      </c>
      <c r="EH202">
        <v>1510</v>
      </c>
      <c r="EI202">
        <v>1510</v>
      </c>
      <c r="EJ202">
        <v>1510</v>
      </c>
      <c r="EL202" t="s">
        <v>3763</v>
      </c>
      <c r="EM202" t="s">
        <v>2368</v>
      </c>
      <c r="EN202" t="s">
        <v>2369</v>
      </c>
      <c r="EO202">
        <v>2.5</v>
      </c>
      <c r="EP202" t="s">
        <v>2252</v>
      </c>
      <c r="EQ202" t="s">
        <v>2389</v>
      </c>
      <c r="ER202" t="s">
        <v>2390</v>
      </c>
      <c r="ES202">
        <v>38020</v>
      </c>
      <c r="ET202">
        <v>38020</v>
      </c>
      <c r="EU202">
        <v>38020</v>
      </c>
      <c r="EV202">
        <v>38020</v>
      </c>
    </row>
    <row r="203" ht="15" customHeight="1" spans="1:152" x14ac:dyDescent="0.25">
      <c r="A203" t="s">
        <v>353</v>
      </c>
      <c r="B203" t="s">
        <v>354</v>
      </c>
      <c r="C203" t="s">
        <v>444</v>
      </c>
      <c r="D203" t="s">
        <v>445</v>
      </c>
      <c r="E203" t="s">
        <v>1578</v>
      </c>
      <c r="F203" t="s">
        <v>671</v>
      </c>
      <c r="G203" t="s">
        <v>1367</v>
      </c>
      <c r="CQ203" t="s">
        <v>3764</v>
      </c>
      <c r="CR203" t="s">
        <v>85</v>
      </c>
      <c r="CS203" t="s">
        <v>261</v>
      </c>
      <c r="CT203" t="s">
        <v>259</v>
      </c>
      <c r="CU203" t="s">
        <v>88</v>
      </c>
      <c r="CV203" t="s">
        <v>260</v>
      </c>
      <c r="CW203">
        <v>0</v>
      </c>
      <c r="DB203">
        <v>860</v>
      </c>
      <c r="DC203">
        <v>950</v>
      </c>
      <c r="DD203">
        <v>1020</v>
      </c>
      <c r="DE203">
        <v>1020</v>
      </c>
      <c r="DG203" t="s">
        <v>3765</v>
      </c>
      <c r="DH203" t="s">
        <v>82</v>
      </c>
      <c r="DI203" t="s">
        <v>1284</v>
      </c>
      <c r="DJ203" t="s">
        <v>1344</v>
      </c>
      <c r="DK203" t="s">
        <v>668</v>
      </c>
      <c r="DL203">
        <v>11.54</v>
      </c>
      <c r="DM203" t="s">
        <v>670</v>
      </c>
      <c r="DN203" t="s">
        <v>669</v>
      </c>
      <c r="DO203">
        <v>0</v>
      </c>
      <c r="DP203">
        <v>0</v>
      </c>
      <c r="DQ203">
        <v>699</v>
      </c>
      <c r="DR203" t="s">
        <v>3766</v>
      </c>
      <c r="EB203" t="s">
        <v>3767</v>
      </c>
      <c r="EC203" t="s">
        <v>2333</v>
      </c>
      <c r="ED203" t="s">
        <v>2334</v>
      </c>
      <c r="EE203" t="s">
        <v>569</v>
      </c>
      <c r="EF203" t="s">
        <v>567</v>
      </c>
      <c r="EG203">
        <v>1</v>
      </c>
      <c r="EH203">
        <v>1</v>
      </c>
      <c r="EI203">
        <v>1</v>
      </c>
      <c r="EJ203">
        <v>1</v>
      </c>
      <c r="EL203" t="s">
        <v>3768</v>
      </c>
      <c r="EM203" t="s">
        <v>2368</v>
      </c>
      <c r="EN203" t="s">
        <v>2369</v>
      </c>
      <c r="EO203">
        <v>2.5</v>
      </c>
      <c r="EP203" t="s">
        <v>2276</v>
      </c>
      <c r="EQ203" t="s">
        <v>2406</v>
      </c>
      <c r="ER203" t="s">
        <v>2407</v>
      </c>
      <c r="ES203">
        <v>57030</v>
      </c>
      <c r="ET203">
        <v>57030</v>
      </c>
      <c r="EU203">
        <v>57030</v>
      </c>
      <c r="EV203">
        <v>57030</v>
      </c>
    </row>
    <row r="204" ht="15" customHeight="1" spans="1:152" x14ac:dyDescent="0.25">
      <c r="A204" t="s">
        <v>353</v>
      </c>
      <c r="B204" t="s">
        <v>354</v>
      </c>
      <c r="C204" t="s">
        <v>440</v>
      </c>
      <c r="D204" t="s">
        <v>3769</v>
      </c>
      <c r="E204" t="s">
        <v>1578</v>
      </c>
      <c r="F204" t="s">
        <v>681</v>
      </c>
      <c r="G204" t="s">
        <v>1367</v>
      </c>
      <c r="CQ204" t="s">
        <v>3770</v>
      </c>
      <c r="CR204" t="s">
        <v>85</v>
      </c>
      <c r="CS204" t="s">
        <v>578</v>
      </c>
      <c r="CT204" t="s">
        <v>577</v>
      </c>
      <c r="CU204" t="s">
        <v>88</v>
      </c>
      <c r="CV204" t="s">
        <v>2851</v>
      </c>
      <c r="CW204">
        <v>0</v>
      </c>
      <c r="DB204">
        <v>100000</v>
      </c>
      <c r="DC204">
        <v>100000</v>
      </c>
      <c r="DD204">
        <v>100000</v>
      </c>
      <c r="DE204">
        <v>100000</v>
      </c>
      <c r="DG204" t="s">
        <v>3771</v>
      </c>
      <c r="DH204" t="s">
        <v>82</v>
      </c>
      <c r="DI204" t="s">
        <v>1345</v>
      </c>
      <c r="DJ204" t="s">
        <v>1346</v>
      </c>
      <c r="DK204" t="s">
        <v>668</v>
      </c>
      <c r="DL204">
        <v>11.54</v>
      </c>
      <c r="DM204" t="s">
        <v>669</v>
      </c>
      <c r="DN204" t="s">
        <v>670</v>
      </c>
      <c r="DO204">
        <v>1</v>
      </c>
      <c r="DP204">
        <v>37.24</v>
      </c>
      <c r="DQ204">
        <v>37.24</v>
      </c>
      <c r="DR204" t="s">
        <v>3772</v>
      </c>
      <c r="EB204" t="s">
        <v>3773</v>
      </c>
      <c r="EC204" t="s">
        <v>2333</v>
      </c>
      <c r="ED204" t="s">
        <v>2334</v>
      </c>
      <c r="EE204" t="s">
        <v>2641</v>
      </c>
      <c r="EF204" t="s">
        <v>3125</v>
      </c>
      <c r="EG204">
        <v>1200</v>
      </c>
      <c r="EH204">
        <v>1200</v>
      </c>
      <c r="EI204">
        <v>1200</v>
      </c>
      <c r="EJ204">
        <v>1200</v>
      </c>
      <c r="EL204" t="s">
        <v>3774</v>
      </c>
      <c r="EM204" t="s">
        <v>2368</v>
      </c>
      <c r="EN204" t="s">
        <v>2369</v>
      </c>
      <c r="EO204">
        <v>3</v>
      </c>
      <c r="EP204" t="s">
        <v>2252</v>
      </c>
      <c r="EQ204" t="s">
        <v>2423</v>
      </c>
      <c r="ER204" t="s">
        <v>2424</v>
      </c>
      <c r="ES204">
        <v>45140</v>
      </c>
      <c r="ET204">
        <v>45140</v>
      </c>
      <c r="EU204">
        <v>45140</v>
      </c>
      <c r="EV204">
        <v>45140</v>
      </c>
    </row>
    <row r="205" ht="15" customHeight="1" spans="1:152" x14ac:dyDescent="0.25">
      <c r="A205" t="s">
        <v>353</v>
      </c>
      <c r="B205" t="s">
        <v>367</v>
      </c>
      <c r="C205" t="s">
        <v>446</v>
      </c>
      <c r="D205" t="s">
        <v>447</v>
      </c>
      <c r="E205" t="s">
        <v>1578</v>
      </c>
      <c r="F205" t="s">
        <v>671</v>
      </c>
      <c r="G205" t="s">
        <v>1823</v>
      </c>
      <c r="CQ205" t="s">
        <v>3775</v>
      </c>
      <c r="CR205" t="s">
        <v>85</v>
      </c>
      <c r="CS205" t="s">
        <v>569</v>
      </c>
      <c r="CT205" t="s">
        <v>567</v>
      </c>
      <c r="CU205" t="s">
        <v>88</v>
      </c>
      <c r="CV205" t="s">
        <v>2859</v>
      </c>
      <c r="CW205">
        <v>0</v>
      </c>
      <c r="DB205">
        <v>2000</v>
      </c>
      <c r="DC205">
        <v>2000</v>
      </c>
      <c r="DD205">
        <v>2000</v>
      </c>
      <c r="DE205">
        <v>2000</v>
      </c>
      <c r="DG205" t="s">
        <v>3776</v>
      </c>
      <c r="DH205" t="s">
        <v>82</v>
      </c>
      <c r="DI205" t="s">
        <v>1348</v>
      </c>
      <c r="DJ205" t="s">
        <v>1349</v>
      </c>
      <c r="DK205" t="s">
        <v>668</v>
      </c>
      <c r="DL205">
        <v>11.54</v>
      </c>
      <c r="DM205" t="s">
        <v>669</v>
      </c>
      <c r="DN205" t="s">
        <v>670</v>
      </c>
      <c r="DO205">
        <v>1</v>
      </c>
      <c r="DP205">
        <v>37.25</v>
      </c>
      <c r="DQ205">
        <v>37.25</v>
      </c>
      <c r="DR205" t="s">
        <v>3777</v>
      </c>
      <c r="EB205" t="s">
        <v>3778</v>
      </c>
      <c r="EC205" t="s">
        <v>2333</v>
      </c>
      <c r="ED205" t="s">
        <v>2334</v>
      </c>
      <c r="EE205" t="s">
        <v>2656</v>
      </c>
      <c r="EF205" t="s">
        <v>3133</v>
      </c>
      <c r="EG205">
        <v>3000</v>
      </c>
      <c r="EH205">
        <v>3000</v>
      </c>
      <c r="EI205">
        <v>3000</v>
      </c>
      <c r="EJ205">
        <v>3000</v>
      </c>
      <c r="EL205" t="s">
        <v>3779</v>
      </c>
      <c r="EM205" t="s">
        <v>2368</v>
      </c>
      <c r="EN205" t="s">
        <v>2369</v>
      </c>
      <c r="EO205">
        <v>3</v>
      </c>
      <c r="EP205" t="s">
        <v>2276</v>
      </c>
      <c r="EQ205" t="s">
        <v>2439</v>
      </c>
      <c r="ER205" t="s">
        <v>2440</v>
      </c>
      <c r="ES205">
        <v>67710</v>
      </c>
      <c r="ET205">
        <v>67710</v>
      </c>
      <c r="EU205">
        <v>67710</v>
      </c>
      <c r="EV205">
        <v>67710</v>
      </c>
    </row>
    <row r="206" ht="15" customHeight="1" spans="1:152" x14ac:dyDescent="0.25">
      <c r="A206" t="s">
        <v>353</v>
      </c>
      <c r="B206" t="s">
        <v>362</v>
      </c>
      <c r="C206" t="s">
        <v>462</v>
      </c>
      <c r="D206" t="s">
        <v>463</v>
      </c>
      <c r="E206" t="s">
        <v>1327</v>
      </c>
      <c r="F206" t="s">
        <v>671</v>
      </c>
      <c r="G206" t="s">
        <v>1367</v>
      </c>
      <c r="CQ206" t="s">
        <v>3780</v>
      </c>
      <c r="CR206" t="s">
        <v>85</v>
      </c>
      <c r="CS206" t="s">
        <v>556</v>
      </c>
      <c r="CT206" t="s">
        <v>2713</v>
      </c>
      <c r="CU206" t="s">
        <v>79</v>
      </c>
      <c r="CV206" t="s">
        <v>2867</v>
      </c>
      <c r="CW206">
        <v>0</v>
      </c>
      <c r="DB206">
        <v>550</v>
      </c>
      <c r="DC206">
        <v>850</v>
      </c>
      <c r="DD206">
        <v>1200</v>
      </c>
      <c r="DE206">
        <v>1200</v>
      </c>
      <c r="DG206" t="s">
        <v>3781</v>
      </c>
      <c r="DH206" t="s">
        <v>82</v>
      </c>
      <c r="DI206" t="s">
        <v>1351</v>
      </c>
      <c r="DJ206" t="s">
        <v>1352</v>
      </c>
      <c r="DK206" t="s">
        <v>668</v>
      </c>
      <c r="DL206">
        <v>11.54</v>
      </c>
      <c r="DM206" t="s">
        <v>670</v>
      </c>
      <c r="DN206" t="s">
        <v>669</v>
      </c>
      <c r="DO206">
        <v>0</v>
      </c>
      <c r="DP206">
        <v>0</v>
      </c>
      <c r="DQ206">
        <v>60.35</v>
      </c>
      <c r="DR206" t="s">
        <v>3782</v>
      </c>
      <c r="EB206" t="s">
        <v>3783</v>
      </c>
      <c r="EC206" t="s">
        <v>2333</v>
      </c>
      <c r="ED206" t="s">
        <v>2334</v>
      </c>
      <c r="EE206" t="s">
        <v>2670</v>
      </c>
      <c r="EF206" t="s">
        <v>3139</v>
      </c>
      <c r="EG206">
        <v>4000</v>
      </c>
      <c r="EH206">
        <v>4000</v>
      </c>
      <c r="EI206">
        <v>4000</v>
      </c>
      <c r="EJ206">
        <v>4000</v>
      </c>
      <c r="EL206" t="s">
        <v>3784</v>
      </c>
      <c r="EM206" t="s">
        <v>2368</v>
      </c>
      <c r="EN206" t="s">
        <v>2369</v>
      </c>
      <c r="EO206">
        <v>3.5</v>
      </c>
      <c r="EP206" t="s">
        <v>2252</v>
      </c>
      <c r="EQ206" t="s">
        <v>2454</v>
      </c>
      <c r="ER206" t="s">
        <v>2455</v>
      </c>
      <c r="ES206">
        <v>53460</v>
      </c>
      <c r="ET206">
        <v>53460</v>
      </c>
      <c r="EU206">
        <v>53460</v>
      </c>
      <c r="EV206">
        <v>53460</v>
      </c>
    </row>
    <row r="207" ht="15" customHeight="1" spans="1:152" x14ac:dyDescent="0.25">
      <c r="A207" t="s">
        <v>353</v>
      </c>
      <c r="B207" t="s">
        <v>362</v>
      </c>
      <c r="C207" t="s">
        <v>458</v>
      </c>
      <c r="D207" t="s">
        <v>459</v>
      </c>
      <c r="E207" t="s">
        <v>1578</v>
      </c>
      <c r="F207" t="s">
        <v>671</v>
      </c>
      <c r="G207" t="s">
        <v>1367</v>
      </c>
      <c r="CQ207" t="s">
        <v>3785</v>
      </c>
      <c r="CR207" t="s">
        <v>85</v>
      </c>
      <c r="CS207" t="s">
        <v>596</v>
      </c>
      <c r="CT207" t="s">
        <v>2452</v>
      </c>
      <c r="CU207" t="s">
        <v>79</v>
      </c>
      <c r="CV207" t="s">
        <v>594</v>
      </c>
      <c r="CW207">
        <v>0</v>
      </c>
      <c r="DB207">
        <v>350</v>
      </c>
      <c r="DC207">
        <v>350</v>
      </c>
      <c r="DD207">
        <v>350</v>
      </c>
      <c r="DE207">
        <v>350</v>
      </c>
      <c r="DG207" t="s">
        <v>3786</v>
      </c>
      <c r="DH207" t="s">
        <v>82</v>
      </c>
      <c r="DI207" t="s">
        <v>1354</v>
      </c>
      <c r="DJ207" t="s">
        <v>1355</v>
      </c>
      <c r="DK207" t="s">
        <v>668</v>
      </c>
      <c r="DL207">
        <v>11.54</v>
      </c>
      <c r="DM207" t="s">
        <v>670</v>
      </c>
      <c r="DN207" t="s">
        <v>669</v>
      </c>
      <c r="DO207">
        <v>0</v>
      </c>
      <c r="DP207">
        <v>0</v>
      </c>
      <c r="DQ207">
        <v>24.28</v>
      </c>
      <c r="DR207" t="s">
        <v>3787</v>
      </c>
      <c r="EB207" t="s">
        <v>3788</v>
      </c>
      <c r="EC207" t="s">
        <v>2333</v>
      </c>
      <c r="ED207" t="s">
        <v>2334</v>
      </c>
      <c r="EE207" t="s">
        <v>561</v>
      </c>
      <c r="EF207" t="s">
        <v>2684</v>
      </c>
      <c r="EG207">
        <v>1</v>
      </c>
      <c r="EH207">
        <v>1</v>
      </c>
      <c r="EI207">
        <v>1</v>
      </c>
      <c r="EJ207">
        <v>1</v>
      </c>
      <c r="EL207" t="s">
        <v>3789</v>
      </c>
      <c r="EM207" t="s">
        <v>2368</v>
      </c>
      <c r="EN207" t="s">
        <v>2369</v>
      </c>
      <c r="EO207">
        <v>3.5</v>
      </c>
      <c r="EP207" t="s">
        <v>2276</v>
      </c>
      <c r="EQ207" t="s">
        <v>2471</v>
      </c>
      <c r="ER207" t="s">
        <v>2472</v>
      </c>
      <c r="ES207">
        <v>80190</v>
      </c>
      <c r="ET207">
        <v>80190</v>
      </c>
      <c r="EU207">
        <v>80190</v>
      </c>
      <c r="EV207">
        <v>80190</v>
      </c>
    </row>
    <row r="208" ht="15" customHeight="1" spans="1:152" x14ac:dyDescent="0.25">
      <c r="A208" t="s">
        <v>353</v>
      </c>
      <c r="B208" t="s">
        <v>362</v>
      </c>
      <c r="C208" t="s">
        <v>452</v>
      </c>
      <c r="D208" t="s">
        <v>453</v>
      </c>
      <c r="E208" t="s">
        <v>1578</v>
      </c>
      <c r="F208" t="s">
        <v>671</v>
      </c>
      <c r="G208" t="s">
        <v>1367</v>
      </c>
      <c r="CQ208" t="s">
        <v>3790</v>
      </c>
      <c r="CR208" t="s">
        <v>85</v>
      </c>
      <c r="CS208" t="s">
        <v>561</v>
      </c>
      <c r="CT208" t="s">
        <v>2684</v>
      </c>
      <c r="CU208" t="s">
        <v>79</v>
      </c>
      <c r="CV208" t="s">
        <v>2881</v>
      </c>
      <c r="CW208">
        <v>0</v>
      </c>
      <c r="DB208">
        <v>1250</v>
      </c>
      <c r="DC208">
        <v>1250</v>
      </c>
      <c r="DD208">
        <v>1250</v>
      </c>
      <c r="DE208">
        <v>1250</v>
      </c>
      <c r="DG208" t="s">
        <v>3791</v>
      </c>
      <c r="DH208" t="s">
        <v>82</v>
      </c>
      <c r="DI208" t="s">
        <v>1359</v>
      </c>
      <c r="DJ208" t="s">
        <v>1360</v>
      </c>
      <c r="DK208" t="s">
        <v>668</v>
      </c>
      <c r="DL208">
        <v>11.54</v>
      </c>
      <c r="DM208" t="s">
        <v>670</v>
      </c>
      <c r="DN208" t="s">
        <v>669</v>
      </c>
      <c r="DO208">
        <v>0</v>
      </c>
      <c r="DP208">
        <v>0</v>
      </c>
      <c r="DQ208">
        <v>2.5</v>
      </c>
      <c r="DR208" t="s">
        <v>3792</v>
      </c>
      <c r="EB208" t="s">
        <v>3793</v>
      </c>
      <c r="EC208" t="s">
        <v>2333</v>
      </c>
      <c r="ED208" t="s">
        <v>2334</v>
      </c>
      <c r="EE208" t="s">
        <v>563</v>
      </c>
      <c r="EF208" t="s">
        <v>2699</v>
      </c>
      <c r="EG208">
        <v>6000</v>
      </c>
      <c r="EH208">
        <v>6000</v>
      </c>
      <c r="EI208">
        <v>6000</v>
      </c>
      <c r="EJ208">
        <v>6000</v>
      </c>
      <c r="EL208" t="s">
        <v>3794</v>
      </c>
      <c r="EM208" t="s">
        <v>2368</v>
      </c>
      <c r="EN208" t="s">
        <v>2369</v>
      </c>
      <c r="EO208">
        <v>4</v>
      </c>
      <c r="EP208" t="s">
        <v>2252</v>
      </c>
      <c r="EQ208" t="s">
        <v>2485</v>
      </c>
      <c r="ER208" t="s">
        <v>2486</v>
      </c>
      <c r="ES208">
        <v>60590</v>
      </c>
      <c r="ET208">
        <v>60590</v>
      </c>
      <c r="EU208">
        <v>60590</v>
      </c>
      <c r="EV208">
        <v>60590</v>
      </c>
    </row>
    <row r="209" ht="15" customHeight="1" spans="1:152" x14ac:dyDescent="0.25">
      <c r="A209" t="s">
        <v>353</v>
      </c>
      <c r="B209" t="s">
        <v>362</v>
      </c>
      <c r="C209" t="s">
        <v>450</v>
      </c>
      <c r="D209" t="s">
        <v>1514</v>
      </c>
      <c r="E209" t="s">
        <v>1418</v>
      </c>
      <c r="F209" t="s">
        <v>671</v>
      </c>
      <c r="G209" t="s">
        <v>1367</v>
      </c>
      <c r="CQ209" t="s">
        <v>3795</v>
      </c>
      <c r="CR209" t="s">
        <v>85</v>
      </c>
      <c r="CS209" t="s">
        <v>584</v>
      </c>
      <c r="CT209" t="s">
        <v>2510</v>
      </c>
      <c r="CU209" t="s">
        <v>88</v>
      </c>
      <c r="CV209" t="s">
        <v>2890</v>
      </c>
      <c r="CW209">
        <v>0</v>
      </c>
      <c r="DB209">
        <v>3020</v>
      </c>
      <c r="DC209">
        <v>3020</v>
      </c>
      <c r="DD209">
        <v>3020</v>
      </c>
      <c r="DE209">
        <v>3020</v>
      </c>
      <c r="DG209" t="s">
        <v>3796</v>
      </c>
      <c r="DH209" t="s">
        <v>82</v>
      </c>
      <c r="DI209" t="s">
        <v>1364</v>
      </c>
      <c r="DJ209" t="s">
        <v>1365</v>
      </c>
      <c r="DK209" t="s">
        <v>668</v>
      </c>
      <c r="DL209">
        <v>11.54</v>
      </c>
      <c r="DM209" t="s">
        <v>670</v>
      </c>
      <c r="DN209" t="s">
        <v>669</v>
      </c>
      <c r="DO209">
        <v>0</v>
      </c>
      <c r="DP209">
        <v>0</v>
      </c>
      <c r="DQ209">
        <v>181.39</v>
      </c>
      <c r="DR209" t="s">
        <v>3797</v>
      </c>
      <c r="EB209" t="s">
        <v>3798</v>
      </c>
      <c r="EC209" t="s">
        <v>2333</v>
      </c>
      <c r="ED209" t="s">
        <v>2334</v>
      </c>
      <c r="EE209" t="s">
        <v>556</v>
      </c>
      <c r="EF209" t="s">
        <v>2713</v>
      </c>
      <c r="EG209">
        <v>1</v>
      </c>
      <c r="EH209">
        <v>1</v>
      </c>
      <c r="EI209">
        <v>1</v>
      </c>
      <c r="EJ209">
        <v>1</v>
      </c>
      <c r="EL209" t="s">
        <v>3799</v>
      </c>
      <c r="EM209" t="s">
        <v>2368</v>
      </c>
      <c r="EN209" t="s">
        <v>2369</v>
      </c>
      <c r="EO209">
        <v>4</v>
      </c>
      <c r="EP209" t="s">
        <v>2276</v>
      </c>
      <c r="EQ209" t="s">
        <v>2498</v>
      </c>
      <c r="ER209" t="s">
        <v>2499</v>
      </c>
      <c r="ES209">
        <v>90885</v>
      </c>
      <c r="ET209">
        <v>90885</v>
      </c>
      <c r="EU209">
        <v>90885</v>
      </c>
      <c r="EV209">
        <v>90885</v>
      </c>
    </row>
    <row r="210" ht="15" customHeight="1" spans="1:152" x14ac:dyDescent="0.25">
      <c r="A210" t="s">
        <v>353</v>
      </c>
      <c r="B210" t="s">
        <v>362</v>
      </c>
      <c r="C210" t="s">
        <v>448</v>
      </c>
      <c r="D210" t="s">
        <v>449</v>
      </c>
      <c r="E210" t="s">
        <v>1578</v>
      </c>
      <c r="F210" t="s">
        <v>671</v>
      </c>
      <c r="G210" t="s">
        <v>1367</v>
      </c>
      <c r="CQ210" t="s">
        <v>3800</v>
      </c>
      <c r="CR210" t="s">
        <v>85</v>
      </c>
      <c r="CS210" t="s">
        <v>582</v>
      </c>
      <c r="CT210" t="s">
        <v>2525</v>
      </c>
      <c r="CU210" t="s">
        <v>88</v>
      </c>
      <c r="CV210" t="s">
        <v>581</v>
      </c>
      <c r="CW210">
        <v>0</v>
      </c>
      <c r="DB210">
        <v>2470</v>
      </c>
      <c r="DC210">
        <v>2470</v>
      </c>
      <c r="DD210">
        <v>2470</v>
      </c>
      <c r="DE210">
        <v>2470</v>
      </c>
      <c r="DG210" t="s">
        <v>3801</v>
      </c>
      <c r="DH210" t="s">
        <v>82</v>
      </c>
      <c r="DI210" t="s">
        <v>462</v>
      </c>
      <c r="DJ210" t="s">
        <v>463</v>
      </c>
      <c r="DK210" t="s">
        <v>1079</v>
      </c>
      <c r="DL210">
        <v>11.54</v>
      </c>
      <c r="DM210" t="s">
        <v>669</v>
      </c>
      <c r="DN210" t="s">
        <v>670</v>
      </c>
      <c r="DO210">
        <v>1</v>
      </c>
      <c r="DP210">
        <v>13340.05</v>
      </c>
      <c r="DQ210">
        <v>13340.05</v>
      </c>
      <c r="DR210" t="s">
        <v>3802</v>
      </c>
      <c r="EB210" t="s">
        <v>3803</v>
      </c>
      <c r="EC210" t="s">
        <v>2333</v>
      </c>
      <c r="ED210" t="s">
        <v>2334</v>
      </c>
      <c r="EE210" t="s">
        <v>551</v>
      </c>
      <c r="EF210" t="s">
        <v>548</v>
      </c>
      <c r="EG210">
        <v>1150</v>
      </c>
      <c r="EH210">
        <v>1265</v>
      </c>
      <c r="EI210">
        <v>1265</v>
      </c>
      <c r="EJ210">
        <v>1455</v>
      </c>
      <c r="EL210" t="s">
        <v>3804</v>
      </c>
      <c r="EM210" t="s">
        <v>2368</v>
      </c>
      <c r="EN210" t="s">
        <v>2369</v>
      </c>
      <c r="EO210">
        <v>4.5</v>
      </c>
      <c r="EP210" t="s">
        <v>2252</v>
      </c>
      <c r="EQ210" t="s">
        <v>2512</v>
      </c>
      <c r="ER210" t="s">
        <v>2513</v>
      </c>
      <c r="ES210">
        <v>68310</v>
      </c>
      <c r="ET210">
        <v>68310</v>
      </c>
      <c r="EU210">
        <v>68310</v>
      </c>
      <c r="EV210">
        <v>68310</v>
      </c>
    </row>
    <row r="211" ht="15" customHeight="1" spans="1:152" x14ac:dyDescent="0.25">
      <c r="A211" t="s">
        <v>353</v>
      </c>
      <c r="B211" t="s">
        <v>362</v>
      </c>
      <c r="C211" t="s">
        <v>460</v>
      </c>
      <c r="D211" t="s">
        <v>461</v>
      </c>
      <c r="E211" t="s">
        <v>1578</v>
      </c>
      <c r="F211" t="s">
        <v>671</v>
      </c>
      <c r="G211" t="s">
        <v>1367</v>
      </c>
      <c r="CQ211" t="s">
        <v>3805</v>
      </c>
      <c r="CR211" t="s">
        <v>85</v>
      </c>
      <c r="CS211" t="s">
        <v>580</v>
      </c>
      <c r="CT211" t="s">
        <v>2539</v>
      </c>
      <c r="CU211" t="s">
        <v>88</v>
      </c>
      <c r="CV211" t="s">
        <v>2909</v>
      </c>
      <c r="CW211">
        <v>0</v>
      </c>
      <c r="DB211">
        <v>10480</v>
      </c>
      <c r="DC211">
        <v>10480</v>
      </c>
      <c r="DD211">
        <v>10480</v>
      </c>
      <c r="DE211">
        <v>10480</v>
      </c>
      <c r="DG211" t="s">
        <v>3806</v>
      </c>
      <c r="DH211" t="s">
        <v>82</v>
      </c>
      <c r="DI211" t="s">
        <v>406</v>
      </c>
      <c r="DJ211" t="s">
        <v>407</v>
      </c>
      <c r="DK211" t="s">
        <v>1079</v>
      </c>
      <c r="DL211">
        <v>11.54</v>
      </c>
      <c r="DM211" t="s">
        <v>669</v>
      </c>
      <c r="DN211" t="s">
        <v>670</v>
      </c>
      <c r="DO211">
        <v>1</v>
      </c>
      <c r="DP211">
        <v>36130</v>
      </c>
      <c r="DQ211">
        <v>36130</v>
      </c>
      <c r="DR211" t="s">
        <v>3807</v>
      </c>
      <c r="EB211" t="s">
        <v>3808</v>
      </c>
      <c r="EC211" t="s">
        <v>2333</v>
      </c>
      <c r="ED211" t="s">
        <v>2334</v>
      </c>
      <c r="EE211" t="s">
        <v>290</v>
      </c>
      <c r="EF211" t="s">
        <v>289</v>
      </c>
      <c r="EG211">
        <v>255</v>
      </c>
      <c r="EH211">
        <v>280</v>
      </c>
      <c r="EI211">
        <v>280</v>
      </c>
      <c r="EJ211">
        <v>320</v>
      </c>
      <c r="EL211" t="s">
        <v>3809</v>
      </c>
      <c r="EM211" t="s">
        <v>2368</v>
      </c>
      <c r="EN211" t="s">
        <v>2369</v>
      </c>
      <c r="EO211">
        <v>4.5</v>
      </c>
      <c r="EP211" t="s">
        <v>2276</v>
      </c>
      <c r="EQ211" t="s">
        <v>2527</v>
      </c>
      <c r="ER211" t="s">
        <v>2528</v>
      </c>
      <c r="ES211">
        <v>102465</v>
      </c>
      <c r="ET211">
        <v>102465</v>
      </c>
      <c r="EU211">
        <v>102465</v>
      </c>
      <c r="EV211">
        <v>102465</v>
      </c>
    </row>
    <row r="212" ht="15" customHeight="1" spans="1:152" x14ac:dyDescent="0.25">
      <c r="A212" t="s">
        <v>353</v>
      </c>
      <c r="B212" t="s">
        <v>362</v>
      </c>
      <c r="C212" t="s">
        <v>454</v>
      </c>
      <c r="D212" t="s">
        <v>455</v>
      </c>
      <c r="E212" t="s">
        <v>1578</v>
      </c>
      <c r="F212" t="s">
        <v>671</v>
      </c>
      <c r="G212" t="s">
        <v>1825</v>
      </c>
      <c r="CQ212" t="s">
        <v>3810</v>
      </c>
      <c r="CR212" t="s">
        <v>85</v>
      </c>
      <c r="CS212" t="s">
        <v>296</v>
      </c>
      <c r="CT212" t="s">
        <v>294</v>
      </c>
      <c r="CU212" t="s">
        <v>88</v>
      </c>
      <c r="CV212" t="s">
        <v>295</v>
      </c>
      <c r="CW212">
        <v>0</v>
      </c>
      <c r="DB212">
        <v>150</v>
      </c>
      <c r="DC212">
        <v>150</v>
      </c>
      <c r="DD212">
        <v>150</v>
      </c>
      <c r="DE212">
        <v>150</v>
      </c>
      <c r="DG212" t="s">
        <v>3811</v>
      </c>
      <c r="DH212" t="s">
        <v>82</v>
      </c>
      <c r="DI212" t="s">
        <v>494</v>
      </c>
      <c r="DJ212" t="s">
        <v>1370</v>
      </c>
      <c r="DK212" t="s">
        <v>1079</v>
      </c>
      <c r="DL212">
        <v>11.54</v>
      </c>
      <c r="DM212" t="s">
        <v>669</v>
      </c>
      <c r="DN212" t="s">
        <v>670</v>
      </c>
      <c r="DO212">
        <v>1</v>
      </c>
      <c r="DP212">
        <v>39660</v>
      </c>
      <c r="DQ212">
        <v>39660</v>
      </c>
      <c r="DR212" t="s">
        <v>3812</v>
      </c>
      <c r="EB212" t="s">
        <v>3813</v>
      </c>
      <c r="EC212" t="s">
        <v>2333</v>
      </c>
      <c r="ED212" t="s">
        <v>2334</v>
      </c>
      <c r="EE212" t="s">
        <v>275</v>
      </c>
      <c r="EF212" t="s">
        <v>273</v>
      </c>
      <c r="EG212">
        <v>695</v>
      </c>
      <c r="EH212">
        <v>765</v>
      </c>
      <c r="EI212">
        <v>765</v>
      </c>
      <c r="EJ212">
        <v>880</v>
      </c>
      <c r="EL212" t="s">
        <v>3814</v>
      </c>
      <c r="EM212" t="s">
        <v>2368</v>
      </c>
      <c r="EN212" t="s">
        <v>2369</v>
      </c>
      <c r="EO212">
        <v>5</v>
      </c>
      <c r="EP212" t="s">
        <v>2252</v>
      </c>
      <c r="EQ212" t="s">
        <v>2541</v>
      </c>
      <c r="ER212" t="s">
        <v>2542</v>
      </c>
      <c r="ES212">
        <v>75440</v>
      </c>
      <c r="ET212">
        <v>75440</v>
      </c>
      <c r="EU212">
        <v>75440</v>
      </c>
      <c r="EV212">
        <v>75440</v>
      </c>
    </row>
    <row r="213" ht="15" customHeight="1" spans="1:152" x14ac:dyDescent="0.25">
      <c r="A213" t="s">
        <v>353</v>
      </c>
      <c r="B213" t="s">
        <v>362</v>
      </c>
      <c r="C213" t="s">
        <v>456</v>
      </c>
      <c r="D213" t="s">
        <v>457</v>
      </c>
      <c r="E213" t="s">
        <v>1578</v>
      </c>
      <c r="F213" t="s">
        <v>671</v>
      </c>
      <c r="G213" t="s">
        <v>1367</v>
      </c>
      <c r="CQ213" t="s">
        <v>3780</v>
      </c>
      <c r="CR213" t="s">
        <v>85</v>
      </c>
      <c r="CS213" t="s">
        <v>556</v>
      </c>
      <c r="CT213" t="s">
        <v>2713</v>
      </c>
      <c r="CU213" t="s">
        <v>79</v>
      </c>
      <c r="CV213" t="s">
        <v>2867</v>
      </c>
      <c r="CW213">
        <v>0</v>
      </c>
      <c r="DB213">
        <v>550</v>
      </c>
      <c r="DC213">
        <v>850</v>
      </c>
      <c r="DD213">
        <v>1200</v>
      </c>
      <c r="DE213">
        <v>1200</v>
      </c>
      <c r="DG213" t="s">
        <v>3815</v>
      </c>
      <c r="DH213" t="s">
        <v>82</v>
      </c>
      <c r="DI213" t="s">
        <v>496</v>
      </c>
      <c r="DJ213" t="s">
        <v>497</v>
      </c>
      <c r="DK213" t="s">
        <v>1079</v>
      </c>
      <c r="DL213">
        <v>11.54</v>
      </c>
      <c r="DM213" t="s">
        <v>669</v>
      </c>
      <c r="DN213" t="s">
        <v>670</v>
      </c>
      <c r="DO213">
        <v>1</v>
      </c>
      <c r="DP213">
        <v>39660</v>
      </c>
      <c r="DQ213">
        <v>39660</v>
      </c>
      <c r="DR213" t="s">
        <v>3816</v>
      </c>
      <c r="EB213" t="s">
        <v>3817</v>
      </c>
      <c r="EC213" t="s">
        <v>2333</v>
      </c>
      <c r="EE213" t="s">
        <v>298</v>
      </c>
      <c r="EL213" t="s">
        <v>3818</v>
      </c>
      <c r="EM213" t="s">
        <v>2368</v>
      </c>
      <c r="EN213" t="s">
        <v>2369</v>
      </c>
      <c r="EO213">
        <v>5</v>
      </c>
      <c r="EP213" t="s">
        <v>2276</v>
      </c>
      <c r="EQ213" t="s">
        <v>2559</v>
      </c>
      <c r="ER213" t="s">
        <v>2560</v>
      </c>
      <c r="ES213">
        <v>113160</v>
      </c>
      <c r="ET213">
        <v>113160</v>
      </c>
      <c r="EU213">
        <v>113160</v>
      </c>
      <c r="EV213">
        <v>113160</v>
      </c>
    </row>
    <row r="214" ht="15" customHeight="1" spans="95:152" x14ac:dyDescent="0.25">
      <c r="CQ214" t="s">
        <v>3819</v>
      </c>
      <c r="CR214" t="s">
        <v>86</v>
      </c>
      <c r="CS214" t="s">
        <v>290</v>
      </c>
      <c r="CT214" t="s">
        <v>289</v>
      </c>
      <c r="CU214" t="s">
        <v>81</v>
      </c>
      <c r="CV214" t="s">
        <v>289</v>
      </c>
      <c r="CW214">
        <v>0</v>
      </c>
      <c r="DB214">
        <v>420</v>
      </c>
      <c r="DC214">
        <v>460</v>
      </c>
      <c r="DD214">
        <v>500</v>
      </c>
      <c r="DE214">
        <v>500</v>
      </c>
      <c r="DG214" t="s">
        <v>3820</v>
      </c>
      <c r="DH214" t="s">
        <v>82</v>
      </c>
      <c r="DJ214" t="s">
        <v>1043</v>
      </c>
      <c r="DK214" t="s">
        <v>692</v>
      </c>
      <c r="DL214">
        <v>11.54</v>
      </c>
      <c r="DM214" t="s">
        <v>669</v>
      </c>
      <c r="DN214" t="s">
        <v>669</v>
      </c>
      <c r="DO214">
        <v>0</v>
      </c>
      <c r="DP214">
        <v>0</v>
      </c>
      <c r="DQ214">
        <v>0</v>
      </c>
      <c r="DR214" t="s">
        <v>3219</v>
      </c>
      <c r="EB214" t="s">
        <v>3821</v>
      </c>
      <c r="EC214" t="s">
        <v>2333</v>
      </c>
      <c r="ED214" t="s">
        <v>2334</v>
      </c>
      <c r="EE214" t="s">
        <v>286</v>
      </c>
      <c r="EF214" t="s">
        <v>284</v>
      </c>
      <c r="EG214">
        <v>380</v>
      </c>
      <c r="EH214">
        <v>420</v>
      </c>
      <c r="EI214">
        <v>420</v>
      </c>
      <c r="EJ214">
        <v>485</v>
      </c>
      <c r="EL214" t="s">
        <v>3822</v>
      </c>
      <c r="EM214" t="s">
        <v>2368</v>
      </c>
      <c r="EN214" t="s">
        <v>2369</v>
      </c>
      <c r="EO214">
        <v>5.5</v>
      </c>
      <c r="EP214" t="s">
        <v>2252</v>
      </c>
      <c r="EQ214" t="s">
        <v>2572</v>
      </c>
      <c r="ER214" t="s">
        <v>2573</v>
      </c>
      <c r="ES214">
        <v>83160</v>
      </c>
      <c r="ET214">
        <v>83160</v>
      </c>
      <c r="EU214">
        <v>83160</v>
      </c>
      <c r="EV214">
        <v>83160</v>
      </c>
    </row>
    <row r="215" ht="15" customHeight="1" spans="95:152" x14ac:dyDescent="0.25">
      <c r="CQ215" t="s">
        <v>3823</v>
      </c>
      <c r="CR215" t="s">
        <v>86</v>
      </c>
      <c r="CS215" t="s">
        <v>275</v>
      </c>
      <c r="CT215" t="s">
        <v>273</v>
      </c>
      <c r="CU215" t="s">
        <v>81</v>
      </c>
      <c r="CV215" t="s">
        <v>274</v>
      </c>
      <c r="CW215">
        <v>0</v>
      </c>
      <c r="DB215">
        <v>1000</v>
      </c>
      <c r="DC215">
        <v>1110</v>
      </c>
      <c r="DD215">
        <v>1200</v>
      </c>
      <c r="DE215">
        <v>1200</v>
      </c>
      <c r="DG215" t="s">
        <v>3824</v>
      </c>
      <c r="DH215" t="s">
        <v>82</v>
      </c>
      <c r="DJ215" t="s">
        <v>983</v>
      </c>
      <c r="DK215" t="s">
        <v>692</v>
      </c>
      <c r="DL215">
        <v>11.54</v>
      </c>
      <c r="DM215" t="s">
        <v>669</v>
      </c>
      <c r="DN215" t="s">
        <v>669</v>
      </c>
      <c r="DO215">
        <v>0</v>
      </c>
      <c r="DP215">
        <v>0</v>
      </c>
      <c r="DQ215">
        <v>0</v>
      </c>
      <c r="DR215" t="s">
        <v>3099</v>
      </c>
      <c r="EB215" t="s">
        <v>3825</v>
      </c>
      <c r="EC215" t="s">
        <v>2333</v>
      </c>
      <c r="ED215" t="s">
        <v>2334</v>
      </c>
      <c r="EE215" t="s">
        <v>272</v>
      </c>
      <c r="EF215" t="s">
        <v>270</v>
      </c>
      <c r="EG215">
        <v>1230</v>
      </c>
      <c r="EH215">
        <v>1355</v>
      </c>
      <c r="EI215">
        <v>1355</v>
      </c>
      <c r="EJ215">
        <v>1560</v>
      </c>
      <c r="EL215" t="s">
        <v>3826</v>
      </c>
      <c r="EM215" t="s">
        <v>2368</v>
      </c>
      <c r="EN215" t="s">
        <v>2369</v>
      </c>
      <c r="EO215">
        <v>5.5</v>
      </c>
      <c r="EP215" t="s">
        <v>2276</v>
      </c>
      <c r="EQ215" t="s">
        <v>2586</v>
      </c>
      <c r="ER215" t="s">
        <v>2587</v>
      </c>
      <c r="ES215">
        <v>124740</v>
      </c>
      <c r="ET215">
        <v>124740</v>
      </c>
      <c r="EU215">
        <v>124740</v>
      </c>
      <c r="EV215">
        <v>124740</v>
      </c>
    </row>
    <row r="216" ht="15" customHeight="1" spans="95:152" x14ac:dyDescent="0.25">
      <c r="CQ216" t="s">
        <v>3827</v>
      </c>
      <c r="CR216" t="s">
        <v>86</v>
      </c>
      <c r="CS216" t="s">
        <v>551</v>
      </c>
      <c r="CT216" t="s">
        <v>548</v>
      </c>
      <c r="CU216" t="s">
        <v>81</v>
      </c>
      <c r="CV216" t="s">
        <v>274</v>
      </c>
      <c r="CW216">
        <v>0</v>
      </c>
      <c r="DB216">
        <v>1670</v>
      </c>
      <c r="DC216">
        <v>1850</v>
      </c>
      <c r="DD216">
        <v>1990</v>
      </c>
      <c r="DE216">
        <v>1990</v>
      </c>
      <c r="DG216" t="s">
        <v>3828</v>
      </c>
      <c r="DH216" t="s">
        <v>82</v>
      </c>
      <c r="DI216" t="s">
        <v>1372</v>
      </c>
      <c r="DJ216" t="s">
        <v>1373</v>
      </c>
      <c r="DK216" t="s">
        <v>692</v>
      </c>
      <c r="DL216">
        <v>11.54</v>
      </c>
      <c r="DM216" t="s">
        <v>670</v>
      </c>
      <c r="DN216" t="s">
        <v>669</v>
      </c>
      <c r="DO216">
        <v>0</v>
      </c>
      <c r="DP216">
        <v>0</v>
      </c>
      <c r="DQ216">
        <v>971</v>
      </c>
      <c r="DR216" t="s">
        <v>3829</v>
      </c>
      <c r="EB216" t="s">
        <v>3830</v>
      </c>
      <c r="EC216" t="s">
        <v>2333</v>
      </c>
      <c r="ED216" t="s">
        <v>2334</v>
      </c>
      <c r="EE216" t="s">
        <v>283</v>
      </c>
      <c r="EF216" t="s">
        <v>281</v>
      </c>
      <c r="EG216">
        <v>180</v>
      </c>
      <c r="EH216">
        <v>200</v>
      </c>
      <c r="EI216">
        <v>200</v>
      </c>
      <c r="EJ216">
        <v>230</v>
      </c>
      <c r="EL216" t="s">
        <v>3831</v>
      </c>
      <c r="EM216" t="s">
        <v>2368</v>
      </c>
      <c r="EN216" t="s">
        <v>2369</v>
      </c>
      <c r="EO216">
        <v>6</v>
      </c>
      <c r="EP216" t="s">
        <v>2252</v>
      </c>
      <c r="EQ216" t="s">
        <v>2601</v>
      </c>
      <c r="ER216" t="s">
        <v>2602</v>
      </c>
      <c r="ES216">
        <v>90880</v>
      </c>
      <c r="ET216">
        <v>90880</v>
      </c>
      <c r="EU216">
        <v>90880</v>
      </c>
      <c r="EV216">
        <v>90880</v>
      </c>
    </row>
    <row r="217" ht="15" customHeight="1" spans="95:152" x14ac:dyDescent="0.25">
      <c r="CQ217" t="s">
        <v>3832</v>
      </c>
      <c r="CR217" t="s">
        <v>86</v>
      </c>
      <c r="CS217" t="s">
        <v>298</v>
      </c>
      <c r="CT217" t="s">
        <v>297</v>
      </c>
      <c r="CU217" t="s">
        <v>81</v>
      </c>
      <c r="CV217" t="s">
        <v>274</v>
      </c>
      <c r="CW217">
        <v>0</v>
      </c>
      <c r="DB217">
        <v>1</v>
      </c>
      <c r="DC217">
        <v>1</v>
      </c>
      <c r="DD217">
        <v>1</v>
      </c>
      <c r="DE217">
        <v>1</v>
      </c>
      <c r="DG217" t="s">
        <v>3833</v>
      </c>
      <c r="DH217" t="s">
        <v>82</v>
      </c>
      <c r="DI217" t="s">
        <v>1375</v>
      </c>
      <c r="DJ217" t="s">
        <v>1376</v>
      </c>
      <c r="DK217" t="s">
        <v>692</v>
      </c>
      <c r="DL217">
        <v>11.54</v>
      </c>
      <c r="DM217" t="s">
        <v>669</v>
      </c>
      <c r="DN217" t="s">
        <v>670</v>
      </c>
      <c r="DO217">
        <v>1</v>
      </c>
      <c r="DP217">
        <v>1817.81</v>
      </c>
      <c r="DQ217">
        <v>1817.81</v>
      </c>
      <c r="DR217" t="s">
        <v>3834</v>
      </c>
      <c r="EB217" t="s">
        <v>3835</v>
      </c>
      <c r="EC217" t="s">
        <v>2333</v>
      </c>
      <c r="ED217" t="s">
        <v>2334</v>
      </c>
      <c r="EE217" t="s">
        <v>267</v>
      </c>
      <c r="EF217" t="s">
        <v>265</v>
      </c>
      <c r="EG217">
        <v>1160</v>
      </c>
      <c r="EH217">
        <v>1275</v>
      </c>
      <c r="EI217">
        <v>1275</v>
      </c>
      <c r="EJ217">
        <v>1465</v>
      </c>
      <c r="EL217" t="s">
        <v>3836</v>
      </c>
      <c r="EM217" t="s">
        <v>2368</v>
      </c>
      <c r="EN217" t="s">
        <v>2369</v>
      </c>
      <c r="EO217">
        <v>6</v>
      </c>
      <c r="EP217" t="s">
        <v>2276</v>
      </c>
      <c r="EQ217" t="s">
        <v>2615</v>
      </c>
      <c r="ER217" t="s">
        <v>2616</v>
      </c>
      <c r="ES217">
        <v>136320</v>
      </c>
      <c r="ET217">
        <v>136320</v>
      </c>
      <c r="EU217">
        <v>136320</v>
      </c>
      <c r="EV217">
        <v>136320</v>
      </c>
    </row>
    <row r="218" ht="15" customHeight="1" spans="95:152" x14ac:dyDescent="0.25">
      <c r="CQ218" t="s">
        <v>3837</v>
      </c>
      <c r="CR218" t="s">
        <v>86</v>
      </c>
      <c r="CS218" t="s">
        <v>620</v>
      </c>
      <c r="CT218" t="s">
        <v>2250</v>
      </c>
      <c r="CU218" t="s">
        <v>81</v>
      </c>
      <c r="CV218" t="s">
        <v>285</v>
      </c>
      <c r="CW218">
        <v>0</v>
      </c>
      <c r="DB218">
        <v>360</v>
      </c>
      <c r="DC218">
        <v>400</v>
      </c>
      <c r="DD218">
        <v>430</v>
      </c>
      <c r="DE218">
        <v>430</v>
      </c>
      <c r="DG218" t="s">
        <v>3838</v>
      </c>
      <c r="DH218" t="s">
        <v>82</v>
      </c>
      <c r="DI218" t="s">
        <v>1380</v>
      </c>
      <c r="DJ218" t="s">
        <v>1381</v>
      </c>
      <c r="DK218" t="s">
        <v>692</v>
      </c>
      <c r="DL218">
        <v>11.54</v>
      </c>
      <c r="DM218" t="s">
        <v>670</v>
      </c>
      <c r="DN218" t="s">
        <v>669</v>
      </c>
      <c r="DO218">
        <v>0</v>
      </c>
      <c r="DP218">
        <v>0</v>
      </c>
      <c r="DQ218">
        <v>617</v>
      </c>
      <c r="DR218" t="s">
        <v>3839</v>
      </c>
      <c r="EB218" t="s">
        <v>3840</v>
      </c>
      <c r="EC218" t="s">
        <v>2333</v>
      </c>
      <c r="ED218" t="s">
        <v>2334</v>
      </c>
      <c r="EE218" t="s">
        <v>258</v>
      </c>
      <c r="EF218" t="s">
        <v>256</v>
      </c>
      <c r="EG218">
        <v>2175</v>
      </c>
      <c r="EH218">
        <v>2395</v>
      </c>
      <c r="EI218">
        <v>2395</v>
      </c>
      <c r="EJ218">
        <v>2755</v>
      </c>
      <c r="EL218" t="s">
        <v>3841</v>
      </c>
      <c r="EM218" t="s">
        <v>2368</v>
      </c>
      <c r="EN218" t="s">
        <v>2369</v>
      </c>
      <c r="EO218">
        <v>6.5</v>
      </c>
      <c r="EP218" t="s">
        <v>2252</v>
      </c>
      <c r="EQ218" t="s">
        <v>2628</v>
      </c>
      <c r="ER218" t="s">
        <v>2629</v>
      </c>
      <c r="ES218">
        <v>98010</v>
      </c>
      <c r="ET218">
        <v>98010</v>
      </c>
      <c r="EU218">
        <v>98010</v>
      </c>
      <c r="EV218">
        <v>98010</v>
      </c>
    </row>
    <row r="219" ht="15" customHeight="1" spans="95:152" x14ac:dyDescent="0.25">
      <c r="CQ219" t="s">
        <v>3842</v>
      </c>
      <c r="CR219" t="s">
        <v>86</v>
      </c>
      <c r="CS219" t="s">
        <v>618</v>
      </c>
      <c r="CT219" t="s">
        <v>2274</v>
      </c>
      <c r="CU219" t="s">
        <v>81</v>
      </c>
      <c r="CV219" t="s">
        <v>285</v>
      </c>
      <c r="CW219">
        <v>0</v>
      </c>
      <c r="DB219">
        <v>580</v>
      </c>
      <c r="DC219">
        <v>660</v>
      </c>
      <c r="DD219">
        <v>760</v>
      </c>
      <c r="DE219">
        <v>800</v>
      </c>
      <c r="DG219" t="s">
        <v>3843</v>
      </c>
      <c r="DH219" t="s">
        <v>82</v>
      </c>
      <c r="DI219" t="s">
        <v>1383</v>
      </c>
      <c r="DJ219" t="s">
        <v>1384</v>
      </c>
      <c r="DK219" t="s">
        <v>692</v>
      </c>
      <c r="DL219">
        <v>11.54</v>
      </c>
      <c r="DM219" t="s">
        <v>669</v>
      </c>
      <c r="DN219" t="s">
        <v>670</v>
      </c>
      <c r="DO219">
        <v>1</v>
      </c>
      <c r="DP219">
        <v>210</v>
      </c>
      <c r="DQ219">
        <v>210</v>
      </c>
      <c r="DR219" t="s">
        <v>3844</v>
      </c>
      <c r="EB219" t="s">
        <v>3845</v>
      </c>
      <c r="EC219" t="s">
        <v>2333</v>
      </c>
      <c r="ED219" t="s">
        <v>2334</v>
      </c>
      <c r="EE219" t="s">
        <v>222</v>
      </c>
      <c r="EF219" t="s">
        <v>220</v>
      </c>
      <c r="EG219">
        <v>1450</v>
      </c>
      <c r="EH219">
        <v>1595</v>
      </c>
      <c r="EI219">
        <v>1595</v>
      </c>
      <c r="EJ219">
        <v>1835</v>
      </c>
      <c r="EL219" t="s">
        <v>3846</v>
      </c>
      <c r="EM219" t="s">
        <v>2368</v>
      </c>
      <c r="EN219" t="s">
        <v>2369</v>
      </c>
      <c r="EO219">
        <v>6.5</v>
      </c>
      <c r="EP219" t="s">
        <v>2276</v>
      </c>
      <c r="EQ219" t="s">
        <v>2644</v>
      </c>
      <c r="ER219" t="s">
        <v>2645</v>
      </c>
      <c r="ES219">
        <v>147015</v>
      </c>
      <c r="ET219">
        <v>147015</v>
      </c>
      <c r="EU219">
        <v>147015</v>
      </c>
      <c r="EV219">
        <v>147015</v>
      </c>
    </row>
    <row r="220" ht="15" customHeight="1" spans="95:152" x14ac:dyDescent="0.25">
      <c r="CQ220" t="s">
        <v>3847</v>
      </c>
      <c r="CR220" t="s">
        <v>86</v>
      </c>
      <c r="CS220" t="s">
        <v>616</v>
      </c>
      <c r="CT220" t="s">
        <v>2291</v>
      </c>
      <c r="CU220" t="s">
        <v>81</v>
      </c>
      <c r="CV220" t="s">
        <v>285</v>
      </c>
      <c r="CW220">
        <v>0</v>
      </c>
      <c r="DB220">
        <v>1230</v>
      </c>
      <c r="DC220">
        <v>1360</v>
      </c>
      <c r="DD220">
        <v>1470</v>
      </c>
      <c r="DE220">
        <v>1470</v>
      </c>
      <c r="DG220" t="s">
        <v>3848</v>
      </c>
      <c r="DH220" t="s">
        <v>82</v>
      </c>
      <c r="DI220" t="s">
        <v>1385</v>
      </c>
      <c r="DJ220" t="s">
        <v>1386</v>
      </c>
      <c r="DK220" t="s">
        <v>692</v>
      </c>
      <c r="DL220">
        <v>11.54</v>
      </c>
      <c r="DM220" t="s">
        <v>670</v>
      </c>
      <c r="DN220" t="s">
        <v>669</v>
      </c>
      <c r="DO220">
        <v>0</v>
      </c>
      <c r="DP220">
        <v>0</v>
      </c>
      <c r="DQ220">
        <v>768</v>
      </c>
      <c r="DR220" t="s">
        <v>3849</v>
      </c>
      <c r="EB220" t="s">
        <v>3850</v>
      </c>
      <c r="EC220" t="s">
        <v>2333</v>
      </c>
      <c r="ED220" t="s">
        <v>2334</v>
      </c>
      <c r="EE220" t="s">
        <v>233</v>
      </c>
      <c r="EF220" t="s">
        <v>231</v>
      </c>
      <c r="EG220">
        <v>725</v>
      </c>
      <c r="EH220">
        <v>800</v>
      </c>
      <c r="EI220">
        <v>800</v>
      </c>
      <c r="EJ220">
        <v>920</v>
      </c>
      <c r="EL220" t="s">
        <v>3851</v>
      </c>
      <c r="EM220" t="s">
        <v>2368</v>
      </c>
      <c r="EN220" t="s">
        <v>2369</v>
      </c>
      <c r="EO220">
        <v>7</v>
      </c>
      <c r="EP220" t="s">
        <v>2252</v>
      </c>
      <c r="EQ220" t="s">
        <v>2659</v>
      </c>
      <c r="ER220" t="s">
        <v>2660</v>
      </c>
      <c r="ES220">
        <v>106330</v>
      </c>
      <c r="ET220">
        <v>106330</v>
      </c>
      <c r="EU220">
        <v>106330</v>
      </c>
      <c r="EV220">
        <v>106330</v>
      </c>
    </row>
    <row r="221" ht="15" customHeight="1" spans="95:152" x14ac:dyDescent="0.25">
      <c r="CQ221" t="s">
        <v>3852</v>
      </c>
      <c r="CR221" t="s">
        <v>86</v>
      </c>
      <c r="CS221" t="s">
        <v>614</v>
      </c>
      <c r="CT221" t="s">
        <v>2304</v>
      </c>
      <c r="CU221" t="s">
        <v>81</v>
      </c>
      <c r="CV221" t="s">
        <v>285</v>
      </c>
      <c r="CW221">
        <v>0</v>
      </c>
      <c r="DB221">
        <v>730</v>
      </c>
      <c r="DC221">
        <v>800</v>
      </c>
      <c r="DD221">
        <v>870</v>
      </c>
      <c r="DE221">
        <v>870</v>
      </c>
      <c r="DG221" t="s">
        <v>3853</v>
      </c>
      <c r="DH221" t="s">
        <v>82</v>
      </c>
      <c r="DI221" t="s">
        <v>1388</v>
      </c>
      <c r="DJ221" t="s">
        <v>200</v>
      </c>
      <c r="DK221" t="s">
        <v>692</v>
      </c>
      <c r="DL221">
        <v>11.54</v>
      </c>
      <c r="DM221" t="s">
        <v>669</v>
      </c>
      <c r="DN221" t="s">
        <v>670</v>
      </c>
      <c r="DO221">
        <v>1</v>
      </c>
      <c r="DP221">
        <v>30093</v>
      </c>
      <c r="DQ221">
        <v>30093</v>
      </c>
      <c r="DR221" t="s">
        <v>3854</v>
      </c>
      <c r="EB221" t="s">
        <v>3855</v>
      </c>
      <c r="EC221" t="s">
        <v>2333</v>
      </c>
      <c r="ED221" t="s">
        <v>2334</v>
      </c>
      <c r="EE221" t="s">
        <v>225</v>
      </c>
      <c r="EF221" t="s">
        <v>223</v>
      </c>
      <c r="EG221">
        <v>1445</v>
      </c>
      <c r="EH221">
        <v>1590</v>
      </c>
      <c r="EI221">
        <v>1590</v>
      </c>
      <c r="EJ221">
        <v>1830</v>
      </c>
      <c r="EL221" t="s">
        <v>3856</v>
      </c>
      <c r="EM221" t="s">
        <v>2368</v>
      </c>
      <c r="EN221" t="s">
        <v>2369</v>
      </c>
      <c r="EO221">
        <v>7</v>
      </c>
      <c r="EP221" t="s">
        <v>2276</v>
      </c>
      <c r="EQ221" t="s">
        <v>2673</v>
      </c>
      <c r="ER221" t="s">
        <v>2674</v>
      </c>
      <c r="ES221">
        <v>159495</v>
      </c>
      <c r="ET221">
        <v>159495</v>
      </c>
      <c r="EU221">
        <v>159495</v>
      </c>
      <c r="EV221">
        <v>159495</v>
      </c>
    </row>
    <row r="222" ht="15" customHeight="1" spans="95:152" x14ac:dyDescent="0.25">
      <c r="CQ222" t="s">
        <v>3857</v>
      </c>
      <c r="CR222" t="s">
        <v>86</v>
      </c>
      <c r="CS222" t="s">
        <v>286</v>
      </c>
      <c r="CT222" t="s">
        <v>284</v>
      </c>
      <c r="CU222" t="s">
        <v>81</v>
      </c>
      <c r="CV222" t="s">
        <v>285</v>
      </c>
      <c r="CW222">
        <v>0</v>
      </c>
      <c r="DB222">
        <v>680</v>
      </c>
      <c r="DC222">
        <v>750</v>
      </c>
      <c r="DD222">
        <v>810</v>
      </c>
      <c r="DE222">
        <v>810</v>
      </c>
      <c r="DG222" t="s">
        <v>3858</v>
      </c>
      <c r="DH222" t="s">
        <v>82</v>
      </c>
      <c r="DI222" t="s">
        <v>1390</v>
      </c>
      <c r="DJ222" t="s">
        <v>1391</v>
      </c>
      <c r="DK222" t="s">
        <v>692</v>
      </c>
      <c r="DL222">
        <v>11.54</v>
      </c>
      <c r="DM222" t="s">
        <v>669</v>
      </c>
      <c r="DN222" t="s">
        <v>670</v>
      </c>
      <c r="DO222">
        <v>1</v>
      </c>
      <c r="DP222">
        <v>460</v>
      </c>
      <c r="DQ222">
        <v>460</v>
      </c>
      <c r="DR222" t="s">
        <v>3859</v>
      </c>
      <c r="EB222" t="s">
        <v>3860</v>
      </c>
      <c r="EC222" t="s">
        <v>2333</v>
      </c>
      <c r="EE222" t="s">
        <v>288</v>
      </c>
      <c r="EL222" t="s">
        <v>3861</v>
      </c>
      <c r="EM222" t="s">
        <v>2368</v>
      </c>
      <c r="EN222" t="s">
        <v>2369</v>
      </c>
      <c r="EO222">
        <v>7.5</v>
      </c>
      <c r="EP222" t="s">
        <v>2252</v>
      </c>
      <c r="EQ222" t="s">
        <v>2686</v>
      </c>
      <c r="ER222" t="s">
        <v>3547</v>
      </c>
      <c r="ES222">
        <v>112860</v>
      </c>
      <c r="ET222">
        <v>112860</v>
      </c>
      <c r="EU222">
        <v>112860</v>
      </c>
      <c r="EV222">
        <v>112860</v>
      </c>
    </row>
    <row r="223" ht="15" customHeight="1" spans="95:152" x14ac:dyDescent="0.25">
      <c r="CQ223" t="s">
        <v>3862</v>
      </c>
      <c r="CR223" t="s">
        <v>86</v>
      </c>
      <c r="CS223" t="s">
        <v>272</v>
      </c>
      <c r="CT223" t="s">
        <v>270</v>
      </c>
      <c r="CU223" t="s">
        <v>81</v>
      </c>
      <c r="CV223" t="s">
        <v>271</v>
      </c>
      <c r="CW223">
        <v>0</v>
      </c>
      <c r="DB223">
        <v>1430</v>
      </c>
      <c r="DC223">
        <v>1580</v>
      </c>
      <c r="DD223">
        <v>1710</v>
      </c>
      <c r="DE223">
        <v>1710</v>
      </c>
      <c r="DG223" t="s">
        <v>3863</v>
      </c>
      <c r="DH223" t="s">
        <v>82</v>
      </c>
      <c r="DI223" t="s">
        <v>1393</v>
      </c>
      <c r="DJ223" t="s">
        <v>1394</v>
      </c>
      <c r="DK223" t="s">
        <v>692</v>
      </c>
      <c r="DL223">
        <v>11.54</v>
      </c>
      <c r="DM223" t="s">
        <v>669</v>
      </c>
      <c r="DN223" t="s">
        <v>670</v>
      </c>
      <c r="DO223">
        <v>1</v>
      </c>
      <c r="DP223">
        <v>327</v>
      </c>
      <c r="DQ223">
        <v>327</v>
      </c>
      <c r="DR223" t="s">
        <v>3864</v>
      </c>
      <c r="EB223" t="s">
        <v>3865</v>
      </c>
      <c r="EC223" t="s">
        <v>2333</v>
      </c>
      <c r="ED223" t="s">
        <v>2334</v>
      </c>
      <c r="EE223" t="s">
        <v>269</v>
      </c>
      <c r="EF223" t="s">
        <v>3239</v>
      </c>
      <c r="EG223">
        <v>695</v>
      </c>
      <c r="EH223">
        <v>765</v>
      </c>
      <c r="EI223">
        <v>765</v>
      </c>
      <c r="EJ223">
        <v>880</v>
      </c>
      <c r="EL223" t="s">
        <v>3866</v>
      </c>
      <c r="EM223" t="s">
        <v>2368</v>
      </c>
      <c r="EN223" t="s">
        <v>2369</v>
      </c>
      <c r="EO223">
        <v>7.5</v>
      </c>
      <c r="EP223" t="s">
        <v>2276</v>
      </c>
      <c r="EQ223" t="s">
        <v>2701</v>
      </c>
      <c r="ER223" t="s">
        <v>2702</v>
      </c>
      <c r="ES223">
        <v>169290</v>
      </c>
      <c r="ET223">
        <v>169290</v>
      </c>
      <c r="EU223">
        <v>169290</v>
      </c>
      <c r="EV223">
        <v>169290</v>
      </c>
    </row>
    <row r="224" ht="15" customHeight="1" spans="95:152" x14ac:dyDescent="0.25">
      <c r="CQ224" t="s">
        <v>3867</v>
      </c>
      <c r="CR224" t="s">
        <v>86</v>
      </c>
      <c r="CS224" t="s">
        <v>283</v>
      </c>
      <c r="CT224" t="s">
        <v>281</v>
      </c>
      <c r="CU224" t="s">
        <v>81</v>
      </c>
      <c r="CV224" t="s">
        <v>282</v>
      </c>
      <c r="CW224">
        <v>0</v>
      </c>
      <c r="DB224">
        <v>360</v>
      </c>
      <c r="DC224">
        <v>400</v>
      </c>
      <c r="DD224">
        <v>430</v>
      </c>
      <c r="DE224">
        <v>430</v>
      </c>
      <c r="DG224" t="s">
        <v>3868</v>
      </c>
      <c r="DH224" t="s">
        <v>82</v>
      </c>
      <c r="DI224" t="s">
        <v>1395</v>
      </c>
      <c r="DJ224" t="s">
        <v>1396</v>
      </c>
      <c r="DK224" t="s">
        <v>692</v>
      </c>
      <c r="DL224">
        <v>11.54</v>
      </c>
      <c r="DM224" t="s">
        <v>669</v>
      </c>
      <c r="DN224" t="s">
        <v>670</v>
      </c>
      <c r="DO224">
        <v>1</v>
      </c>
      <c r="DP224">
        <v>4285</v>
      </c>
      <c r="DQ224">
        <v>4285</v>
      </c>
      <c r="DR224" t="s">
        <v>3869</v>
      </c>
      <c r="EB224" t="s">
        <v>3870</v>
      </c>
      <c r="EC224" t="s">
        <v>2333</v>
      </c>
      <c r="ED224" t="s">
        <v>2334</v>
      </c>
      <c r="EE224" t="s">
        <v>237</v>
      </c>
      <c r="EF224" t="s">
        <v>235</v>
      </c>
      <c r="EG224">
        <v>1850</v>
      </c>
      <c r="EH224">
        <v>1850</v>
      </c>
      <c r="EI224">
        <v>1850</v>
      </c>
      <c r="EJ224">
        <v>1850</v>
      </c>
      <c r="EL224" t="s">
        <v>3871</v>
      </c>
      <c r="EM224" t="s">
        <v>2368</v>
      </c>
      <c r="EN224" t="s">
        <v>2369</v>
      </c>
      <c r="EO224">
        <v>8</v>
      </c>
      <c r="EP224" t="s">
        <v>2252</v>
      </c>
      <c r="EQ224" t="s">
        <v>2715</v>
      </c>
      <c r="ER224" t="s">
        <v>2716</v>
      </c>
      <c r="ES224">
        <v>118210</v>
      </c>
      <c r="ET224">
        <v>118210</v>
      </c>
      <c r="EU224">
        <v>118210</v>
      </c>
      <c r="EV224">
        <v>118210</v>
      </c>
    </row>
    <row r="225" ht="15" customHeight="1" spans="95:152" x14ac:dyDescent="0.25">
      <c r="CQ225" t="s">
        <v>3872</v>
      </c>
      <c r="CR225" t="s">
        <v>86</v>
      </c>
      <c r="CS225" t="s">
        <v>267</v>
      </c>
      <c r="CT225" t="s">
        <v>265</v>
      </c>
      <c r="CU225" t="s">
        <v>81</v>
      </c>
      <c r="CV225" t="s">
        <v>266</v>
      </c>
      <c r="CW225">
        <v>0</v>
      </c>
      <c r="DB225">
        <v>1920</v>
      </c>
      <c r="DC225">
        <v>2120</v>
      </c>
      <c r="DD225">
        <v>2290</v>
      </c>
      <c r="DE225">
        <v>2290</v>
      </c>
      <c r="DG225" t="s">
        <v>3873</v>
      </c>
      <c r="DH225" t="s">
        <v>82</v>
      </c>
      <c r="DI225" t="s">
        <v>1398</v>
      </c>
      <c r="DJ225" t="s">
        <v>1399</v>
      </c>
      <c r="DK225" t="s">
        <v>692</v>
      </c>
      <c r="DL225">
        <v>11.54</v>
      </c>
      <c r="DM225" t="s">
        <v>670</v>
      </c>
      <c r="DN225" t="s">
        <v>670</v>
      </c>
      <c r="DO225">
        <v>1</v>
      </c>
      <c r="DP225">
        <v>2.58</v>
      </c>
      <c r="DQ225">
        <v>5.24</v>
      </c>
      <c r="DR225" t="s">
        <v>3874</v>
      </c>
      <c r="EB225" t="s">
        <v>3875</v>
      </c>
      <c r="EC225" t="s">
        <v>2333</v>
      </c>
      <c r="ED225" t="s">
        <v>2334</v>
      </c>
      <c r="EE225" t="s">
        <v>249</v>
      </c>
      <c r="EF225" t="s">
        <v>247</v>
      </c>
      <c r="EG225">
        <v>240</v>
      </c>
      <c r="EH225">
        <v>265</v>
      </c>
      <c r="EI225">
        <v>265</v>
      </c>
      <c r="EJ225">
        <v>305</v>
      </c>
      <c r="EL225" t="s">
        <v>3876</v>
      </c>
      <c r="EM225" t="s">
        <v>2368</v>
      </c>
      <c r="EN225" t="s">
        <v>2369</v>
      </c>
      <c r="EO225">
        <v>8</v>
      </c>
      <c r="EP225" t="s">
        <v>2276</v>
      </c>
      <c r="EQ225" t="s">
        <v>2728</v>
      </c>
      <c r="ER225" t="s">
        <v>2729</v>
      </c>
      <c r="ES225">
        <v>177315</v>
      </c>
      <c r="ET225">
        <v>177315</v>
      </c>
      <c r="EU225">
        <v>177315</v>
      </c>
      <c r="EV225">
        <v>177315</v>
      </c>
    </row>
    <row r="226" ht="15" customHeight="1" spans="95:152" x14ac:dyDescent="0.25">
      <c r="CQ226" t="s">
        <v>3877</v>
      </c>
      <c r="CR226" t="s">
        <v>86</v>
      </c>
      <c r="CS226" t="s">
        <v>258</v>
      </c>
      <c r="CT226" t="s">
        <v>256</v>
      </c>
      <c r="CU226" t="s">
        <v>81</v>
      </c>
      <c r="CV226" t="s">
        <v>257</v>
      </c>
      <c r="CW226">
        <v>0</v>
      </c>
      <c r="DB226">
        <v>2910</v>
      </c>
      <c r="DC226">
        <v>3220</v>
      </c>
      <c r="DD226">
        <v>3470</v>
      </c>
      <c r="DE226">
        <v>3470</v>
      </c>
      <c r="DG226" t="s">
        <v>3878</v>
      </c>
      <c r="DH226" t="s">
        <v>82</v>
      </c>
      <c r="DI226" t="s">
        <v>1403</v>
      </c>
      <c r="DJ226" t="s">
        <v>1404</v>
      </c>
      <c r="DK226" t="s">
        <v>692</v>
      </c>
      <c r="DL226">
        <v>11.54</v>
      </c>
      <c r="DM226" t="s">
        <v>669</v>
      </c>
      <c r="DN226" t="s">
        <v>670</v>
      </c>
      <c r="DO226">
        <v>10</v>
      </c>
      <c r="DP226">
        <v>1020</v>
      </c>
      <c r="DQ226">
        <v>1020</v>
      </c>
      <c r="DR226" t="s">
        <v>3879</v>
      </c>
      <c r="EB226" t="s">
        <v>3880</v>
      </c>
      <c r="EC226" t="s">
        <v>2333</v>
      </c>
      <c r="ED226" t="s">
        <v>2334</v>
      </c>
      <c r="EE226" t="s">
        <v>293</v>
      </c>
      <c r="EF226" t="s">
        <v>291</v>
      </c>
      <c r="EG226">
        <v>270</v>
      </c>
      <c r="EH226">
        <v>295</v>
      </c>
      <c r="EI226">
        <v>295</v>
      </c>
      <c r="EJ226">
        <v>370</v>
      </c>
      <c r="EL226" t="s">
        <v>3881</v>
      </c>
      <c r="EM226" t="s">
        <v>2434</v>
      </c>
      <c r="EN226" t="s">
        <v>2435</v>
      </c>
      <c r="EO226">
        <v>0.5</v>
      </c>
      <c r="EP226" t="s">
        <v>2252</v>
      </c>
      <c r="EQ226" t="s">
        <v>2253</v>
      </c>
      <c r="ER226" t="s">
        <v>2254</v>
      </c>
      <c r="ES226">
        <v>8000</v>
      </c>
      <c r="ET226">
        <v>8000</v>
      </c>
      <c r="EU226">
        <v>8000</v>
      </c>
      <c r="EV226">
        <v>8000</v>
      </c>
    </row>
    <row r="227" ht="15" customHeight="1" spans="95:152" x14ac:dyDescent="0.25">
      <c r="CQ227" t="s">
        <v>3882</v>
      </c>
      <c r="CR227" t="s">
        <v>86</v>
      </c>
      <c r="CS227" t="s">
        <v>222</v>
      </c>
      <c r="CT227" t="s">
        <v>220</v>
      </c>
      <c r="CU227" t="s">
        <v>81</v>
      </c>
      <c r="CV227" t="s">
        <v>221</v>
      </c>
      <c r="CW227">
        <v>0</v>
      </c>
      <c r="DB227">
        <v>2430</v>
      </c>
      <c r="DC227">
        <v>2690</v>
      </c>
      <c r="DD227">
        <v>2900</v>
      </c>
      <c r="DE227">
        <v>2900</v>
      </c>
      <c r="DG227" t="s">
        <v>3883</v>
      </c>
      <c r="DH227" t="s">
        <v>82</v>
      </c>
      <c r="DI227" t="s">
        <v>1405</v>
      </c>
      <c r="DJ227" t="s">
        <v>1406</v>
      </c>
      <c r="DK227" t="s">
        <v>692</v>
      </c>
      <c r="DL227">
        <v>11.54</v>
      </c>
      <c r="DM227" t="s">
        <v>669</v>
      </c>
      <c r="DN227" t="s">
        <v>670</v>
      </c>
      <c r="DO227">
        <v>4</v>
      </c>
      <c r="DP227">
        <v>2920</v>
      </c>
      <c r="DQ227">
        <v>2920</v>
      </c>
      <c r="DR227" t="s">
        <v>3884</v>
      </c>
      <c r="EB227" t="s">
        <v>3885</v>
      </c>
      <c r="EC227" t="s">
        <v>2333</v>
      </c>
      <c r="ED227" t="s">
        <v>2334</v>
      </c>
      <c r="EE227" t="s">
        <v>280</v>
      </c>
      <c r="EF227" t="s">
        <v>279</v>
      </c>
      <c r="EG227">
        <v>475</v>
      </c>
      <c r="EH227">
        <v>525</v>
      </c>
      <c r="EI227">
        <v>525</v>
      </c>
      <c r="EJ227">
        <v>605</v>
      </c>
      <c r="EL227" t="s">
        <v>3886</v>
      </c>
      <c r="EM227" t="s">
        <v>2434</v>
      </c>
      <c r="EN227" t="s">
        <v>2435</v>
      </c>
      <c r="EO227">
        <v>0.5</v>
      </c>
      <c r="EP227" t="s">
        <v>2276</v>
      </c>
      <c r="EQ227" t="s">
        <v>2277</v>
      </c>
      <c r="ER227" t="s">
        <v>2278</v>
      </c>
      <c r="ES227">
        <v>12000</v>
      </c>
      <c r="ET227">
        <v>12000</v>
      </c>
      <c r="EU227">
        <v>12000</v>
      </c>
      <c r="EV227">
        <v>12000</v>
      </c>
    </row>
    <row r="228" ht="15" customHeight="1" spans="95:152" x14ac:dyDescent="0.25">
      <c r="CQ228" t="s">
        <v>3887</v>
      </c>
      <c r="CR228" t="s">
        <v>86</v>
      </c>
      <c r="CS228" t="s">
        <v>233</v>
      </c>
      <c r="CT228" t="s">
        <v>231</v>
      </c>
      <c r="CU228" t="s">
        <v>81</v>
      </c>
      <c r="CV228" t="s">
        <v>232</v>
      </c>
      <c r="CW228">
        <v>0</v>
      </c>
      <c r="DB228">
        <v>1110</v>
      </c>
      <c r="DC228">
        <v>1220</v>
      </c>
      <c r="DD228">
        <v>1320</v>
      </c>
      <c r="DE228">
        <v>1320</v>
      </c>
      <c r="DG228" t="s">
        <v>3888</v>
      </c>
      <c r="DH228" t="s">
        <v>82</v>
      </c>
      <c r="DI228" t="s">
        <v>1408</v>
      </c>
      <c r="DJ228" t="s">
        <v>1409</v>
      </c>
      <c r="DK228" t="s">
        <v>692</v>
      </c>
      <c r="DL228">
        <v>11.54</v>
      </c>
      <c r="DM228" t="s">
        <v>670</v>
      </c>
      <c r="DN228" t="s">
        <v>670</v>
      </c>
      <c r="DO228">
        <v>0</v>
      </c>
      <c r="DP228">
        <v>0</v>
      </c>
      <c r="DQ228">
        <v>264</v>
      </c>
      <c r="DR228" t="s">
        <v>3889</v>
      </c>
      <c r="EB228" t="s">
        <v>3890</v>
      </c>
      <c r="EC228" t="s">
        <v>2333</v>
      </c>
      <c r="ED228" t="s">
        <v>2334</v>
      </c>
      <c r="EE228" t="s">
        <v>264</v>
      </c>
      <c r="EF228" t="s">
        <v>262</v>
      </c>
      <c r="EG228">
        <v>580</v>
      </c>
      <c r="EH228">
        <v>640</v>
      </c>
      <c r="EI228">
        <v>640</v>
      </c>
      <c r="EJ228">
        <v>735</v>
      </c>
      <c r="EL228" t="s">
        <v>3891</v>
      </c>
      <c r="EM228" t="s">
        <v>2434</v>
      </c>
      <c r="EN228" t="s">
        <v>2435</v>
      </c>
      <c r="EO228">
        <v>1</v>
      </c>
      <c r="EP228" t="s">
        <v>2252</v>
      </c>
      <c r="EQ228" t="s">
        <v>2293</v>
      </c>
      <c r="ER228" t="s">
        <v>2294</v>
      </c>
      <c r="ES228">
        <v>14850</v>
      </c>
      <c r="ET228">
        <v>14850</v>
      </c>
      <c r="EU228">
        <v>14850</v>
      </c>
      <c r="EV228">
        <v>14850</v>
      </c>
    </row>
    <row r="229" ht="15" customHeight="1" spans="95:152" x14ac:dyDescent="0.25">
      <c r="CQ229" t="s">
        <v>3892</v>
      </c>
      <c r="CR229" t="s">
        <v>86</v>
      </c>
      <c r="CS229" t="s">
        <v>612</v>
      </c>
      <c r="CT229" t="s">
        <v>2320</v>
      </c>
      <c r="CU229" t="s">
        <v>81</v>
      </c>
      <c r="CV229" t="s">
        <v>2490</v>
      </c>
      <c r="CW229">
        <v>0</v>
      </c>
      <c r="DB229">
        <v>360</v>
      </c>
      <c r="DC229">
        <v>400</v>
      </c>
      <c r="DD229">
        <v>430</v>
      </c>
      <c r="DE229">
        <v>430</v>
      </c>
      <c r="DG229" t="s">
        <v>3893</v>
      </c>
      <c r="DH229" t="s">
        <v>82</v>
      </c>
      <c r="DI229" t="s">
        <v>1411</v>
      </c>
      <c r="DJ229" t="s">
        <v>1412</v>
      </c>
      <c r="DK229" t="s">
        <v>692</v>
      </c>
      <c r="DL229">
        <v>11.54</v>
      </c>
      <c r="DM229" t="s">
        <v>670</v>
      </c>
      <c r="DN229" t="s">
        <v>669</v>
      </c>
      <c r="DO229">
        <v>0</v>
      </c>
      <c r="DP229">
        <v>0</v>
      </c>
      <c r="DQ229">
        <v>393.86</v>
      </c>
      <c r="DR229" t="s">
        <v>3894</v>
      </c>
      <c r="EB229" t="s">
        <v>3895</v>
      </c>
      <c r="EC229" t="s">
        <v>2333</v>
      </c>
      <c r="EE229" t="s">
        <v>278</v>
      </c>
      <c r="EL229" t="s">
        <v>3896</v>
      </c>
      <c r="EM229" t="s">
        <v>2434</v>
      </c>
      <c r="EN229" t="s">
        <v>2435</v>
      </c>
      <c r="EO229">
        <v>1</v>
      </c>
      <c r="EP229" t="s">
        <v>2276</v>
      </c>
      <c r="EQ229" t="s">
        <v>2306</v>
      </c>
      <c r="ER229" t="s">
        <v>2307</v>
      </c>
      <c r="ES229">
        <v>22275</v>
      </c>
      <c r="ET229">
        <v>22275</v>
      </c>
      <c r="EU229">
        <v>22275</v>
      </c>
      <c r="EV229">
        <v>22275</v>
      </c>
    </row>
    <row r="230" ht="15" customHeight="1" spans="95:152" x14ac:dyDescent="0.25">
      <c r="CQ230" t="s">
        <v>3897</v>
      </c>
      <c r="CR230" t="s">
        <v>86</v>
      </c>
      <c r="CS230" t="s">
        <v>225</v>
      </c>
      <c r="CT230" t="s">
        <v>223</v>
      </c>
      <c r="CU230" t="s">
        <v>81</v>
      </c>
      <c r="CV230" t="s">
        <v>224</v>
      </c>
      <c r="CW230">
        <v>0</v>
      </c>
      <c r="DB230">
        <v>2730</v>
      </c>
      <c r="DC230">
        <v>3020</v>
      </c>
      <c r="DD230">
        <v>3260</v>
      </c>
      <c r="DE230">
        <v>3260</v>
      </c>
      <c r="DG230" t="s">
        <v>3898</v>
      </c>
      <c r="DH230" t="s">
        <v>82</v>
      </c>
      <c r="DI230" t="s">
        <v>1414</v>
      </c>
      <c r="DJ230" t="s">
        <v>1415</v>
      </c>
      <c r="DK230" t="s">
        <v>692</v>
      </c>
      <c r="DL230">
        <v>11.54</v>
      </c>
      <c r="DM230" t="s">
        <v>670</v>
      </c>
      <c r="DN230" t="s">
        <v>669</v>
      </c>
      <c r="DO230">
        <v>0</v>
      </c>
      <c r="DP230">
        <v>0</v>
      </c>
      <c r="DQ230">
        <v>292.03</v>
      </c>
      <c r="DR230" t="s">
        <v>3899</v>
      </c>
      <c r="EB230" t="s">
        <v>3900</v>
      </c>
      <c r="EC230" t="s">
        <v>2333</v>
      </c>
      <c r="ED230" t="s">
        <v>2334</v>
      </c>
      <c r="EE230" t="s">
        <v>240</v>
      </c>
      <c r="EF230" t="s">
        <v>238</v>
      </c>
      <c r="EG230">
        <v>4335</v>
      </c>
      <c r="EH230">
        <v>4335</v>
      </c>
      <c r="EI230">
        <v>4335</v>
      </c>
      <c r="EJ230">
        <v>4335</v>
      </c>
      <c r="EL230" t="s">
        <v>3901</v>
      </c>
      <c r="EM230" t="s">
        <v>2434</v>
      </c>
      <c r="EN230" t="s">
        <v>2435</v>
      </c>
      <c r="EO230">
        <v>1.5</v>
      </c>
      <c r="EP230" t="s">
        <v>2252</v>
      </c>
      <c r="EQ230" t="s">
        <v>2322</v>
      </c>
      <c r="ER230" t="s">
        <v>2323</v>
      </c>
      <c r="ES230">
        <v>22300</v>
      </c>
      <c r="ET230">
        <v>22300</v>
      </c>
      <c r="EU230">
        <v>22300</v>
      </c>
      <c r="EV230">
        <v>22300</v>
      </c>
    </row>
    <row r="231" ht="15" customHeight="1" spans="95:152" x14ac:dyDescent="0.25">
      <c r="CQ231" t="s">
        <v>3902</v>
      </c>
      <c r="CR231" t="s">
        <v>86</v>
      </c>
      <c r="CS231" t="s">
        <v>288</v>
      </c>
      <c r="CT231" t="s">
        <v>287</v>
      </c>
      <c r="CU231" t="s">
        <v>81</v>
      </c>
      <c r="CV231" t="s">
        <v>236</v>
      </c>
      <c r="CW231">
        <v>0</v>
      </c>
      <c r="DB231">
        <v>450</v>
      </c>
      <c r="DC231">
        <v>530</v>
      </c>
      <c r="DD231">
        <v>580</v>
      </c>
      <c r="DE231">
        <v>580</v>
      </c>
      <c r="DG231" t="s">
        <v>3903</v>
      </c>
      <c r="DH231" t="s">
        <v>82</v>
      </c>
      <c r="DJ231" t="s">
        <v>1108</v>
      </c>
      <c r="DK231" t="s">
        <v>668</v>
      </c>
      <c r="DL231">
        <v>7.69</v>
      </c>
      <c r="DM231" t="s">
        <v>669</v>
      </c>
      <c r="DN231" t="s">
        <v>669</v>
      </c>
      <c r="DO231">
        <v>0</v>
      </c>
      <c r="DP231">
        <v>0</v>
      </c>
      <c r="DQ231">
        <v>0</v>
      </c>
      <c r="DR231" t="s">
        <v>3355</v>
      </c>
      <c r="EB231" t="s">
        <v>3904</v>
      </c>
      <c r="EC231" t="s">
        <v>2333</v>
      </c>
      <c r="ED231" t="s">
        <v>2334</v>
      </c>
      <c r="EE231" t="s">
        <v>252</v>
      </c>
      <c r="EF231" t="s">
        <v>250</v>
      </c>
      <c r="EG231">
        <v>750</v>
      </c>
      <c r="EH231">
        <v>750</v>
      </c>
      <c r="EI231">
        <v>750</v>
      </c>
      <c r="EJ231">
        <v>750</v>
      </c>
      <c r="EL231" t="s">
        <v>3905</v>
      </c>
      <c r="EM231" t="s">
        <v>2434</v>
      </c>
      <c r="EN231" t="s">
        <v>2435</v>
      </c>
      <c r="EO231">
        <v>1.5</v>
      </c>
      <c r="EP231" t="s">
        <v>2276</v>
      </c>
      <c r="EQ231" t="s">
        <v>2338</v>
      </c>
      <c r="ER231" t="s">
        <v>2339</v>
      </c>
      <c r="ES231">
        <v>33450</v>
      </c>
      <c r="ET231">
        <v>33450</v>
      </c>
      <c r="EU231">
        <v>33450</v>
      </c>
      <c r="EV231">
        <v>33450</v>
      </c>
    </row>
    <row r="232" ht="15" customHeight="1" spans="95:152" x14ac:dyDescent="0.25">
      <c r="CQ232" t="s">
        <v>3906</v>
      </c>
      <c r="CR232" t="s">
        <v>86</v>
      </c>
      <c r="CS232" t="s">
        <v>269</v>
      </c>
      <c r="CT232" t="s">
        <v>268</v>
      </c>
      <c r="CU232" t="s">
        <v>81</v>
      </c>
      <c r="CV232" t="s">
        <v>236</v>
      </c>
      <c r="CW232">
        <v>0</v>
      </c>
      <c r="DB232">
        <v>280</v>
      </c>
      <c r="DC232">
        <v>280</v>
      </c>
      <c r="DD232">
        <v>280</v>
      </c>
      <c r="DE232">
        <v>280</v>
      </c>
      <c r="DG232" t="s">
        <v>3907</v>
      </c>
      <c r="DH232" t="s">
        <v>82</v>
      </c>
      <c r="DJ232" t="s">
        <v>1077</v>
      </c>
      <c r="DK232" t="s">
        <v>668</v>
      </c>
      <c r="DL232">
        <v>7.69</v>
      </c>
      <c r="DM232" t="s">
        <v>669</v>
      </c>
      <c r="DN232" t="s">
        <v>669</v>
      </c>
      <c r="DO232">
        <v>0</v>
      </c>
      <c r="DP232">
        <v>0</v>
      </c>
      <c r="DQ232">
        <v>0</v>
      </c>
      <c r="DR232" t="s">
        <v>3279</v>
      </c>
      <c r="EB232" t="s">
        <v>3908</v>
      </c>
      <c r="EC232" t="s">
        <v>2333</v>
      </c>
      <c r="ED232" t="s">
        <v>2334</v>
      </c>
      <c r="EE232" t="s">
        <v>229</v>
      </c>
      <c r="EF232" t="s">
        <v>227</v>
      </c>
      <c r="EG232">
        <v>85</v>
      </c>
      <c r="EH232">
        <v>95</v>
      </c>
      <c r="EI232">
        <v>95</v>
      </c>
      <c r="EJ232">
        <v>110</v>
      </c>
      <c r="EL232" t="s">
        <v>3909</v>
      </c>
      <c r="EM232" t="s">
        <v>2434</v>
      </c>
      <c r="EN232" t="s">
        <v>2435</v>
      </c>
      <c r="EO232">
        <v>2</v>
      </c>
      <c r="EP232" t="s">
        <v>2252</v>
      </c>
      <c r="EQ232" t="s">
        <v>2354</v>
      </c>
      <c r="ER232" t="s">
        <v>2355</v>
      </c>
      <c r="ES232">
        <v>29700</v>
      </c>
      <c r="ET232">
        <v>29700</v>
      </c>
      <c r="EU232">
        <v>29700</v>
      </c>
      <c r="EV232">
        <v>29700</v>
      </c>
    </row>
    <row r="233" ht="15" customHeight="1" spans="95:152" x14ac:dyDescent="0.25">
      <c r="CQ233" t="s">
        <v>3910</v>
      </c>
      <c r="CR233" t="s">
        <v>86</v>
      </c>
      <c r="CS233" t="s">
        <v>237</v>
      </c>
      <c r="CT233" t="s">
        <v>235</v>
      </c>
      <c r="CU233" t="s">
        <v>81</v>
      </c>
      <c r="CV233" t="s">
        <v>236</v>
      </c>
      <c r="CW233">
        <v>0</v>
      </c>
      <c r="DB233">
        <v>2650</v>
      </c>
      <c r="DC233">
        <v>2650</v>
      </c>
      <c r="DD233">
        <v>2650</v>
      </c>
      <c r="DE233">
        <v>2650</v>
      </c>
      <c r="DG233" t="s">
        <v>3911</v>
      </c>
      <c r="DH233" t="s">
        <v>82</v>
      </c>
      <c r="DJ233" t="s">
        <v>1352</v>
      </c>
      <c r="DK233" t="s">
        <v>668</v>
      </c>
      <c r="DL233">
        <v>7.69</v>
      </c>
      <c r="DM233" t="s">
        <v>669</v>
      </c>
      <c r="DN233" t="s">
        <v>669</v>
      </c>
      <c r="DO233">
        <v>0</v>
      </c>
      <c r="DP233">
        <v>0</v>
      </c>
      <c r="DQ233">
        <v>0</v>
      </c>
      <c r="DR233" t="s">
        <v>3782</v>
      </c>
      <c r="EB233" t="s">
        <v>3912</v>
      </c>
      <c r="EC233" t="s">
        <v>2333</v>
      </c>
      <c r="ED233" t="s">
        <v>2334</v>
      </c>
      <c r="EE233" t="s">
        <v>246</v>
      </c>
      <c r="EF233" t="s">
        <v>244</v>
      </c>
      <c r="EG233">
        <v>180</v>
      </c>
      <c r="EH233">
        <v>180</v>
      </c>
      <c r="EI233">
        <v>180</v>
      </c>
      <c r="EJ233">
        <v>180</v>
      </c>
      <c r="EL233" t="s">
        <v>3913</v>
      </c>
      <c r="EM233" t="s">
        <v>2434</v>
      </c>
      <c r="EN233" t="s">
        <v>2435</v>
      </c>
      <c r="EO233">
        <v>2</v>
      </c>
      <c r="EP233" t="s">
        <v>2276</v>
      </c>
      <c r="EQ233" t="s">
        <v>2373</v>
      </c>
      <c r="ER233" t="s">
        <v>2374</v>
      </c>
      <c r="ES233">
        <v>44550</v>
      </c>
      <c r="ET233">
        <v>44550</v>
      </c>
      <c r="EU233">
        <v>44550</v>
      </c>
      <c r="EV233">
        <v>44550</v>
      </c>
    </row>
    <row r="234" ht="15" customHeight="1" spans="95:152" x14ac:dyDescent="0.25">
      <c r="CQ234" t="s">
        <v>3914</v>
      </c>
      <c r="CR234" t="s">
        <v>86</v>
      </c>
      <c r="CS234" t="s">
        <v>249</v>
      </c>
      <c r="CT234" t="s">
        <v>247</v>
      </c>
      <c r="CU234" t="s">
        <v>81</v>
      </c>
      <c r="CV234" t="s">
        <v>248</v>
      </c>
      <c r="CW234">
        <v>0</v>
      </c>
      <c r="DB234">
        <v>310</v>
      </c>
      <c r="DC234">
        <v>340</v>
      </c>
      <c r="DD234">
        <v>370</v>
      </c>
      <c r="DE234">
        <v>370</v>
      </c>
      <c r="DG234" t="s">
        <v>3915</v>
      </c>
      <c r="DH234" t="s">
        <v>82</v>
      </c>
      <c r="DJ234" t="s">
        <v>1130</v>
      </c>
      <c r="DK234" t="s">
        <v>668</v>
      </c>
      <c r="DL234">
        <v>7.69</v>
      </c>
      <c r="DM234" t="s">
        <v>669</v>
      </c>
      <c r="DN234" t="s">
        <v>669</v>
      </c>
      <c r="DO234">
        <v>0</v>
      </c>
      <c r="DP234">
        <v>0</v>
      </c>
      <c r="DQ234">
        <v>0</v>
      </c>
      <c r="DR234" t="s">
        <v>3397</v>
      </c>
      <c r="EB234" t="s">
        <v>3916</v>
      </c>
      <c r="EC234" t="s">
        <v>2333</v>
      </c>
      <c r="EE234" t="s">
        <v>255</v>
      </c>
      <c r="EL234" t="s">
        <v>3917</v>
      </c>
      <c r="EM234" t="s">
        <v>2434</v>
      </c>
      <c r="EN234" t="s">
        <v>2435</v>
      </c>
      <c r="EO234">
        <v>2.5</v>
      </c>
      <c r="EP234" t="s">
        <v>2252</v>
      </c>
      <c r="EQ234" t="s">
        <v>2389</v>
      </c>
      <c r="ER234" t="s">
        <v>2390</v>
      </c>
      <c r="ES234">
        <v>38950</v>
      </c>
      <c r="ET234">
        <v>38950</v>
      </c>
      <c r="EU234">
        <v>38950</v>
      </c>
      <c r="EV234">
        <v>38950</v>
      </c>
    </row>
    <row r="235" ht="15" customHeight="1" spans="95:152" x14ac:dyDescent="0.25">
      <c r="CQ235" t="s">
        <v>3918</v>
      </c>
      <c r="CR235" t="s">
        <v>86</v>
      </c>
      <c r="CS235" t="s">
        <v>293</v>
      </c>
      <c r="CT235" t="s">
        <v>291</v>
      </c>
      <c r="CU235" t="s">
        <v>81</v>
      </c>
      <c r="CV235" t="s">
        <v>292</v>
      </c>
      <c r="CW235">
        <v>0</v>
      </c>
      <c r="DB235">
        <v>330</v>
      </c>
      <c r="DC235">
        <v>370</v>
      </c>
      <c r="DD235">
        <v>400</v>
      </c>
      <c r="DE235">
        <v>400</v>
      </c>
      <c r="DG235" t="s">
        <v>3919</v>
      </c>
      <c r="DH235" t="s">
        <v>82</v>
      </c>
      <c r="DI235" t="s">
        <v>1419</v>
      </c>
      <c r="DJ235" t="s">
        <v>1420</v>
      </c>
      <c r="DK235" t="s">
        <v>668</v>
      </c>
      <c r="DL235">
        <v>7.69</v>
      </c>
      <c r="DM235" t="s">
        <v>669</v>
      </c>
      <c r="DN235" t="s">
        <v>670</v>
      </c>
      <c r="DO235">
        <v>2</v>
      </c>
      <c r="DP235">
        <v>118.3</v>
      </c>
      <c r="DQ235">
        <v>118.3</v>
      </c>
      <c r="DR235" t="s">
        <v>3920</v>
      </c>
      <c r="EB235" t="s">
        <v>3921</v>
      </c>
      <c r="EC235" t="s">
        <v>2333</v>
      </c>
      <c r="EE235" t="s">
        <v>243</v>
      </c>
      <c r="EL235" t="s">
        <v>3922</v>
      </c>
      <c r="EM235" t="s">
        <v>2434</v>
      </c>
      <c r="EN235" t="s">
        <v>2435</v>
      </c>
      <c r="EO235">
        <v>2.5</v>
      </c>
      <c r="EP235" t="s">
        <v>2276</v>
      </c>
      <c r="EQ235" t="s">
        <v>2406</v>
      </c>
      <c r="ER235" t="s">
        <v>2407</v>
      </c>
      <c r="ES235">
        <v>58425</v>
      </c>
      <c r="ET235">
        <v>58425</v>
      </c>
      <c r="EU235">
        <v>58425</v>
      </c>
      <c r="EV235">
        <v>58425</v>
      </c>
    </row>
    <row r="236" ht="15" customHeight="1" spans="95:152" x14ac:dyDescent="0.25">
      <c r="CQ236" t="s">
        <v>3923</v>
      </c>
      <c r="CR236" t="s">
        <v>86</v>
      </c>
      <c r="CS236" t="s">
        <v>327</v>
      </c>
      <c r="CT236" t="s">
        <v>328</v>
      </c>
      <c r="CU236" t="s">
        <v>81</v>
      </c>
      <c r="CV236" t="s">
        <v>248</v>
      </c>
      <c r="CW236">
        <v>0</v>
      </c>
      <c r="DB236">
        <v>1050</v>
      </c>
      <c r="DC236">
        <v>1160</v>
      </c>
      <c r="DD236">
        <v>1250</v>
      </c>
      <c r="DE236">
        <v>1250</v>
      </c>
      <c r="DG236" t="s">
        <v>3924</v>
      </c>
      <c r="DH236" t="s">
        <v>82</v>
      </c>
      <c r="DI236" t="s">
        <v>1422</v>
      </c>
      <c r="DJ236" t="s">
        <v>1423</v>
      </c>
      <c r="DK236" t="s">
        <v>668</v>
      </c>
      <c r="DL236">
        <v>7.69</v>
      </c>
      <c r="DM236" t="s">
        <v>670</v>
      </c>
      <c r="DN236" t="s">
        <v>669</v>
      </c>
      <c r="DO236">
        <v>0</v>
      </c>
      <c r="DP236">
        <v>0</v>
      </c>
      <c r="DQ236">
        <v>1.35</v>
      </c>
      <c r="DR236" t="s">
        <v>3925</v>
      </c>
      <c r="EB236" t="s">
        <v>3926</v>
      </c>
      <c r="EC236" t="s">
        <v>2333</v>
      </c>
      <c r="ED236" t="s">
        <v>2334</v>
      </c>
      <c r="EE236" t="s">
        <v>261</v>
      </c>
      <c r="EF236" t="s">
        <v>259</v>
      </c>
      <c r="EG236">
        <v>1</v>
      </c>
      <c r="EH236">
        <v>1</v>
      </c>
      <c r="EI236">
        <v>1</v>
      </c>
      <c r="EJ236">
        <v>1</v>
      </c>
      <c r="EL236" t="s">
        <v>3927</v>
      </c>
      <c r="EM236" t="s">
        <v>2434</v>
      </c>
      <c r="EN236" t="s">
        <v>2435</v>
      </c>
      <c r="EO236">
        <v>3</v>
      </c>
      <c r="EP236" t="s">
        <v>2252</v>
      </c>
      <c r="EQ236" t="s">
        <v>2423</v>
      </c>
      <c r="ER236" t="s">
        <v>2424</v>
      </c>
      <c r="ES236">
        <v>45900</v>
      </c>
      <c r="ET236">
        <v>45900</v>
      </c>
      <c r="EU236">
        <v>45900</v>
      </c>
      <c r="EV236">
        <v>45900</v>
      </c>
    </row>
    <row r="237" ht="15" customHeight="1" spans="95:152" x14ac:dyDescent="0.25">
      <c r="CQ237" t="s">
        <v>3928</v>
      </c>
      <c r="CR237" t="s">
        <v>86</v>
      </c>
      <c r="CS237" t="s">
        <v>330</v>
      </c>
      <c r="CT237" t="s">
        <v>331</v>
      </c>
      <c r="CU237" t="s">
        <v>81</v>
      </c>
      <c r="CV237" t="s">
        <v>248</v>
      </c>
      <c r="CW237">
        <v>0</v>
      </c>
      <c r="DB237">
        <v>380</v>
      </c>
      <c r="DC237">
        <v>420</v>
      </c>
      <c r="DD237">
        <v>460</v>
      </c>
      <c r="DE237">
        <v>460</v>
      </c>
      <c r="DG237" t="s">
        <v>3929</v>
      </c>
      <c r="DH237" t="s">
        <v>82</v>
      </c>
      <c r="DI237" t="s">
        <v>1425</v>
      </c>
      <c r="DJ237" t="s">
        <v>1426</v>
      </c>
      <c r="DK237" t="s">
        <v>668</v>
      </c>
      <c r="DL237">
        <v>7.69</v>
      </c>
      <c r="DM237" t="s">
        <v>670</v>
      </c>
      <c r="DN237" t="s">
        <v>669</v>
      </c>
      <c r="DO237">
        <v>0</v>
      </c>
      <c r="DP237">
        <v>0</v>
      </c>
      <c r="DQ237">
        <v>8</v>
      </c>
      <c r="DR237" t="s">
        <v>3930</v>
      </c>
      <c r="EB237" t="s">
        <v>3931</v>
      </c>
      <c r="EC237" t="s">
        <v>2333</v>
      </c>
      <c r="EE237" t="s">
        <v>296</v>
      </c>
      <c r="EL237" t="s">
        <v>3932</v>
      </c>
      <c r="EM237" t="s">
        <v>2434</v>
      </c>
      <c r="EN237" t="s">
        <v>2435</v>
      </c>
      <c r="EO237">
        <v>3</v>
      </c>
      <c r="EP237" t="s">
        <v>2276</v>
      </c>
      <c r="EQ237" t="s">
        <v>2439</v>
      </c>
      <c r="ER237" t="s">
        <v>2440</v>
      </c>
      <c r="ES237">
        <v>68850</v>
      </c>
      <c r="ET237">
        <v>68850</v>
      </c>
      <c r="EU237">
        <v>68850</v>
      </c>
      <c r="EV237">
        <v>68850</v>
      </c>
    </row>
    <row r="238" ht="15" customHeight="1" spans="95:152" x14ac:dyDescent="0.25">
      <c r="CQ238" t="s">
        <v>3933</v>
      </c>
      <c r="CR238" t="s">
        <v>86</v>
      </c>
      <c r="CS238" t="s">
        <v>280</v>
      </c>
      <c r="CT238" t="s">
        <v>279</v>
      </c>
      <c r="CU238" t="s">
        <v>81</v>
      </c>
      <c r="CV238" t="s">
        <v>248</v>
      </c>
      <c r="CW238">
        <v>0</v>
      </c>
      <c r="DB238">
        <v>860</v>
      </c>
      <c r="DC238">
        <v>950</v>
      </c>
      <c r="DD238">
        <v>1020</v>
      </c>
      <c r="DE238">
        <v>1020</v>
      </c>
      <c r="DG238" t="s">
        <v>3934</v>
      </c>
      <c r="DH238" t="s">
        <v>82</v>
      </c>
      <c r="DI238" t="s">
        <v>1427</v>
      </c>
      <c r="DJ238" t="s">
        <v>1428</v>
      </c>
      <c r="DK238" t="s">
        <v>668</v>
      </c>
      <c r="DL238">
        <v>7.69</v>
      </c>
      <c r="DM238" t="s">
        <v>670</v>
      </c>
      <c r="DN238" t="s">
        <v>669</v>
      </c>
      <c r="DO238">
        <v>0</v>
      </c>
      <c r="DP238">
        <v>0</v>
      </c>
      <c r="DQ238">
        <v>13.6</v>
      </c>
      <c r="DR238" t="s">
        <v>3935</v>
      </c>
      <c r="EB238" t="s">
        <v>3936</v>
      </c>
      <c r="EC238" t="s">
        <v>2349</v>
      </c>
      <c r="ED238" t="s">
        <v>2350</v>
      </c>
      <c r="EE238" t="s">
        <v>620</v>
      </c>
      <c r="EF238" t="s">
        <v>2250</v>
      </c>
      <c r="EG238">
        <v>290</v>
      </c>
      <c r="EH238">
        <v>335</v>
      </c>
      <c r="EI238">
        <v>335</v>
      </c>
      <c r="EJ238">
        <v>385</v>
      </c>
      <c r="EL238" t="s">
        <v>3937</v>
      </c>
      <c r="EM238" t="s">
        <v>2434</v>
      </c>
      <c r="EN238" t="s">
        <v>2435</v>
      </c>
      <c r="EO238">
        <v>3.5</v>
      </c>
      <c r="EP238" t="s">
        <v>2252</v>
      </c>
      <c r="EQ238" t="s">
        <v>2454</v>
      </c>
      <c r="ER238" t="s">
        <v>2455</v>
      </c>
      <c r="ES238">
        <v>54000</v>
      </c>
      <c r="ET238">
        <v>54000</v>
      </c>
      <c r="EU238">
        <v>54000</v>
      </c>
      <c r="EV238">
        <v>54000</v>
      </c>
    </row>
    <row r="239" ht="15" customHeight="1" spans="95:152" x14ac:dyDescent="0.25">
      <c r="CQ239" t="s">
        <v>3938</v>
      </c>
      <c r="CR239" t="s">
        <v>86</v>
      </c>
      <c r="CS239" t="s">
        <v>576</v>
      </c>
      <c r="CT239" t="s">
        <v>574</v>
      </c>
      <c r="CU239" t="s">
        <v>88</v>
      </c>
      <c r="CV239" t="s">
        <v>575</v>
      </c>
      <c r="CW239">
        <v>0</v>
      </c>
      <c r="DB239">
        <v>2030</v>
      </c>
      <c r="DC239">
        <v>2210</v>
      </c>
      <c r="DD239">
        <v>2380</v>
      </c>
      <c r="DE239">
        <v>2560</v>
      </c>
      <c r="DG239" t="s">
        <v>3939</v>
      </c>
      <c r="DH239" t="s">
        <v>82</v>
      </c>
      <c r="DI239" t="s">
        <v>1432</v>
      </c>
      <c r="DJ239" t="s">
        <v>1433</v>
      </c>
      <c r="DK239" t="s">
        <v>668</v>
      </c>
      <c r="DL239">
        <v>7.69</v>
      </c>
      <c r="DM239" t="s">
        <v>669</v>
      </c>
      <c r="DN239" t="s">
        <v>670</v>
      </c>
      <c r="DO239">
        <v>1</v>
      </c>
      <c r="DP239">
        <v>53.88</v>
      </c>
      <c r="DQ239">
        <v>53.88</v>
      </c>
      <c r="DR239" t="s">
        <v>3940</v>
      </c>
      <c r="EB239" t="s">
        <v>3941</v>
      </c>
      <c r="EC239" t="s">
        <v>2349</v>
      </c>
      <c r="ED239" t="s">
        <v>2350</v>
      </c>
      <c r="EE239" t="s">
        <v>618</v>
      </c>
      <c r="EF239" t="s">
        <v>2274</v>
      </c>
      <c r="EG239">
        <v>250</v>
      </c>
      <c r="EH239">
        <v>290</v>
      </c>
      <c r="EI239">
        <v>290</v>
      </c>
      <c r="EJ239">
        <v>335</v>
      </c>
      <c r="EL239" t="s">
        <v>3942</v>
      </c>
      <c r="EM239" t="s">
        <v>2434</v>
      </c>
      <c r="EN239" t="s">
        <v>2435</v>
      </c>
      <c r="EO239">
        <v>3.5</v>
      </c>
      <c r="EP239" t="s">
        <v>2276</v>
      </c>
      <c r="EQ239" t="s">
        <v>2471</v>
      </c>
      <c r="ER239" t="s">
        <v>2472</v>
      </c>
      <c r="ES239">
        <v>81000</v>
      </c>
      <c r="ET239">
        <v>81000</v>
      </c>
      <c r="EU239">
        <v>81000</v>
      </c>
      <c r="EV239">
        <v>81000</v>
      </c>
    </row>
    <row r="240" ht="15" customHeight="1" spans="95:152" x14ac:dyDescent="0.25">
      <c r="CQ240" t="s">
        <v>3943</v>
      </c>
      <c r="CR240" t="s">
        <v>86</v>
      </c>
      <c r="CS240" t="s">
        <v>264</v>
      </c>
      <c r="CT240" t="s">
        <v>262</v>
      </c>
      <c r="CU240" t="s">
        <v>99</v>
      </c>
      <c r="CV240" t="s">
        <v>263</v>
      </c>
      <c r="CW240">
        <v>0</v>
      </c>
      <c r="DB240">
        <v>680</v>
      </c>
      <c r="DC240">
        <v>750</v>
      </c>
      <c r="DD240">
        <v>810</v>
      </c>
      <c r="DE240">
        <v>810</v>
      </c>
      <c r="DG240" t="s">
        <v>3944</v>
      </c>
      <c r="DH240" t="s">
        <v>82</v>
      </c>
      <c r="DI240" t="s">
        <v>1435</v>
      </c>
      <c r="DJ240" t="s">
        <v>1436</v>
      </c>
      <c r="DK240" t="s">
        <v>668</v>
      </c>
      <c r="DL240">
        <v>7.69</v>
      </c>
      <c r="DM240" t="s">
        <v>670</v>
      </c>
      <c r="DN240" t="s">
        <v>669</v>
      </c>
      <c r="DO240">
        <v>0</v>
      </c>
      <c r="DP240">
        <v>0</v>
      </c>
      <c r="DQ240">
        <v>1499</v>
      </c>
      <c r="DR240" t="s">
        <v>3945</v>
      </c>
      <c r="EB240" t="s">
        <v>3946</v>
      </c>
      <c r="EC240" t="s">
        <v>2349</v>
      </c>
      <c r="ED240" t="s">
        <v>2350</v>
      </c>
      <c r="EE240" t="s">
        <v>616</v>
      </c>
      <c r="EF240" t="s">
        <v>2291</v>
      </c>
      <c r="EG240">
        <v>820</v>
      </c>
      <c r="EH240">
        <v>945</v>
      </c>
      <c r="EI240">
        <v>945</v>
      </c>
      <c r="EJ240">
        <v>1085</v>
      </c>
      <c r="EL240" t="s">
        <v>3947</v>
      </c>
      <c r="EM240" t="s">
        <v>2434</v>
      </c>
      <c r="EN240" t="s">
        <v>2435</v>
      </c>
      <c r="EO240">
        <v>4</v>
      </c>
      <c r="EP240" t="s">
        <v>2252</v>
      </c>
      <c r="EQ240" t="s">
        <v>2485</v>
      </c>
      <c r="ER240" t="s">
        <v>2486</v>
      </c>
      <c r="ES240">
        <v>60900</v>
      </c>
      <c r="ET240">
        <v>60900</v>
      </c>
      <c r="EU240">
        <v>60900</v>
      </c>
      <c r="EV240">
        <v>60900</v>
      </c>
    </row>
    <row r="241" ht="15" customHeight="1" spans="95:152" x14ac:dyDescent="0.25">
      <c r="CQ241" t="s">
        <v>3948</v>
      </c>
      <c r="CR241" t="s">
        <v>86</v>
      </c>
      <c r="CS241" t="s">
        <v>606</v>
      </c>
      <c r="CT241" t="s">
        <v>2371</v>
      </c>
      <c r="CU241" t="s">
        <v>99</v>
      </c>
      <c r="CV241" t="s">
        <v>277</v>
      </c>
      <c r="CW241">
        <v>0</v>
      </c>
      <c r="DB241">
        <v>740</v>
      </c>
      <c r="DC241">
        <v>820</v>
      </c>
      <c r="DD241">
        <v>880</v>
      </c>
      <c r="DE241">
        <v>880</v>
      </c>
      <c r="DG241" t="s">
        <v>3949</v>
      </c>
      <c r="DH241" t="s">
        <v>82</v>
      </c>
      <c r="DI241" t="s">
        <v>1438</v>
      </c>
      <c r="DJ241" t="s">
        <v>1439</v>
      </c>
      <c r="DK241" t="s">
        <v>668</v>
      </c>
      <c r="DL241">
        <v>7.69</v>
      </c>
      <c r="DM241" t="s">
        <v>670</v>
      </c>
      <c r="DN241" t="s">
        <v>670</v>
      </c>
      <c r="DO241">
        <v>1</v>
      </c>
      <c r="DP241">
        <v>7.13</v>
      </c>
      <c r="DQ241">
        <v>10.7</v>
      </c>
      <c r="DR241" t="s">
        <v>3950</v>
      </c>
      <c r="EB241" t="s">
        <v>3951</v>
      </c>
      <c r="EC241" t="s">
        <v>2349</v>
      </c>
      <c r="ED241" t="s">
        <v>2350</v>
      </c>
      <c r="EE241" t="s">
        <v>614</v>
      </c>
      <c r="EF241" t="s">
        <v>2304</v>
      </c>
      <c r="EG241">
        <v>330</v>
      </c>
      <c r="EH241">
        <v>380</v>
      </c>
      <c r="EI241">
        <v>380</v>
      </c>
      <c r="EJ241">
        <v>435</v>
      </c>
      <c r="EL241" t="s">
        <v>3952</v>
      </c>
      <c r="EM241" t="s">
        <v>2434</v>
      </c>
      <c r="EN241" t="s">
        <v>2435</v>
      </c>
      <c r="EO241">
        <v>4</v>
      </c>
      <c r="EP241" t="s">
        <v>2276</v>
      </c>
      <c r="EQ241" t="s">
        <v>2498</v>
      </c>
      <c r="ER241" t="s">
        <v>2499</v>
      </c>
      <c r="ES241">
        <v>91350</v>
      </c>
      <c r="ET241">
        <v>91350</v>
      </c>
      <c r="EU241">
        <v>91350</v>
      </c>
      <c r="EV241">
        <v>91350</v>
      </c>
    </row>
    <row r="242" ht="15" customHeight="1" spans="95:152" x14ac:dyDescent="0.25">
      <c r="CQ242" t="s">
        <v>3953</v>
      </c>
      <c r="CR242" t="s">
        <v>86</v>
      </c>
      <c r="CS242" t="s">
        <v>278</v>
      </c>
      <c r="CT242" t="s">
        <v>276</v>
      </c>
      <c r="CU242" t="s">
        <v>88</v>
      </c>
      <c r="CV242" t="s">
        <v>277</v>
      </c>
      <c r="CW242">
        <v>0</v>
      </c>
      <c r="DB242">
        <v>930</v>
      </c>
      <c r="DC242">
        <v>1030</v>
      </c>
      <c r="DD242">
        <v>1110</v>
      </c>
      <c r="DE242">
        <v>1110</v>
      </c>
      <c r="DG242" t="s">
        <v>3954</v>
      </c>
      <c r="DH242" t="s">
        <v>82</v>
      </c>
      <c r="DI242" t="s">
        <v>1441</v>
      </c>
      <c r="DJ242" t="s">
        <v>1442</v>
      </c>
      <c r="DK242" t="s">
        <v>668</v>
      </c>
      <c r="DL242">
        <v>7.69</v>
      </c>
      <c r="DM242" t="s">
        <v>670</v>
      </c>
      <c r="DN242" t="s">
        <v>670</v>
      </c>
      <c r="DO242">
        <v>1</v>
      </c>
      <c r="DP242">
        <v>47.7</v>
      </c>
      <c r="DQ242">
        <v>71.55</v>
      </c>
      <c r="DR242" t="s">
        <v>3955</v>
      </c>
      <c r="EB242" t="s">
        <v>3956</v>
      </c>
      <c r="EC242" t="s">
        <v>2349</v>
      </c>
      <c r="ED242" t="s">
        <v>2350</v>
      </c>
      <c r="EE242" t="s">
        <v>612</v>
      </c>
      <c r="EF242" t="s">
        <v>2320</v>
      </c>
      <c r="EG242">
        <v>175</v>
      </c>
      <c r="EH242">
        <v>200</v>
      </c>
      <c r="EI242">
        <v>200</v>
      </c>
      <c r="EJ242">
        <v>230</v>
      </c>
      <c r="EL242" t="s">
        <v>3957</v>
      </c>
      <c r="EM242" t="s">
        <v>2434</v>
      </c>
      <c r="EN242" t="s">
        <v>2435</v>
      </c>
      <c r="EO242">
        <v>4.5</v>
      </c>
      <c r="EP242" t="s">
        <v>2252</v>
      </c>
      <c r="EQ242" t="s">
        <v>2512</v>
      </c>
      <c r="ER242" t="s">
        <v>2513</v>
      </c>
      <c r="ES242">
        <v>68400</v>
      </c>
      <c r="ET242">
        <v>68400</v>
      </c>
      <c r="EU242">
        <v>68400</v>
      </c>
      <c r="EV242">
        <v>68400</v>
      </c>
    </row>
    <row r="243" ht="15" customHeight="1" spans="95:152" x14ac:dyDescent="0.25">
      <c r="CQ243" t="s">
        <v>3958</v>
      </c>
      <c r="CR243" t="s">
        <v>86</v>
      </c>
      <c r="CS243" t="s">
        <v>610</v>
      </c>
      <c r="CT243" t="s">
        <v>2336</v>
      </c>
      <c r="CU243" t="s">
        <v>90</v>
      </c>
      <c r="CV243" t="s">
        <v>289</v>
      </c>
      <c r="CW243">
        <v>0</v>
      </c>
      <c r="DB243">
        <v>480</v>
      </c>
      <c r="DC243">
        <v>530</v>
      </c>
      <c r="DD243">
        <v>570</v>
      </c>
      <c r="DE243">
        <v>570</v>
      </c>
      <c r="DG243" t="s">
        <v>3959</v>
      </c>
      <c r="DH243" t="s">
        <v>82</v>
      </c>
      <c r="DI243" t="s">
        <v>1444</v>
      </c>
      <c r="DJ243" t="s">
        <v>1445</v>
      </c>
      <c r="DK243" t="s">
        <v>668</v>
      </c>
      <c r="DL243">
        <v>7.69</v>
      </c>
      <c r="DM243" t="s">
        <v>670</v>
      </c>
      <c r="DN243" t="s">
        <v>669</v>
      </c>
      <c r="DO243">
        <v>0</v>
      </c>
      <c r="DP243">
        <v>0</v>
      </c>
      <c r="DQ243">
        <v>261.6</v>
      </c>
      <c r="DR243" t="s">
        <v>3960</v>
      </c>
      <c r="EB243" t="s">
        <v>3961</v>
      </c>
      <c r="EC243" t="s">
        <v>2349</v>
      </c>
      <c r="ED243" t="s">
        <v>2350</v>
      </c>
      <c r="EE243" t="s">
        <v>610</v>
      </c>
      <c r="EF243" t="s">
        <v>2336</v>
      </c>
      <c r="EG243">
        <v>415</v>
      </c>
      <c r="EH243">
        <v>475</v>
      </c>
      <c r="EI243">
        <v>475</v>
      </c>
      <c r="EJ243">
        <v>545</v>
      </c>
      <c r="EL243" t="s">
        <v>3962</v>
      </c>
      <c r="EM243" t="s">
        <v>2434</v>
      </c>
      <c r="EN243" t="s">
        <v>2435</v>
      </c>
      <c r="EO243">
        <v>4.5</v>
      </c>
      <c r="EP243" t="s">
        <v>2276</v>
      </c>
      <c r="EQ243" t="s">
        <v>2527</v>
      </c>
      <c r="ER243" t="s">
        <v>2528</v>
      </c>
      <c r="ES243">
        <v>102600</v>
      </c>
      <c r="ET243">
        <v>102600</v>
      </c>
      <c r="EU243">
        <v>102600</v>
      </c>
      <c r="EV243">
        <v>102600</v>
      </c>
    </row>
    <row r="244" ht="15" customHeight="1" spans="95:152" x14ac:dyDescent="0.25">
      <c r="CQ244" t="s">
        <v>3963</v>
      </c>
      <c r="CR244" t="s">
        <v>86</v>
      </c>
      <c r="CS244" t="s">
        <v>608</v>
      </c>
      <c r="CT244" t="s">
        <v>2352</v>
      </c>
      <c r="CU244" t="s">
        <v>90</v>
      </c>
      <c r="CV244" t="s">
        <v>2706</v>
      </c>
      <c r="CW244">
        <v>0</v>
      </c>
      <c r="DB244">
        <v>980</v>
      </c>
      <c r="DC244">
        <v>1080</v>
      </c>
      <c r="DD244">
        <v>1170</v>
      </c>
      <c r="DE244">
        <v>1170</v>
      </c>
      <c r="DG244" t="s">
        <v>3964</v>
      </c>
      <c r="DH244" t="s">
        <v>82</v>
      </c>
      <c r="DI244" t="s">
        <v>1447</v>
      </c>
      <c r="DJ244" t="s">
        <v>1448</v>
      </c>
      <c r="DK244" t="s">
        <v>668</v>
      </c>
      <c r="DL244">
        <v>7.69</v>
      </c>
      <c r="DM244" t="s">
        <v>670</v>
      </c>
      <c r="DN244" t="s">
        <v>669</v>
      </c>
      <c r="DO244">
        <v>0</v>
      </c>
      <c r="DP244">
        <v>0</v>
      </c>
      <c r="DQ244">
        <v>78.4</v>
      </c>
      <c r="DR244" t="s">
        <v>3965</v>
      </c>
      <c r="EB244" t="s">
        <v>3966</v>
      </c>
      <c r="EC244" t="s">
        <v>2349</v>
      </c>
      <c r="EE244" t="s">
        <v>608</v>
      </c>
      <c r="EL244" t="s">
        <v>3967</v>
      </c>
      <c r="EM244" t="s">
        <v>2434</v>
      </c>
      <c r="EN244" t="s">
        <v>2435</v>
      </c>
      <c r="EO244">
        <v>5</v>
      </c>
      <c r="EP244" t="s">
        <v>2252</v>
      </c>
      <c r="EQ244" t="s">
        <v>2541</v>
      </c>
      <c r="ER244" t="s">
        <v>2542</v>
      </c>
      <c r="ES244">
        <v>75750</v>
      </c>
      <c r="ET244">
        <v>75750</v>
      </c>
      <c r="EU244">
        <v>75750</v>
      </c>
      <c r="EV244">
        <v>75750</v>
      </c>
    </row>
    <row r="245" ht="15" customHeight="1" spans="95:152" x14ac:dyDescent="0.25">
      <c r="CQ245" t="s">
        <v>3968</v>
      </c>
      <c r="CR245" t="s">
        <v>86</v>
      </c>
      <c r="CS245" t="s">
        <v>240</v>
      </c>
      <c r="CT245" t="s">
        <v>238</v>
      </c>
      <c r="CU245" t="s">
        <v>90</v>
      </c>
      <c r="CV245" t="s">
        <v>239</v>
      </c>
      <c r="CW245">
        <v>0</v>
      </c>
      <c r="DB245">
        <v>3620</v>
      </c>
      <c r="DC245">
        <v>3620</v>
      </c>
      <c r="DD245">
        <v>3620</v>
      </c>
      <c r="DE245">
        <v>3620</v>
      </c>
      <c r="DG245" t="s">
        <v>3969</v>
      </c>
      <c r="DH245" t="s">
        <v>82</v>
      </c>
      <c r="DI245" t="s">
        <v>1450</v>
      </c>
      <c r="DJ245" t="s">
        <v>1451</v>
      </c>
      <c r="DK245" t="s">
        <v>668</v>
      </c>
      <c r="DL245">
        <v>7.69</v>
      </c>
      <c r="DM245" t="s">
        <v>670</v>
      </c>
      <c r="DN245" t="s">
        <v>669</v>
      </c>
      <c r="DO245">
        <v>0</v>
      </c>
      <c r="DP245">
        <v>0</v>
      </c>
      <c r="DQ245">
        <v>277.93</v>
      </c>
      <c r="DR245" t="s">
        <v>3970</v>
      </c>
      <c r="EB245" t="s">
        <v>3971</v>
      </c>
      <c r="EC245" t="s">
        <v>2349</v>
      </c>
      <c r="EE245" t="s">
        <v>606</v>
      </c>
      <c r="EL245" t="s">
        <v>3972</v>
      </c>
      <c r="EM245" t="s">
        <v>2434</v>
      </c>
      <c r="EN245" t="s">
        <v>2435</v>
      </c>
      <c r="EO245">
        <v>5</v>
      </c>
      <c r="EP245" t="s">
        <v>2276</v>
      </c>
      <c r="EQ245" t="s">
        <v>2559</v>
      </c>
      <c r="ER245" t="s">
        <v>2560</v>
      </c>
      <c r="ES245">
        <v>113625</v>
      </c>
      <c r="ET245">
        <v>113625</v>
      </c>
      <c r="EU245">
        <v>113625</v>
      </c>
      <c r="EV245">
        <v>113625</v>
      </c>
    </row>
    <row r="246" ht="15" customHeight="1" spans="95:152" x14ac:dyDescent="0.25">
      <c r="CQ246" t="s">
        <v>3973</v>
      </c>
      <c r="CR246" t="s">
        <v>86</v>
      </c>
      <c r="CS246" t="s">
        <v>603</v>
      </c>
      <c r="CT246" t="s">
        <v>2387</v>
      </c>
      <c r="CU246" t="s">
        <v>90</v>
      </c>
      <c r="CV246" t="s">
        <v>239</v>
      </c>
      <c r="CW246">
        <v>0</v>
      </c>
      <c r="DB246">
        <v>350</v>
      </c>
      <c r="DC246">
        <v>350</v>
      </c>
      <c r="DD246">
        <v>350</v>
      </c>
      <c r="DE246">
        <v>350</v>
      </c>
      <c r="DG246" t="s">
        <v>3974</v>
      </c>
      <c r="DH246" t="s">
        <v>82</v>
      </c>
      <c r="DI246" t="s">
        <v>1455</v>
      </c>
      <c r="DJ246" t="s">
        <v>1456</v>
      </c>
      <c r="DK246" t="s">
        <v>668</v>
      </c>
      <c r="DL246">
        <v>7.69</v>
      </c>
      <c r="DM246" t="s">
        <v>670</v>
      </c>
      <c r="DN246" t="s">
        <v>669</v>
      </c>
      <c r="DO246">
        <v>0</v>
      </c>
      <c r="DP246">
        <v>0</v>
      </c>
      <c r="DQ246">
        <v>11.19</v>
      </c>
      <c r="DR246" t="s">
        <v>3975</v>
      </c>
      <c r="EB246" t="s">
        <v>3976</v>
      </c>
      <c r="EC246" t="s">
        <v>2349</v>
      </c>
      <c r="ED246" t="s">
        <v>2350</v>
      </c>
      <c r="EE246" t="s">
        <v>603</v>
      </c>
      <c r="EF246" t="s">
        <v>2387</v>
      </c>
      <c r="EG246">
        <v>280</v>
      </c>
      <c r="EH246">
        <v>280</v>
      </c>
      <c r="EI246">
        <v>280</v>
      </c>
      <c r="EJ246">
        <v>280</v>
      </c>
      <c r="EL246" t="s">
        <v>3977</v>
      </c>
      <c r="EM246" t="s">
        <v>2434</v>
      </c>
      <c r="EN246" t="s">
        <v>2435</v>
      </c>
      <c r="EO246">
        <v>5.5</v>
      </c>
      <c r="EP246" t="s">
        <v>2252</v>
      </c>
      <c r="EQ246" t="s">
        <v>2572</v>
      </c>
      <c r="ER246" t="s">
        <v>2573</v>
      </c>
      <c r="ES246">
        <v>82850</v>
      </c>
      <c r="ET246">
        <v>82850</v>
      </c>
      <c r="EU246">
        <v>82850</v>
      </c>
      <c r="EV246">
        <v>82850</v>
      </c>
    </row>
    <row r="247" ht="15" customHeight="1" spans="95:152" x14ac:dyDescent="0.25">
      <c r="CQ247" t="s">
        <v>3978</v>
      </c>
      <c r="CR247" t="s">
        <v>86</v>
      </c>
      <c r="CS247" t="s">
        <v>252</v>
      </c>
      <c r="CT247" t="s">
        <v>250</v>
      </c>
      <c r="CU247" t="s">
        <v>90</v>
      </c>
      <c r="CV247" t="s">
        <v>251</v>
      </c>
      <c r="CW247">
        <v>0</v>
      </c>
      <c r="DB247">
        <v>890</v>
      </c>
      <c r="DC247">
        <v>890</v>
      </c>
      <c r="DD247">
        <v>890</v>
      </c>
      <c r="DE247">
        <v>890</v>
      </c>
      <c r="DG247" t="s">
        <v>3979</v>
      </c>
      <c r="DH247" t="s">
        <v>82</v>
      </c>
      <c r="DI247" t="s">
        <v>1458</v>
      </c>
      <c r="DJ247" t="s">
        <v>1459</v>
      </c>
      <c r="DK247" t="s">
        <v>668</v>
      </c>
      <c r="DL247">
        <v>7.69</v>
      </c>
      <c r="DM247" t="s">
        <v>670</v>
      </c>
      <c r="DN247" t="s">
        <v>669</v>
      </c>
      <c r="DO247">
        <v>0</v>
      </c>
      <c r="DP247">
        <v>0</v>
      </c>
      <c r="DQ247">
        <v>47.81</v>
      </c>
      <c r="DR247" t="s">
        <v>3980</v>
      </c>
      <c r="EB247" t="s">
        <v>3981</v>
      </c>
      <c r="EC247" t="s">
        <v>2349</v>
      </c>
      <c r="ED247" t="s">
        <v>2350</v>
      </c>
      <c r="EE247" t="s">
        <v>601</v>
      </c>
      <c r="EF247" t="s">
        <v>2404</v>
      </c>
      <c r="EG247">
        <v>1</v>
      </c>
      <c r="EH247">
        <v>1</v>
      </c>
      <c r="EI247">
        <v>1</v>
      </c>
      <c r="EJ247">
        <v>1</v>
      </c>
      <c r="EL247" t="s">
        <v>3982</v>
      </c>
      <c r="EM247" t="s">
        <v>2434</v>
      </c>
      <c r="EN247" t="s">
        <v>2435</v>
      </c>
      <c r="EO247">
        <v>5.5</v>
      </c>
      <c r="EP247" t="s">
        <v>2276</v>
      </c>
      <c r="EQ247" t="s">
        <v>2586</v>
      </c>
      <c r="ER247" t="s">
        <v>2587</v>
      </c>
      <c r="ES247">
        <v>124275</v>
      </c>
      <c r="ET247">
        <v>124275</v>
      </c>
      <c r="EU247">
        <v>124275</v>
      </c>
      <c r="EV247">
        <v>124275</v>
      </c>
    </row>
    <row r="248" ht="15" customHeight="1" spans="95:152" x14ac:dyDescent="0.25">
      <c r="CQ248" t="s">
        <v>3983</v>
      </c>
      <c r="CR248" t="s">
        <v>86</v>
      </c>
      <c r="CS248" t="s">
        <v>601</v>
      </c>
      <c r="CT248" t="s">
        <v>2404</v>
      </c>
      <c r="CU248" t="s">
        <v>79</v>
      </c>
      <c r="CV248" t="s">
        <v>242</v>
      </c>
      <c r="CW248">
        <v>0</v>
      </c>
      <c r="DB248">
        <v>850</v>
      </c>
      <c r="DC248">
        <v>850</v>
      </c>
      <c r="DD248">
        <v>850</v>
      </c>
      <c r="DE248">
        <v>850</v>
      </c>
      <c r="DG248" t="s">
        <v>3984</v>
      </c>
      <c r="DH248" t="s">
        <v>82</v>
      </c>
      <c r="DI248" t="s">
        <v>1461</v>
      </c>
      <c r="DJ248" t="s">
        <v>1462</v>
      </c>
      <c r="DK248" t="s">
        <v>668</v>
      </c>
      <c r="DL248">
        <v>7.69</v>
      </c>
      <c r="DM248" t="s">
        <v>669</v>
      </c>
      <c r="DN248" t="s">
        <v>670</v>
      </c>
      <c r="DO248">
        <v>1</v>
      </c>
      <c r="DP248">
        <v>32.8</v>
      </c>
      <c r="DQ248">
        <v>32.8</v>
      </c>
      <c r="DR248" t="s">
        <v>3985</v>
      </c>
      <c r="EB248" t="s">
        <v>3986</v>
      </c>
      <c r="EC248" t="s">
        <v>2349</v>
      </c>
      <c r="EE248" t="s">
        <v>599</v>
      </c>
      <c r="EL248" t="s">
        <v>3987</v>
      </c>
      <c r="EM248" t="s">
        <v>2434</v>
      </c>
      <c r="EN248" t="s">
        <v>2435</v>
      </c>
      <c r="EO248">
        <v>6</v>
      </c>
      <c r="EP248" t="s">
        <v>2252</v>
      </c>
      <c r="EQ248" t="s">
        <v>2601</v>
      </c>
      <c r="ER248" t="s">
        <v>2602</v>
      </c>
      <c r="ES248">
        <v>90350</v>
      </c>
      <c r="ET248">
        <v>90350</v>
      </c>
      <c r="EU248">
        <v>90350</v>
      </c>
      <c r="EV248">
        <v>90350</v>
      </c>
    </row>
    <row r="249" ht="15" customHeight="1" spans="95:152" x14ac:dyDescent="0.25">
      <c r="CQ249" t="s">
        <v>3988</v>
      </c>
      <c r="CR249" t="s">
        <v>86</v>
      </c>
      <c r="CS249" t="s">
        <v>229</v>
      </c>
      <c r="CT249" t="s">
        <v>227</v>
      </c>
      <c r="CU249" t="s">
        <v>90</v>
      </c>
      <c r="CV249" t="s">
        <v>228</v>
      </c>
      <c r="CW249">
        <v>0</v>
      </c>
      <c r="DB249">
        <v>270</v>
      </c>
      <c r="DC249">
        <v>300</v>
      </c>
      <c r="DD249">
        <v>330</v>
      </c>
      <c r="DE249">
        <v>350</v>
      </c>
      <c r="DG249" t="s">
        <v>3989</v>
      </c>
      <c r="DH249" t="s">
        <v>82</v>
      </c>
      <c r="DI249" t="s">
        <v>1463</v>
      </c>
      <c r="DJ249" t="s">
        <v>1464</v>
      </c>
      <c r="DK249" t="s">
        <v>668</v>
      </c>
      <c r="DL249">
        <v>7.69</v>
      </c>
      <c r="DM249" t="s">
        <v>669</v>
      </c>
      <c r="DN249" t="s">
        <v>670</v>
      </c>
      <c r="DO249">
        <v>2</v>
      </c>
      <c r="DP249">
        <v>67.2</v>
      </c>
      <c r="DQ249">
        <v>67.2</v>
      </c>
      <c r="DR249" t="s">
        <v>3990</v>
      </c>
      <c r="EB249" t="s">
        <v>3991</v>
      </c>
      <c r="EC249" t="s">
        <v>2349</v>
      </c>
      <c r="EE249" t="s">
        <v>623</v>
      </c>
      <c r="EL249" t="s">
        <v>3992</v>
      </c>
      <c r="EM249" t="s">
        <v>2434</v>
      </c>
      <c r="EN249" t="s">
        <v>2435</v>
      </c>
      <c r="EO249">
        <v>6</v>
      </c>
      <c r="EP249" t="s">
        <v>2276</v>
      </c>
      <c r="EQ249" t="s">
        <v>2615</v>
      </c>
      <c r="ER249" t="s">
        <v>2616</v>
      </c>
      <c r="ES249">
        <v>135525</v>
      </c>
      <c r="ET249">
        <v>135525</v>
      </c>
      <c r="EU249">
        <v>135525</v>
      </c>
      <c r="EV249">
        <v>135525</v>
      </c>
    </row>
    <row r="250" ht="15" customHeight="1" spans="95:152" x14ac:dyDescent="0.25">
      <c r="CQ250" t="s">
        <v>3993</v>
      </c>
      <c r="CR250" t="s">
        <v>86</v>
      </c>
      <c r="CS250" t="s">
        <v>246</v>
      </c>
      <c r="CT250" t="s">
        <v>244</v>
      </c>
      <c r="CU250" t="s">
        <v>90</v>
      </c>
      <c r="CV250" t="s">
        <v>245</v>
      </c>
      <c r="CW250">
        <v>0</v>
      </c>
      <c r="DB250">
        <v>730</v>
      </c>
      <c r="DC250">
        <v>800</v>
      </c>
      <c r="DD250">
        <v>870</v>
      </c>
      <c r="DE250">
        <v>870</v>
      </c>
      <c r="DG250" t="s">
        <v>3994</v>
      </c>
      <c r="DH250" t="s">
        <v>82</v>
      </c>
      <c r="DI250" t="s">
        <v>1466</v>
      </c>
      <c r="DJ250" t="s">
        <v>1467</v>
      </c>
      <c r="DK250" t="s">
        <v>668</v>
      </c>
      <c r="DL250">
        <v>7.69</v>
      </c>
      <c r="DM250" t="s">
        <v>670</v>
      </c>
      <c r="DN250" t="s">
        <v>669</v>
      </c>
      <c r="DO250">
        <v>0</v>
      </c>
      <c r="DP250">
        <v>0</v>
      </c>
      <c r="DQ250">
        <v>47.65</v>
      </c>
      <c r="DR250" t="s">
        <v>3995</v>
      </c>
      <c r="EB250" t="s">
        <v>3996</v>
      </c>
      <c r="EC250" t="s">
        <v>2349</v>
      </c>
      <c r="EE250" t="s">
        <v>596</v>
      </c>
      <c r="EL250" t="s">
        <v>3997</v>
      </c>
      <c r="EM250" t="s">
        <v>2434</v>
      </c>
      <c r="EN250" t="s">
        <v>2435</v>
      </c>
      <c r="EO250">
        <v>6.5</v>
      </c>
      <c r="EP250" t="s">
        <v>2252</v>
      </c>
      <c r="EQ250" t="s">
        <v>2628</v>
      </c>
      <c r="ER250" t="s">
        <v>2629</v>
      </c>
      <c r="ES250">
        <v>97300</v>
      </c>
      <c r="ET250">
        <v>97300</v>
      </c>
      <c r="EU250">
        <v>97300</v>
      </c>
      <c r="EV250">
        <v>97300</v>
      </c>
    </row>
    <row r="251" ht="15" customHeight="1" spans="95:152" x14ac:dyDescent="0.25">
      <c r="CQ251" t="s">
        <v>3998</v>
      </c>
      <c r="CR251" t="s">
        <v>86</v>
      </c>
      <c r="CS251" t="s">
        <v>255</v>
      </c>
      <c r="CT251" t="s">
        <v>253</v>
      </c>
      <c r="CU251" t="s">
        <v>90</v>
      </c>
      <c r="CV251" t="s">
        <v>254</v>
      </c>
      <c r="CW251">
        <v>0</v>
      </c>
      <c r="DB251">
        <v>980</v>
      </c>
      <c r="DC251">
        <v>1080</v>
      </c>
      <c r="DD251">
        <v>1170</v>
      </c>
      <c r="DE251">
        <v>1170</v>
      </c>
      <c r="DG251" t="s">
        <v>3999</v>
      </c>
      <c r="DH251" t="s">
        <v>82</v>
      </c>
      <c r="DI251" t="s">
        <v>1469</v>
      </c>
      <c r="DJ251" t="s">
        <v>1470</v>
      </c>
      <c r="DK251" t="s">
        <v>668</v>
      </c>
      <c r="DL251">
        <v>7.69</v>
      </c>
      <c r="DM251" t="s">
        <v>669</v>
      </c>
      <c r="DN251" t="s">
        <v>670</v>
      </c>
      <c r="DO251">
        <v>3.5</v>
      </c>
      <c r="DP251">
        <v>36.33</v>
      </c>
      <c r="DQ251">
        <v>36.33</v>
      </c>
      <c r="DR251" t="s">
        <v>4000</v>
      </c>
      <c r="EB251" t="s">
        <v>4001</v>
      </c>
      <c r="EC251" t="s">
        <v>2349</v>
      </c>
      <c r="ED251" t="s">
        <v>2350</v>
      </c>
      <c r="EE251" t="s">
        <v>593</v>
      </c>
      <c r="EF251" t="s">
        <v>2469</v>
      </c>
      <c r="EG251">
        <v>1</v>
      </c>
      <c r="EH251">
        <v>1</v>
      </c>
      <c r="EI251">
        <v>1</v>
      </c>
      <c r="EJ251">
        <v>1</v>
      </c>
      <c r="EL251" t="s">
        <v>4002</v>
      </c>
      <c r="EM251" t="s">
        <v>2434</v>
      </c>
      <c r="EN251" t="s">
        <v>2435</v>
      </c>
      <c r="EO251">
        <v>6.5</v>
      </c>
      <c r="EP251" t="s">
        <v>2276</v>
      </c>
      <c r="EQ251" t="s">
        <v>2644</v>
      </c>
      <c r="ER251" t="s">
        <v>2645</v>
      </c>
      <c r="ES251">
        <v>145950</v>
      </c>
      <c r="ET251">
        <v>145950</v>
      </c>
      <c r="EU251">
        <v>145950</v>
      </c>
      <c r="EV251">
        <v>145950</v>
      </c>
    </row>
    <row r="252" ht="15" customHeight="1" spans="95:152" x14ac:dyDescent="0.25">
      <c r="CQ252" t="s">
        <v>4003</v>
      </c>
      <c r="CR252" t="s">
        <v>86</v>
      </c>
      <c r="CS252" t="s">
        <v>599</v>
      </c>
      <c r="CT252" t="s">
        <v>2421</v>
      </c>
      <c r="CU252" t="s">
        <v>90</v>
      </c>
      <c r="CV252" t="s">
        <v>2798</v>
      </c>
      <c r="CW252">
        <v>0</v>
      </c>
      <c r="DB252">
        <v>930</v>
      </c>
      <c r="DC252">
        <v>930</v>
      </c>
      <c r="DD252">
        <v>930</v>
      </c>
      <c r="DE252">
        <v>930</v>
      </c>
      <c r="DG252" t="s">
        <v>4004</v>
      </c>
      <c r="DH252" t="s">
        <v>82</v>
      </c>
      <c r="DI252" t="s">
        <v>1472</v>
      </c>
      <c r="DJ252" t="s">
        <v>1473</v>
      </c>
      <c r="DK252" t="s">
        <v>668</v>
      </c>
      <c r="DL252">
        <v>7.69</v>
      </c>
      <c r="DM252" t="s">
        <v>670</v>
      </c>
      <c r="DN252" t="s">
        <v>669</v>
      </c>
      <c r="DO252">
        <v>0</v>
      </c>
      <c r="DP252">
        <v>0</v>
      </c>
      <c r="DQ252">
        <v>41.34</v>
      </c>
      <c r="DR252" t="s">
        <v>4005</v>
      </c>
      <c r="EB252" t="s">
        <v>4006</v>
      </c>
      <c r="EC252" t="s">
        <v>2349</v>
      </c>
      <c r="ED252" t="s">
        <v>2350</v>
      </c>
      <c r="EE252" t="s">
        <v>591</v>
      </c>
      <c r="EF252" t="s">
        <v>3058</v>
      </c>
      <c r="EG252">
        <v>1000</v>
      </c>
      <c r="EH252">
        <v>1000</v>
      </c>
      <c r="EI252">
        <v>1000</v>
      </c>
      <c r="EJ252">
        <v>1000</v>
      </c>
      <c r="EL252" t="s">
        <v>4007</v>
      </c>
      <c r="EM252" t="s">
        <v>2434</v>
      </c>
      <c r="EN252" t="s">
        <v>2435</v>
      </c>
      <c r="EO252">
        <v>7</v>
      </c>
      <c r="EP252" t="s">
        <v>2252</v>
      </c>
      <c r="EQ252" t="s">
        <v>2659</v>
      </c>
      <c r="ER252" t="s">
        <v>2660</v>
      </c>
      <c r="ES252">
        <v>103350</v>
      </c>
      <c r="ET252">
        <v>103350</v>
      </c>
      <c r="EU252">
        <v>103350</v>
      </c>
      <c r="EV252">
        <v>103350</v>
      </c>
    </row>
    <row r="253" ht="15" customHeight="1" spans="95:152" x14ac:dyDescent="0.25">
      <c r="CQ253" t="s">
        <v>4008</v>
      </c>
      <c r="CR253" t="s">
        <v>86</v>
      </c>
      <c r="CS253" t="s">
        <v>243</v>
      </c>
      <c r="CT253" t="s">
        <v>241</v>
      </c>
      <c r="CU253" t="s">
        <v>90</v>
      </c>
      <c r="CV253" t="s">
        <v>242</v>
      </c>
      <c r="CW253">
        <v>0</v>
      </c>
      <c r="DB253">
        <v>1250</v>
      </c>
      <c r="DC253">
        <v>1250</v>
      </c>
      <c r="DD253">
        <v>1250</v>
      </c>
      <c r="DE253">
        <v>1250</v>
      </c>
      <c r="DG253" t="s">
        <v>4009</v>
      </c>
      <c r="DH253" t="s">
        <v>82</v>
      </c>
      <c r="DI253" t="s">
        <v>1477</v>
      </c>
      <c r="DJ253" t="s">
        <v>1478</v>
      </c>
      <c r="DK253" t="s">
        <v>668</v>
      </c>
      <c r="DL253">
        <v>7.69</v>
      </c>
      <c r="DM253" t="s">
        <v>670</v>
      </c>
      <c r="DN253" t="s">
        <v>669</v>
      </c>
      <c r="DO253">
        <v>0</v>
      </c>
      <c r="DP253">
        <v>0</v>
      </c>
      <c r="DQ253">
        <v>4.54</v>
      </c>
      <c r="DR253" t="s">
        <v>4010</v>
      </c>
      <c r="EB253" t="s">
        <v>4011</v>
      </c>
      <c r="EC253" t="s">
        <v>2349</v>
      </c>
      <c r="ED253" t="s">
        <v>2350</v>
      </c>
      <c r="EE253" t="s">
        <v>2423</v>
      </c>
      <c r="EF253" t="s">
        <v>2424</v>
      </c>
      <c r="EG253">
        <v>22000</v>
      </c>
      <c r="EH253">
        <v>22000</v>
      </c>
      <c r="EI253">
        <v>22000</v>
      </c>
      <c r="EJ253">
        <v>22000</v>
      </c>
      <c r="EL253" t="s">
        <v>4012</v>
      </c>
      <c r="EM253" t="s">
        <v>2434</v>
      </c>
      <c r="EN253" t="s">
        <v>2435</v>
      </c>
      <c r="EO253">
        <v>7</v>
      </c>
      <c r="EP253" t="s">
        <v>2276</v>
      </c>
      <c r="EQ253" t="s">
        <v>2673</v>
      </c>
      <c r="ER253" t="s">
        <v>2674</v>
      </c>
      <c r="ES253">
        <v>155025</v>
      </c>
      <c r="ET253">
        <v>155025</v>
      </c>
      <c r="EU253">
        <v>155025</v>
      </c>
      <c r="EV253">
        <v>155025</v>
      </c>
    </row>
    <row r="254" ht="15" customHeight="1" spans="95:152" x14ac:dyDescent="0.25">
      <c r="CQ254" t="s">
        <v>4013</v>
      </c>
      <c r="CR254" t="s">
        <v>86</v>
      </c>
      <c r="CS254" t="s">
        <v>593</v>
      </c>
      <c r="CT254" t="s">
        <v>2469</v>
      </c>
      <c r="CU254" t="s">
        <v>79</v>
      </c>
      <c r="CV254" t="s">
        <v>2819</v>
      </c>
      <c r="CW254">
        <v>0</v>
      </c>
      <c r="DB254">
        <v>1500</v>
      </c>
      <c r="DC254">
        <v>1500</v>
      </c>
      <c r="DD254">
        <v>1500</v>
      </c>
      <c r="DE254">
        <v>1500</v>
      </c>
      <c r="DG254" t="s">
        <v>4014</v>
      </c>
      <c r="DH254" t="s">
        <v>82</v>
      </c>
      <c r="DI254" t="s">
        <v>1482</v>
      </c>
      <c r="DJ254" t="s">
        <v>1483</v>
      </c>
      <c r="DK254" t="s">
        <v>668</v>
      </c>
      <c r="DL254">
        <v>7.69</v>
      </c>
      <c r="DM254" t="s">
        <v>670</v>
      </c>
      <c r="DN254" t="s">
        <v>669</v>
      </c>
      <c r="DO254">
        <v>0</v>
      </c>
      <c r="DP254">
        <v>0</v>
      </c>
      <c r="DQ254">
        <v>30.18</v>
      </c>
      <c r="DR254" t="s">
        <v>4015</v>
      </c>
      <c r="EB254" t="s">
        <v>4016</v>
      </c>
      <c r="EC254" t="s">
        <v>2349</v>
      </c>
      <c r="EE254" t="s">
        <v>584</v>
      </c>
      <c r="EL254" t="s">
        <v>4017</v>
      </c>
      <c r="EM254" t="s">
        <v>2434</v>
      </c>
      <c r="EN254" t="s">
        <v>2435</v>
      </c>
      <c r="EO254">
        <v>7.5</v>
      </c>
      <c r="EP254" t="s">
        <v>2252</v>
      </c>
      <c r="EQ254" t="s">
        <v>2686</v>
      </c>
      <c r="ER254" t="s">
        <v>3547</v>
      </c>
      <c r="ES254">
        <v>109750</v>
      </c>
      <c r="ET254">
        <v>109750</v>
      </c>
      <c r="EU254">
        <v>109750</v>
      </c>
      <c r="EV254">
        <v>109750</v>
      </c>
    </row>
    <row r="255" ht="15" customHeight="1" spans="95:152" x14ac:dyDescent="0.25">
      <c r="CQ255" t="s">
        <v>4018</v>
      </c>
      <c r="CR255" t="s">
        <v>86</v>
      </c>
      <c r="CS255" t="s">
        <v>591</v>
      </c>
      <c r="CT255" t="s">
        <v>2483</v>
      </c>
      <c r="CU255" t="s">
        <v>79</v>
      </c>
      <c r="CV255" t="s">
        <v>2819</v>
      </c>
      <c r="CW255">
        <v>0</v>
      </c>
      <c r="DB255">
        <v>3000</v>
      </c>
      <c r="DC255">
        <v>3000</v>
      </c>
      <c r="DD255">
        <v>3000</v>
      </c>
      <c r="DE255">
        <v>3000</v>
      </c>
      <c r="DG255" t="s">
        <v>4019</v>
      </c>
      <c r="DH255" t="s">
        <v>82</v>
      </c>
      <c r="DI255" t="s">
        <v>1484</v>
      </c>
      <c r="DJ255" t="s">
        <v>1485</v>
      </c>
      <c r="DK255" t="s">
        <v>668</v>
      </c>
      <c r="DL255">
        <v>7.69</v>
      </c>
      <c r="DM255" t="s">
        <v>669</v>
      </c>
      <c r="DN255" t="s">
        <v>670</v>
      </c>
      <c r="DO255">
        <v>3.5</v>
      </c>
      <c r="DP255">
        <v>286.86</v>
      </c>
      <c r="DQ255">
        <v>286.86</v>
      </c>
      <c r="DR255" t="s">
        <v>4020</v>
      </c>
      <c r="EB255" t="s">
        <v>4021</v>
      </c>
      <c r="EC255" t="s">
        <v>2349</v>
      </c>
      <c r="ED255" t="s">
        <v>2350</v>
      </c>
      <c r="EE255" t="s">
        <v>582</v>
      </c>
      <c r="EF255" t="s">
        <v>2525</v>
      </c>
      <c r="EG255">
        <v>1</v>
      </c>
      <c r="EH255">
        <v>1</v>
      </c>
      <c r="EI255">
        <v>1</v>
      </c>
      <c r="EJ255">
        <v>1</v>
      </c>
      <c r="EL255" t="s">
        <v>4022</v>
      </c>
      <c r="EM255" t="s">
        <v>2434</v>
      </c>
      <c r="EN255" t="s">
        <v>2435</v>
      </c>
      <c r="EO255">
        <v>7.5</v>
      </c>
      <c r="EP255" t="s">
        <v>2276</v>
      </c>
      <c r="EQ255" t="s">
        <v>2701</v>
      </c>
      <c r="ER255" t="s">
        <v>2702</v>
      </c>
      <c r="ES255">
        <v>164625</v>
      </c>
      <c r="ET255">
        <v>164625</v>
      </c>
      <c r="EU255">
        <v>164625</v>
      </c>
      <c r="EV255">
        <v>164625</v>
      </c>
    </row>
    <row r="256" ht="15" customHeight="1" spans="95:152" x14ac:dyDescent="0.25">
      <c r="CQ256" t="s">
        <v>4023</v>
      </c>
      <c r="CR256" t="s">
        <v>86</v>
      </c>
      <c r="CS256" t="s">
        <v>261</v>
      </c>
      <c r="CT256" t="s">
        <v>259</v>
      </c>
      <c r="CU256" t="s">
        <v>88</v>
      </c>
      <c r="CV256" t="s">
        <v>260</v>
      </c>
      <c r="CW256">
        <v>0</v>
      </c>
      <c r="DB256">
        <v>860</v>
      </c>
      <c r="DC256">
        <v>950</v>
      </c>
      <c r="DD256">
        <v>1020</v>
      </c>
      <c r="DE256">
        <v>1020</v>
      </c>
      <c r="DG256" t="s">
        <v>4024</v>
      </c>
      <c r="DH256" t="s">
        <v>82</v>
      </c>
      <c r="DI256" t="s">
        <v>1487</v>
      </c>
      <c r="DJ256" t="s">
        <v>1488</v>
      </c>
      <c r="DK256" t="s">
        <v>668</v>
      </c>
      <c r="DL256">
        <v>7.69</v>
      </c>
      <c r="DM256" t="s">
        <v>669</v>
      </c>
      <c r="DN256" t="s">
        <v>670</v>
      </c>
      <c r="DO256">
        <v>1.5</v>
      </c>
      <c r="DP256">
        <v>469.68</v>
      </c>
      <c r="DQ256">
        <v>469.68</v>
      </c>
      <c r="DR256" t="s">
        <v>4025</v>
      </c>
      <c r="EB256" t="s">
        <v>4026</v>
      </c>
      <c r="EC256" t="s">
        <v>2349</v>
      </c>
      <c r="ED256" t="s">
        <v>2350</v>
      </c>
      <c r="EE256" t="s">
        <v>580</v>
      </c>
      <c r="EF256" t="s">
        <v>2539</v>
      </c>
      <c r="EG256">
        <v>1</v>
      </c>
      <c r="EH256">
        <v>1</v>
      </c>
      <c r="EI256">
        <v>1</v>
      </c>
      <c r="EJ256">
        <v>1</v>
      </c>
      <c r="EL256" t="s">
        <v>4027</v>
      </c>
      <c r="EM256" t="s">
        <v>2434</v>
      </c>
      <c r="EN256" t="s">
        <v>2435</v>
      </c>
      <c r="EO256">
        <v>8</v>
      </c>
      <c r="EP256" t="s">
        <v>2252</v>
      </c>
      <c r="EQ256" t="s">
        <v>2715</v>
      </c>
      <c r="ER256" t="s">
        <v>2716</v>
      </c>
      <c r="ES256">
        <v>114900</v>
      </c>
      <c r="ET256">
        <v>114900</v>
      </c>
      <c r="EU256">
        <v>114900</v>
      </c>
      <c r="EV256">
        <v>114900</v>
      </c>
    </row>
    <row r="257" ht="15" customHeight="1" spans="95:152" x14ac:dyDescent="0.25">
      <c r="CQ257" t="s">
        <v>4028</v>
      </c>
      <c r="CR257" t="s">
        <v>86</v>
      </c>
      <c r="CS257" t="s">
        <v>578</v>
      </c>
      <c r="CT257" t="s">
        <v>577</v>
      </c>
      <c r="CU257" t="s">
        <v>88</v>
      </c>
      <c r="CV257" t="s">
        <v>2851</v>
      </c>
      <c r="CW257">
        <v>0</v>
      </c>
      <c r="DB257">
        <v>100000</v>
      </c>
      <c r="DC257">
        <v>100000</v>
      </c>
      <c r="DD257">
        <v>100000</v>
      </c>
      <c r="DE257">
        <v>100000</v>
      </c>
      <c r="DG257" t="s">
        <v>4029</v>
      </c>
      <c r="DH257" t="s">
        <v>82</v>
      </c>
      <c r="DI257" t="s">
        <v>1489</v>
      </c>
      <c r="DJ257" t="s">
        <v>1490</v>
      </c>
      <c r="DK257" t="s">
        <v>668</v>
      </c>
      <c r="DL257">
        <v>7.69</v>
      </c>
      <c r="DM257" t="s">
        <v>670</v>
      </c>
      <c r="DN257" t="s">
        <v>669</v>
      </c>
      <c r="DO257">
        <v>0</v>
      </c>
      <c r="DP257">
        <v>0</v>
      </c>
      <c r="DQ257">
        <v>23.88</v>
      </c>
      <c r="DR257" t="s">
        <v>4030</v>
      </c>
      <c r="EB257" t="s">
        <v>4031</v>
      </c>
      <c r="EC257" t="s">
        <v>2349</v>
      </c>
      <c r="EE257" t="s">
        <v>578</v>
      </c>
      <c r="EL257" t="s">
        <v>4032</v>
      </c>
      <c r="EM257" t="s">
        <v>2434</v>
      </c>
      <c r="EN257" t="s">
        <v>2435</v>
      </c>
      <c r="EO257">
        <v>8</v>
      </c>
      <c r="EP257" t="s">
        <v>2276</v>
      </c>
      <c r="EQ257" t="s">
        <v>2728</v>
      </c>
      <c r="ER257" t="s">
        <v>2729</v>
      </c>
      <c r="ES257">
        <v>172350</v>
      </c>
      <c r="ET257">
        <v>172350</v>
      </c>
      <c r="EU257">
        <v>172350</v>
      </c>
      <c r="EV257">
        <v>172350</v>
      </c>
    </row>
    <row r="258" ht="15" customHeight="1" spans="95:152" x14ac:dyDescent="0.25">
      <c r="CQ258" t="s">
        <v>4033</v>
      </c>
      <c r="CR258" t="s">
        <v>86</v>
      </c>
      <c r="CS258" t="s">
        <v>569</v>
      </c>
      <c r="CT258" t="s">
        <v>567</v>
      </c>
      <c r="CU258" t="s">
        <v>88</v>
      </c>
      <c r="CV258" t="s">
        <v>2859</v>
      </c>
      <c r="CW258">
        <v>0</v>
      </c>
      <c r="DB258">
        <v>2000</v>
      </c>
      <c r="DC258">
        <v>2000</v>
      </c>
      <c r="DD258">
        <v>2000</v>
      </c>
      <c r="DE258">
        <v>2000</v>
      </c>
      <c r="DG258" t="s">
        <v>4034</v>
      </c>
      <c r="DH258" t="s">
        <v>82</v>
      </c>
      <c r="DI258" t="s">
        <v>1492</v>
      </c>
      <c r="DJ258" t="s">
        <v>1493</v>
      </c>
      <c r="DK258" t="s">
        <v>668</v>
      </c>
      <c r="DL258">
        <v>7.69</v>
      </c>
      <c r="DM258" t="s">
        <v>670</v>
      </c>
      <c r="DN258" t="s">
        <v>669</v>
      </c>
      <c r="DO258">
        <v>0</v>
      </c>
      <c r="DP258">
        <v>0</v>
      </c>
      <c r="DQ258">
        <v>5.32</v>
      </c>
      <c r="DR258" t="s">
        <v>4035</v>
      </c>
      <c r="EB258" t="s">
        <v>4036</v>
      </c>
      <c r="EC258" t="s">
        <v>2349</v>
      </c>
      <c r="ED258" t="s">
        <v>2350</v>
      </c>
      <c r="EE258" t="s">
        <v>327</v>
      </c>
      <c r="EF258" t="s">
        <v>328</v>
      </c>
      <c r="EG258">
        <v>415</v>
      </c>
      <c r="EH258">
        <v>475</v>
      </c>
      <c r="EI258">
        <v>475</v>
      </c>
      <c r="EJ258">
        <v>545</v>
      </c>
      <c r="EL258" t="s">
        <v>4037</v>
      </c>
      <c r="EM258" t="s">
        <v>2246</v>
      </c>
      <c r="EN258" t="s">
        <v>2247</v>
      </c>
      <c r="EO258">
        <v>1</v>
      </c>
      <c r="EP258" t="s">
        <v>2252</v>
      </c>
      <c r="EQ258" t="s">
        <v>2253</v>
      </c>
      <c r="ER258" t="s">
        <v>2294</v>
      </c>
      <c r="ES258">
        <v>10000</v>
      </c>
      <c r="ET258">
        <v>10000</v>
      </c>
      <c r="EU258">
        <v>10000</v>
      </c>
      <c r="EV258">
        <v>10000</v>
      </c>
    </row>
    <row r="259" ht="15" customHeight="1" spans="95:152" x14ac:dyDescent="0.25">
      <c r="CQ259" t="s">
        <v>4038</v>
      </c>
      <c r="CR259" t="s">
        <v>86</v>
      </c>
      <c r="CS259" t="s">
        <v>556</v>
      </c>
      <c r="CT259" t="s">
        <v>2713</v>
      </c>
      <c r="CU259" t="s">
        <v>79</v>
      </c>
      <c r="CV259" t="s">
        <v>2867</v>
      </c>
      <c r="CW259">
        <v>0</v>
      </c>
      <c r="DB259">
        <v>550</v>
      </c>
      <c r="DC259">
        <v>850</v>
      </c>
      <c r="DD259">
        <v>1200</v>
      </c>
      <c r="DE259">
        <v>1200</v>
      </c>
      <c r="DG259" t="s">
        <v>4039</v>
      </c>
      <c r="DH259" t="s">
        <v>82</v>
      </c>
      <c r="DI259" t="s">
        <v>1495</v>
      </c>
      <c r="DJ259" t="s">
        <v>1496</v>
      </c>
      <c r="DK259" t="s">
        <v>668</v>
      </c>
      <c r="DL259">
        <v>7.69</v>
      </c>
      <c r="DM259" t="s">
        <v>669</v>
      </c>
      <c r="DN259" t="s">
        <v>670</v>
      </c>
      <c r="DO259">
        <v>2</v>
      </c>
      <c r="DP259">
        <v>280</v>
      </c>
      <c r="DQ259">
        <v>280</v>
      </c>
      <c r="DR259" t="s">
        <v>4040</v>
      </c>
      <c r="EB259" t="s">
        <v>4041</v>
      </c>
      <c r="EC259" t="s">
        <v>2349</v>
      </c>
      <c r="ED259" t="s">
        <v>2350</v>
      </c>
      <c r="EE259" t="s">
        <v>330</v>
      </c>
      <c r="EF259" t="s">
        <v>331</v>
      </c>
      <c r="EG259">
        <v>210</v>
      </c>
      <c r="EH259">
        <v>240</v>
      </c>
      <c r="EI259">
        <v>240</v>
      </c>
      <c r="EJ259">
        <v>275</v>
      </c>
      <c r="EL259" t="s">
        <v>4037</v>
      </c>
      <c r="EM259" t="s">
        <v>2246</v>
      </c>
      <c r="EN259" t="s">
        <v>2247</v>
      </c>
      <c r="EO259">
        <v>1</v>
      </c>
      <c r="EP259" t="s">
        <v>2252</v>
      </c>
      <c r="EQ259" t="s">
        <v>2293</v>
      </c>
      <c r="ER259" t="s">
        <v>2294</v>
      </c>
      <c r="ES259">
        <v>10000</v>
      </c>
      <c r="ET259">
        <v>10000</v>
      </c>
      <c r="EU259">
        <v>10000</v>
      </c>
      <c r="EV259">
        <v>10000</v>
      </c>
    </row>
    <row r="260" ht="15" customHeight="1" spans="95:152" x14ac:dyDescent="0.25">
      <c r="CQ260" t="s">
        <v>4042</v>
      </c>
      <c r="CR260" t="s">
        <v>86</v>
      </c>
      <c r="CS260" t="s">
        <v>596</v>
      </c>
      <c r="CT260" t="s">
        <v>2452</v>
      </c>
      <c r="CU260" t="s">
        <v>79</v>
      </c>
      <c r="CV260" t="s">
        <v>594</v>
      </c>
      <c r="CW260">
        <v>0</v>
      </c>
      <c r="DB260">
        <v>350</v>
      </c>
      <c r="DC260">
        <v>350</v>
      </c>
      <c r="DD260">
        <v>350</v>
      </c>
      <c r="DE260">
        <v>350</v>
      </c>
      <c r="DG260" t="s">
        <v>4043</v>
      </c>
      <c r="DH260" t="s">
        <v>82</v>
      </c>
      <c r="DI260" t="s">
        <v>1497</v>
      </c>
      <c r="DJ260" t="s">
        <v>1498</v>
      </c>
      <c r="DK260" t="s">
        <v>668</v>
      </c>
      <c r="DL260">
        <v>7.69</v>
      </c>
      <c r="DM260" t="s">
        <v>670</v>
      </c>
      <c r="DN260" t="s">
        <v>669</v>
      </c>
      <c r="DO260">
        <v>0</v>
      </c>
      <c r="DP260">
        <v>0</v>
      </c>
      <c r="DQ260">
        <v>4.26</v>
      </c>
      <c r="DR260" t="s">
        <v>4044</v>
      </c>
      <c r="EB260" t="s">
        <v>4045</v>
      </c>
      <c r="EC260" t="s">
        <v>2349</v>
      </c>
      <c r="EE260" t="s">
        <v>576</v>
      </c>
      <c r="EL260" t="s">
        <v>4046</v>
      </c>
      <c r="EM260" t="s">
        <v>2246</v>
      </c>
      <c r="EN260" t="s">
        <v>2247</v>
      </c>
      <c r="EO260">
        <v>1</v>
      </c>
      <c r="EP260" t="s">
        <v>2276</v>
      </c>
      <c r="EQ260" t="s">
        <v>2277</v>
      </c>
      <c r="ER260" t="s">
        <v>2307</v>
      </c>
      <c r="ES260">
        <v>14850</v>
      </c>
      <c r="ET260">
        <v>14850</v>
      </c>
      <c r="EU260">
        <v>14850</v>
      </c>
      <c r="EV260">
        <v>14850</v>
      </c>
    </row>
    <row r="261" ht="15" customHeight="1" spans="95:152" x14ac:dyDescent="0.25">
      <c r="CQ261" t="s">
        <v>4047</v>
      </c>
      <c r="CR261" t="s">
        <v>86</v>
      </c>
      <c r="CS261" t="s">
        <v>561</v>
      </c>
      <c r="CT261" t="s">
        <v>2684</v>
      </c>
      <c r="CU261" t="s">
        <v>79</v>
      </c>
      <c r="CV261" t="s">
        <v>2881</v>
      </c>
      <c r="CW261">
        <v>0</v>
      </c>
      <c r="DB261">
        <v>1250</v>
      </c>
      <c r="DC261">
        <v>1250</v>
      </c>
      <c r="DD261">
        <v>1250</v>
      </c>
      <c r="DE261">
        <v>1250</v>
      </c>
      <c r="DG261" t="s">
        <v>4048</v>
      </c>
      <c r="DH261" t="s">
        <v>82</v>
      </c>
      <c r="DI261" t="s">
        <v>1500</v>
      </c>
      <c r="DJ261" t="s">
        <v>1501</v>
      </c>
      <c r="DK261" t="s">
        <v>668</v>
      </c>
      <c r="DL261">
        <v>7.69</v>
      </c>
      <c r="DM261" t="s">
        <v>670</v>
      </c>
      <c r="DN261" t="s">
        <v>669</v>
      </c>
      <c r="DO261">
        <v>0</v>
      </c>
      <c r="DP261">
        <v>0</v>
      </c>
      <c r="DQ261">
        <v>2.2</v>
      </c>
      <c r="DR261" t="s">
        <v>4049</v>
      </c>
      <c r="EB261" t="s">
        <v>4050</v>
      </c>
      <c r="EC261" t="s">
        <v>2349</v>
      </c>
      <c r="ED261" t="s">
        <v>2350</v>
      </c>
      <c r="EE261" t="s">
        <v>573</v>
      </c>
      <c r="EF261" t="s">
        <v>2613</v>
      </c>
      <c r="EG261">
        <v>1510</v>
      </c>
      <c r="EH261">
        <v>1510</v>
      </c>
      <c r="EI261">
        <v>1510</v>
      </c>
      <c r="EJ261">
        <v>1510</v>
      </c>
      <c r="EL261" t="s">
        <v>4046</v>
      </c>
      <c r="EM261" t="s">
        <v>2246</v>
      </c>
      <c r="EN261" t="s">
        <v>2247</v>
      </c>
      <c r="EO261">
        <v>1</v>
      </c>
      <c r="EP261" t="s">
        <v>2276</v>
      </c>
      <c r="EQ261" t="s">
        <v>2306</v>
      </c>
      <c r="ER261" t="s">
        <v>2307</v>
      </c>
      <c r="ES261">
        <v>14850</v>
      </c>
      <c r="ET261">
        <v>14850</v>
      </c>
      <c r="EU261">
        <v>14850</v>
      </c>
      <c r="EV261">
        <v>14850</v>
      </c>
    </row>
    <row r="262" ht="15" customHeight="1" spans="95:152" x14ac:dyDescent="0.25">
      <c r="CQ262" t="s">
        <v>4051</v>
      </c>
      <c r="CR262" t="s">
        <v>86</v>
      </c>
      <c r="CS262" t="s">
        <v>584</v>
      </c>
      <c r="CT262" t="s">
        <v>2510</v>
      </c>
      <c r="CU262" t="s">
        <v>88</v>
      </c>
      <c r="CV262" t="s">
        <v>2890</v>
      </c>
      <c r="CW262">
        <v>0</v>
      </c>
      <c r="DB262">
        <v>3020</v>
      </c>
      <c r="DC262">
        <v>3020</v>
      </c>
      <c r="DD262">
        <v>3020</v>
      </c>
      <c r="DE262">
        <v>3020</v>
      </c>
      <c r="DG262" t="s">
        <v>4052</v>
      </c>
      <c r="DH262" t="s">
        <v>82</v>
      </c>
      <c r="DI262" t="s">
        <v>1503</v>
      </c>
      <c r="DJ262" t="s">
        <v>1504</v>
      </c>
      <c r="DK262" t="s">
        <v>668</v>
      </c>
      <c r="DL262">
        <v>7.69</v>
      </c>
      <c r="DM262" t="s">
        <v>670</v>
      </c>
      <c r="DN262" t="s">
        <v>669</v>
      </c>
      <c r="DO262">
        <v>0</v>
      </c>
      <c r="DP262">
        <v>0</v>
      </c>
      <c r="DQ262">
        <v>7.02</v>
      </c>
      <c r="DR262" t="s">
        <v>4053</v>
      </c>
      <c r="EB262" t="s">
        <v>4054</v>
      </c>
      <c r="EC262" t="s">
        <v>2349</v>
      </c>
      <c r="ED262" t="s">
        <v>2350</v>
      </c>
      <c r="EE262" t="s">
        <v>569</v>
      </c>
      <c r="EF262" t="s">
        <v>567</v>
      </c>
      <c r="EG262">
        <v>1</v>
      </c>
      <c r="EH262">
        <v>1</v>
      </c>
      <c r="EI262">
        <v>1</v>
      </c>
      <c r="EJ262">
        <v>1</v>
      </c>
      <c r="EL262" t="s">
        <v>4055</v>
      </c>
      <c r="EM262" t="s">
        <v>2246</v>
      </c>
      <c r="EN262" t="s">
        <v>2247</v>
      </c>
      <c r="EO262">
        <v>2</v>
      </c>
      <c r="EP262" t="s">
        <v>2252</v>
      </c>
      <c r="EQ262" t="s">
        <v>2322</v>
      </c>
      <c r="ER262" t="s">
        <v>2355</v>
      </c>
      <c r="ES262">
        <v>20000</v>
      </c>
      <c r="ET262">
        <v>20000</v>
      </c>
      <c r="EU262">
        <v>20000</v>
      </c>
      <c r="EV262">
        <v>20000</v>
      </c>
    </row>
    <row r="263" ht="15" customHeight="1" spans="95:152" x14ac:dyDescent="0.25">
      <c r="CQ263" t="s">
        <v>4056</v>
      </c>
      <c r="CR263" t="s">
        <v>86</v>
      </c>
      <c r="CS263" t="s">
        <v>582</v>
      </c>
      <c r="CT263" t="s">
        <v>2525</v>
      </c>
      <c r="CU263" t="s">
        <v>88</v>
      </c>
      <c r="CV263" t="s">
        <v>581</v>
      </c>
      <c r="CW263">
        <v>0</v>
      </c>
      <c r="DB263">
        <v>2470</v>
      </c>
      <c r="DC263">
        <v>2470</v>
      </c>
      <c r="DD263">
        <v>2470</v>
      </c>
      <c r="DE263">
        <v>2470</v>
      </c>
      <c r="DG263" t="s">
        <v>4057</v>
      </c>
      <c r="DH263" t="s">
        <v>82</v>
      </c>
      <c r="DI263" t="s">
        <v>1508</v>
      </c>
      <c r="DJ263" t="s">
        <v>1509</v>
      </c>
      <c r="DK263" t="s">
        <v>668</v>
      </c>
      <c r="DL263">
        <v>7.69</v>
      </c>
      <c r="DM263" t="s">
        <v>670</v>
      </c>
      <c r="DN263" t="s">
        <v>669</v>
      </c>
      <c r="DO263">
        <v>0</v>
      </c>
      <c r="DP263">
        <v>0</v>
      </c>
      <c r="DQ263">
        <v>1729.7</v>
      </c>
      <c r="DR263" t="s">
        <v>4058</v>
      </c>
      <c r="EB263" t="s">
        <v>4059</v>
      </c>
      <c r="EC263" t="s">
        <v>2349</v>
      </c>
      <c r="ED263" t="s">
        <v>2350</v>
      </c>
      <c r="EE263" t="s">
        <v>2641</v>
      </c>
      <c r="EF263" t="s">
        <v>2642</v>
      </c>
      <c r="EG263">
        <v>1750</v>
      </c>
      <c r="EH263">
        <v>1750</v>
      </c>
      <c r="EI263">
        <v>1750</v>
      </c>
      <c r="EJ263">
        <v>1750</v>
      </c>
      <c r="EL263" t="s">
        <v>4055</v>
      </c>
      <c r="EM263" t="s">
        <v>2246</v>
      </c>
      <c r="EN263" t="s">
        <v>2247</v>
      </c>
      <c r="EO263">
        <v>2</v>
      </c>
      <c r="EP263" t="s">
        <v>2252</v>
      </c>
      <c r="EQ263" t="s">
        <v>2354</v>
      </c>
      <c r="ER263" t="s">
        <v>2355</v>
      </c>
      <c r="ES263">
        <v>20000</v>
      </c>
      <c r="ET263">
        <v>20000</v>
      </c>
      <c r="EU263">
        <v>20000</v>
      </c>
      <c r="EV263">
        <v>20000</v>
      </c>
    </row>
    <row r="264" ht="15" customHeight="1" spans="95:152" x14ac:dyDescent="0.25">
      <c r="CQ264" t="s">
        <v>4060</v>
      </c>
      <c r="CR264" t="s">
        <v>86</v>
      </c>
      <c r="CS264" t="s">
        <v>580</v>
      </c>
      <c r="CT264" t="s">
        <v>2539</v>
      </c>
      <c r="CU264" t="s">
        <v>88</v>
      </c>
      <c r="CV264" t="s">
        <v>2909</v>
      </c>
      <c r="CW264">
        <v>0</v>
      </c>
      <c r="DB264">
        <v>10480</v>
      </c>
      <c r="DC264">
        <v>10480</v>
      </c>
      <c r="DD264">
        <v>10480</v>
      </c>
      <c r="DE264">
        <v>10480</v>
      </c>
      <c r="DG264" t="s">
        <v>4061</v>
      </c>
      <c r="DH264" t="s">
        <v>82</v>
      </c>
      <c r="DI264" t="s">
        <v>350</v>
      </c>
      <c r="DJ264" t="s">
        <v>1511</v>
      </c>
      <c r="DK264" t="s">
        <v>1079</v>
      </c>
      <c r="DL264">
        <v>7.69</v>
      </c>
      <c r="DM264" t="s">
        <v>669</v>
      </c>
      <c r="DN264" t="s">
        <v>670</v>
      </c>
      <c r="DO264">
        <v>1</v>
      </c>
      <c r="DP264">
        <v>36136</v>
      </c>
      <c r="DQ264">
        <v>36136</v>
      </c>
      <c r="DR264" t="s">
        <v>4062</v>
      </c>
      <c r="EB264" t="s">
        <v>4063</v>
      </c>
      <c r="EC264" t="s">
        <v>2349</v>
      </c>
      <c r="ED264" t="s">
        <v>2350</v>
      </c>
      <c r="EE264" t="s">
        <v>2656</v>
      </c>
      <c r="EF264" t="s">
        <v>2657</v>
      </c>
      <c r="EG264">
        <v>3000</v>
      </c>
      <c r="EH264">
        <v>3000</v>
      </c>
      <c r="EI264">
        <v>3000</v>
      </c>
      <c r="EJ264">
        <v>3000</v>
      </c>
      <c r="EL264" t="s">
        <v>4064</v>
      </c>
      <c r="EM264" t="s">
        <v>2246</v>
      </c>
      <c r="EN264" t="s">
        <v>2247</v>
      </c>
      <c r="EO264">
        <v>2</v>
      </c>
      <c r="EP264" t="s">
        <v>2276</v>
      </c>
      <c r="EQ264" t="s">
        <v>2338</v>
      </c>
      <c r="ER264" t="s">
        <v>2374</v>
      </c>
      <c r="ES264">
        <v>38600</v>
      </c>
      <c r="ET264">
        <v>38600</v>
      </c>
      <c r="EU264">
        <v>38600</v>
      </c>
      <c r="EV264">
        <v>38600</v>
      </c>
    </row>
    <row r="265" ht="15" customHeight="1" spans="95:152" x14ac:dyDescent="0.25">
      <c r="CQ265" t="s">
        <v>4065</v>
      </c>
      <c r="CR265" t="s">
        <v>86</v>
      </c>
      <c r="CS265" t="s">
        <v>296</v>
      </c>
      <c r="CT265" t="s">
        <v>294</v>
      </c>
      <c r="CU265" t="s">
        <v>88</v>
      </c>
      <c r="CV265" t="s">
        <v>295</v>
      </c>
      <c r="CW265">
        <v>0</v>
      </c>
      <c r="DB265">
        <v>150</v>
      </c>
      <c r="DC265">
        <v>150</v>
      </c>
      <c r="DD265">
        <v>150</v>
      </c>
      <c r="DE265">
        <v>150</v>
      </c>
      <c r="DG265" t="s">
        <v>4066</v>
      </c>
      <c r="DH265" t="s">
        <v>82</v>
      </c>
      <c r="DI265" t="s">
        <v>370</v>
      </c>
      <c r="DJ265" t="s">
        <v>371</v>
      </c>
      <c r="DK265" t="s">
        <v>1079</v>
      </c>
      <c r="DL265">
        <v>7.69</v>
      </c>
      <c r="DM265" t="s">
        <v>669</v>
      </c>
      <c r="DN265" t="s">
        <v>670</v>
      </c>
      <c r="DO265">
        <v>1</v>
      </c>
      <c r="DP265">
        <v>36136</v>
      </c>
      <c r="DQ265">
        <v>36136</v>
      </c>
      <c r="DR265" t="s">
        <v>4067</v>
      </c>
      <c r="EB265" t="s">
        <v>4068</v>
      </c>
      <c r="EC265" t="s">
        <v>2349</v>
      </c>
      <c r="ED265" t="s">
        <v>2350</v>
      </c>
      <c r="EE265" t="s">
        <v>2670</v>
      </c>
      <c r="EF265" t="s">
        <v>2671</v>
      </c>
      <c r="EG265">
        <v>5000</v>
      </c>
      <c r="EH265">
        <v>5000</v>
      </c>
      <c r="EI265">
        <v>5000</v>
      </c>
      <c r="EJ265">
        <v>5000</v>
      </c>
      <c r="EL265" t="s">
        <v>4064</v>
      </c>
      <c r="EM265" t="s">
        <v>2246</v>
      </c>
      <c r="EN265" t="s">
        <v>2247</v>
      </c>
      <c r="EO265">
        <v>2</v>
      </c>
      <c r="EP265" t="s">
        <v>2276</v>
      </c>
      <c r="EQ265" t="s">
        <v>2373</v>
      </c>
      <c r="ER265" t="s">
        <v>2374</v>
      </c>
      <c r="ES265">
        <v>38600</v>
      </c>
      <c r="ET265">
        <v>38600</v>
      </c>
      <c r="EU265">
        <v>38600</v>
      </c>
      <c r="EV265">
        <v>38600</v>
      </c>
    </row>
    <row r="266" ht="15" customHeight="1" spans="95:152" x14ac:dyDescent="0.25">
      <c r="CQ266" t="s">
        <v>4038</v>
      </c>
      <c r="CR266" t="s">
        <v>86</v>
      </c>
      <c r="CS266" t="s">
        <v>556</v>
      </c>
      <c r="CT266" t="s">
        <v>2713</v>
      </c>
      <c r="CU266" t="s">
        <v>79</v>
      </c>
      <c r="CV266" t="s">
        <v>2867</v>
      </c>
      <c r="CW266">
        <v>0</v>
      </c>
      <c r="DB266">
        <v>550</v>
      </c>
      <c r="DC266">
        <v>850</v>
      </c>
      <c r="DD266">
        <v>1200</v>
      </c>
      <c r="DE266">
        <v>1200</v>
      </c>
      <c r="DG266" t="s">
        <v>4069</v>
      </c>
      <c r="DH266" t="s">
        <v>82</v>
      </c>
      <c r="DI266" t="s">
        <v>376</v>
      </c>
      <c r="DJ266" t="s">
        <v>377</v>
      </c>
      <c r="DK266" t="s">
        <v>1079</v>
      </c>
      <c r="DL266">
        <v>7.69</v>
      </c>
      <c r="DM266" t="s">
        <v>669</v>
      </c>
      <c r="DN266" t="s">
        <v>670</v>
      </c>
      <c r="DO266">
        <v>1</v>
      </c>
      <c r="DP266">
        <v>36136</v>
      </c>
      <c r="DQ266">
        <v>36136</v>
      </c>
      <c r="DR266" t="s">
        <v>4070</v>
      </c>
      <c r="EB266" t="s">
        <v>4071</v>
      </c>
      <c r="EC266" t="s">
        <v>2349</v>
      </c>
      <c r="ED266" t="s">
        <v>2350</v>
      </c>
      <c r="EE266" t="s">
        <v>561</v>
      </c>
      <c r="EF266" t="s">
        <v>2684</v>
      </c>
      <c r="EG266">
        <v>1</v>
      </c>
      <c r="EH266">
        <v>1</v>
      </c>
      <c r="EI266">
        <v>1</v>
      </c>
      <c r="EJ266">
        <v>1</v>
      </c>
      <c r="EL266" t="s">
        <v>4072</v>
      </c>
      <c r="EM266" t="s">
        <v>2246</v>
      </c>
      <c r="EN266" t="s">
        <v>2247</v>
      </c>
      <c r="EO266">
        <v>3</v>
      </c>
      <c r="EP266" t="s">
        <v>2252</v>
      </c>
      <c r="EQ266" t="s">
        <v>2389</v>
      </c>
      <c r="ER266" t="s">
        <v>2424</v>
      </c>
      <c r="ES266">
        <v>30000</v>
      </c>
      <c r="ET266">
        <v>30000</v>
      </c>
      <c r="EU266">
        <v>30000</v>
      </c>
      <c r="EV266">
        <v>30000</v>
      </c>
    </row>
    <row r="267" ht="15" customHeight="1" spans="95:152" x14ac:dyDescent="0.25">
      <c r="CQ267" t="s">
        <v>4073</v>
      </c>
      <c r="CR267" t="s">
        <v>87</v>
      </c>
      <c r="CS267" t="s">
        <v>290</v>
      </c>
      <c r="CT267" t="s">
        <v>289</v>
      </c>
      <c r="CU267" t="s">
        <v>81</v>
      </c>
      <c r="CV267" t="s">
        <v>289</v>
      </c>
      <c r="CW267">
        <v>3.85</v>
      </c>
      <c r="CX267">
        <v>1</v>
      </c>
      <c r="CY267">
        <v>1</v>
      </c>
      <c r="CZ267">
        <v>1</v>
      </c>
      <c r="DA267">
        <v>500</v>
      </c>
      <c r="DB267">
        <v>420</v>
      </c>
      <c r="DC267">
        <v>460</v>
      </c>
      <c r="DD267">
        <v>500</v>
      </c>
      <c r="DE267">
        <v>500</v>
      </c>
      <c r="DG267" t="s">
        <v>4074</v>
      </c>
      <c r="DH267" t="s">
        <v>82</v>
      </c>
      <c r="DI267" t="s">
        <v>415</v>
      </c>
      <c r="DJ267" t="s">
        <v>416</v>
      </c>
      <c r="DK267" t="s">
        <v>1079</v>
      </c>
      <c r="DL267">
        <v>7.69</v>
      </c>
      <c r="DM267" t="s">
        <v>669</v>
      </c>
      <c r="DN267" t="s">
        <v>670</v>
      </c>
      <c r="DO267">
        <v>1</v>
      </c>
      <c r="DP267">
        <v>36130</v>
      </c>
      <c r="DQ267">
        <v>36130</v>
      </c>
      <c r="DR267" t="s">
        <v>4075</v>
      </c>
      <c r="EB267" t="s">
        <v>4076</v>
      </c>
      <c r="EC267" t="s">
        <v>2349</v>
      </c>
      <c r="ED267" t="s">
        <v>2350</v>
      </c>
      <c r="EE267" t="s">
        <v>563</v>
      </c>
      <c r="EF267" t="s">
        <v>2699</v>
      </c>
      <c r="EG267">
        <v>8000</v>
      </c>
      <c r="EH267">
        <v>8000</v>
      </c>
      <c r="EI267">
        <v>8000</v>
      </c>
      <c r="EJ267">
        <v>8000</v>
      </c>
      <c r="EL267" t="s">
        <v>4072</v>
      </c>
      <c r="EM267" t="s">
        <v>2246</v>
      </c>
      <c r="EN267" t="s">
        <v>2247</v>
      </c>
      <c r="EO267">
        <v>3</v>
      </c>
      <c r="EP267" t="s">
        <v>2252</v>
      </c>
      <c r="EQ267" t="s">
        <v>2423</v>
      </c>
      <c r="ER267" t="s">
        <v>2424</v>
      </c>
      <c r="ES267">
        <v>30000</v>
      </c>
      <c r="ET267">
        <v>30000</v>
      </c>
      <c r="EU267">
        <v>30000</v>
      </c>
      <c r="EV267">
        <v>30000</v>
      </c>
    </row>
    <row r="268" ht="15" customHeight="1" spans="95:152" x14ac:dyDescent="0.25">
      <c r="CQ268" t="s">
        <v>4077</v>
      </c>
      <c r="CR268" t="s">
        <v>87</v>
      </c>
      <c r="CS268" t="s">
        <v>275</v>
      </c>
      <c r="CT268" t="s">
        <v>273</v>
      </c>
      <c r="CU268" t="s">
        <v>81</v>
      </c>
      <c r="CV268" t="s">
        <v>274</v>
      </c>
      <c r="CW268">
        <v>3.85</v>
      </c>
      <c r="CX268">
        <v>1</v>
      </c>
      <c r="CY268">
        <v>1</v>
      </c>
      <c r="CZ268">
        <v>1</v>
      </c>
      <c r="DA268">
        <v>1200</v>
      </c>
      <c r="DB268">
        <v>1000</v>
      </c>
      <c r="DC268">
        <v>1110</v>
      </c>
      <c r="DD268">
        <v>1200</v>
      </c>
      <c r="DE268">
        <v>1200</v>
      </c>
      <c r="DG268" t="s">
        <v>4078</v>
      </c>
      <c r="DH268" t="s">
        <v>82</v>
      </c>
      <c r="DI268" t="s">
        <v>403</v>
      </c>
      <c r="DJ268" t="s">
        <v>404</v>
      </c>
      <c r="DK268" t="s">
        <v>1079</v>
      </c>
      <c r="DL268">
        <v>7.69</v>
      </c>
      <c r="DM268" t="s">
        <v>669</v>
      </c>
      <c r="DN268" t="s">
        <v>670</v>
      </c>
      <c r="DO268">
        <v>1</v>
      </c>
      <c r="DP268">
        <v>36130</v>
      </c>
      <c r="DQ268">
        <v>36130</v>
      </c>
      <c r="DR268" t="s">
        <v>4079</v>
      </c>
      <c r="EB268" t="s">
        <v>4080</v>
      </c>
      <c r="EC268" t="s">
        <v>2349</v>
      </c>
      <c r="ED268" t="s">
        <v>2350</v>
      </c>
      <c r="EE268" t="s">
        <v>556</v>
      </c>
      <c r="EF268" t="s">
        <v>2713</v>
      </c>
      <c r="EG268">
        <v>1</v>
      </c>
      <c r="EH268">
        <v>1</v>
      </c>
      <c r="EI268">
        <v>1</v>
      </c>
      <c r="EJ268">
        <v>1</v>
      </c>
      <c r="EL268" t="s">
        <v>4081</v>
      </c>
      <c r="EM268" t="s">
        <v>2246</v>
      </c>
      <c r="EN268" t="s">
        <v>2247</v>
      </c>
      <c r="EO268">
        <v>3</v>
      </c>
      <c r="EP268" t="s">
        <v>2276</v>
      </c>
      <c r="EQ268" t="s">
        <v>2406</v>
      </c>
      <c r="ER268" t="s">
        <v>2440</v>
      </c>
      <c r="ES268">
        <v>59650</v>
      </c>
      <c r="ET268">
        <v>59650</v>
      </c>
      <c r="EU268">
        <v>59650</v>
      </c>
      <c r="EV268">
        <v>59650</v>
      </c>
    </row>
    <row r="269" ht="15" customHeight="1" spans="95:152" x14ac:dyDescent="0.25">
      <c r="CQ269" t="s">
        <v>4082</v>
      </c>
      <c r="CR269" t="s">
        <v>87</v>
      </c>
      <c r="CS269" t="s">
        <v>551</v>
      </c>
      <c r="CT269" t="s">
        <v>548</v>
      </c>
      <c r="CU269" t="s">
        <v>81</v>
      </c>
      <c r="CV269" t="s">
        <v>274</v>
      </c>
      <c r="CW269">
        <v>100</v>
      </c>
      <c r="CX269">
        <v>1</v>
      </c>
      <c r="CY269">
        <v>1</v>
      </c>
      <c r="CZ269">
        <v>1</v>
      </c>
      <c r="DA269">
        <v>1990</v>
      </c>
      <c r="DB269">
        <v>1670</v>
      </c>
      <c r="DC269">
        <v>1850</v>
      </c>
      <c r="DD269">
        <v>1990</v>
      </c>
      <c r="DE269">
        <v>1990</v>
      </c>
      <c r="DG269" t="s">
        <v>4083</v>
      </c>
      <c r="DH269" t="s">
        <v>82</v>
      </c>
      <c r="DI269" t="s">
        <v>403</v>
      </c>
      <c r="DJ269" t="s">
        <v>1513</v>
      </c>
      <c r="DK269" t="s">
        <v>1079</v>
      </c>
      <c r="DL269">
        <v>7.69</v>
      </c>
      <c r="DM269" t="s">
        <v>669</v>
      </c>
      <c r="DN269" t="s">
        <v>670</v>
      </c>
      <c r="DO269">
        <v>1</v>
      </c>
      <c r="DP269">
        <v>36130</v>
      </c>
      <c r="DQ269">
        <v>36130</v>
      </c>
      <c r="DR269" t="s">
        <v>4084</v>
      </c>
      <c r="EB269" t="s">
        <v>4085</v>
      </c>
      <c r="EC269" t="s">
        <v>2349</v>
      </c>
      <c r="ED269" t="s">
        <v>2350</v>
      </c>
      <c r="EE269" t="s">
        <v>551</v>
      </c>
      <c r="EF269" t="s">
        <v>548</v>
      </c>
      <c r="EG269">
        <v>910</v>
      </c>
      <c r="EH269">
        <v>1045</v>
      </c>
      <c r="EI269">
        <v>1045</v>
      </c>
      <c r="EJ269">
        <v>1200</v>
      </c>
      <c r="EL269" t="s">
        <v>4081</v>
      </c>
      <c r="EM269" t="s">
        <v>2246</v>
      </c>
      <c r="EN269" t="s">
        <v>2247</v>
      </c>
      <c r="EO269">
        <v>3</v>
      </c>
      <c r="EP269" t="s">
        <v>2276</v>
      </c>
      <c r="EQ269" t="s">
        <v>2439</v>
      </c>
      <c r="ER269" t="s">
        <v>2440</v>
      </c>
      <c r="ES269">
        <v>59650</v>
      </c>
      <c r="ET269">
        <v>59650</v>
      </c>
      <c r="EU269">
        <v>59650</v>
      </c>
      <c r="EV269">
        <v>59650</v>
      </c>
    </row>
    <row r="270" ht="15" customHeight="1" spans="95:152" x14ac:dyDescent="0.25">
      <c r="CQ270" t="s">
        <v>4086</v>
      </c>
      <c r="CR270" t="s">
        <v>87</v>
      </c>
      <c r="CS270" t="s">
        <v>298</v>
      </c>
      <c r="CT270" t="s">
        <v>297</v>
      </c>
      <c r="CU270" t="s">
        <v>81</v>
      </c>
      <c r="CV270" t="s">
        <v>274</v>
      </c>
      <c r="CW270">
        <v>7.69</v>
      </c>
      <c r="CX270">
        <v>1</v>
      </c>
      <c r="CY270">
        <v>1</v>
      </c>
      <c r="CZ270">
        <v>1</v>
      </c>
      <c r="DA270">
        <v>410.5</v>
      </c>
      <c r="DB270">
        <v>1</v>
      </c>
      <c r="DC270">
        <v>1</v>
      </c>
      <c r="DD270">
        <v>1</v>
      </c>
      <c r="DE270">
        <v>1</v>
      </c>
      <c r="DG270" t="s">
        <v>4087</v>
      </c>
      <c r="DH270" t="s">
        <v>82</v>
      </c>
      <c r="DI270" t="s">
        <v>450</v>
      </c>
      <c r="DJ270" t="s">
        <v>1514</v>
      </c>
      <c r="DK270" t="s">
        <v>1079</v>
      </c>
      <c r="DL270">
        <v>7.69</v>
      </c>
      <c r="DM270" t="s">
        <v>669</v>
      </c>
      <c r="DN270" t="s">
        <v>670</v>
      </c>
      <c r="DO270">
        <v>1</v>
      </c>
      <c r="DP270">
        <v>13340.05</v>
      </c>
      <c r="DQ270">
        <v>13340.05</v>
      </c>
      <c r="DR270" t="s">
        <v>4088</v>
      </c>
      <c r="EB270" t="s">
        <v>4089</v>
      </c>
      <c r="EC270" t="s">
        <v>2349</v>
      </c>
      <c r="ED270" t="s">
        <v>2350</v>
      </c>
      <c r="EE270" t="s">
        <v>290</v>
      </c>
      <c r="EF270" t="s">
        <v>289</v>
      </c>
      <c r="EG270">
        <v>220</v>
      </c>
      <c r="EH270">
        <v>255</v>
      </c>
      <c r="EI270">
        <v>255</v>
      </c>
      <c r="EJ270">
        <v>295</v>
      </c>
      <c r="EL270" t="s">
        <v>4090</v>
      </c>
      <c r="EM270" t="s">
        <v>2246</v>
      </c>
      <c r="EN270" t="s">
        <v>2247</v>
      </c>
      <c r="EO270">
        <v>4</v>
      </c>
      <c r="EP270" t="s">
        <v>2252</v>
      </c>
      <c r="EQ270" t="s">
        <v>2454</v>
      </c>
      <c r="ER270" t="s">
        <v>2486</v>
      </c>
      <c r="ES270">
        <v>40000</v>
      </c>
      <c r="ET270">
        <v>40000</v>
      </c>
      <c r="EU270">
        <v>40000</v>
      </c>
      <c r="EV270">
        <v>40000</v>
      </c>
    </row>
    <row r="271" ht="15" customHeight="1" spans="95:152" x14ac:dyDescent="0.25">
      <c r="CQ271" t="s">
        <v>4091</v>
      </c>
      <c r="CR271" t="s">
        <v>87</v>
      </c>
      <c r="CS271" t="s">
        <v>620</v>
      </c>
      <c r="CT271" t="s">
        <v>2250</v>
      </c>
      <c r="CU271" t="s">
        <v>81</v>
      </c>
      <c r="CV271" t="s">
        <v>285</v>
      </c>
      <c r="CW271">
        <v>96.15</v>
      </c>
      <c r="CX271">
        <v>1</v>
      </c>
      <c r="CY271">
        <v>1</v>
      </c>
      <c r="CZ271">
        <v>1</v>
      </c>
      <c r="DA271">
        <v>430</v>
      </c>
      <c r="DB271">
        <v>360</v>
      </c>
      <c r="DC271">
        <v>400</v>
      </c>
      <c r="DD271">
        <v>430</v>
      </c>
      <c r="DE271">
        <v>430</v>
      </c>
      <c r="DG271" t="s">
        <v>4092</v>
      </c>
      <c r="DH271" t="s">
        <v>82</v>
      </c>
      <c r="DI271" t="s">
        <v>504</v>
      </c>
      <c r="DJ271" t="s">
        <v>505</v>
      </c>
      <c r="DK271" t="s">
        <v>1079</v>
      </c>
      <c r="DL271">
        <v>7.69</v>
      </c>
      <c r="DM271" t="s">
        <v>669</v>
      </c>
      <c r="DN271" t="s">
        <v>670</v>
      </c>
      <c r="DO271">
        <v>1</v>
      </c>
      <c r="DP271">
        <v>0.06</v>
      </c>
      <c r="DQ271">
        <v>0.06</v>
      </c>
      <c r="DR271" t="s">
        <v>4093</v>
      </c>
      <c r="EB271" t="s">
        <v>4094</v>
      </c>
      <c r="EC271" t="s">
        <v>2349</v>
      </c>
      <c r="ED271" t="s">
        <v>2350</v>
      </c>
      <c r="EE271" t="s">
        <v>275</v>
      </c>
      <c r="EF271" t="s">
        <v>273</v>
      </c>
      <c r="EG271">
        <v>380</v>
      </c>
      <c r="EH271">
        <v>435</v>
      </c>
      <c r="EI271">
        <v>435</v>
      </c>
      <c r="EJ271">
        <v>500</v>
      </c>
      <c r="EL271" t="s">
        <v>4090</v>
      </c>
      <c r="EM271" t="s">
        <v>2246</v>
      </c>
      <c r="EN271" t="s">
        <v>2247</v>
      </c>
      <c r="EO271">
        <v>4</v>
      </c>
      <c r="EP271" t="s">
        <v>2252</v>
      </c>
      <c r="EQ271" t="s">
        <v>2485</v>
      </c>
      <c r="ER271" t="s">
        <v>2486</v>
      </c>
      <c r="ES271">
        <v>40000</v>
      </c>
      <c r="ET271">
        <v>40000</v>
      </c>
      <c r="EU271">
        <v>40000</v>
      </c>
      <c r="EV271">
        <v>40000</v>
      </c>
    </row>
    <row r="272" ht="15" customHeight="1" spans="95:152" x14ac:dyDescent="0.25">
      <c r="CQ272" t="s">
        <v>4095</v>
      </c>
      <c r="CR272" t="s">
        <v>87</v>
      </c>
      <c r="CS272" t="s">
        <v>618</v>
      </c>
      <c r="CT272" t="s">
        <v>2274</v>
      </c>
      <c r="CU272" t="s">
        <v>81</v>
      </c>
      <c r="CV272" t="s">
        <v>285</v>
      </c>
      <c r="CW272">
        <v>96.15</v>
      </c>
      <c r="CX272">
        <v>1</v>
      </c>
      <c r="CY272">
        <v>1</v>
      </c>
      <c r="CZ272">
        <v>1</v>
      </c>
      <c r="DA272">
        <v>800</v>
      </c>
      <c r="DB272">
        <v>580</v>
      </c>
      <c r="DC272">
        <v>660</v>
      </c>
      <c r="DD272">
        <v>760</v>
      </c>
      <c r="DE272">
        <v>800</v>
      </c>
      <c r="DG272" t="s">
        <v>4096</v>
      </c>
      <c r="DH272" t="s">
        <v>82</v>
      </c>
      <c r="DJ272" t="s">
        <v>970</v>
      </c>
      <c r="DK272" t="s">
        <v>692</v>
      </c>
      <c r="DL272">
        <v>7.69</v>
      </c>
      <c r="DM272" t="s">
        <v>669</v>
      </c>
      <c r="DN272" t="s">
        <v>669</v>
      </c>
      <c r="DO272">
        <v>0</v>
      </c>
      <c r="DP272">
        <v>0</v>
      </c>
      <c r="DQ272">
        <v>0</v>
      </c>
      <c r="DR272" t="s">
        <v>3075</v>
      </c>
      <c r="EB272" t="s">
        <v>4097</v>
      </c>
      <c r="EC272" t="s">
        <v>2349</v>
      </c>
      <c r="ED272" t="s">
        <v>2350</v>
      </c>
      <c r="EE272" t="s">
        <v>298</v>
      </c>
      <c r="EF272" t="s">
        <v>297</v>
      </c>
      <c r="EG272">
        <v>820</v>
      </c>
      <c r="EH272">
        <v>820</v>
      </c>
      <c r="EI272">
        <v>820</v>
      </c>
      <c r="EJ272">
        <v>820</v>
      </c>
      <c r="EL272" t="s">
        <v>4098</v>
      </c>
      <c r="EM272" t="s">
        <v>2246</v>
      </c>
      <c r="EN272" t="s">
        <v>2247</v>
      </c>
      <c r="EO272">
        <v>4</v>
      </c>
      <c r="EP272" t="s">
        <v>2276</v>
      </c>
      <c r="EQ272" t="s">
        <v>2471</v>
      </c>
      <c r="ER272" t="s">
        <v>2499</v>
      </c>
      <c r="ES272">
        <v>79150</v>
      </c>
      <c r="ET272">
        <v>79150</v>
      </c>
      <c r="EU272">
        <v>79150</v>
      </c>
      <c r="EV272">
        <v>79150</v>
      </c>
    </row>
    <row r="273" ht="15" customHeight="1" spans="95:152" x14ac:dyDescent="0.25">
      <c r="CQ273" t="s">
        <v>4099</v>
      </c>
      <c r="CR273" t="s">
        <v>87</v>
      </c>
      <c r="CS273" t="s">
        <v>616</v>
      </c>
      <c r="CT273" t="s">
        <v>2291</v>
      </c>
      <c r="CU273" t="s">
        <v>81</v>
      </c>
      <c r="CV273" t="s">
        <v>285</v>
      </c>
      <c r="CW273">
        <v>100</v>
      </c>
      <c r="CX273">
        <v>1</v>
      </c>
      <c r="CY273">
        <v>1</v>
      </c>
      <c r="CZ273">
        <v>1</v>
      </c>
      <c r="DA273">
        <v>1470</v>
      </c>
      <c r="DB273">
        <v>1230</v>
      </c>
      <c r="DC273">
        <v>1360</v>
      </c>
      <c r="DD273">
        <v>1470</v>
      </c>
      <c r="DE273">
        <v>1470</v>
      </c>
      <c r="DG273" t="s">
        <v>4100</v>
      </c>
      <c r="DH273" t="s">
        <v>82</v>
      </c>
      <c r="DJ273" t="s">
        <v>1062</v>
      </c>
      <c r="DK273" t="s">
        <v>692</v>
      </c>
      <c r="DL273">
        <v>7.69</v>
      </c>
      <c r="DM273" t="s">
        <v>669</v>
      </c>
      <c r="DN273" t="s">
        <v>669</v>
      </c>
      <c r="DO273">
        <v>0</v>
      </c>
      <c r="DP273">
        <v>0</v>
      </c>
      <c r="DQ273">
        <v>0</v>
      </c>
      <c r="DR273" t="s">
        <v>3256</v>
      </c>
      <c r="EB273" t="s">
        <v>4101</v>
      </c>
      <c r="EC273" t="s">
        <v>2349</v>
      </c>
      <c r="ED273" t="s">
        <v>2350</v>
      </c>
      <c r="EE273" t="s">
        <v>286</v>
      </c>
      <c r="EF273" t="s">
        <v>284</v>
      </c>
      <c r="EG273">
        <v>330</v>
      </c>
      <c r="EH273">
        <v>380</v>
      </c>
      <c r="EI273">
        <v>380</v>
      </c>
      <c r="EJ273">
        <v>435</v>
      </c>
      <c r="EL273" t="s">
        <v>4098</v>
      </c>
      <c r="EM273" t="s">
        <v>2246</v>
      </c>
      <c r="EN273" t="s">
        <v>2247</v>
      </c>
      <c r="EO273">
        <v>4</v>
      </c>
      <c r="EP273" t="s">
        <v>2276</v>
      </c>
      <c r="EQ273" t="s">
        <v>2498</v>
      </c>
      <c r="ER273" t="s">
        <v>2499</v>
      </c>
      <c r="ES273">
        <v>79150</v>
      </c>
      <c r="ET273">
        <v>79150</v>
      </c>
      <c r="EU273">
        <v>79150</v>
      </c>
      <c r="EV273">
        <v>79150</v>
      </c>
    </row>
    <row r="274" ht="15" customHeight="1" spans="95:152" x14ac:dyDescent="0.25">
      <c r="CQ274" t="s">
        <v>4102</v>
      </c>
      <c r="CR274" t="s">
        <v>87</v>
      </c>
      <c r="CS274" t="s">
        <v>614</v>
      </c>
      <c r="CT274" t="s">
        <v>2304</v>
      </c>
      <c r="CU274" t="s">
        <v>81</v>
      </c>
      <c r="CV274" t="s">
        <v>285</v>
      </c>
      <c r="CW274">
        <v>76.92</v>
      </c>
      <c r="CX274">
        <v>1</v>
      </c>
      <c r="CY274">
        <v>1</v>
      </c>
      <c r="CZ274">
        <v>1</v>
      </c>
      <c r="DA274">
        <v>870</v>
      </c>
      <c r="DB274">
        <v>730</v>
      </c>
      <c r="DC274">
        <v>800</v>
      </c>
      <c r="DD274">
        <v>870</v>
      </c>
      <c r="DE274">
        <v>870</v>
      </c>
      <c r="DG274" t="s">
        <v>4103</v>
      </c>
      <c r="DH274" t="s">
        <v>82</v>
      </c>
      <c r="DJ274" t="s">
        <v>1515</v>
      </c>
      <c r="DK274" t="s">
        <v>692</v>
      </c>
      <c r="DL274">
        <v>7.69</v>
      </c>
      <c r="DM274" t="s">
        <v>669</v>
      </c>
      <c r="DN274" t="s">
        <v>669</v>
      </c>
      <c r="DO274">
        <v>0</v>
      </c>
      <c r="DP274">
        <v>0</v>
      </c>
      <c r="DQ274">
        <v>0</v>
      </c>
      <c r="DR274" t="s">
        <v>4104</v>
      </c>
      <c r="EB274" t="s">
        <v>4105</v>
      </c>
      <c r="EC274" t="s">
        <v>2349</v>
      </c>
      <c r="ED274" t="s">
        <v>2350</v>
      </c>
      <c r="EE274" t="s">
        <v>272</v>
      </c>
      <c r="EF274" t="s">
        <v>270</v>
      </c>
      <c r="EG274">
        <v>1070</v>
      </c>
      <c r="EH274">
        <v>1230</v>
      </c>
      <c r="EI274">
        <v>1230</v>
      </c>
      <c r="EJ274">
        <v>1415</v>
      </c>
      <c r="EL274" t="s">
        <v>4106</v>
      </c>
      <c r="EM274" t="s">
        <v>2246</v>
      </c>
      <c r="EN274" t="s">
        <v>2247</v>
      </c>
      <c r="EO274">
        <v>5</v>
      </c>
      <c r="EP274" t="s">
        <v>2252</v>
      </c>
      <c r="EQ274" t="s">
        <v>2512</v>
      </c>
      <c r="ER274" t="s">
        <v>2542</v>
      </c>
      <c r="ES274">
        <v>50000</v>
      </c>
      <c r="ET274">
        <v>50000</v>
      </c>
      <c r="EU274">
        <v>50000</v>
      </c>
      <c r="EV274">
        <v>50000</v>
      </c>
    </row>
    <row r="275" ht="15" customHeight="1" spans="95:152" x14ac:dyDescent="0.25">
      <c r="CQ275" t="s">
        <v>4107</v>
      </c>
      <c r="CR275" t="s">
        <v>87</v>
      </c>
      <c r="CS275" t="s">
        <v>286</v>
      </c>
      <c r="CT275" t="s">
        <v>284</v>
      </c>
      <c r="CU275" t="s">
        <v>81</v>
      </c>
      <c r="CV275" t="s">
        <v>285</v>
      </c>
      <c r="CW275">
        <v>3.85</v>
      </c>
      <c r="CX275">
        <v>1</v>
      </c>
      <c r="CY275">
        <v>1</v>
      </c>
      <c r="CZ275">
        <v>1</v>
      </c>
      <c r="DA275">
        <v>940</v>
      </c>
      <c r="DB275">
        <v>680</v>
      </c>
      <c r="DC275">
        <v>750</v>
      </c>
      <c r="DD275">
        <v>810</v>
      </c>
      <c r="DE275">
        <v>810</v>
      </c>
      <c r="DG275" t="s">
        <v>4108</v>
      </c>
      <c r="DH275" t="s">
        <v>82</v>
      </c>
      <c r="DJ275" t="s">
        <v>1409</v>
      </c>
      <c r="DK275" t="s">
        <v>692</v>
      </c>
      <c r="DL275">
        <v>7.69</v>
      </c>
      <c r="DM275" t="s">
        <v>669</v>
      </c>
      <c r="DN275" t="s">
        <v>669</v>
      </c>
      <c r="DO275">
        <v>0</v>
      </c>
      <c r="DP275">
        <v>0</v>
      </c>
      <c r="DQ275">
        <v>0</v>
      </c>
      <c r="DR275" t="s">
        <v>3889</v>
      </c>
      <c r="EB275" t="s">
        <v>4109</v>
      </c>
      <c r="EC275" t="s">
        <v>2349</v>
      </c>
      <c r="ED275" t="s">
        <v>2350</v>
      </c>
      <c r="EE275" t="s">
        <v>283</v>
      </c>
      <c r="EF275" t="s">
        <v>281</v>
      </c>
      <c r="EG275">
        <v>165</v>
      </c>
      <c r="EH275">
        <v>190</v>
      </c>
      <c r="EI275">
        <v>190</v>
      </c>
      <c r="EJ275">
        <v>220</v>
      </c>
      <c r="EL275" t="s">
        <v>4106</v>
      </c>
      <c r="EM275" t="s">
        <v>2246</v>
      </c>
      <c r="EN275" t="s">
        <v>2247</v>
      </c>
      <c r="EO275">
        <v>5</v>
      </c>
      <c r="EP275" t="s">
        <v>2252</v>
      </c>
      <c r="EQ275" t="s">
        <v>2541</v>
      </c>
      <c r="ER275" t="s">
        <v>2542</v>
      </c>
      <c r="ES275">
        <v>50000</v>
      </c>
      <c r="ET275">
        <v>50000</v>
      </c>
      <c r="EU275">
        <v>50000</v>
      </c>
      <c r="EV275">
        <v>50000</v>
      </c>
    </row>
    <row r="276" ht="15" customHeight="1" spans="95:152" x14ac:dyDescent="0.25">
      <c r="CQ276" t="s">
        <v>4110</v>
      </c>
      <c r="CR276" t="s">
        <v>87</v>
      </c>
      <c r="CS276" t="s">
        <v>272</v>
      </c>
      <c r="CT276" t="s">
        <v>270</v>
      </c>
      <c r="CU276" t="s">
        <v>81</v>
      </c>
      <c r="CV276" t="s">
        <v>271</v>
      </c>
      <c r="CW276">
        <v>3.85</v>
      </c>
      <c r="CX276">
        <v>1</v>
      </c>
      <c r="CY276">
        <v>1</v>
      </c>
      <c r="CZ276">
        <v>1</v>
      </c>
      <c r="DA276">
        <v>1710</v>
      </c>
      <c r="DB276">
        <v>1430</v>
      </c>
      <c r="DC276">
        <v>1580</v>
      </c>
      <c r="DD276">
        <v>1710</v>
      </c>
      <c r="DE276">
        <v>1710</v>
      </c>
      <c r="DG276" t="s">
        <v>4111</v>
      </c>
      <c r="DH276" t="s">
        <v>82</v>
      </c>
      <c r="DJ276" t="s">
        <v>1243</v>
      </c>
      <c r="DK276" t="s">
        <v>692</v>
      </c>
      <c r="DL276">
        <v>7.69</v>
      </c>
      <c r="DM276" t="s">
        <v>669</v>
      </c>
      <c r="DN276" t="s">
        <v>669</v>
      </c>
      <c r="DO276">
        <v>0</v>
      </c>
      <c r="DP276">
        <v>0</v>
      </c>
      <c r="DQ276">
        <v>0</v>
      </c>
      <c r="DR276" t="s">
        <v>3591</v>
      </c>
      <c r="EB276" t="s">
        <v>4112</v>
      </c>
      <c r="EC276" t="s">
        <v>2349</v>
      </c>
      <c r="EE276" t="s">
        <v>267</v>
      </c>
      <c r="EL276" t="s">
        <v>4113</v>
      </c>
      <c r="EM276" t="s">
        <v>2246</v>
      </c>
      <c r="EN276" t="s">
        <v>2247</v>
      </c>
      <c r="EO276">
        <v>5</v>
      </c>
      <c r="EP276" t="s">
        <v>2276</v>
      </c>
      <c r="EQ276" t="s">
        <v>2527</v>
      </c>
      <c r="ER276" t="s">
        <v>2560</v>
      </c>
      <c r="ES276">
        <v>98500</v>
      </c>
      <c r="ET276">
        <v>98500</v>
      </c>
      <c r="EU276">
        <v>98500</v>
      </c>
      <c r="EV276">
        <v>98500</v>
      </c>
    </row>
    <row r="277" ht="15" customHeight="1" spans="95:152" x14ac:dyDescent="0.25">
      <c r="CQ277" t="s">
        <v>4114</v>
      </c>
      <c r="CR277" t="s">
        <v>87</v>
      </c>
      <c r="CS277" t="s">
        <v>283</v>
      </c>
      <c r="CT277" t="s">
        <v>281</v>
      </c>
      <c r="CU277" t="s">
        <v>81</v>
      </c>
      <c r="CV277" t="s">
        <v>282</v>
      </c>
      <c r="CW277">
        <v>7.69</v>
      </c>
      <c r="CX277">
        <v>1</v>
      </c>
      <c r="CY277">
        <v>1</v>
      </c>
      <c r="CZ277">
        <v>1</v>
      </c>
      <c r="DA277">
        <v>415</v>
      </c>
      <c r="DB277">
        <v>360</v>
      </c>
      <c r="DC277">
        <v>400</v>
      </c>
      <c r="DD277">
        <v>430</v>
      </c>
      <c r="DE277">
        <v>430</v>
      </c>
      <c r="DG277" t="s">
        <v>4115</v>
      </c>
      <c r="DH277" t="s">
        <v>82</v>
      </c>
      <c r="DJ277" t="s">
        <v>1516</v>
      </c>
      <c r="DK277" t="s">
        <v>692</v>
      </c>
      <c r="DL277">
        <v>7.69</v>
      </c>
      <c r="DM277" t="s">
        <v>669</v>
      </c>
      <c r="DN277" t="s">
        <v>669</v>
      </c>
      <c r="DO277">
        <v>0</v>
      </c>
      <c r="DP277">
        <v>0</v>
      </c>
      <c r="DQ277">
        <v>0</v>
      </c>
      <c r="DR277" t="s">
        <v>4116</v>
      </c>
      <c r="EB277" t="s">
        <v>4117</v>
      </c>
      <c r="EC277" t="s">
        <v>2349</v>
      </c>
      <c r="ED277" t="s">
        <v>2350</v>
      </c>
      <c r="EE277" t="s">
        <v>258</v>
      </c>
      <c r="EF277" t="s">
        <v>256</v>
      </c>
      <c r="EG277">
        <v>1890</v>
      </c>
      <c r="EH277">
        <v>2175</v>
      </c>
      <c r="EI277">
        <v>2175</v>
      </c>
      <c r="EJ277">
        <v>2500</v>
      </c>
      <c r="EL277" t="s">
        <v>4113</v>
      </c>
      <c r="EM277" t="s">
        <v>2246</v>
      </c>
      <c r="EN277" t="s">
        <v>2247</v>
      </c>
      <c r="EO277">
        <v>5</v>
      </c>
      <c r="EP277" t="s">
        <v>2276</v>
      </c>
      <c r="EQ277" t="s">
        <v>2559</v>
      </c>
      <c r="ER277" t="s">
        <v>2560</v>
      </c>
      <c r="ES277">
        <v>98500</v>
      </c>
      <c r="ET277">
        <v>98500</v>
      </c>
      <c r="EU277">
        <v>98500</v>
      </c>
      <c r="EV277">
        <v>98500</v>
      </c>
    </row>
    <row r="278" ht="15" customHeight="1" spans="95:152" x14ac:dyDescent="0.25">
      <c r="CQ278" t="s">
        <v>4118</v>
      </c>
      <c r="CR278" t="s">
        <v>87</v>
      </c>
      <c r="CS278" t="s">
        <v>267</v>
      </c>
      <c r="CT278" t="s">
        <v>265</v>
      </c>
      <c r="CU278" t="s">
        <v>81</v>
      </c>
      <c r="CV278" t="s">
        <v>266</v>
      </c>
      <c r="CW278">
        <v>3.85</v>
      </c>
      <c r="CX278">
        <v>1</v>
      </c>
      <c r="CY278">
        <v>1</v>
      </c>
      <c r="CZ278">
        <v>1</v>
      </c>
      <c r="DA278">
        <v>2290</v>
      </c>
      <c r="DB278">
        <v>1920</v>
      </c>
      <c r="DC278">
        <v>2120</v>
      </c>
      <c r="DD278">
        <v>2290</v>
      </c>
      <c r="DE278">
        <v>2290</v>
      </c>
      <c r="DG278" t="s">
        <v>4119</v>
      </c>
      <c r="DH278" t="s">
        <v>82</v>
      </c>
      <c r="DJ278" t="s">
        <v>1325</v>
      </c>
      <c r="DK278" t="s">
        <v>692</v>
      </c>
      <c r="DL278">
        <v>7.69</v>
      </c>
      <c r="DM278" t="s">
        <v>669</v>
      </c>
      <c r="DN278" t="s">
        <v>669</v>
      </c>
      <c r="DO278">
        <v>0</v>
      </c>
      <c r="DP278">
        <v>0</v>
      </c>
      <c r="DQ278">
        <v>0</v>
      </c>
      <c r="DR278" t="s">
        <v>3733</v>
      </c>
      <c r="EB278" t="s">
        <v>4120</v>
      </c>
      <c r="EC278" t="s">
        <v>2349</v>
      </c>
      <c r="ED278" t="s">
        <v>2350</v>
      </c>
      <c r="EE278" t="s">
        <v>222</v>
      </c>
      <c r="EF278" t="s">
        <v>220</v>
      </c>
      <c r="EG278">
        <v>1320</v>
      </c>
      <c r="EH278">
        <v>1520</v>
      </c>
      <c r="EI278">
        <v>1520</v>
      </c>
      <c r="EJ278">
        <v>1750</v>
      </c>
      <c r="EL278" t="s">
        <v>4121</v>
      </c>
      <c r="EM278" t="s">
        <v>2246</v>
      </c>
      <c r="EN278" t="s">
        <v>2247</v>
      </c>
      <c r="EO278">
        <v>6</v>
      </c>
      <c r="EP278" t="s">
        <v>2252</v>
      </c>
      <c r="EQ278" t="s">
        <v>2572</v>
      </c>
      <c r="ER278" t="s">
        <v>2602</v>
      </c>
      <c r="ES278">
        <v>60000</v>
      </c>
      <c r="ET278">
        <v>60000</v>
      </c>
      <c r="EU278">
        <v>60000</v>
      </c>
      <c r="EV278">
        <v>60000</v>
      </c>
    </row>
    <row r="279" ht="15" customHeight="1" spans="95:152" x14ac:dyDescent="0.25">
      <c r="CQ279" t="s">
        <v>4122</v>
      </c>
      <c r="CR279" t="s">
        <v>87</v>
      </c>
      <c r="CS279" t="s">
        <v>258</v>
      </c>
      <c r="CT279" t="s">
        <v>256</v>
      </c>
      <c r="CU279" t="s">
        <v>81</v>
      </c>
      <c r="CV279" t="s">
        <v>257</v>
      </c>
      <c r="CW279">
        <v>3.85</v>
      </c>
      <c r="CX279">
        <v>1</v>
      </c>
      <c r="CY279">
        <v>1</v>
      </c>
      <c r="CZ279">
        <v>1</v>
      </c>
      <c r="DA279">
        <v>3470</v>
      </c>
      <c r="DB279">
        <v>2910</v>
      </c>
      <c r="DC279">
        <v>3220</v>
      </c>
      <c r="DD279">
        <v>3470</v>
      </c>
      <c r="DE279">
        <v>3470</v>
      </c>
      <c r="DG279" t="s">
        <v>4123</v>
      </c>
      <c r="DH279" t="s">
        <v>82</v>
      </c>
      <c r="DJ279" t="s">
        <v>1282</v>
      </c>
      <c r="DK279" t="s">
        <v>692</v>
      </c>
      <c r="DL279">
        <v>7.69</v>
      </c>
      <c r="DM279" t="s">
        <v>669</v>
      </c>
      <c r="DN279" t="s">
        <v>669</v>
      </c>
      <c r="DO279">
        <v>0</v>
      </c>
      <c r="DP279">
        <v>0</v>
      </c>
      <c r="DQ279">
        <v>0</v>
      </c>
      <c r="DR279" t="s">
        <v>3650</v>
      </c>
      <c r="EB279" t="s">
        <v>4124</v>
      </c>
      <c r="EC279" t="s">
        <v>2349</v>
      </c>
      <c r="ED279" t="s">
        <v>2350</v>
      </c>
      <c r="EE279" t="s">
        <v>233</v>
      </c>
      <c r="EF279" t="s">
        <v>231</v>
      </c>
      <c r="EG279">
        <v>630</v>
      </c>
      <c r="EH279">
        <v>725</v>
      </c>
      <c r="EI279">
        <v>725</v>
      </c>
      <c r="EJ279">
        <v>835</v>
      </c>
      <c r="EL279" t="s">
        <v>4121</v>
      </c>
      <c r="EM279" t="s">
        <v>2246</v>
      </c>
      <c r="EN279" t="s">
        <v>2247</v>
      </c>
      <c r="EO279">
        <v>6</v>
      </c>
      <c r="EP279" t="s">
        <v>2252</v>
      </c>
      <c r="EQ279" t="s">
        <v>2601</v>
      </c>
      <c r="ER279" t="s">
        <v>2602</v>
      </c>
      <c r="ES279">
        <v>60000</v>
      </c>
      <c r="ET279">
        <v>60000</v>
      </c>
      <c r="EU279">
        <v>60000</v>
      </c>
      <c r="EV279">
        <v>60000</v>
      </c>
    </row>
    <row r="280" ht="15" customHeight="1" spans="95:152" x14ac:dyDescent="0.25">
      <c r="CQ280" t="s">
        <v>4125</v>
      </c>
      <c r="CR280" t="s">
        <v>87</v>
      </c>
      <c r="CS280" t="s">
        <v>222</v>
      </c>
      <c r="CT280" t="s">
        <v>220</v>
      </c>
      <c r="CU280" t="s">
        <v>81</v>
      </c>
      <c r="CV280" t="s">
        <v>221</v>
      </c>
      <c r="CW280">
        <v>61.54</v>
      </c>
      <c r="CX280">
        <v>1.75</v>
      </c>
      <c r="CY280">
        <v>2</v>
      </c>
      <c r="CZ280">
        <v>2</v>
      </c>
      <c r="DA280">
        <v>5590</v>
      </c>
      <c r="DB280">
        <v>2430</v>
      </c>
      <c r="DC280">
        <v>2690</v>
      </c>
      <c r="DD280">
        <v>2900</v>
      </c>
      <c r="DE280">
        <v>2900</v>
      </c>
      <c r="DG280" t="s">
        <v>4126</v>
      </c>
      <c r="DH280" t="s">
        <v>82</v>
      </c>
      <c r="DI280" t="s">
        <v>1517</v>
      </c>
      <c r="DJ280" t="s">
        <v>1518</v>
      </c>
      <c r="DK280" t="s">
        <v>692</v>
      </c>
      <c r="DL280">
        <v>7.69</v>
      </c>
      <c r="DM280" t="s">
        <v>669</v>
      </c>
      <c r="DN280" t="s">
        <v>670</v>
      </c>
      <c r="DO280">
        <v>1</v>
      </c>
      <c r="DP280">
        <v>12985.31</v>
      </c>
      <c r="DQ280">
        <v>12985.31</v>
      </c>
      <c r="DR280" t="s">
        <v>4127</v>
      </c>
      <c r="EB280" t="s">
        <v>4128</v>
      </c>
      <c r="EC280" t="s">
        <v>2349</v>
      </c>
      <c r="ED280" t="s">
        <v>2350</v>
      </c>
      <c r="EE280" t="s">
        <v>225</v>
      </c>
      <c r="EF280" t="s">
        <v>223</v>
      </c>
      <c r="EG280">
        <v>1315</v>
      </c>
      <c r="EH280">
        <v>1510</v>
      </c>
      <c r="EI280">
        <v>1510</v>
      </c>
      <c r="EJ280">
        <v>1735</v>
      </c>
      <c r="EL280" t="s">
        <v>4129</v>
      </c>
      <c r="EM280" t="s">
        <v>2246</v>
      </c>
      <c r="EN280" t="s">
        <v>2247</v>
      </c>
      <c r="EO280">
        <v>6</v>
      </c>
      <c r="EP280" t="s">
        <v>2276</v>
      </c>
      <c r="EQ280" t="s">
        <v>2586</v>
      </c>
      <c r="ER280" t="s">
        <v>2616</v>
      </c>
      <c r="ES280">
        <v>117450</v>
      </c>
      <c r="ET280">
        <v>117450</v>
      </c>
      <c r="EU280">
        <v>117450</v>
      </c>
      <c r="EV280">
        <v>117450</v>
      </c>
    </row>
    <row r="281" ht="15" customHeight="1" spans="95:152" x14ac:dyDescent="0.25">
      <c r="CQ281" t="s">
        <v>4130</v>
      </c>
      <c r="CR281" t="s">
        <v>87</v>
      </c>
      <c r="CS281" t="s">
        <v>233</v>
      </c>
      <c r="CT281" t="s">
        <v>231</v>
      </c>
      <c r="CU281" t="s">
        <v>81</v>
      </c>
      <c r="CV281" t="s">
        <v>232</v>
      </c>
      <c r="CW281">
        <v>53.85</v>
      </c>
      <c r="CX281">
        <v>1</v>
      </c>
      <c r="CY281">
        <v>1</v>
      </c>
      <c r="CZ281">
        <v>1</v>
      </c>
      <c r="DA281">
        <v>1320</v>
      </c>
      <c r="DB281">
        <v>1110</v>
      </c>
      <c r="DC281">
        <v>1220</v>
      </c>
      <c r="DD281">
        <v>1320</v>
      </c>
      <c r="DE281">
        <v>1320</v>
      </c>
      <c r="DG281" t="s">
        <v>4131</v>
      </c>
      <c r="DH281" t="s">
        <v>82</v>
      </c>
      <c r="DI281" t="s">
        <v>1520</v>
      </c>
      <c r="DJ281" t="s">
        <v>1521</v>
      </c>
      <c r="DK281" t="s">
        <v>692</v>
      </c>
      <c r="DL281">
        <v>7.69</v>
      </c>
      <c r="DM281" t="s">
        <v>669</v>
      </c>
      <c r="DN281" t="s">
        <v>670</v>
      </c>
      <c r="DO281">
        <v>5</v>
      </c>
      <c r="DP281">
        <v>93.75</v>
      </c>
      <c r="DQ281">
        <v>93.75</v>
      </c>
      <c r="DR281" t="s">
        <v>4132</v>
      </c>
      <c r="EB281" t="s">
        <v>4133</v>
      </c>
      <c r="EC281" t="s">
        <v>2349</v>
      </c>
      <c r="ED281" t="s">
        <v>2350</v>
      </c>
      <c r="EE281" t="s">
        <v>288</v>
      </c>
      <c r="EF281" t="s">
        <v>287</v>
      </c>
      <c r="EG281">
        <v>250</v>
      </c>
      <c r="EH281">
        <v>290</v>
      </c>
      <c r="EI281">
        <v>290</v>
      </c>
      <c r="EJ281">
        <v>335</v>
      </c>
      <c r="EL281" t="s">
        <v>4129</v>
      </c>
      <c r="EM281" t="s">
        <v>2246</v>
      </c>
      <c r="EN281" t="s">
        <v>2247</v>
      </c>
      <c r="EO281">
        <v>6</v>
      </c>
      <c r="EP281" t="s">
        <v>2276</v>
      </c>
      <c r="EQ281" t="s">
        <v>2615</v>
      </c>
      <c r="ER281" t="s">
        <v>2616</v>
      </c>
      <c r="ES281">
        <v>117450</v>
      </c>
      <c r="ET281">
        <v>117450</v>
      </c>
      <c r="EU281">
        <v>117450</v>
      </c>
      <c r="EV281">
        <v>117450</v>
      </c>
    </row>
    <row r="282" ht="15" customHeight="1" spans="95:152" x14ac:dyDescent="0.25">
      <c r="CQ282" t="s">
        <v>4134</v>
      </c>
      <c r="CR282" t="s">
        <v>87</v>
      </c>
      <c r="CS282" t="s">
        <v>612</v>
      </c>
      <c r="CT282" t="s">
        <v>2320</v>
      </c>
      <c r="CU282" t="s">
        <v>81</v>
      </c>
      <c r="CV282" t="s">
        <v>2490</v>
      </c>
      <c r="CW282">
        <v>76.92</v>
      </c>
      <c r="CX282">
        <v>1</v>
      </c>
      <c r="CY282">
        <v>1</v>
      </c>
      <c r="CZ282">
        <v>1</v>
      </c>
      <c r="DA282">
        <v>430</v>
      </c>
      <c r="DB282">
        <v>360</v>
      </c>
      <c r="DC282">
        <v>400</v>
      </c>
      <c r="DD282">
        <v>430</v>
      </c>
      <c r="DE282">
        <v>430</v>
      </c>
      <c r="DG282" t="s">
        <v>4135</v>
      </c>
      <c r="DH282" t="s">
        <v>82</v>
      </c>
      <c r="DI282" t="s">
        <v>1523</v>
      </c>
      <c r="DJ282" t="s">
        <v>1524</v>
      </c>
      <c r="DK282" t="s">
        <v>692</v>
      </c>
      <c r="DL282">
        <v>7.69</v>
      </c>
      <c r="DM282" t="s">
        <v>670</v>
      </c>
      <c r="DN282" t="s">
        <v>669</v>
      </c>
      <c r="DO282">
        <v>0</v>
      </c>
      <c r="DP282">
        <v>0</v>
      </c>
      <c r="DQ282">
        <v>270.94</v>
      </c>
      <c r="DR282" t="s">
        <v>4136</v>
      </c>
      <c r="EB282" t="s">
        <v>4137</v>
      </c>
      <c r="EC282" t="s">
        <v>2349</v>
      </c>
      <c r="EE282" t="s">
        <v>269</v>
      </c>
      <c r="EL282" t="s">
        <v>4138</v>
      </c>
      <c r="EM282" t="s">
        <v>2246</v>
      </c>
      <c r="EN282" t="s">
        <v>2247</v>
      </c>
      <c r="EO282">
        <v>7</v>
      </c>
      <c r="EP282" t="s">
        <v>2252</v>
      </c>
      <c r="EQ282" t="s">
        <v>2628</v>
      </c>
      <c r="ER282" t="s">
        <v>2660</v>
      </c>
      <c r="ES282">
        <v>70000</v>
      </c>
      <c r="ET282">
        <v>70000</v>
      </c>
      <c r="EU282">
        <v>70000</v>
      </c>
      <c r="EV282">
        <v>70000</v>
      </c>
    </row>
    <row r="283" ht="15" customHeight="1" spans="95:152" x14ac:dyDescent="0.25">
      <c r="CQ283" t="s">
        <v>4139</v>
      </c>
      <c r="CR283" t="s">
        <v>87</v>
      </c>
      <c r="CS283" t="s">
        <v>225</v>
      </c>
      <c r="CT283" t="s">
        <v>223</v>
      </c>
      <c r="CU283" t="s">
        <v>81</v>
      </c>
      <c r="CV283" t="s">
        <v>224</v>
      </c>
      <c r="CW283">
        <v>38.46</v>
      </c>
      <c r="CX283">
        <v>1</v>
      </c>
      <c r="CY283">
        <v>1</v>
      </c>
      <c r="CZ283">
        <v>2.75</v>
      </c>
      <c r="DA283">
        <v>3260</v>
      </c>
      <c r="DB283">
        <v>2730</v>
      </c>
      <c r="DC283">
        <v>3020</v>
      </c>
      <c r="DD283">
        <v>3260</v>
      </c>
      <c r="DE283">
        <v>3260</v>
      </c>
      <c r="DG283" t="s">
        <v>4140</v>
      </c>
      <c r="DH283" t="s">
        <v>82</v>
      </c>
      <c r="DI283" t="s">
        <v>1527</v>
      </c>
      <c r="DJ283" t="s">
        <v>1528</v>
      </c>
      <c r="DK283" t="s">
        <v>692</v>
      </c>
      <c r="DL283">
        <v>7.69</v>
      </c>
      <c r="DM283" t="s">
        <v>669</v>
      </c>
      <c r="DN283" t="s">
        <v>670</v>
      </c>
      <c r="DO283">
        <v>1</v>
      </c>
      <c r="DP283">
        <v>12946.87</v>
      </c>
      <c r="DQ283">
        <v>12946.87</v>
      </c>
      <c r="DR283" t="s">
        <v>4141</v>
      </c>
      <c r="EB283" t="s">
        <v>4142</v>
      </c>
      <c r="EC283" t="s">
        <v>2349</v>
      </c>
      <c r="EE283" t="s">
        <v>237</v>
      </c>
      <c r="EL283" t="s">
        <v>4138</v>
      </c>
      <c r="EM283" t="s">
        <v>2246</v>
      </c>
      <c r="EN283" t="s">
        <v>2247</v>
      </c>
      <c r="EO283">
        <v>7</v>
      </c>
      <c r="EP283" t="s">
        <v>2252</v>
      </c>
      <c r="EQ283" t="s">
        <v>2659</v>
      </c>
      <c r="ER283" t="s">
        <v>2660</v>
      </c>
      <c r="ES283">
        <v>70000</v>
      </c>
      <c r="ET283">
        <v>70000</v>
      </c>
      <c r="EU283">
        <v>70000</v>
      </c>
      <c r="EV283">
        <v>70000</v>
      </c>
    </row>
    <row r="284" ht="15" customHeight="1" spans="95:152" x14ac:dyDescent="0.25">
      <c r="CQ284" t="s">
        <v>4143</v>
      </c>
      <c r="CR284" t="s">
        <v>87</v>
      </c>
      <c r="CS284" t="s">
        <v>288</v>
      </c>
      <c r="CT284" t="s">
        <v>287</v>
      </c>
      <c r="CU284" t="s">
        <v>81</v>
      </c>
      <c r="CV284" t="s">
        <v>236</v>
      </c>
      <c r="CW284">
        <v>3.85</v>
      </c>
      <c r="CX284">
        <v>1</v>
      </c>
      <c r="CY284">
        <v>1</v>
      </c>
      <c r="CZ284">
        <v>1</v>
      </c>
      <c r="DA284">
        <v>580</v>
      </c>
      <c r="DB284">
        <v>450</v>
      </c>
      <c r="DC284">
        <v>530</v>
      </c>
      <c r="DD284">
        <v>580</v>
      </c>
      <c r="DE284">
        <v>580</v>
      </c>
      <c r="DG284" t="s">
        <v>4144</v>
      </c>
      <c r="DH284" t="s">
        <v>82</v>
      </c>
      <c r="DI284" t="s">
        <v>1530</v>
      </c>
      <c r="DJ284" t="s">
        <v>1531</v>
      </c>
      <c r="DK284" t="s">
        <v>692</v>
      </c>
      <c r="DL284">
        <v>7.69</v>
      </c>
      <c r="DM284" t="s">
        <v>669</v>
      </c>
      <c r="DN284" t="s">
        <v>670</v>
      </c>
      <c r="DO284">
        <v>2.5</v>
      </c>
      <c r="DP284">
        <v>1427.32</v>
      </c>
      <c r="DQ284">
        <v>1427.32</v>
      </c>
      <c r="DR284" t="s">
        <v>4145</v>
      </c>
      <c r="EB284" t="s">
        <v>4146</v>
      </c>
      <c r="EC284" t="s">
        <v>2349</v>
      </c>
      <c r="ED284" t="s">
        <v>2350</v>
      </c>
      <c r="EE284" t="s">
        <v>249</v>
      </c>
      <c r="EF284" t="s">
        <v>247</v>
      </c>
      <c r="EG284">
        <v>210</v>
      </c>
      <c r="EH284">
        <v>240</v>
      </c>
      <c r="EI284">
        <v>240</v>
      </c>
      <c r="EJ284">
        <v>275</v>
      </c>
      <c r="EL284" t="s">
        <v>4147</v>
      </c>
      <c r="EM284" t="s">
        <v>2246</v>
      </c>
      <c r="EN284" t="s">
        <v>2247</v>
      </c>
      <c r="EO284">
        <v>7</v>
      </c>
      <c r="EP284" t="s">
        <v>2276</v>
      </c>
      <c r="EQ284" t="s">
        <v>2644</v>
      </c>
      <c r="ER284" t="s">
        <v>2674</v>
      </c>
      <c r="ES284">
        <v>134350</v>
      </c>
      <c r="ET284">
        <v>134350</v>
      </c>
      <c r="EU284">
        <v>134350</v>
      </c>
      <c r="EV284">
        <v>134350</v>
      </c>
    </row>
    <row r="285" ht="15" customHeight="1" spans="95:152" x14ac:dyDescent="0.25">
      <c r="CQ285" t="s">
        <v>4148</v>
      </c>
      <c r="CR285" t="s">
        <v>87</v>
      </c>
      <c r="CS285" t="s">
        <v>269</v>
      </c>
      <c r="CT285" t="s">
        <v>268</v>
      </c>
      <c r="CU285" t="s">
        <v>81</v>
      </c>
      <c r="CV285" t="s">
        <v>236</v>
      </c>
      <c r="CW285">
        <v>26.92</v>
      </c>
      <c r="CX285">
        <v>1</v>
      </c>
      <c r="CY285">
        <v>1</v>
      </c>
      <c r="CZ285">
        <v>1</v>
      </c>
      <c r="DA285">
        <v>280</v>
      </c>
      <c r="DB285">
        <v>280</v>
      </c>
      <c r="DC285">
        <v>280</v>
      </c>
      <c r="DD285">
        <v>280</v>
      </c>
      <c r="DE285">
        <v>280</v>
      </c>
      <c r="DG285" t="s">
        <v>4149</v>
      </c>
      <c r="DH285" t="s">
        <v>82</v>
      </c>
      <c r="DI285" t="s">
        <v>1535</v>
      </c>
      <c r="DJ285" t="s">
        <v>1536</v>
      </c>
      <c r="DK285" t="s">
        <v>692</v>
      </c>
      <c r="DL285">
        <v>7.69</v>
      </c>
      <c r="DM285" t="s">
        <v>670</v>
      </c>
      <c r="DN285" t="s">
        <v>669</v>
      </c>
      <c r="DO285">
        <v>0</v>
      </c>
      <c r="DP285">
        <v>0</v>
      </c>
      <c r="DQ285">
        <v>246.38</v>
      </c>
      <c r="DR285" t="s">
        <v>4150</v>
      </c>
      <c r="EB285" t="s">
        <v>4151</v>
      </c>
      <c r="EC285" t="s">
        <v>2349</v>
      </c>
      <c r="ED285" t="s">
        <v>2350</v>
      </c>
      <c r="EE285" t="s">
        <v>293</v>
      </c>
      <c r="EF285" t="s">
        <v>291</v>
      </c>
      <c r="EG285">
        <v>235</v>
      </c>
      <c r="EH285">
        <v>270</v>
      </c>
      <c r="EI285">
        <v>270</v>
      </c>
      <c r="EJ285">
        <v>310</v>
      </c>
      <c r="EL285" t="s">
        <v>4147</v>
      </c>
      <c r="EM285" t="s">
        <v>2246</v>
      </c>
      <c r="EN285" t="s">
        <v>2247</v>
      </c>
      <c r="EO285">
        <v>7</v>
      </c>
      <c r="EP285" t="s">
        <v>2276</v>
      </c>
      <c r="EQ285" t="s">
        <v>2673</v>
      </c>
      <c r="ER285" t="s">
        <v>2674</v>
      </c>
      <c r="ES285">
        <v>134350</v>
      </c>
      <c r="ET285">
        <v>134350</v>
      </c>
      <c r="EU285">
        <v>134350</v>
      </c>
      <c r="EV285">
        <v>134350</v>
      </c>
    </row>
    <row r="286" ht="15" customHeight="1" spans="95:152" x14ac:dyDescent="0.25">
      <c r="CQ286" t="s">
        <v>4152</v>
      </c>
      <c r="CR286" t="s">
        <v>87</v>
      </c>
      <c r="CS286" t="s">
        <v>237</v>
      </c>
      <c r="CT286" t="s">
        <v>235</v>
      </c>
      <c r="CU286" t="s">
        <v>81</v>
      </c>
      <c r="CV286" t="s">
        <v>236</v>
      </c>
      <c r="CW286">
        <v>19.23</v>
      </c>
      <c r="CX286">
        <v>1</v>
      </c>
      <c r="CY286">
        <v>1</v>
      </c>
      <c r="CZ286">
        <v>1</v>
      </c>
      <c r="DA286">
        <v>2650</v>
      </c>
      <c r="DB286">
        <v>2650</v>
      </c>
      <c r="DC286">
        <v>2650</v>
      </c>
      <c r="DD286">
        <v>2650</v>
      </c>
      <c r="DE286">
        <v>2650</v>
      </c>
      <c r="DG286" t="s">
        <v>4153</v>
      </c>
      <c r="DH286" t="s">
        <v>82</v>
      </c>
      <c r="DI286" t="s">
        <v>1540</v>
      </c>
      <c r="DJ286" t="s">
        <v>1541</v>
      </c>
      <c r="DK286" t="s">
        <v>692</v>
      </c>
      <c r="DL286">
        <v>7.69</v>
      </c>
      <c r="DM286" t="s">
        <v>669</v>
      </c>
      <c r="DN286" t="s">
        <v>670</v>
      </c>
      <c r="DO286">
        <v>6.5</v>
      </c>
      <c r="DP286">
        <v>1045</v>
      </c>
      <c r="DQ286">
        <v>1045</v>
      </c>
      <c r="DR286" t="s">
        <v>4154</v>
      </c>
      <c r="EB286" t="s">
        <v>4155</v>
      </c>
      <c r="EC286" t="s">
        <v>2349</v>
      </c>
      <c r="ED286" t="s">
        <v>2350</v>
      </c>
      <c r="EE286" t="s">
        <v>280</v>
      </c>
      <c r="EF286" t="s">
        <v>279</v>
      </c>
      <c r="EG286">
        <v>415</v>
      </c>
      <c r="EH286">
        <v>475</v>
      </c>
      <c r="EI286">
        <v>475</v>
      </c>
      <c r="EJ286">
        <v>545</v>
      </c>
      <c r="EL286" t="s">
        <v>4156</v>
      </c>
      <c r="EM286" t="s">
        <v>2246</v>
      </c>
      <c r="EN286" t="s">
        <v>2247</v>
      </c>
      <c r="EO286">
        <v>8</v>
      </c>
      <c r="EP286" t="s">
        <v>2252</v>
      </c>
      <c r="EQ286" t="s">
        <v>2686</v>
      </c>
      <c r="ER286" t="s">
        <v>2716</v>
      </c>
      <c r="ES286">
        <v>80000</v>
      </c>
      <c r="ET286">
        <v>80000</v>
      </c>
      <c r="EU286">
        <v>80000</v>
      </c>
      <c r="EV286">
        <v>80000</v>
      </c>
    </row>
    <row r="287" ht="15" customHeight="1" spans="95:152" x14ac:dyDescent="0.25">
      <c r="CQ287" t="s">
        <v>4157</v>
      </c>
      <c r="CR287" t="s">
        <v>87</v>
      </c>
      <c r="CS287" t="s">
        <v>249</v>
      </c>
      <c r="CT287" t="s">
        <v>247</v>
      </c>
      <c r="CU287" t="s">
        <v>81</v>
      </c>
      <c r="CV287" t="s">
        <v>248</v>
      </c>
      <c r="CW287">
        <v>53.85</v>
      </c>
      <c r="CX287">
        <v>1</v>
      </c>
      <c r="CY287">
        <v>1</v>
      </c>
      <c r="CZ287">
        <v>1</v>
      </c>
      <c r="DA287">
        <v>370</v>
      </c>
      <c r="DB287">
        <v>310</v>
      </c>
      <c r="DC287">
        <v>340</v>
      </c>
      <c r="DD287">
        <v>370</v>
      </c>
      <c r="DE287">
        <v>370</v>
      </c>
      <c r="DG287" t="s">
        <v>4158</v>
      </c>
      <c r="DH287" t="s">
        <v>82</v>
      </c>
      <c r="DI287" t="s">
        <v>1545</v>
      </c>
      <c r="DJ287" t="s">
        <v>1546</v>
      </c>
      <c r="DK287" t="s">
        <v>692</v>
      </c>
      <c r="DL287">
        <v>7.69</v>
      </c>
      <c r="DM287" t="s">
        <v>670</v>
      </c>
      <c r="DN287" t="s">
        <v>669</v>
      </c>
      <c r="DO287">
        <v>0</v>
      </c>
      <c r="DP287">
        <v>0</v>
      </c>
      <c r="DQ287">
        <v>63</v>
      </c>
      <c r="DR287" t="s">
        <v>4159</v>
      </c>
      <c r="EB287" t="s">
        <v>4160</v>
      </c>
      <c r="EC287" t="s">
        <v>2349</v>
      </c>
      <c r="EE287" t="s">
        <v>264</v>
      </c>
      <c r="EL287" t="s">
        <v>4156</v>
      </c>
      <c r="EM287" t="s">
        <v>2246</v>
      </c>
      <c r="EN287" t="s">
        <v>2247</v>
      </c>
      <c r="EO287">
        <v>8</v>
      </c>
      <c r="EP287" t="s">
        <v>2252</v>
      </c>
      <c r="EQ287" t="s">
        <v>2715</v>
      </c>
      <c r="ER287" t="s">
        <v>2716</v>
      </c>
      <c r="ES287">
        <v>80000</v>
      </c>
      <c r="ET287">
        <v>80000</v>
      </c>
      <c r="EU287">
        <v>80000</v>
      </c>
      <c r="EV287">
        <v>80000</v>
      </c>
    </row>
    <row r="288" ht="15" customHeight="1" spans="95:152" x14ac:dyDescent="0.25">
      <c r="CQ288" t="s">
        <v>4161</v>
      </c>
      <c r="CR288" t="s">
        <v>87</v>
      </c>
      <c r="CS288" t="s">
        <v>293</v>
      </c>
      <c r="CT288" t="s">
        <v>291</v>
      </c>
      <c r="CU288" t="s">
        <v>81</v>
      </c>
      <c r="CV288" t="s">
        <v>292</v>
      </c>
      <c r="CW288">
        <v>3.85</v>
      </c>
      <c r="CX288">
        <v>1</v>
      </c>
      <c r="CY288">
        <v>1</v>
      </c>
      <c r="CZ288">
        <v>1</v>
      </c>
      <c r="DA288">
        <v>460</v>
      </c>
      <c r="DB288">
        <v>330</v>
      </c>
      <c r="DC288">
        <v>370</v>
      </c>
      <c r="DD288">
        <v>400</v>
      </c>
      <c r="DE288">
        <v>400</v>
      </c>
      <c r="DG288" t="s">
        <v>4162</v>
      </c>
      <c r="DH288" t="s">
        <v>82</v>
      </c>
      <c r="DI288" t="s">
        <v>1547</v>
      </c>
      <c r="DJ288" t="s">
        <v>1548</v>
      </c>
      <c r="DK288" t="s">
        <v>692</v>
      </c>
      <c r="DL288">
        <v>7.69</v>
      </c>
      <c r="DM288" t="s">
        <v>669</v>
      </c>
      <c r="DN288" t="s">
        <v>670</v>
      </c>
      <c r="DO288">
        <v>1</v>
      </c>
      <c r="DP288">
        <v>164</v>
      </c>
      <c r="DQ288">
        <v>164</v>
      </c>
      <c r="DR288" t="s">
        <v>4163</v>
      </c>
      <c r="EB288" t="s">
        <v>4164</v>
      </c>
      <c r="EC288" t="s">
        <v>2349</v>
      </c>
      <c r="EE288" t="s">
        <v>278</v>
      </c>
      <c r="EL288" t="s">
        <v>4165</v>
      </c>
      <c r="EM288" t="s">
        <v>2246</v>
      </c>
      <c r="EN288" t="s">
        <v>2247</v>
      </c>
      <c r="EO288">
        <v>8</v>
      </c>
      <c r="EP288" t="s">
        <v>2276</v>
      </c>
      <c r="EQ288" t="s">
        <v>2701</v>
      </c>
      <c r="ER288" t="s">
        <v>2729</v>
      </c>
      <c r="ES288">
        <v>149350</v>
      </c>
      <c r="ET288">
        <v>149350</v>
      </c>
      <c r="EU288">
        <v>149350</v>
      </c>
      <c r="EV288">
        <v>149350</v>
      </c>
    </row>
    <row r="289" ht="15" customHeight="1" spans="95:152" x14ac:dyDescent="0.25">
      <c r="CQ289" t="s">
        <v>4166</v>
      </c>
      <c r="CR289" t="s">
        <v>87</v>
      </c>
      <c r="CS289" t="s">
        <v>327</v>
      </c>
      <c r="CT289" t="s">
        <v>328</v>
      </c>
      <c r="CU289" t="s">
        <v>81</v>
      </c>
      <c r="CV289" t="s">
        <v>248</v>
      </c>
      <c r="CW289">
        <v>96.15</v>
      </c>
      <c r="CX289">
        <v>1</v>
      </c>
      <c r="CY289">
        <v>1</v>
      </c>
      <c r="CZ289">
        <v>1</v>
      </c>
      <c r="DA289">
        <v>1250</v>
      </c>
      <c r="DB289">
        <v>1050</v>
      </c>
      <c r="DC289">
        <v>1160</v>
      </c>
      <c r="DD289">
        <v>1250</v>
      </c>
      <c r="DE289">
        <v>1250</v>
      </c>
      <c r="DG289" t="s">
        <v>4167</v>
      </c>
      <c r="DH289" t="s">
        <v>82</v>
      </c>
      <c r="DI289" t="s">
        <v>1550</v>
      </c>
      <c r="DJ289" t="s">
        <v>1551</v>
      </c>
      <c r="DK289" t="s">
        <v>692</v>
      </c>
      <c r="DL289">
        <v>7.69</v>
      </c>
      <c r="DM289" t="s">
        <v>669</v>
      </c>
      <c r="DN289" t="s">
        <v>670</v>
      </c>
      <c r="DO289">
        <v>1</v>
      </c>
      <c r="DP289">
        <v>210</v>
      </c>
      <c r="DQ289">
        <v>210</v>
      </c>
      <c r="DR289" t="s">
        <v>4168</v>
      </c>
      <c r="EB289" t="s">
        <v>4169</v>
      </c>
      <c r="EC289" t="s">
        <v>2349</v>
      </c>
      <c r="ED289" t="s">
        <v>2350</v>
      </c>
      <c r="EE289" t="s">
        <v>240</v>
      </c>
      <c r="EF289" t="s">
        <v>238</v>
      </c>
      <c r="EG289">
        <v>4130</v>
      </c>
      <c r="EH289">
        <v>4130</v>
      </c>
      <c r="EI289">
        <v>4130</v>
      </c>
      <c r="EJ289">
        <v>4130</v>
      </c>
      <c r="EL289" t="s">
        <v>4165</v>
      </c>
      <c r="EM289" t="s">
        <v>2246</v>
      </c>
      <c r="EN289" t="s">
        <v>2247</v>
      </c>
      <c r="EO289">
        <v>8</v>
      </c>
      <c r="EP289" t="s">
        <v>2276</v>
      </c>
      <c r="EQ289" t="s">
        <v>2728</v>
      </c>
      <c r="ER289" t="s">
        <v>2729</v>
      </c>
      <c r="ES289">
        <v>149350</v>
      </c>
      <c r="ET289">
        <v>149350</v>
      </c>
      <c r="EU289">
        <v>149350</v>
      </c>
      <c r="EV289">
        <v>149350</v>
      </c>
    </row>
    <row r="290" ht="15" customHeight="1" spans="95:152" x14ac:dyDescent="0.25">
      <c r="CQ290" t="s">
        <v>4170</v>
      </c>
      <c r="CR290" t="s">
        <v>87</v>
      </c>
      <c r="CS290" t="s">
        <v>330</v>
      </c>
      <c r="CT290" t="s">
        <v>331</v>
      </c>
      <c r="CU290" t="s">
        <v>81</v>
      </c>
      <c r="CV290" t="s">
        <v>248</v>
      </c>
      <c r="CW290">
        <v>88.46</v>
      </c>
      <c r="CX290">
        <v>1</v>
      </c>
      <c r="CY290">
        <v>1</v>
      </c>
      <c r="CZ290">
        <v>1</v>
      </c>
      <c r="DA290">
        <v>460</v>
      </c>
      <c r="DB290">
        <v>380</v>
      </c>
      <c r="DC290">
        <v>420</v>
      </c>
      <c r="DD290">
        <v>460</v>
      </c>
      <c r="DE290">
        <v>460</v>
      </c>
      <c r="DG290" t="s">
        <v>4171</v>
      </c>
      <c r="DH290" t="s">
        <v>82</v>
      </c>
      <c r="DI290" t="s">
        <v>1552</v>
      </c>
      <c r="DJ290" t="s">
        <v>1553</v>
      </c>
      <c r="DK290" t="s">
        <v>692</v>
      </c>
      <c r="DL290">
        <v>7.69</v>
      </c>
      <c r="DM290" t="s">
        <v>670</v>
      </c>
      <c r="DN290" t="s">
        <v>670</v>
      </c>
      <c r="DO290">
        <v>0.5</v>
      </c>
      <c r="DP290">
        <v>235</v>
      </c>
      <c r="DQ290">
        <v>470</v>
      </c>
      <c r="DR290" t="s">
        <v>4172</v>
      </c>
      <c r="EB290" t="s">
        <v>4173</v>
      </c>
      <c r="EC290" t="s">
        <v>2349</v>
      </c>
      <c r="EE290" t="s">
        <v>252</v>
      </c>
      <c r="EL290" t="s">
        <v>4174</v>
      </c>
      <c r="EM290" t="s">
        <v>2246</v>
      </c>
      <c r="EN290" t="s">
        <v>2247</v>
      </c>
      <c r="EO290">
        <v>9</v>
      </c>
      <c r="EP290" t="s">
        <v>2252</v>
      </c>
      <c r="EQ290" t="s">
        <v>4175</v>
      </c>
      <c r="ER290" t="s">
        <v>4176</v>
      </c>
      <c r="ES290">
        <v>90000</v>
      </c>
      <c r="ET290">
        <v>90000</v>
      </c>
      <c r="EU290">
        <v>90000</v>
      </c>
      <c r="EV290">
        <v>90000</v>
      </c>
    </row>
    <row r="291" ht="15" customHeight="1" spans="95:152" x14ac:dyDescent="0.25">
      <c r="CQ291" t="s">
        <v>4177</v>
      </c>
      <c r="CR291" t="s">
        <v>87</v>
      </c>
      <c r="CS291" t="s">
        <v>280</v>
      </c>
      <c r="CT291" t="s">
        <v>279</v>
      </c>
      <c r="CU291" t="s">
        <v>81</v>
      </c>
      <c r="CV291" t="s">
        <v>248</v>
      </c>
      <c r="CW291">
        <v>3.85</v>
      </c>
      <c r="CX291">
        <v>1</v>
      </c>
      <c r="CY291">
        <v>1</v>
      </c>
      <c r="CZ291">
        <v>1</v>
      </c>
      <c r="DA291">
        <v>545</v>
      </c>
      <c r="DB291">
        <v>860</v>
      </c>
      <c r="DC291">
        <v>950</v>
      </c>
      <c r="DD291">
        <v>1020</v>
      </c>
      <c r="DE291">
        <v>1020</v>
      </c>
      <c r="DG291" t="s">
        <v>4178</v>
      </c>
      <c r="DH291" t="s">
        <v>82</v>
      </c>
      <c r="DI291" t="s">
        <v>1555</v>
      </c>
      <c r="DJ291" t="s">
        <v>1556</v>
      </c>
      <c r="DK291" t="s">
        <v>692</v>
      </c>
      <c r="DL291">
        <v>7.69</v>
      </c>
      <c r="DM291" t="s">
        <v>670</v>
      </c>
      <c r="DN291" t="s">
        <v>669</v>
      </c>
      <c r="DO291">
        <v>0</v>
      </c>
      <c r="DP291">
        <v>0</v>
      </c>
      <c r="DQ291">
        <v>113.19</v>
      </c>
      <c r="DR291" t="s">
        <v>4179</v>
      </c>
      <c r="EB291" t="s">
        <v>4180</v>
      </c>
      <c r="EC291" t="s">
        <v>2349</v>
      </c>
      <c r="EE291" t="s">
        <v>229</v>
      </c>
      <c r="EL291" t="s">
        <v>4181</v>
      </c>
      <c r="EM291" t="s">
        <v>2779</v>
      </c>
      <c r="EN291" t="s">
        <v>2780</v>
      </c>
      <c r="EO291">
        <v>1</v>
      </c>
      <c r="EP291" t="s">
        <v>2252</v>
      </c>
      <c r="EQ291" t="s">
        <v>2253</v>
      </c>
      <c r="ER291" t="s">
        <v>2294</v>
      </c>
      <c r="ES291">
        <v>10000</v>
      </c>
      <c r="ET291">
        <v>10000</v>
      </c>
      <c r="EU291">
        <v>10000</v>
      </c>
      <c r="EV291">
        <v>10000</v>
      </c>
    </row>
    <row r="292" ht="15" customHeight="1" spans="95:152" x14ac:dyDescent="0.25">
      <c r="CQ292" t="s">
        <v>4182</v>
      </c>
      <c r="CR292" t="s">
        <v>87</v>
      </c>
      <c r="CS292" t="s">
        <v>576</v>
      </c>
      <c r="CT292" t="s">
        <v>574</v>
      </c>
      <c r="CU292" t="s">
        <v>88</v>
      </c>
      <c r="CV292" t="s">
        <v>575</v>
      </c>
      <c r="CW292">
        <v>96.15</v>
      </c>
      <c r="CX292">
        <v>1</v>
      </c>
      <c r="CY292">
        <v>1</v>
      </c>
      <c r="CZ292">
        <v>1</v>
      </c>
      <c r="DA292">
        <v>2560</v>
      </c>
      <c r="DB292">
        <v>2030</v>
      </c>
      <c r="DC292">
        <v>2210</v>
      </c>
      <c r="DD292">
        <v>2380</v>
      </c>
      <c r="DE292">
        <v>2560</v>
      </c>
      <c r="DG292" t="s">
        <v>4183</v>
      </c>
      <c r="DH292" t="s">
        <v>82</v>
      </c>
      <c r="DI292" t="s">
        <v>1560</v>
      </c>
      <c r="DJ292" t="s">
        <v>1561</v>
      </c>
      <c r="DK292" t="s">
        <v>692</v>
      </c>
      <c r="DL292">
        <v>7.69</v>
      </c>
      <c r="DM292" t="s">
        <v>669</v>
      </c>
      <c r="DN292" t="s">
        <v>670</v>
      </c>
      <c r="DO292">
        <v>1</v>
      </c>
      <c r="DP292">
        <v>7734.18</v>
      </c>
      <c r="DQ292">
        <v>7734.18</v>
      </c>
      <c r="DR292" t="s">
        <v>4184</v>
      </c>
      <c r="EB292" t="s">
        <v>4185</v>
      </c>
      <c r="EC292" t="s">
        <v>2349</v>
      </c>
      <c r="ED292" t="s">
        <v>2350</v>
      </c>
      <c r="EE292" t="s">
        <v>246</v>
      </c>
      <c r="EF292" t="s">
        <v>244</v>
      </c>
      <c r="EG292">
        <v>170</v>
      </c>
      <c r="EH292">
        <v>195</v>
      </c>
      <c r="EI292">
        <v>195</v>
      </c>
      <c r="EJ292">
        <v>225</v>
      </c>
      <c r="EL292" t="s">
        <v>4181</v>
      </c>
      <c r="EM292" t="s">
        <v>2779</v>
      </c>
      <c r="EN292" t="s">
        <v>2780</v>
      </c>
      <c r="EO292">
        <v>1</v>
      </c>
      <c r="EP292" t="s">
        <v>2252</v>
      </c>
      <c r="EQ292" t="s">
        <v>2293</v>
      </c>
      <c r="ER292" t="s">
        <v>2294</v>
      </c>
      <c r="ES292">
        <v>10000</v>
      </c>
      <c r="ET292">
        <v>10000</v>
      </c>
      <c r="EU292">
        <v>10000</v>
      </c>
      <c r="EV292">
        <v>10000</v>
      </c>
    </row>
    <row r="293" ht="15" customHeight="1" spans="95:152" x14ac:dyDescent="0.25">
      <c r="CQ293" t="s">
        <v>4186</v>
      </c>
      <c r="CR293" t="s">
        <v>87</v>
      </c>
      <c r="CS293" t="s">
        <v>264</v>
      </c>
      <c r="CT293" t="s">
        <v>262</v>
      </c>
      <c r="CU293" t="s">
        <v>99</v>
      </c>
      <c r="CV293" t="s">
        <v>263</v>
      </c>
      <c r="CW293">
        <v>11.54</v>
      </c>
      <c r="CX293">
        <v>1</v>
      </c>
      <c r="CY293">
        <v>1</v>
      </c>
      <c r="CZ293">
        <v>1</v>
      </c>
      <c r="DA293">
        <v>810</v>
      </c>
      <c r="DB293">
        <v>680</v>
      </c>
      <c r="DC293">
        <v>750</v>
      </c>
      <c r="DD293">
        <v>810</v>
      </c>
      <c r="DE293">
        <v>810</v>
      </c>
      <c r="DG293" t="s">
        <v>4187</v>
      </c>
      <c r="DH293" t="s">
        <v>82</v>
      </c>
      <c r="DI293" t="s">
        <v>1565</v>
      </c>
      <c r="DJ293" t="s">
        <v>1566</v>
      </c>
      <c r="DK293" t="s">
        <v>692</v>
      </c>
      <c r="DL293">
        <v>7.69</v>
      </c>
      <c r="DM293" t="s">
        <v>670</v>
      </c>
      <c r="DN293" t="s">
        <v>669</v>
      </c>
      <c r="DO293">
        <v>0</v>
      </c>
      <c r="DP293">
        <v>0</v>
      </c>
      <c r="DQ293">
        <v>936.5</v>
      </c>
      <c r="DR293" t="s">
        <v>4188</v>
      </c>
      <c r="EB293" t="s">
        <v>4189</v>
      </c>
      <c r="EC293" t="s">
        <v>2349</v>
      </c>
      <c r="EE293" t="s">
        <v>255</v>
      </c>
      <c r="EL293" t="s">
        <v>4190</v>
      </c>
      <c r="EM293" t="s">
        <v>2779</v>
      </c>
      <c r="EN293" t="s">
        <v>2780</v>
      </c>
      <c r="EO293">
        <v>1</v>
      </c>
      <c r="EP293" t="s">
        <v>2276</v>
      </c>
      <c r="EQ293" t="s">
        <v>2277</v>
      </c>
      <c r="ER293" t="s">
        <v>2307</v>
      </c>
      <c r="ES293">
        <v>14850</v>
      </c>
      <c r="ET293">
        <v>14850</v>
      </c>
      <c r="EU293">
        <v>14850</v>
      </c>
      <c r="EV293">
        <v>14850</v>
      </c>
    </row>
    <row r="294" ht="15" customHeight="1" spans="95:152" x14ac:dyDescent="0.25">
      <c r="CQ294" t="s">
        <v>4191</v>
      </c>
      <c r="CR294" t="s">
        <v>87</v>
      </c>
      <c r="CS294" t="s">
        <v>606</v>
      </c>
      <c r="CT294" t="s">
        <v>2371</v>
      </c>
      <c r="CU294" t="s">
        <v>99</v>
      </c>
      <c r="CV294" t="s">
        <v>277</v>
      </c>
      <c r="CW294">
        <v>96.15</v>
      </c>
      <c r="CX294">
        <v>1</v>
      </c>
      <c r="CY294">
        <v>1</v>
      </c>
      <c r="CZ294">
        <v>1</v>
      </c>
      <c r="DA294">
        <v>880</v>
      </c>
      <c r="DB294">
        <v>740</v>
      </c>
      <c r="DC294">
        <v>820</v>
      </c>
      <c r="DD294">
        <v>880</v>
      </c>
      <c r="DE294">
        <v>880</v>
      </c>
      <c r="DG294" t="s">
        <v>4192</v>
      </c>
      <c r="DH294" t="s">
        <v>82</v>
      </c>
      <c r="DI294" t="s">
        <v>1568</v>
      </c>
      <c r="DJ294" t="s">
        <v>1569</v>
      </c>
      <c r="DK294" t="s">
        <v>692</v>
      </c>
      <c r="DL294">
        <v>7.69</v>
      </c>
      <c r="DM294" t="s">
        <v>669</v>
      </c>
      <c r="DN294" t="s">
        <v>670</v>
      </c>
      <c r="DO294">
        <v>9</v>
      </c>
      <c r="DP294">
        <v>918</v>
      </c>
      <c r="DQ294">
        <v>918</v>
      </c>
      <c r="DR294" t="s">
        <v>4193</v>
      </c>
      <c r="EB294" t="s">
        <v>4194</v>
      </c>
      <c r="EC294" t="s">
        <v>2349</v>
      </c>
      <c r="EE294" t="s">
        <v>243</v>
      </c>
      <c r="EL294" t="s">
        <v>4190</v>
      </c>
      <c r="EM294" t="s">
        <v>2779</v>
      </c>
      <c r="EN294" t="s">
        <v>2780</v>
      </c>
      <c r="EO294">
        <v>1</v>
      </c>
      <c r="EP294" t="s">
        <v>2276</v>
      </c>
      <c r="EQ294" t="s">
        <v>2306</v>
      </c>
      <c r="ER294" t="s">
        <v>2307</v>
      </c>
      <c r="ES294">
        <v>14850</v>
      </c>
      <c r="ET294">
        <v>14850</v>
      </c>
      <c r="EU294">
        <v>14850</v>
      </c>
      <c r="EV294">
        <v>14850</v>
      </c>
    </row>
    <row r="295" ht="15" customHeight="1" spans="95:152" x14ac:dyDescent="0.25">
      <c r="CQ295" t="s">
        <v>4195</v>
      </c>
      <c r="CR295" t="s">
        <v>87</v>
      </c>
      <c r="CS295" t="s">
        <v>278</v>
      </c>
      <c r="CT295" t="s">
        <v>276</v>
      </c>
      <c r="CU295" t="s">
        <v>88</v>
      </c>
      <c r="CV295" t="s">
        <v>277</v>
      </c>
      <c r="CW295">
        <v>3.85</v>
      </c>
      <c r="CX295">
        <v>1</v>
      </c>
      <c r="CY295">
        <v>1</v>
      </c>
      <c r="CZ295">
        <v>1</v>
      </c>
      <c r="DA295">
        <v>1110</v>
      </c>
      <c r="DB295">
        <v>930</v>
      </c>
      <c r="DC295">
        <v>1030</v>
      </c>
      <c r="DD295">
        <v>1110</v>
      </c>
      <c r="DE295">
        <v>1110</v>
      </c>
      <c r="DG295" t="s">
        <v>4196</v>
      </c>
      <c r="DH295" t="s">
        <v>82</v>
      </c>
      <c r="DI295" t="s">
        <v>1570</v>
      </c>
      <c r="DJ295" t="s">
        <v>1516</v>
      </c>
      <c r="DK295" t="s">
        <v>692</v>
      </c>
      <c r="DL295">
        <v>7.69</v>
      </c>
      <c r="DM295" t="s">
        <v>670</v>
      </c>
      <c r="DN295" t="s">
        <v>670</v>
      </c>
      <c r="DO295">
        <v>1</v>
      </c>
      <c r="DP295">
        <v>30.2</v>
      </c>
      <c r="DQ295">
        <v>181.2</v>
      </c>
      <c r="DR295" t="s">
        <v>4116</v>
      </c>
      <c r="EB295" t="s">
        <v>4197</v>
      </c>
      <c r="EC295" t="s">
        <v>2349</v>
      </c>
      <c r="ED295" t="s">
        <v>2350</v>
      </c>
      <c r="EE295" t="s">
        <v>261</v>
      </c>
      <c r="EF295" t="s">
        <v>259</v>
      </c>
      <c r="EG295">
        <v>1</v>
      </c>
      <c r="EH295">
        <v>1</v>
      </c>
      <c r="EI295">
        <v>1</v>
      </c>
      <c r="EJ295">
        <v>1</v>
      </c>
      <c r="EL295" t="s">
        <v>4198</v>
      </c>
      <c r="EM295" t="s">
        <v>2779</v>
      </c>
      <c r="EN295" t="s">
        <v>2780</v>
      </c>
      <c r="EO295">
        <v>2</v>
      </c>
      <c r="EP295" t="s">
        <v>2252</v>
      </c>
      <c r="EQ295" t="s">
        <v>2322</v>
      </c>
      <c r="ER295" t="s">
        <v>2355</v>
      </c>
      <c r="ES295">
        <v>20000</v>
      </c>
      <c r="ET295">
        <v>20000</v>
      </c>
      <c r="EU295">
        <v>20000</v>
      </c>
      <c r="EV295">
        <v>20000</v>
      </c>
    </row>
    <row r="296" ht="15" customHeight="1" spans="95:152" x14ac:dyDescent="0.25">
      <c r="CQ296" t="s">
        <v>4199</v>
      </c>
      <c r="CR296" t="s">
        <v>87</v>
      </c>
      <c r="CS296" t="s">
        <v>610</v>
      </c>
      <c r="CT296" t="s">
        <v>2336</v>
      </c>
      <c r="CU296" t="s">
        <v>90</v>
      </c>
      <c r="CV296" t="s">
        <v>289</v>
      </c>
      <c r="CW296">
        <v>96.15</v>
      </c>
      <c r="CX296">
        <v>1</v>
      </c>
      <c r="CY296">
        <v>1</v>
      </c>
      <c r="CZ296">
        <v>1</v>
      </c>
      <c r="DA296">
        <v>570</v>
      </c>
      <c r="DB296">
        <v>480</v>
      </c>
      <c r="DC296">
        <v>530</v>
      </c>
      <c r="DD296">
        <v>570</v>
      </c>
      <c r="DE296">
        <v>570</v>
      </c>
      <c r="DG296" t="s">
        <v>4200</v>
      </c>
      <c r="DH296" t="s">
        <v>82</v>
      </c>
      <c r="DI296" t="s">
        <v>1572</v>
      </c>
      <c r="DJ296" t="s">
        <v>1515</v>
      </c>
      <c r="DK296" t="s">
        <v>692</v>
      </c>
      <c r="DL296">
        <v>7.69</v>
      </c>
      <c r="DM296" t="s">
        <v>670</v>
      </c>
      <c r="DN296" t="s">
        <v>669</v>
      </c>
      <c r="DO296">
        <v>0</v>
      </c>
      <c r="DP296">
        <v>0</v>
      </c>
      <c r="DQ296">
        <v>313.3</v>
      </c>
      <c r="DR296" t="s">
        <v>4104</v>
      </c>
      <c r="EB296" t="s">
        <v>4201</v>
      </c>
      <c r="EC296" t="s">
        <v>2349</v>
      </c>
      <c r="EE296" t="s">
        <v>296</v>
      </c>
      <c r="EL296" t="s">
        <v>4198</v>
      </c>
      <c r="EM296" t="s">
        <v>2779</v>
      </c>
      <c r="EN296" t="s">
        <v>2780</v>
      </c>
      <c r="EO296">
        <v>2</v>
      </c>
      <c r="EP296" t="s">
        <v>2252</v>
      </c>
      <c r="EQ296" t="s">
        <v>2354</v>
      </c>
      <c r="ER296" t="s">
        <v>2355</v>
      </c>
      <c r="ES296">
        <v>20000</v>
      </c>
      <c r="ET296">
        <v>20000</v>
      </c>
      <c r="EU296">
        <v>20000</v>
      </c>
      <c r="EV296">
        <v>20000</v>
      </c>
    </row>
    <row r="297" ht="15" customHeight="1" spans="95:152" x14ac:dyDescent="0.25">
      <c r="CQ297" t="s">
        <v>4202</v>
      </c>
      <c r="CR297" t="s">
        <v>87</v>
      </c>
      <c r="CS297" t="s">
        <v>608</v>
      </c>
      <c r="CT297" t="s">
        <v>2352</v>
      </c>
      <c r="CU297" t="s">
        <v>90</v>
      </c>
      <c r="CV297" t="s">
        <v>2706</v>
      </c>
      <c r="CW297">
        <v>96.15</v>
      </c>
      <c r="CX297">
        <v>1</v>
      </c>
      <c r="CY297">
        <v>1</v>
      </c>
      <c r="CZ297">
        <v>1</v>
      </c>
      <c r="DA297">
        <v>1170</v>
      </c>
      <c r="DB297">
        <v>980</v>
      </c>
      <c r="DC297">
        <v>1080</v>
      </c>
      <c r="DD297">
        <v>1170</v>
      </c>
      <c r="DE297">
        <v>1170</v>
      </c>
      <c r="DG297" t="s">
        <v>4203</v>
      </c>
      <c r="DH297" t="s">
        <v>82</v>
      </c>
      <c r="DI297" t="s">
        <v>1574</v>
      </c>
      <c r="DJ297" t="s">
        <v>1575</v>
      </c>
      <c r="DK297" t="s">
        <v>692</v>
      </c>
      <c r="DL297">
        <v>7.69</v>
      </c>
      <c r="DM297" t="s">
        <v>669</v>
      </c>
      <c r="DN297" t="s">
        <v>670</v>
      </c>
      <c r="DO297">
        <v>1</v>
      </c>
      <c r="DP297">
        <v>1066</v>
      </c>
      <c r="DQ297">
        <v>1066</v>
      </c>
      <c r="DR297" t="s">
        <v>4204</v>
      </c>
      <c r="EB297" t="s">
        <v>4205</v>
      </c>
      <c r="EC297" t="s">
        <v>2597</v>
      </c>
      <c r="ED297" t="s">
        <v>2598</v>
      </c>
      <c r="EE297" t="s">
        <v>620</v>
      </c>
      <c r="EF297" t="s">
        <v>2250</v>
      </c>
      <c r="EG297">
        <v>335</v>
      </c>
      <c r="EH297">
        <v>370</v>
      </c>
      <c r="EI297">
        <v>370</v>
      </c>
      <c r="EJ297">
        <v>425</v>
      </c>
      <c r="EL297" t="s">
        <v>4206</v>
      </c>
      <c r="EM297" t="s">
        <v>2779</v>
      </c>
      <c r="EN297" t="s">
        <v>2780</v>
      </c>
      <c r="EO297">
        <v>2</v>
      </c>
      <c r="EP297" t="s">
        <v>2276</v>
      </c>
      <c r="EQ297" t="s">
        <v>2338</v>
      </c>
      <c r="ER297" t="s">
        <v>2374</v>
      </c>
      <c r="ES297">
        <v>38600</v>
      </c>
      <c r="ET297">
        <v>38600</v>
      </c>
      <c r="EU297">
        <v>38600</v>
      </c>
      <c r="EV297">
        <v>38600</v>
      </c>
    </row>
    <row r="298" ht="15" customHeight="1" spans="10:152" x14ac:dyDescent="0.25">
      <c r="J298" t="s">
        <v>4207</v>
      </c>
      <c r="CQ298" t="s">
        <v>4208</v>
      </c>
      <c r="CR298" t="s">
        <v>87</v>
      </c>
      <c r="CS298" t="s">
        <v>240</v>
      </c>
      <c r="CT298" t="s">
        <v>238</v>
      </c>
      <c r="CU298" t="s">
        <v>90</v>
      </c>
      <c r="CV298" t="s">
        <v>239</v>
      </c>
      <c r="CW298">
        <v>3.85</v>
      </c>
      <c r="CX298">
        <v>2</v>
      </c>
      <c r="CY298">
        <v>2</v>
      </c>
      <c r="CZ298">
        <v>2</v>
      </c>
      <c r="DA298">
        <v>7240</v>
      </c>
      <c r="DB298">
        <v>3620</v>
      </c>
      <c r="DC298">
        <v>3620</v>
      </c>
      <c r="DD298">
        <v>3620</v>
      </c>
      <c r="DE298">
        <v>3620</v>
      </c>
      <c r="DG298" t="s">
        <v>4209</v>
      </c>
      <c r="DH298" t="s">
        <v>82</v>
      </c>
      <c r="DI298" t="s">
        <v>1260</v>
      </c>
      <c r="DJ298" t="s">
        <v>1577</v>
      </c>
      <c r="DK298" t="s">
        <v>692</v>
      </c>
      <c r="DL298">
        <v>7.69</v>
      </c>
      <c r="DM298" t="s">
        <v>670</v>
      </c>
      <c r="DN298" t="s">
        <v>669</v>
      </c>
      <c r="DO298">
        <v>0</v>
      </c>
      <c r="DP298">
        <v>0</v>
      </c>
      <c r="DQ298">
        <v>245</v>
      </c>
      <c r="DR298" t="s">
        <v>4210</v>
      </c>
      <c r="EB298" t="s">
        <v>4211</v>
      </c>
      <c r="EC298" t="s">
        <v>2597</v>
      </c>
      <c r="ED298" t="s">
        <v>2598</v>
      </c>
      <c r="EE298" t="s">
        <v>618</v>
      </c>
      <c r="EF298" t="s">
        <v>2274</v>
      </c>
      <c r="EG298">
        <v>290</v>
      </c>
      <c r="EH298">
        <v>320</v>
      </c>
      <c r="EI298">
        <v>320</v>
      </c>
      <c r="EJ298">
        <v>370</v>
      </c>
      <c r="EL298" t="s">
        <v>4206</v>
      </c>
      <c r="EM298" t="s">
        <v>2779</v>
      </c>
      <c r="EN298" t="s">
        <v>2780</v>
      </c>
      <c r="EO298">
        <v>2</v>
      </c>
      <c r="EP298" t="s">
        <v>2276</v>
      </c>
      <c r="EQ298" t="s">
        <v>2373</v>
      </c>
      <c r="ER298" t="s">
        <v>2374</v>
      </c>
      <c r="ES298">
        <v>38600</v>
      </c>
      <c r="ET298">
        <v>38600</v>
      </c>
      <c r="EU298">
        <v>38600</v>
      </c>
      <c r="EV298">
        <v>38600</v>
      </c>
    </row>
    <row r="299" ht="15" customHeight="1" spans="10:152" x14ac:dyDescent="0.25">
      <c r="J299" t="s">
        <v>2184</v>
      </c>
      <c r="K299" t="s">
        <v>2192</v>
      </c>
      <c r="L299" t="s">
        <v>2193</v>
      </c>
      <c r="M299" t="s">
        <v>2161</v>
      </c>
      <c r="N299" t="s">
        <v>2162</v>
      </c>
      <c r="O299" t="s">
        <v>2188</v>
      </c>
      <c r="P299" t="s">
        <v>2189</v>
      </c>
      <c r="Q299" t="s">
        <v>2190</v>
      </c>
      <c r="R299" t="s">
        <v>2191</v>
      </c>
      <c r="CQ299" t="s">
        <v>4212</v>
      </c>
      <c r="CR299" t="s">
        <v>87</v>
      </c>
      <c r="CS299" t="s">
        <v>603</v>
      </c>
      <c r="CT299" t="s">
        <v>2387</v>
      </c>
      <c r="CU299" t="s">
        <v>90</v>
      </c>
      <c r="CV299" t="s">
        <v>239</v>
      </c>
      <c r="CW299">
        <v>96.15</v>
      </c>
      <c r="CX299">
        <v>1</v>
      </c>
      <c r="CY299">
        <v>1</v>
      </c>
      <c r="CZ299">
        <v>1</v>
      </c>
      <c r="DA299">
        <v>350</v>
      </c>
      <c r="DB299">
        <v>350</v>
      </c>
      <c r="DC299">
        <v>350</v>
      </c>
      <c r="DD299">
        <v>350</v>
      </c>
      <c r="DE299">
        <v>350</v>
      </c>
      <c r="DG299" t="s">
        <v>4213</v>
      </c>
      <c r="DH299" t="s">
        <v>82</v>
      </c>
      <c r="DJ299" t="s">
        <v>1022</v>
      </c>
      <c r="DK299" t="s">
        <v>668</v>
      </c>
      <c r="DL299">
        <v>3.85</v>
      </c>
      <c r="DM299" t="s">
        <v>669</v>
      </c>
      <c r="DN299" t="s">
        <v>669</v>
      </c>
      <c r="DO299">
        <v>0</v>
      </c>
      <c r="DP299">
        <v>0</v>
      </c>
      <c r="DQ299">
        <v>0</v>
      </c>
      <c r="DR299" t="s">
        <v>3178</v>
      </c>
      <c r="EB299" t="s">
        <v>4214</v>
      </c>
      <c r="EC299" t="s">
        <v>2597</v>
      </c>
      <c r="ED299" t="s">
        <v>2598</v>
      </c>
      <c r="EE299" t="s">
        <v>616</v>
      </c>
      <c r="EF299" t="s">
        <v>2291</v>
      </c>
      <c r="EG299">
        <v>945</v>
      </c>
      <c r="EH299">
        <v>1040</v>
      </c>
      <c r="EI299">
        <v>1040</v>
      </c>
      <c r="EJ299">
        <v>1195</v>
      </c>
      <c r="EL299" t="s">
        <v>4215</v>
      </c>
      <c r="EM299" t="s">
        <v>2779</v>
      </c>
      <c r="EN299" t="s">
        <v>2780</v>
      </c>
      <c r="EO299">
        <v>3</v>
      </c>
      <c r="EP299" t="s">
        <v>2252</v>
      </c>
      <c r="EQ299" t="s">
        <v>2389</v>
      </c>
      <c r="ER299" t="s">
        <v>2424</v>
      </c>
      <c r="ES299">
        <v>30000</v>
      </c>
      <c r="ET299">
        <v>30000</v>
      </c>
      <c r="EU299">
        <v>30000</v>
      </c>
      <c r="EV299">
        <v>30000</v>
      </c>
    </row>
    <row r="300" ht="15" customHeight="1" spans="10:152" x14ac:dyDescent="0.25">
      <c r="J300" t="s">
        <v>1995</v>
      </c>
      <c r="K300">
        <v>0.5</v>
      </c>
      <c r="L300" t="s">
        <v>2252</v>
      </c>
      <c r="M300" t="s">
        <v>2253</v>
      </c>
      <c r="N300" t="s">
        <v>2254</v>
      </c>
      <c r="O300">
        <v>5940</v>
      </c>
      <c r="P300">
        <v>6540</v>
      </c>
      <c r="Q300">
        <v>7090</v>
      </c>
      <c r="R300">
        <v>7090</v>
      </c>
      <c r="CQ300" t="s">
        <v>4216</v>
      </c>
      <c r="CR300" t="s">
        <v>87</v>
      </c>
      <c r="CS300" t="s">
        <v>252</v>
      </c>
      <c r="CT300" t="s">
        <v>250</v>
      </c>
      <c r="CU300" t="s">
        <v>90</v>
      </c>
      <c r="CV300" t="s">
        <v>251</v>
      </c>
      <c r="CW300">
        <v>15.38</v>
      </c>
      <c r="CX300">
        <v>1</v>
      </c>
      <c r="CY300">
        <v>1</v>
      </c>
      <c r="CZ300">
        <v>1</v>
      </c>
      <c r="DA300">
        <v>890</v>
      </c>
      <c r="DB300">
        <v>890</v>
      </c>
      <c r="DC300">
        <v>890</v>
      </c>
      <c r="DD300">
        <v>890</v>
      </c>
      <c r="DE300">
        <v>890</v>
      </c>
      <c r="DG300" t="s">
        <v>4217</v>
      </c>
      <c r="DH300" t="s">
        <v>82</v>
      </c>
      <c r="DJ300" t="s">
        <v>1147</v>
      </c>
      <c r="DK300" t="s">
        <v>668</v>
      </c>
      <c r="DL300">
        <v>3.85</v>
      </c>
      <c r="DM300" t="s">
        <v>669</v>
      </c>
      <c r="DN300" t="s">
        <v>669</v>
      </c>
      <c r="DO300">
        <v>0</v>
      </c>
      <c r="DP300">
        <v>0</v>
      </c>
      <c r="DQ300">
        <v>0</v>
      </c>
      <c r="DR300" t="s">
        <v>3437</v>
      </c>
      <c r="EB300" t="s">
        <v>4218</v>
      </c>
      <c r="EC300" t="s">
        <v>2597</v>
      </c>
      <c r="ED300" t="s">
        <v>2598</v>
      </c>
      <c r="EE300" t="s">
        <v>614</v>
      </c>
      <c r="EF300" t="s">
        <v>2304</v>
      </c>
      <c r="EG300">
        <v>380</v>
      </c>
      <c r="EH300">
        <v>420</v>
      </c>
      <c r="EI300">
        <v>420</v>
      </c>
      <c r="EJ300">
        <v>485</v>
      </c>
      <c r="EL300" t="s">
        <v>4215</v>
      </c>
      <c r="EM300" t="s">
        <v>2779</v>
      </c>
      <c r="EN300" t="s">
        <v>2780</v>
      </c>
      <c r="EO300">
        <v>3</v>
      </c>
      <c r="EP300" t="s">
        <v>2252</v>
      </c>
      <c r="EQ300" t="s">
        <v>2423</v>
      </c>
      <c r="ER300" t="s">
        <v>2424</v>
      </c>
      <c r="ES300">
        <v>30000</v>
      </c>
      <c r="ET300">
        <v>30000</v>
      </c>
      <c r="EU300">
        <v>30000</v>
      </c>
      <c r="EV300">
        <v>30000</v>
      </c>
    </row>
    <row r="301" ht="15" customHeight="1" spans="10:152" x14ac:dyDescent="0.25">
      <c r="J301" t="s">
        <v>1995</v>
      </c>
      <c r="K301">
        <v>0.5</v>
      </c>
      <c r="L301" t="s">
        <v>2276</v>
      </c>
      <c r="M301" t="s">
        <v>2277</v>
      </c>
      <c r="N301" t="s">
        <v>2278</v>
      </c>
      <c r="O301">
        <v>6230</v>
      </c>
      <c r="P301">
        <v>8220</v>
      </c>
      <c r="Q301">
        <v>8970</v>
      </c>
      <c r="R301">
        <v>8970</v>
      </c>
      <c r="CQ301" t="s">
        <v>4219</v>
      </c>
      <c r="CR301" t="s">
        <v>87</v>
      </c>
      <c r="CS301" t="s">
        <v>601</v>
      </c>
      <c r="CT301" t="s">
        <v>2404</v>
      </c>
      <c r="CU301" t="s">
        <v>79</v>
      </c>
      <c r="CV301" t="s">
        <v>242</v>
      </c>
      <c r="CW301">
        <v>100</v>
      </c>
      <c r="CX301">
        <v>2</v>
      </c>
      <c r="CY301">
        <v>2</v>
      </c>
      <c r="CZ301">
        <v>2</v>
      </c>
      <c r="DA301">
        <v>1700</v>
      </c>
      <c r="DB301">
        <v>850</v>
      </c>
      <c r="DC301">
        <v>850</v>
      </c>
      <c r="DD301">
        <v>850</v>
      </c>
      <c r="DE301">
        <v>850</v>
      </c>
      <c r="DG301" t="s">
        <v>4220</v>
      </c>
      <c r="DH301" t="s">
        <v>82</v>
      </c>
      <c r="DJ301" t="s">
        <v>825</v>
      </c>
      <c r="DK301" t="s">
        <v>668</v>
      </c>
      <c r="DL301">
        <v>3.85</v>
      </c>
      <c r="DM301" t="s">
        <v>669</v>
      </c>
      <c r="DN301" t="s">
        <v>669</v>
      </c>
      <c r="DO301">
        <v>0</v>
      </c>
      <c r="DP301">
        <v>0</v>
      </c>
      <c r="DQ301">
        <v>0</v>
      </c>
      <c r="DR301" t="s">
        <v>2800</v>
      </c>
      <c r="EB301" t="s">
        <v>4221</v>
      </c>
      <c r="EC301" t="s">
        <v>2597</v>
      </c>
      <c r="ED301" t="s">
        <v>2598</v>
      </c>
      <c r="EE301" t="s">
        <v>612</v>
      </c>
      <c r="EF301" t="s">
        <v>2320</v>
      </c>
      <c r="EG301">
        <v>200</v>
      </c>
      <c r="EH301">
        <v>220</v>
      </c>
      <c r="EI301">
        <v>220</v>
      </c>
      <c r="EJ301">
        <v>255</v>
      </c>
      <c r="EL301" t="s">
        <v>4222</v>
      </c>
      <c r="EM301" t="s">
        <v>2779</v>
      </c>
      <c r="EN301" t="s">
        <v>2780</v>
      </c>
      <c r="EO301">
        <v>3</v>
      </c>
      <c r="EP301" t="s">
        <v>2276</v>
      </c>
      <c r="EQ301" t="s">
        <v>2406</v>
      </c>
      <c r="ER301" t="s">
        <v>2440</v>
      </c>
      <c r="ES301">
        <v>59650</v>
      </c>
      <c r="ET301">
        <v>59650</v>
      </c>
      <c r="EU301">
        <v>59650</v>
      </c>
      <c r="EV301">
        <v>59650</v>
      </c>
    </row>
    <row r="302" ht="15" customHeight="1" spans="10:152" x14ac:dyDescent="0.25">
      <c r="J302" t="s">
        <v>1995</v>
      </c>
      <c r="K302">
        <v>1</v>
      </c>
      <c r="L302" t="s">
        <v>2252</v>
      </c>
      <c r="M302" t="s">
        <v>2293</v>
      </c>
      <c r="N302" t="s">
        <v>2294</v>
      </c>
      <c r="O302">
        <v>11880</v>
      </c>
      <c r="P302">
        <v>13130</v>
      </c>
      <c r="Q302">
        <v>14180</v>
      </c>
      <c r="R302">
        <v>14180</v>
      </c>
      <c r="CQ302" t="s">
        <v>4223</v>
      </c>
      <c r="CR302" t="s">
        <v>87</v>
      </c>
      <c r="CS302" t="s">
        <v>229</v>
      </c>
      <c r="CT302" t="s">
        <v>227</v>
      </c>
      <c r="CU302" t="s">
        <v>90</v>
      </c>
      <c r="CV302" t="s">
        <v>228</v>
      </c>
      <c r="CW302">
        <v>57.69</v>
      </c>
      <c r="CX302">
        <v>5</v>
      </c>
      <c r="CY302">
        <v>5</v>
      </c>
      <c r="CZ302">
        <v>7</v>
      </c>
      <c r="DA302">
        <v>1690</v>
      </c>
      <c r="DB302">
        <v>270</v>
      </c>
      <c r="DC302">
        <v>300</v>
      </c>
      <c r="DD302">
        <v>330</v>
      </c>
      <c r="DE302">
        <v>350</v>
      </c>
      <c r="DG302" t="s">
        <v>4224</v>
      </c>
      <c r="DH302" t="s">
        <v>82</v>
      </c>
      <c r="DJ302" t="s">
        <v>1285</v>
      </c>
      <c r="DK302" t="s">
        <v>668</v>
      </c>
      <c r="DL302">
        <v>3.85</v>
      </c>
      <c r="DM302" t="s">
        <v>669</v>
      </c>
      <c r="DN302" t="s">
        <v>669</v>
      </c>
      <c r="DO302">
        <v>0</v>
      </c>
      <c r="DP302">
        <v>0</v>
      </c>
      <c r="DQ302">
        <v>0</v>
      </c>
      <c r="DR302" t="s">
        <v>3655</v>
      </c>
      <c r="EB302" t="s">
        <v>4225</v>
      </c>
      <c r="EC302" t="s">
        <v>2597</v>
      </c>
      <c r="ED302" t="s">
        <v>2598</v>
      </c>
      <c r="EE302" t="s">
        <v>610</v>
      </c>
      <c r="EF302" t="s">
        <v>2336</v>
      </c>
      <c r="EG302">
        <v>475</v>
      </c>
      <c r="EH302">
        <v>525</v>
      </c>
      <c r="EI302">
        <v>525</v>
      </c>
      <c r="EJ302">
        <v>605</v>
      </c>
      <c r="EL302" t="s">
        <v>4222</v>
      </c>
      <c r="EM302" t="s">
        <v>2779</v>
      </c>
      <c r="EN302" t="s">
        <v>2780</v>
      </c>
      <c r="EO302">
        <v>3</v>
      </c>
      <c r="EP302" t="s">
        <v>2276</v>
      </c>
      <c r="EQ302" t="s">
        <v>2439</v>
      </c>
      <c r="ER302" t="s">
        <v>2440</v>
      </c>
      <c r="ES302">
        <v>59650</v>
      </c>
      <c r="ET302">
        <v>59650</v>
      </c>
      <c r="EU302">
        <v>59650</v>
      </c>
      <c r="EV302">
        <v>59650</v>
      </c>
    </row>
    <row r="303" ht="15" customHeight="1" spans="10:152" x14ac:dyDescent="0.25">
      <c r="J303" t="s">
        <v>1995</v>
      </c>
      <c r="K303">
        <v>1</v>
      </c>
      <c r="L303" t="s">
        <v>2276</v>
      </c>
      <c r="M303" t="s">
        <v>2306</v>
      </c>
      <c r="N303" t="s">
        <v>2307</v>
      </c>
      <c r="O303">
        <v>12460</v>
      </c>
      <c r="P303">
        <v>16450</v>
      </c>
      <c r="Q303">
        <v>17940</v>
      </c>
      <c r="R303">
        <v>17940</v>
      </c>
      <c r="CQ303" t="s">
        <v>4226</v>
      </c>
      <c r="CR303" t="s">
        <v>87</v>
      </c>
      <c r="CS303" t="s">
        <v>246</v>
      </c>
      <c r="CT303" t="s">
        <v>244</v>
      </c>
      <c r="CU303" t="s">
        <v>90</v>
      </c>
      <c r="CV303" t="s">
        <v>245</v>
      </c>
      <c r="CW303">
        <v>15.38</v>
      </c>
      <c r="CX303">
        <v>1</v>
      </c>
      <c r="CY303">
        <v>1.5</v>
      </c>
      <c r="CZ303">
        <v>2.25</v>
      </c>
      <c r="DA303">
        <v>1305</v>
      </c>
      <c r="DB303">
        <v>730</v>
      </c>
      <c r="DC303">
        <v>800</v>
      </c>
      <c r="DD303">
        <v>870</v>
      </c>
      <c r="DE303">
        <v>870</v>
      </c>
      <c r="DG303" t="s">
        <v>4227</v>
      </c>
      <c r="DH303" t="s">
        <v>82</v>
      </c>
      <c r="DJ303" t="s">
        <v>1113</v>
      </c>
      <c r="DK303" t="s">
        <v>668</v>
      </c>
      <c r="DL303">
        <v>3.85</v>
      </c>
      <c r="DM303" t="s">
        <v>669</v>
      </c>
      <c r="DN303" t="s">
        <v>669</v>
      </c>
      <c r="DO303">
        <v>0</v>
      </c>
      <c r="DP303">
        <v>0</v>
      </c>
      <c r="DQ303">
        <v>0</v>
      </c>
      <c r="DR303" t="s">
        <v>3361</v>
      </c>
      <c r="EB303" t="s">
        <v>4228</v>
      </c>
      <c r="EC303" t="s">
        <v>2597</v>
      </c>
      <c r="EE303" t="s">
        <v>608</v>
      </c>
      <c r="EL303" t="s">
        <v>4229</v>
      </c>
      <c r="EM303" t="s">
        <v>2779</v>
      </c>
      <c r="EN303" t="s">
        <v>2780</v>
      </c>
      <c r="EO303">
        <v>4</v>
      </c>
      <c r="EP303" t="s">
        <v>2252</v>
      </c>
      <c r="EQ303" t="s">
        <v>2454</v>
      </c>
      <c r="ER303" t="s">
        <v>2486</v>
      </c>
      <c r="ES303">
        <v>40000</v>
      </c>
      <c r="ET303">
        <v>40000</v>
      </c>
      <c r="EU303">
        <v>40000</v>
      </c>
      <c r="EV303">
        <v>40000</v>
      </c>
    </row>
    <row r="304" ht="15" customHeight="1" spans="10:152" x14ac:dyDescent="0.25">
      <c r="J304" t="s">
        <v>1995</v>
      </c>
      <c r="K304">
        <v>1.5</v>
      </c>
      <c r="L304" t="s">
        <v>2252</v>
      </c>
      <c r="M304" t="s">
        <v>2322</v>
      </c>
      <c r="N304" t="s">
        <v>2323</v>
      </c>
      <c r="O304">
        <v>17720</v>
      </c>
      <c r="P304">
        <v>19570</v>
      </c>
      <c r="Q304">
        <v>21150</v>
      </c>
      <c r="R304">
        <v>21150</v>
      </c>
      <c r="CQ304" t="s">
        <v>4230</v>
      </c>
      <c r="CR304" t="s">
        <v>87</v>
      </c>
      <c r="CS304" t="s">
        <v>255</v>
      </c>
      <c r="CT304" t="s">
        <v>253</v>
      </c>
      <c r="CU304" t="s">
        <v>90</v>
      </c>
      <c r="CV304" t="s">
        <v>254</v>
      </c>
      <c r="CW304">
        <v>11.54</v>
      </c>
      <c r="CX304">
        <v>1</v>
      </c>
      <c r="CY304">
        <v>1</v>
      </c>
      <c r="CZ304">
        <v>1</v>
      </c>
      <c r="DA304">
        <v>980</v>
      </c>
      <c r="DB304">
        <v>980</v>
      </c>
      <c r="DC304">
        <v>1080</v>
      </c>
      <c r="DD304">
        <v>1170</v>
      </c>
      <c r="DE304">
        <v>1170</v>
      </c>
      <c r="DG304" t="s">
        <v>4231</v>
      </c>
      <c r="DH304" t="s">
        <v>82</v>
      </c>
      <c r="DJ304" t="s">
        <v>1186</v>
      </c>
      <c r="DK304" t="s">
        <v>668</v>
      </c>
      <c r="DL304">
        <v>3.85</v>
      </c>
      <c r="DM304" t="s">
        <v>669</v>
      </c>
      <c r="DN304" t="s">
        <v>669</v>
      </c>
      <c r="DO304">
        <v>0</v>
      </c>
      <c r="DP304">
        <v>0</v>
      </c>
      <c r="DQ304">
        <v>0</v>
      </c>
      <c r="DR304" t="s">
        <v>3505</v>
      </c>
      <c r="EB304" t="s">
        <v>4232</v>
      </c>
      <c r="EC304" t="s">
        <v>2597</v>
      </c>
      <c r="EE304" t="s">
        <v>606</v>
      </c>
      <c r="EL304" t="s">
        <v>4229</v>
      </c>
      <c r="EM304" t="s">
        <v>2779</v>
      </c>
      <c r="EN304" t="s">
        <v>2780</v>
      </c>
      <c r="EO304">
        <v>4</v>
      </c>
      <c r="EP304" t="s">
        <v>2252</v>
      </c>
      <c r="EQ304" t="s">
        <v>2485</v>
      </c>
      <c r="ER304" t="s">
        <v>2486</v>
      </c>
      <c r="ES304">
        <v>40000</v>
      </c>
      <c r="ET304">
        <v>40000</v>
      </c>
      <c r="EU304">
        <v>40000</v>
      </c>
      <c r="EV304">
        <v>40000</v>
      </c>
    </row>
    <row r="305" ht="15" customHeight="1" spans="10:152" x14ac:dyDescent="0.25">
      <c r="J305" t="s">
        <v>1995</v>
      </c>
      <c r="K305">
        <v>1.5</v>
      </c>
      <c r="L305" t="s">
        <v>2276</v>
      </c>
      <c r="M305" t="s">
        <v>2338</v>
      </c>
      <c r="N305" t="s">
        <v>2339</v>
      </c>
      <c r="O305">
        <v>18570</v>
      </c>
      <c r="P305">
        <v>24510</v>
      </c>
      <c r="Q305">
        <v>26740</v>
      </c>
      <c r="R305">
        <v>26740</v>
      </c>
      <c r="CQ305" t="s">
        <v>4233</v>
      </c>
      <c r="CR305" t="s">
        <v>87</v>
      </c>
      <c r="CS305" t="s">
        <v>599</v>
      </c>
      <c r="CT305" t="s">
        <v>2421</v>
      </c>
      <c r="CU305" t="s">
        <v>90</v>
      </c>
      <c r="CV305" t="s">
        <v>2798</v>
      </c>
      <c r="CW305">
        <v>100</v>
      </c>
      <c r="CX305">
        <v>1</v>
      </c>
      <c r="CY305">
        <v>1</v>
      </c>
      <c r="CZ305">
        <v>1</v>
      </c>
      <c r="DA305">
        <v>930</v>
      </c>
      <c r="DB305">
        <v>930</v>
      </c>
      <c r="DC305">
        <v>930</v>
      </c>
      <c r="DD305">
        <v>930</v>
      </c>
      <c r="DE305">
        <v>930</v>
      </c>
      <c r="DG305" t="s">
        <v>4234</v>
      </c>
      <c r="DH305" t="s">
        <v>82</v>
      </c>
      <c r="DJ305" t="s">
        <v>1579</v>
      </c>
      <c r="DK305" t="s">
        <v>668</v>
      </c>
      <c r="DL305">
        <v>3.85</v>
      </c>
      <c r="DM305" t="s">
        <v>669</v>
      </c>
      <c r="DN305" t="s">
        <v>669</v>
      </c>
      <c r="DO305">
        <v>0</v>
      </c>
      <c r="DP305">
        <v>0</v>
      </c>
      <c r="DQ305">
        <v>0</v>
      </c>
      <c r="DR305" t="s">
        <v>4235</v>
      </c>
      <c r="EB305" t="s">
        <v>4236</v>
      </c>
      <c r="EC305" t="s">
        <v>2597</v>
      </c>
      <c r="ED305" t="s">
        <v>2598</v>
      </c>
      <c r="EE305" t="s">
        <v>603</v>
      </c>
      <c r="EF305" t="s">
        <v>2387</v>
      </c>
      <c r="EG305">
        <v>295</v>
      </c>
      <c r="EH305">
        <v>295</v>
      </c>
      <c r="EI305">
        <v>295</v>
      </c>
      <c r="EJ305">
        <v>295</v>
      </c>
      <c r="EL305" t="s">
        <v>4237</v>
      </c>
      <c r="EM305" t="s">
        <v>2779</v>
      </c>
      <c r="EN305" t="s">
        <v>2780</v>
      </c>
      <c r="EO305">
        <v>4</v>
      </c>
      <c r="EP305" t="s">
        <v>2276</v>
      </c>
      <c r="EQ305" t="s">
        <v>2471</v>
      </c>
      <c r="ER305" t="s">
        <v>2499</v>
      </c>
      <c r="ES305">
        <v>79150</v>
      </c>
      <c r="ET305">
        <v>79150</v>
      </c>
      <c r="EU305">
        <v>79150</v>
      </c>
      <c r="EV305">
        <v>79150</v>
      </c>
    </row>
    <row r="306" ht="15" customHeight="1" spans="10:152" x14ac:dyDescent="0.25">
      <c r="J306" t="s">
        <v>1995</v>
      </c>
      <c r="K306">
        <v>2</v>
      </c>
      <c r="L306" t="s">
        <v>2252</v>
      </c>
      <c r="M306" t="s">
        <v>2354</v>
      </c>
      <c r="N306" t="s">
        <v>2355</v>
      </c>
      <c r="O306">
        <v>22890</v>
      </c>
      <c r="P306">
        <v>25290</v>
      </c>
      <c r="Q306">
        <v>27320</v>
      </c>
      <c r="R306">
        <v>27320</v>
      </c>
      <c r="CQ306" t="s">
        <v>4238</v>
      </c>
      <c r="CR306" t="s">
        <v>87</v>
      </c>
      <c r="CS306" t="s">
        <v>243</v>
      </c>
      <c r="CT306" t="s">
        <v>241</v>
      </c>
      <c r="CU306" t="s">
        <v>90</v>
      </c>
      <c r="CV306" t="s">
        <v>242</v>
      </c>
      <c r="CW306">
        <v>19.23</v>
      </c>
      <c r="CX306">
        <v>1</v>
      </c>
      <c r="CY306">
        <v>1</v>
      </c>
      <c r="CZ306">
        <v>1</v>
      </c>
      <c r="DA306">
        <v>1250</v>
      </c>
      <c r="DB306">
        <v>1250</v>
      </c>
      <c r="DC306">
        <v>1250</v>
      </c>
      <c r="DD306">
        <v>1250</v>
      </c>
      <c r="DE306">
        <v>1250</v>
      </c>
      <c r="DG306" t="s">
        <v>4239</v>
      </c>
      <c r="DH306" t="s">
        <v>82</v>
      </c>
      <c r="DJ306" t="s">
        <v>1119</v>
      </c>
      <c r="DK306" t="s">
        <v>668</v>
      </c>
      <c r="DL306">
        <v>3.85</v>
      </c>
      <c r="DM306" t="s">
        <v>669</v>
      </c>
      <c r="DN306" t="s">
        <v>669</v>
      </c>
      <c r="DO306">
        <v>0</v>
      </c>
      <c r="DP306">
        <v>0</v>
      </c>
      <c r="DQ306">
        <v>0</v>
      </c>
      <c r="DR306" t="s">
        <v>3373</v>
      </c>
      <c r="EB306" t="s">
        <v>4240</v>
      </c>
      <c r="EC306" t="s">
        <v>2597</v>
      </c>
      <c r="ED306" t="s">
        <v>2598</v>
      </c>
      <c r="EE306" t="s">
        <v>601</v>
      </c>
      <c r="EF306" t="s">
        <v>2404</v>
      </c>
      <c r="EG306">
        <v>1</v>
      </c>
      <c r="EH306">
        <v>1</v>
      </c>
      <c r="EI306">
        <v>1</v>
      </c>
      <c r="EJ306">
        <v>1</v>
      </c>
      <c r="EL306" t="s">
        <v>4237</v>
      </c>
      <c r="EM306" t="s">
        <v>2779</v>
      </c>
      <c r="EN306" t="s">
        <v>2780</v>
      </c>
      <c r="EO306">
        <v>4</v>
      </c>
      <c r="EP306" t="s">
        <v>2276</v>
      </c>
      <c r="EQ306" t="s">
        <v>2498</v>
      </c>
      <c r="ER306" t="s">
        <v>2499</v>
      </c>
      <c r="ES306">
        <v>79150</v>
      </c>
      <c r="ET306">
        <v>79150</v>
      </c>
      <c r="EU306">
        <v>79150</v>
      </c>
      <c r="EV306">
        <v>79150</v>
      </c>
    </row>
    <row r="307" ht="15" customHeight="1" spans="10:152" x14ac:dyDescent="0.25">
      <c r="J307" t="s">
        <v>1995</v>
      </c>
      <c r="K307">
        <v>2</v>
      </c>
      <c r="L307" t="s">
        <v>2276</v>
      </c>
      <c r="M307" t="s">
        <v>2373</v>
      </c>
      <c r="N307" t="s">
        <v>2374</v>
      </c>
      <c r="O307">
        <v>23980</v>
      </c>
      <c r="P307">
        <v>31650</v>
      </c>
      <c r="Q307">
        <v>34530</v>
      </c>
      <c r="R307">
        <v>34530</v>
      </c>
      <c r="CQ307" t="s">
        <v>4241</v>
      </c>
      <c r="CR307" t="s">
        <v>87</v>
      </c>
      <c r="CS307" t="s">
        <v>593</v>
      </c>
      <c r="CT307" t="s">
        <v>2469</v>
      </c>
      <c r="CU307" t="s">
        <v>79</v>
      </c>
      <c r="CV307" t="s">
        <v>2819</v>
      </c>
      <c r="CW307">
        <v>100</v>
      </c>
      <c r="CX307">
        <v>2</v>
      </c>
      <c r="CY307">
        <v>2</v>
      </c>
      <c r="CZ307">
        <v>2</v>
      </c>
      <c r="DA307">
        <v>3000</v>
      </c>
      <c r="DB307">
        <v>1500</v>
      </c>
      <c r="DC307">
        <v>1500</v>
      </c>
      <c r="DD307">
        <v>1500</v>
      </c>
      <c r="DE307">
        <v>1500</v>
      </c>
      <c r="DG307" t="s">
        <v>4242</v>
      </c>
      <c r="DH307" t="s">
        <v>82</v>
      </c>
      <c r="DJ307" t="s">
        <v>810</v>
      </c>
      <c r="DK307" t="s">
        <v>668</v>
      </c>
      <c r="DL307">
        <v>3.85</v>
      </c>
      <c r="DM307" t="s">
        <v>669</v>
      </c>
      <c r="DN307" t="s">
        <v>669</v>
      </c>
      <c r="DO307">
        <v>0</v>
      </c>
      <c r="DP307">
        <v>0</v>
      </c>
      <c r="DQ307">
        <v>0</v>
      </c>
      <c r="DR307" t="s">
        <v>2764</v>
      </c>
      <c r="EB307" t="s">
        <v>4243</v>
      </c>
      <c r="EC307" t="s">
        <v>2597</v>
      </c>
      <c r="ED307" t="s">
        <v>2598</v>
      </c>
      <c r="EE307" t="s">
        <v>599</v>
      </c>
      <c r="EF307" t="s">
        <v>2421</v>
      </c>
      <c r="EG307">
        <v>600</v>
      </c>
      <c r="EH307">
        <v>600</v>
      </c>
      <c r="EI307">
        <v>600</v>
      </c>
      <c r="EJ307">
        <v>600</v>
      </c>
      <c r="EL307" t="s">
        <v>4244</v>
      </c>
      <c r="EM307" t="s">
        <v>2779</v>
      </c>
      <c r="EN307" t="s">
        <v>2780</v>
      </c>
      <c r="EO307">
        <v>5</v>
      </c>
      <c r="EP307" t="s">
        <v>2252</v>
      </c>
      <c r="EQ307" t="s">
        <v>2512</v>
      </c>
      <c r="ER307" t="s">
        <v>2542</v>
      </c>
      <c r="ES307">
        <v>50000</v>
      </c>
      <c r="ET307">
        <v>50000</v>
      </c>
      <c r="EU307">
        <v>50000</v>
      </c>
      <c r="EV307">
        <v>50000</v>
      </c>
    </row>
    <row r="308" ht="15" customHeight="1" spans="10:152" x14ac:dyDescent="0.25">
      <c r="J308" t="s">
        <v>1995</v>
      </c>
      <c r="K308">
        <v>2.5</v>
      </c>
      <c r="L308" t="s">
        <v>2252</v>
      </c>
      <c r="M308" t="s">
        <v>2389</v>
      </c>
      <c r="N308" t="s">
        <v>2390</v>
      </c>
      <c r="O308">
        <v>27690</v>
      </c>
      <c r="P308">
        <v>30590</v>
      </c>
      <c r="Q308">
        <v>33050</v>
      </c>
      <c r="R308">
        <v>33050</v>
      </c>
      <c r="CQ308" t="s">
        <v>4245</v>
      </c>
      <c r="CR308" t="s">
        <v>87</v>
      </c>
      <c r="CS308" t="s">
        <v>591</v>
      </c>
      <c r="CT308" t="s">
        <v>2483</v>
      </c>
      <c r="CU308" t="s">
        <v>79</v>
      </c>
      <c r="CV308" t="s">
        <v>2819</v>
      </c>
      <c r="CW308">
        <v>100</v>
      </c>
      <c r="CX308">
        <v>2</v>
      </c>
      <c r="CY308">
        <v>2</v>
      </c>
      <c r="CZ308">
        <v>2</v>
      </c>
      <c r="DA308">
        <v>6000</v>
      </c>
      <c r="DB308">
        <v>3000</v>
      </c>
      <c r="DC308">
        <v>3000</v>
      </c>
      <c r="DD308">
        <v>3000</v>
      </c>
      <c r="DE308">
        <v>3000</v>
      </c>
      <c r="DG308" t="s">
        <v>4246</v>
      </c>
      <c r="DH308" t="s">
        <v>82</v>
      </c>
      <c r="DJ308" t="s">
        <v>680</v>
      </c>
      <c r="DK308" t="s">
        <v>668</v>
      </c>
      <c r="DL308">
        <v>3.85</v>
      </c>
      <c r="DM308" t="s">
        <v>669</v>
      </c>
      <c r="DN308" t="s">
        <v>669</v>
      </c>
      <c r="DO308">
        <v>0</v>
      </c>
      <c r="DP308">
        <v>0</v>
      </c>
      <c r="DQ308">
        <v>0</v>
      </c>
      <c r="DR308" t="s">
        <v>2299</v>
      </c>
      <c r="EB308" t="s">
        <v>4247</v>
      </c>
      <c r="EC308" t="s">
        <v>2597</v>
      </c>
      <c r="EE308" t="s">
        <v>623</v>
      </c>
      <c r="EL308" t="s">
        <v>4244</v>
      </c>
      <c r="EM308" t="s">
        <v>2779</v>
      </c>
      <c r="EN308" t="s">
        <v>2780</v>
      </c>
      <c r="EO308">
        <v>5</v>
      </c>
      <c r="EP308" t="s">
        <v>2252</v>
      </c>
      <c r="EQ308" t="s">
        <v>2541</v>
      </c>
      <c r="ER308" t="s">
        <v>2542</v>
      </c>
      <c r="ES308">
        <v>50000</v>
      </c>
      <c r="ET308">
        <v>50000</v>
      </c>
      <c r="EU308">
        <v>50000</v>
      </c>
      <c r="EV308">
        <v>50000</v>
      </c>
    </row>
    <row r="309" ht="15" customHeight="1" spans="10:152" x14ac:dyDescent="0.25">
      <c r="J309" t="s">
        <v>1995</v>
      </c>
      <c r="K309">
        <v>2.5</v>
      </c>
      <c r="L309" t="s">
        <v>2276</v>
      </c>
      <c r="M309" t="s">
        <v>2406</v>
      </c>
      <c r="N309" t="s">
        <v>2407</v>
      </c>
      <c r="O309">
        <v>29000</v>
      </c>
      <c r="P309">
        <v>38280</v>
      </c>
      <c r="Q309">
        <v>41760</v>
      </c>
      <c r="R309">
        <v>41760</v>
      </c>
      <c r="CQ309" t="s">
        <v>4248</v>
      </c>
      <c r="CR309" t="s">
        <v>87</v>
      </c>
      <c r="CS309" t="s">
        <v>261</v>
      </c>
      <c r="CT309" t="s">
        <v>259</v>
      </c>
      <c r="CU309" t="s">
        <v>88</v>
      </c>
      <c r="CV309" t="s">
        <v>260</v>
      </c>
      <c r="CW309">
        <v>11.54</v>
      </c>
      <c r="CX309">
        <v>1</v>
      </c>
      <c r="CY309">
        <v>1</v>
      </c>
      <c r="CZ309">
        <v>1</v>
      </c>
      <c r="DA309">
        <v>1020</v>
      </c>
      <c r="DB309">
        <v>860</v>
      </c>
      <c r="DC309">
        <v>950</v>
      </c>
      <c r="DD309">
        <v>1020</v>
      </c>
      <c r="DE309">
        <v>1020</v>
      </c>
      <c r="DG309" t="s">
        <v>4249</v>
      </c>
      <c r="DH309" t="s">
        <v>82</v>
      </c>
      <c r="DJ309" t="s">
        <v>889</v>
      </c>
      <c r="DK309" t="s">
        <v>668</v>
      </c>
      <c r="DL309">
        <v>3.85</v>
      </c>
      <c r="DM309" t="s">
        <v>669</v>
      </c>
      <c r="DN309" t="s">
        <v>669</v>
      </c>
      <c r="DO309">
        <v>0</v>
      </c>
      <c r="DP309">
        <v>0</v>
      </c>
      <c r="DQ309">
        <v>0</v>
      </c>
      <c r="DR309" t="s">
        <v>2936</v>
      </c>
      <c r="EB309" t="s">
        <v>4250</v>
      </c>
      <c r="EC309" t="s">
        <v>2597</v>
      </c>
      <c r="EE309" t="s">
        <v>596</v>
      </c>
      <c r="EL309" t="s">
        <v>4251</v>
      </c>
      <c r="EM309" t="s">
        <v>2779</v>
      </c>
      <c r="EN309" t="s">
        <v>2780</v>
      </c>
      <c r="EO309">
        <v>5</v>
      </c>
      <c r="EP309" t="s">
        <v>2276</v>
      </c>
      <c r="EQ309" t="s">
        <v>2527</v>
      </c>
      <c r="ER309" t="s">
        <v>2560</v>
      </c>
      <c r="ES309">
        <v>98500</v>
      </c>
      <c r="ET309">
        <v>98500</v>
      </c>
      <c r="EU309">
        <v>98500</v>
      </c>
      <c r="EV309">
        <v>98500</v>
      </c>
    </row>
    <row r="310" ht="15" customHeight="1" spans="10:152" x14ac:dyDescent="0.25">
      <c r="J310" t="s">
        <v>1995</v>
      </c>
      <c r="K310">
        <v>3</v>
      </c>
      <c r="L310" t="s">
        <v>2252</v>
      </c>
      <c r="M310" t="s">
        <v>2423</v>
      </c>
      <c r="N310" t="s">
        <v>2424</v>
      </c>
      <c r="O310">
        <v>32090</v>
      </c>
      <c r="P310">
        <v>35440</v>
      </c>
      <c r="Q310">
        <v>38310</v>
      </c>
      <c r="R310">
        <v>38310</v>
      </c>
      <c r="CQ310" t="s">
        <v>4252</v>
      </c>
      <c r="CR310" t="s">
        <v>87</v>
      </c>
      <c r="CS310" t="s">
        <v>578</v>
      </c>
      <c r="CT310" t="s">
        <v>577</v>
      </c>
      <c r="CU310" t="s">
        <v>88</v>
      </c>
      <c r="CV310" t="s">
        <v>2851</v>
      </c>
      <c r="CW310">
        <v>100</v>
      </c>
      <c r="CX310">
        <v>1</v>
      </c>
      <c r="CY310">
        <v>1</v>
      </c>
      <c r="CZ310">
        <v>1</v>
      </c>
      <c r="DA310">
        <v>100000</v>
      </c>
      <c r="DB310">
        <v>100000</v>
      </c>
      <c r="DC310">
        <v>100000</v>
      </c>
      <c r="DD310">
        <v>100000</v>
      </c>
      <c r="DE310">
        <v>100000</v>
      </c>
      <c r="DG310" t="s">
        <v>4253</v>
      </c>
      <c r="DH310" t="s">
        <v>82</v>
      </c>
      <c r="DJ310" t="s">
        <v>1299</v>
      </c>
      <c r="DK310" t="s">
        <v>668</v>
      </c>
      <c r="DL310">
        <v>3.85</v>
      </c>
      <c r="DM310" t="s">
        <v>669</v>
      </c>
      <c r="DN310" t="s">
        <v>669</v>
      </c>
      <c r="DO310">
        <v>0</v>
      </c>
      <c r="DP310">
        <v>0</v>
      </c>
      <c r="DQ310">
        <v>0</v>
      </c>
      <c r="DR310" t="s">
        <v>3680</v>
      </c>
      <c r="EB310" t="s">
        <v>4254</v>
      </c>
      <c r="EC310" t="s">
        <v>2597</v>
      </c>
      <c r="ED310" t="s">
        <v>2598</v>
      </c>
      <c r="EE310" t="s">
        <v>593</v>
      </c>
      <c r="EF310" t="s">
        <v>2469</v>
      </c>
      <c r="EG310">
        <v>1</v>
      </c>
      <c r="EH310">
        <v>1</v>
      </c>
      <c r="EI310">
        <v>1</v>
      </c>
      <c r="EJ310">
        <v>1</v>
      </c>
      <c r="EL310" t="s">
        <v>4251</v>
      </c>
      <c r="EM310" t="s">
        <v>2779</v>
      </c>
      <c r="EN310" t="s">
        <v>2780</v>
      </c>
      <c r="EO310">
        <v>5</v>
      </c>
      <c r="EP310" t="s">
        <v>2276</v>
      </c>
      <c r="EQ310" t="s">
        <v>2559</v>
      </c>
      <c r="ER310" t="s">
        <v>2560</v>
      </c>
      <c r="ES310">
        <v>98500</v>
      </c>
      <c r="ET310">
        <v>98500</v>
      </c>
      <c r="EU310">
        <v>98500</v>
      </c>
      <c r="EV310">
        <v>98500</v>
      </c>
    </row>
    <row r="311" ht="15" customHeight="1" spans="10:152" x14ac:dyDescent="0.25">
      <c r="J311" t="s">
        <v>1995</v>
      </c>
      <c r="K311">
        <v>3</v>
      </c>
      <c r="L311" t="s">
        <v>2276</v>
      </c>
      <c r="M311" t="s">
        <v>2439</v>
      </c>
      <c r="N311" t="s">
        <v>2440</v>
      </c>
      <c r="O311">
        <v>33630</v>
      </c>
      <c r="P311">
        <v>44390</v>
      </c>
      <c r="Q311">
        <v>48430</v>
      </c>
      <c r="R311">
        <v>48430</v>
      </c>
      <c r="CQ311" t="s">
        <v>4255</v>
      </c>
      <c r="CR311" t="s">
        <v>87</v>
      </c>
      <c r="CS311" t="s">
        <v>569</v>
      </c>
      <c r="CT311" t="s">
        <v>567</v>
      </c>
      <c r="CU311" t="s">
        <v>88</v>
      </c>
      <c r="CV311" t="s">
        <v>2859</v>
      </c>
      <c r="CW311">
        <v>100</v>
      </c>
      <c r="CX311">
        <v>1</v>
      </c>
      <c r="CY311">
        <v>1</v>
      </c>
      <c r="CZ311">
        <v>1</v>
      </c>
      <c r="DA311">
        <v>2000</v>
      </c>
      <c r="DB311">
        <v>2000</v>
      </c>
      <c r="DC311">
        <v>2000</v>
      </c>
      <c r="DD311">
        <v>2000</v>
      </c>
      <c r="DE311">
        <v>2000</v>
      </c>
      <c r="DG311" t="s">
        <v>4256</v>
      </c>
      <c r="DH311" t="s">
        <v>82</v>
      </c>
      <c r="DJ311" t="s">
        <v>1580</v>
      </c>
      <c r="DK311" t="s">
        <v>668</v>
      </c>
      <c r="DL311">
        <v>3.85</v>
      </c>
      <c r="DM311" t="s">
        <v>669</v>
      </c>
      <c r="DN311" t="s">
        <v>669</v>
      </c>
      <c r="DO311">
        <v>0</v>
      </c>
      <c r="DP311">
        <v>0</v>
      </c>
      <c r="DQ311">
        <v>0</v>
      </c>
      <c r="DR311" t="s">
        <v>4257</v>
      </c>
      <c r="EB311" t="s">
        <v>4258</v>
      </c>
      <c r="EC311" t="s">
        <v>2597</v>
      </c>
      <c r="ED311" t="s">
        <v>2598</v>
      </c>
      <c r="EE311" t="s">
        <v>591</v>
      </c>
      <c r="EF311" t="s">
        <v>3058</v>
      </c>
      <c r="EG311">
        <v>1000</v>
      </c>
      <c r="EH311">
        <v>1000</v>
      </c>
      <c r="EI311">
        <v>1000</v>
      </c>
      <c r="EJ311">
        <v>1000</v>
      </c>
      <c r="EL311" t="s">
        <v>4259</v>
      </c>
      <c r="EM311" t="s">
        <v>2779</v>
      </c>
      <c r="EN311" t="s">
        <v>2780</v>
      </c>
      <c r="EO311">
        <v>6</v>
      </c>
      <c r="EP311" t="s">
        <v>2252</v>
      </c>
      <c r="EQ311" t="s">
        <v>2572</v>
      </c>
      <c r="ER311" t="s">
        <v>2602</v>
      </c>
      <c r="ES311">
        <v>60000</v>
      </c>
      <c r="ET311">
        <v>60000</v>
      </c>
      <c r="EU311">
        <v>60000</v>
      </c>
      <c r="EV311">
        <v>60000</v>
      </c>
    </row>
    <row r="312" ht="15" customHeight="1" spans="10:152" x14ac:dyDescent="0.25">
      <c r="J312" t="s">
        <v>1995</v>
      </c>
      <c r="K312">
        <v>3.5</v>
      </c>
      <c r="L312" t="s">
        <v>2252</v>
      </c>
      <c r="M312" t="s">
        <v>2454</v>
      </c>
      <c r="N312" t="s">
        <v>2455</v>
      </c>
      <c r="O312">
        <v>36170</v>
      </c>
      <c r="P312">
        <v>39970</v>
      </c>
      <c r="Q312">
        <v>43170</v>
      </c>
      <c r="R312">
        <v>43170</v>
      </c>
      <c r="CQ312" t="s">
        <v>4260</v>
      </c>
      <c r="CR312" t="s">
        <v>87</v>
      </c>
      <c r="CS312" t="s">
        <v>556</v>
      </c>
      <c r="CT312" t="s">
        <v>2713</v>
      </c>
      <c r="CU312" t="s">
        <v>79</v>
      </c>
      <c r="CV312" t="s">
        <v>2867</v>
      </c>
      <c r="CW312">
        <v>100</v>
      </c>
      <c r="CX312">
        <v>3</v>
      </c>
      <c r="CY312">
        <v>3</v>
      </c>
      <c r="CZ312">
        <v>4</v>
      </c>
      <c r="DA312">
        <v>3600</v>
      </c>
      <c r="DB312">
        <v>550</v>
      </c>
      <c r="DC312">
        <v>850</v>
      </c>
      <c r="DD312">
        <v>1200</v>
      </c>
      <c r="DE312">
        <v>1200</v>
      </c>
      <c r="DG312" t="s">
        <v>4261</v>
      </c>
      <c r="DH312" t="s">
        <v>82</v>
      </c>
      <c r="DJ312" t="s">
        <v>1038</v>
      </c>
      <c r="DK312" t="s">
        <v>668</v>
      </c>
      <c r="DL312">
        <v>3.85</v>
      </c>
      <c r="DM312" t="s">
        <v>669</v>
      </c>
      <c r="DN312" t="s">
        <v>669</v>
      </c>
      <c r="DO312">
        <v>0</v>
      </c>
      <c r="DP312">
        <v>0</v>
      </c>
      <c r="DQ312">
        <v>0</v>
      </c>
      <c r="DR312" t="s">
        <v>3202</v>
      </c>
      <c r="EB312" t="s">
        <v>4262</v>
      </c>
      <c r="EC312" t="s">
        <v>2597</v>
      </c>
      <c r="ED312" t="s">
        <v>2598</v>
      </c>
      <c r="EE312" t="s">
        <v>2423</v>
      </c>
      <c r="EF312" t="s">
        <v>2424</v>
      </c>
      <c r="EG312">
        <v>24000</v>
      </c>
      <c r="EH312">
        <v>24000</v>
      </c>
      <c r="EI312">
        <v>24000</v>
      </c>
      <c r="EJ312">
        <v>24000</v>
      </c>
      <c r="EL312" t="s">
        <v>4259</v>
      </c>
      <c r="EM312" t="s">
        <v>2779</v>
      </c>
      <c r="EN312" t="s">
        <v>2780</v>
      </c>
      <c r="EO312">
        <v>6</v>
      </c>
      <c r="EP312" t="s">
        <v>2252</v>
      </c>
      <c r="EQ312" t="s">
        <v>2601</v>
      </c>
      <c r="ER312" t="s">
        <v>2602</v>
      </c>
      <c r="ES312">
        <v>60000</v>
      </c>
      <c r="ET312">
        <v>60000</v>
      </c>
      <c r="EU312">
        <v>60000</v>
      </c>
      <c r="EV312">
        <v>60000</v>
      </c>
    </row>
    <row r="313" ht="15" customHeight="1" spans="10:152" x14ac:dyDescent="0.25">
      <c r="J313" t="s">
        <v>1995</v>
      </c>
      <c r="K313">
        <v>3.5</v>
      </c>
      <c r="L313" t="s">
        <v>2276</v>
      </c>
      <c r="M313" t="s">
        <v>2471</v>
      </c>
      <c r="N313" t="s">
        <v>2472</v>
      </c>
      <c r="O313">
        <v>37860</v>
      </c>
      <c r="P313">
        <v>49980</v>
      </c>
      <c r="Q313">
        <v>54520</v>
      </c>
      <c r="R313">
        <v>54520</v>
      </c>
      <c r="CQ313" t="s">
        <v>4263</v>
      </c>
      <c r="CR313" t="s">
        <v>87</v>
      </c>
      <c r="CS313" t="s">
        <v>596</v>
      </c>
      <c r="CT313" t="s">
        <v>2452</v>
      </c>
      <c r="CU313" t="s">
        <v>79</v>
      </c>
      <c r="CV313" t="s">
        <v>594</v>
      </c>
      <c r="CW313">
        <v>100</v>
      </c>
      <c r="CX313">
        <v>3</v>
      </c>
      <c r="CY313">
        <v>3</v>
      </c>
      <c r="CZ313">
        <v>4</v>
      </c>
      <c r="DA313">
        <v>1050</v>
      </c>
      <c r="DB313">
        <v>350</v>
      </c>
      <c r="DC313">
        <v>350</v>
      </c>
      <c r="DD313">
        <v>350</v>
      </c>
      <c r="DE313">
        <v>350</v>
      </c>
      <c r="DG313" t="s">
        <v>4264</v>
      </c>
      <c r="DH313" t="s">
        <v>82</v>
      </c>
      <c r="DI313" t="s">
        <v>1581</v>
      </c>
      <c r="DJ313" t="s">
        <v>1582</v>
      </c>
      <c r="DK313" t="s">
        <v>668</v>
      </c>
      <c r="DL313">
        <v>3.85</v>
      </c>
      <c r="DM313" t="s">
        <v>670</v>
      </c>
      <c r="DN313" t="s">
        <v>669</v>
      </c>
      <c r="DO313">
        <v>0</v>
      </c>
      <c r="DP313">
        <v>0</v>
      </c>
      <c r="DQ313">
        <v>2.66</v>
      </c>
      <c r="DR313" t="s">
        <v>4265</v>
      </c>
      <c r="EB313" t="s">
        <v>4266</v>
      </c>
      <c r="EC313" t="s">
        <v>2597</v>
      </c>
      <c r="EE313" t="s">
        <v>584</v>
      </c>
      <c r="EL313" t="s">
        <v>4267</v>
      </c>
      <c r="EM313" t="s">
        <v>2779</v>
      </c>
      <c r="EN313" t="s">
        <v>2780</v>
      </c>
      <c r="EO313">
        <v>6</v>
      </c>
      <c r="EP313" t="s">
        <v>2276</v>
      </c>
      <c r="EQ313" t="s">
        <v>2586</v>
      </c>
      <c r="ER313" t="s">
        <v>2616</v>
      </c>
      <c r="ES313">
        <v>117450</v>
      </c>
      <c r="ET313">
        <v>117450</v>
      </c>
      <c r="EU313">
        <v>117450</v>
      </c>
      <c r="EV313">
        <v>117450</v>
      </c>
    </row>
    <row r="314" ht="15" customHeight="1" spans="10:152" x14ac:dyDescent="0.25">
      <c r="J314" t="s">
        <v>1995</v>
      </c>
      <c r="K314">
        <v>4</v>
      </c>
      <c r="L314" t="s">
        <v>2252</v>
      </c>
      <c r="M314" t="s">
        <v>2485</v>
      </c>
      <c r="N314" t="s">
        <v>2486</v>
      </c>
      <c r="O314">
        <v>39780</v>
      </c>
      <c r="P314">
        <v>43930</v>
      </c>
      <c r="Q314">
        <v>47480</v>
      </c>
      <c r="R314">
        <v>47480</v>
      </c>
      <c r="CQ314" t="s">
        <v>4268</v>
      </c>
      <c r="CR314" t="s">
        <v>87</v>
      </c>
      <c r="CS314" t="s">
        <v>561</v>
      </c>
      <c r="CT314" t="s">
        <v>2684</v>
      </c>
      <c r="CU314" t="s">
        <v>79</v>
      </c>
      <c r="CV314" t="s">
        <v>2881</v>
      </c>
      <c r="CW314">
        <v>100</v>
      </c>
      <c r="CX314">
        <v>1</v>
      </c>
      <c r="CY314">
        <v>2</v>
      </c>
      <c r="CZ314">
        <v>2</v>
      </c>
      <c r="DA314">
        <v>2500</v>
      </c>
      <c r="DB314">
        <v>1250</v>
      </c>
      <c r="DC314">
        <v>1250</v>
      </c>
      <c r="DD314">
        <v>1250</v>
      </c>
      <c r="DE314">
        <v>1250</v>
      </c>
      <c r="DG314" t="s">
        <v>4269</v>
      </c>
      <c r="DH314" t="s">
        <v>82</v>
      </c>
      <c r="DI314" t="s">
        <v>1583</v>
      </c>
      <c r="DJ314" t="s">
        <v>1584</v>
      </c>
      <c r="DK314" t="s">
        <v>668</v>
      </c>
      <c r="DL314">
        <v>3.85</v>
      </c>
      <c r="DM314" t="s">
        <v>670</v>
      </c>
      <c r="DN314" t="s">
        <v>669</v>
      </c>
      <c r="DO314">
        <v>0</v>
      </c>
      <c r="DP314">
        <v>0</v>
      </c>
      <c r="DQ314">
        <v>1.57</v>
      </c>
      <c r="DR314" t="s">
        <v>4270</v>
      </c>
      <c r="EB314" t="s">
        <v>4271</v>
      </c>
      <c r="EC314" t="s">
        <v>2597</v>
      </c>
      <c r="ED314" t="s">
        <v>2598</v>
      </c>
      <c r="EE314" t="s">
        <v>582</v>
      </c>
      <c r="EF314" t="s">
        <v>2525</v>
      </c>
      <c r="EG314">
        <v>1</v>
      </c>
      <c r="EH314">
        <v>1</v>
      </c>
      <c r="EI314">
        <v>1</v>
      </c>
      <c r="EJ314">
        <v>1</v>
      </c>
      <c r="EL314" t="s">
        <v>4267</v>
      </c>
      <c r="EM314" t="s">
        <v>2779</v>
      </c>
      <c r="EN314" t="s">
        <v>2780</v>
      </c>
      <c r="EO314">
        <v>6</v>
      </c>
      <c r="EP314" t="s">
        <v>2276</v>
      </c>
      <c r="EQ314" t="s">
        <v>2615</v>
      </c>
      <c r="ER314" t="s">
        <v>2616</v>
      </c>
      <c r="ES314">
        <v>117450</v>
      </c>
      <c r="ET314">
        <v>117450</v>
      </c>
      <c r="EU314">
        <v>117450</v>
      </c>
      <c r="EV314">
        <v>117450</v>
      </c>
    </row>
    <row r="315" ht="15" customHeight="1" spans="10:152" x14ac:dyDescent="0.25">
      <c r="J315" t="s">
        <v>1995</v>
      </c>
      <c r="K315">
        <v>4</v>
      </c>
      <c r="L315" t="s">
        <v>2276</v>
      </c>
      <c r="M315" t="s">
        <v>2498</v>
      </c>
      <c r="N315" t="s">
        <v>2499</v>
      </c>
      <c r="O315">
        <v>41710</v>
      </c>
      <c r="P315">
        <v>55060</v>
      </c>
      <c r="Q315">
        <v>60060</v>
      </c>
      <c r="R315">
        <v>60060</v>
      </c>
      <c r="CQ315" t="s">
        <v>4272</v>
      </c>
      <c r="CR315" t="s">
        <v>87</v>
      </c>
      <c r="CS315" t="s">
        <v>584</v>
      </c>
      <c r="CT315" t="s">
        <v>2510</v>
      </c>
      <c r="CU315" t="s">
        <v>88</v>
      </c>
      <c r="CV315" t="s">
        <v>2890</v>
      </c>
      <c r="CW315">
        <v>100</v>
      </c>
      <c r="CX315">
        <v>1</v>
      </c>
      <c r="CY315">
        <v>1</v>
      </c>
      <c r="CZ315">
        <v>1</v>
      </c>
      <c r="DA315">
        <v>3020</v>
      </c>
      <c r="DB315">
        <v>3020</v>
      </c>
      <c r="DC315">
        <v>3020</v>
      </c>
      <c r="DD315">
        <v>3020</v>
      </c>
      <c r="DE315">
        <v>3020</v>
      </c>
      <c r="DG315" t="s">
        <v>4273</v>
      </c>
      <c r="DH315" t="s">
        <v>82</v>
      </c>
      <c r="DI315" t="s">
        <v>1586</v>
      </c>
      <c r="DJ315" t="s">
        <v>1587</v>
      </c>
      <c r="DK315" t="s">
        <v>668</v>
      </c>
      <c r="DL315">
        <v>3.85</v>
      </c>
      <c r="DM315" t="s">
        <v>669</v>
      </c>
      <c r="DN315" t="s">
        <v>670</v>
      </c>
      <c r="DO315">
        <v>5</v>
      </c>
      <c r="DP315">
        <v>5445</v>
      </c>
      <c r="DQ315">
        <v>5445</v>
      </c>
      <c r="DR315" t="s">
        <v>4274</v>
      </c>
      <c r="EB315" t="s">
        <v>4275</v>
      </c>
      <c r="EC315" t="s">
        <v>2597</v>
      </c>
      <c r="ED315" t="s">
        <v>2598</v>
      </c>
      <c r="EE315" t="s">
        <v>580</v>
      </c>
      <c r="EF315" t="s">
        <v>2539</v>
      </c>
      <c r="EG315">
        <v>1</v>
      </c>
      <c r="EH315">
        <v>1</v>
      </c>
      <c r="EI315">
        <v>1</v>
      </c>
      <c r="EJ315">
        <v>1</v>
      </c>
      <c r="EL315" t="s">
        <v>4276</v>
      </c>
      <c r="EM315" t="s">
        <v>2779</v>
      </c>
      <c r="EN315" t="s">
        <v>2780</v>
      </c>
      <c r="EO315">
        <v>7</v>
      </c>
      <c r="EP315" t="s">
        <v>2252</v>
      </c>
      <c r="EQ315" t="s">
        <v>2628</v>
      </c>
      <c r="ER315" t="s">
        <v>2660</v>
      </c>
      <c r="ES315">
        <v>70000</v>
      </c>
      <c r="ET315">
        <v>70000</v>
      </c>
      <c r="EU315">
        <v>70000</v>
      </c>
      <c r="EV315">
        <v>70000</v>
      </c>
    </row>
    <row r="316" ht="15" customHeight="1" spans="10:152" x14ac:dyDescent="0.25">
      <c r="J316" t="s">
        <v>1995</v>
      </c>
      <c r="K316">
        <v>4.5</v>
      </c>
      <c r="L316" t="s">
        <v>2252</v>
      </c>
      <c r="M316" t="s">
        <v>2512</v>
      </c>
      <c r="N316" t="s">
        <v>2513</v>
      </c>
      <c r="O316">
        <v>43090</v>
      </c>
      <c r="P316">
        <v>47590</v>
      </c>
      <c r="Q316">
        <v>51430</v>
      </c>
      <c r="R316">
        <v>51430</v>
      </c>
      <c r="CQ316" t="s">
        <v>4277</v>
      </c>
      <c r="CR316" t="s">
        <v>87</v>
      </c>
      <c r="CS316" t="s">
        <v>582</v>
      </c>
      <c r="CT316" t="s">
        <v>2525</v>
      </c>
      <c r="CU316" t="s">
        <v>88</v>
      </c>
      <c r="CV316" t="s">
        <v>581</v>
      </c>
      <c r="CW316">
        <v>100</v>
      </c>
      <c r="CX316">
        <v>1</v>
      </c>
      <c r="CY316">
        <v>1</v>
      </c>
      <c r="CZ316">
        <v>1</v>
      </c>
      <c r="DA316">
        <v>2470</v>
      </c>
      <c r="DB316">
        <v>2470</v>
      </c>
      <c r="DC316">
        <v>2470</v>
      </c>
      <c r="DD316">
        <v>2470</v>
      </c>
      <c r="DE316">
        <v>2470</v>
      </c>
      <c r="DG316" t="s">
        <v>4278</v>
      </c>
      <c r="DH316" t="s">
        <v>82</v>
      </c>
      <c r="DI316" t="s">
        <v>1589</v>
      </c>
      <c r="DJ316" t="s">
        <v>1590</v>
      </c>
      <c r="DK316" t="s">
        <v>668</v>
      </c>
      <c r="DL316">
        <v>3.85</v>
      </c>
      <c r="DM316" t="s">
        <v>670</v>
      </c>
      <c r="DN316" t="s">
        <v>669</v>
      </c>
      <c r="DO316">
        <v>0</v>
      </c>
      <c r="DP316">
        <v>0</v>
      </c>
      <c r="DQ316">
        <v>20.6</v>
      </c>
      <c r="DR316" t="s">
        <v>4279</v>
      </c>
      <c r="EB316" t="s">
        <v>4280</v>
      </c>
      <c r="EC316" t="s">
        <v>2597</v>
      </c>
      <c r="EE316" t="s">
        <v>578</v>
      </c>
      <c r="EL316" t="s">
        <v>4276</v>
      </c>
      <c r="EM316" t="s">
        <v>2779</v>
      </c>
      <c r="EN316" t="s">
        <v>2780</v>
      </c>
      <c r="EO316">
        <v>7</v>
      </c>
      <c r="EP316" t="s">
        <v>2252</v>
      </c>
      <c r="EQ316" t="s">
        <v>2659</v>
      </c>
      <c r="ER316" t="s">
        <v>2660</v>
      </c>
      <c r="ES316">
        <v>70000</v>
      </c>
      <c r="ET316">
        <v>70000</v>
      </c>
      <c r="EU316">
        <v>70000</v>
      </c>
      <c r="EV316">
        <v>70000</v>
      </c>
    </row>
    <row r="317" ht="15" customHeight="1" spans="10:152" x14ac:dyDescent="0.25">
      <c r="J317" t="s">
        <v>1995</v>
      </c>
      <c r="K317">
        <v>4.5</v>
      </c>
      <c r="L317" t="s">
        <v>2276</v>
      </c>
      <c r="M317" t="s">
        <v>2527</v>
      </c>
      <c r="N317" t="s">
        <v>2528</v>
      </c>
      <c r="O317">
        <v>45160</v>
      </c>
      <c r="P317">
        <v>59610</v>
      </c>
      <c r="Q317">
        <v>65030</v>
      </c>
      <c r="R317">
        <v>65030</v>
      </c>
      <c r="CQ317" t="s">
        <v>4281</v>
      </c>
      <c r="CR317" t="s">
        <v>87</v>
      </c>
      <c r="CS317" t="s">
        <v>580</v>
      </c>
      <c r="CT317" t="s">
        <v>2539</v>
      </c>
      <c r="CU317" t="s">
        <v>88</v>
      </c>
      <c r="CV317" t="s">
        <v>2909</v>
      </c>
      <c r="CW317">
        <v>100</v>
      </c>
      <c r="CX317">
        <v>1</v>
      </c>
      <c r="CY317">
        <v>1</v>
      </c>
      <c r="CZ317">
        <v>1</v>
      </c>
      <c r="DA317">
        <v>10480</v>
      </c>
      <c r="DB317">
        <v>10480</v>
      </c>
      <c r="DC317">
        <v>10480</v>
      </c>
      <c r="DD317">
        <v>10480</v>
      </c>
      <c r="DE317">
        <v>10480</v>
      </c>
      <c r="DG317" t="s">
        <v>4282</v>
      </c>
      <c r="DH317" t="s">
        <v>82</v>
      </c>
      <c r="DI317" t="s">
        <v>1592</v>
      </c>
      <c r="DJ317" t="s">
        <v>1593</v>
      </c>
      <c r="DK317" t="s">
        <v>668</v>
      </c>
      <c r="DL317">
        <v>3.85</v>
      </c>
      <c r="DM317" t="s">
        <v>670</v>
      </c>
      <c r="DN317" t="s">
        <v>669</v>
      </c>
      <c r="DO317">
        <v>0</v>
      </c>
      <c r="DP317">
        <v>0</v>
      </c>
      <c r="DQ317">
        <v>113.29</v>
      </c>
      <c r="DR317" t="s">
        <v>4283</v>
      </c>
      <c r="EB317" t="s">
        <v>4284</v>
      </c>
      <c r="EC317" t="s">
        <v>2597</v>
      </c>
      <c r="ED317" t="s">
        <v>2598</v>
      </c>
      <c r="EE317" t="s">
        <v>327</v>
      </c>
      <c r="EF317" t="s">
        <v>328</v>
      </c>
      <c r="EG317">
        <v>475</v>
      </c>
      <c r="EH317">
        <v>525</v>
      </c>
      <c r="EI317">
        <v>525</v>
      </c>
      <c r="EJ317">
        <v>605</v>
      </c>
      <c r="EL317" t="s">
        <v>4285</v>
      </c>
      <c r="EM317" t="s">
        <v>2779</v>
      </c>
      <c r="EN317" t="s">
        <v>2780</v>
      </c>
      <c r="EO317">
        <v>7</v>
      </c>
      <c r="EP317" t="s">
        <v>2276</v>
      </c>
      <c r="EQ317" t="s">
        <v>2644</v>
      </c>
      <c r="ER317" t="s">
        <v>2674</v>
      </c>
      <c r="ES317">
        <v>134350</v>
      </c>
      <c r="ET317">
        <v>134350</v>
      </c>
      <c r="EU317">
        <v>134350</v>
      </c>
      <c r="EV317">
        <v>134350</v>
      </c>
    </row>
    <row r="318" ht="15" customHeight="1" spans="10:152" x14ac:dyDescent="0.25">
      <c r="J318" t="s">
        <v>1995</v>
      </c>
      <c r="K318">
        <v>5</v>
      </c>
      <c r="L318" t="s">
        <v>2252</v>
      </c>
      <c r="M318" t="s">
        <v>2541</v>
      </c>
      <c r="N318" t="s">
        <v>2542</v>
      </c>
      <c r="O318">
        <v>46040</v>
      </c>
      <c r="P318">
        <v>50890</v>
      </c>
      <c r="Q318">
        <v>54960</v>
      </c>
      <c r="R318">
        <v>54960</v>
      </c>
      <c r="CQ318" t="s">
        <v>4286</v>
      </c>
      <c r="CR318" t="s">
        <v>87</v>
      </c>
      <c r="CS318" t="s">
        <v>296</v>
      </c>
      <c r="CT318" t="s">
        <v>294</v>
      </c>
      <c r="CU318" t="s">
        <v>88</v>
      </c>
      <c r="CV318" t="s">
        <v>295</v>
      </c>
      <c r="CW318">
        <v>7.69</v>
      </c>
      <c r="CX318">
        <v>1</v>
      </c>
      <c r="CY318">
        <v>1</v>
      </c>
      <c r="CZ318">
        <v>1</v>
      </c>
      <c r="DA318">
        <v>150</v>
      </c>
      <c r="DB318">
        <v>150</v>
      </c>
      <c r="DC318">
        <v>150</v>
      </c>
      <c r="DD318">
        <v>150</v>
      </c>
      <c r="DE318">
        <v>150</v>
      </c>
      <c r="DG318" t="s">
        <v>4287</v>
      </c>
      <c r="DH318" t="s">
        <v>82</v>
      </c>
      <c r="DI318" t="s">
        <v>1595</v>
      </c>
      <c r="DJ318" t="s">
        <v>1596</v>
      </c>
      <c r="DK318" t="s">
        <v>668</v>
      </c>
      <c r="DL318">
        <v>3.85</v>
      </c>
      <c r="DM318" t="s">
        <v>670</v>
      </c>
      <c r="DN318" t="s">
        <v>669</v>
      </c>
      <c r="DO318">
        <v>0</v>
      </c>
      <c r="DP318">
        <v>0</v>
      </c>
      <c r="DQ318">
        <v>102.9</v>
      </c>
      <c r="DR318" t="s">
        <v>4288</v>
      </c>
      <c r="EB318" t="s">
        <v>4289</v>
      </c>
      <c r="EC318" t="s">
        <v>2597</v>
      </c>
      <c r="ED318" t="s">
        <v>2598</v>
      </c>
      <c r="EE318" t="s">
        <v>330</v>
      </c>
      <c r="EF318" t="s">
        <v>331</v>
      </c>
      <c r="EG318">
        <v>240</v>
      </c>
      <c r="EH318">
        <v>265</v>
      </c>
      <c r="EI318">
        <v>265</v>
      </c>
      <c r="EJ318">
        <v>305</v>
      </c>
      <c r="EL318" t="s">
        <v>4285</v>
      </c>
      <c r="EM318" t="s">
        <v>2779</v>
      </c>
      <c r="EN318" t="s">
        <v>2780</v>
      </c>
      <c r="EO318">
        <v>7</v>
      </c>
      <c r="EP318" t="s">
        <v>2276</v>
      </c>
      <c r="EQ318" t="s">
        <v>2673</v>
      </c>
      <c r="ER318" t="s">
        <v>2674</v>
      </c>
      <c r="ES318">
        <v>134350</v>
      </c>
      <c r="ET318">
        <v>134350</v>
      </c>
      <c r="EU318">
        <v>134350</v>
      </c>
      <c r="EV318">
        <v>134350</v>
      </c>
    </row>
    <row r="319" ht="15" customHeight="1" spans="10:152" x14ac:dyDescent="0.25">
      <c r="J319" t="s">
        <v>1995</v>
      </c>
      <c r="K319">
        <v>5</v>
      </c>
      <c r="L319" t="s">
        <v>2276</v>
      </c>
      <c r="M319" t="s">
        <v>2559</v>
      </c>
      <c r="N319" t="s">
        <v>2560</v>
      </c>
      <c r="O319">
        <v>48230</v>
      </c>
      <c r="P319">
        <v>63660</v>
      </c>
      <c r="Q319">
        <v>69450</v>
      </c>
      <c r="R319">
        <v>69450</v>
      </c>
      <c r="CQ319" t="s">
        <v>4260</v>
      </c>
      <c r="CR319" t="s">
        <v>87</v>
      </c>
      <c r="CS319" t="s">
        <v>556</v>
      </c>
      <c r="CT319" t="s">
        <v>2713</v>
      </c>
      <c r="CU319" t="s">
        <v>79</v>
      </c>
      <c r="CV319" t="s">
        <v>2867</v>
      </c>
      <c r="CW319">
        <v>100</v>
      </c>
      <c r="CX319">
        <v>3</v>
      </c>
      <c r="CY319">
        <v>3</v>
      </c>
      <c r="CZ319">
        <v>4</v>
      </c>
      <c r="DA319">
        <v>3600</v>
      </c>
      <c r="DB319">
        <v>550</v>
      </c>
      <c r="DC319">
        <v>850</v>
      </c>
      <c r="DD319">
        <v>1200</v>
      </c>
      <c r="DE319">
        <v>1200</v>
      </c>
      <c r="DG319" t="s">
        <v>4290</v>
      </c>
      <c r="DH319" t="s">
        <v>82</v>
      </c>
      <c r="DI319" t="s">
        <v>1598</v>
      </c>
      <c r="DJ319" t="s">
        <v>1599</v>
      </c>
      <c r="DK319" t="s">
        <v>668</v>
      </c>
      <c r="DL319">
        <v>3.85</v>
      </c>
      <c r="DM319" t="s">
        <v>670</v>
      </c>
      <c r="DN319" t="s">
        <v>669</v>
      </c>
      <c r="DO319">
        <v>0</v>
      </c>
      <c r="DP319">
        <v>0</v>
      </c>
      <c r="DQ319">
        <v>56.22</v>
      </c>
      <c r="DR319" t="s">
        <v>4291</v>
      </c>
      <c r="EB319" t="s">
        <v>4292</v>
      </c>
      <c r="EC319" t="s">
        <v>2597</v>
      </c>
      <c r="EE319" t="s">
        <v>576</v>
      </c>
      <c r="EL319" t="s">
        <v>4293</v>
      </c>
      <c r="EM319" t="s">
        <v>2779</v>
      </c>
      <c r="EN319" t="s">
        <v>2780</v>
      </c>
      <c r="EO319">
        <v>8</v>
      </c>
      <c r="EP319" t="s">
        <v>2252</v>
      </c>
      <c r="EQ319" t="s">
        <v>2686</v>
      </c>
      <c r="ER319" t="s">
        <v>2716</v>
      </c>
      <c r="ES319">
        <v>80000</v>
      </c>
      <c r="ET319">
        <v>80000</v>
      </c>
      <c r="EU319">
        <v>80000</v>
      </c>
      <c r="EV319">
        <v>80000</v>
      </c>
    </row>
    <row r="320" ht="15" customHeight="1" spans="10:152" x14ac:dyDescent="0.25">
      <c r="J320" t="s">
        <v>1995</v>
      </c>
      <c r="K320">
        <v>5.5</v>
      </c>
      <c r="L320" t="s">
        <v>2252</v>
      </c>
      <c r="M320" t="s">
        <v>2572</v>
      </c>
      <c r="N320" t="s">
        <v>2573</v>
      </c>
      <c r="O320">
        <v>48570</v>
      </c>
      <c r="P320">
        <v>53670</v>
      </c>
      <c r="Q320">
        <v>57970</v>
      </c>
      <c r="R320">
        <v>57970</v>
      </c>
      <c r="DG320" t="s">
        <v>4294</v>
      </c>
      <c r="DH320" t="s">
        <v>82</v>
      </c>
      <c r="DI320" t="s">
        <v>1601</v>
      </c>
      <c r="DJ320" t="s">
        <v>1602</v>
      </c>
      <c r="DK320" t="s">
        <v>668</v>
      </c>
      <c r="DL320">
        <v>3.85</v>
      </c>
      <c r="DM320" t="s">
        <v>670</v>
      </c>
      <c r="DN320" t="s">
        <v>669</v>
      </c>
      <c r="DO320">
        <v>0</v>
      </c>
      <c r="DP320">
        <v>0</v>
      </c>
      <c r="DQ320">
        <v>10.61</v>
      </c>
      <c r="DR320" t="s">
        <v>4295</v>
      </c>
      <c r="EB320" t="s">
        <v>4296</v>
      </c>
      <c r="EC320" t="s">
        <v>2597</v>
      </c>
      <c r="ED320" t="s">
        <v>2598</v>
      </c>
      <c r="EE320" t="s">
        <v>573</v>
      </c>
      <c r="EF320" t="s">
        <v>2613</v>
      </c>
      <c r="EG320">
        <v>1510</v>
      </c>
      <c r="EH320">
        <v>1510</v>
      </c>
      <c r="EI320">
        <v>1510</v>
      </c>
      <c r="EJ320">
        <v>1510</v>
      </c>
      <c r="EL320" t="s">
        <v>4293</v>
      </c>
      <c r="EM320" t="s">
        <v>2779</v>
      </c>
      <c r="EN320" t="s">
        <v>2780</v>
      </c>
      <c r="EO320">
        <v>8</v>
      </c>
      <c r="EP320" t="s">
        <v>2252</v>
      </c>
      <c r="EQ320" t="s">
        <v>2715</v>
      </c>
      <c r="ER320" t="s">
        <v>2716</v>
      </c>
      <c r="ES320">
        <v>80000</v>
      </c>
      <c r="ET320">
        <v>80000</v>
      </c>
      <c r="EU320">
        <v>80000</v>
      </c>
      <c r="EV320">
        <v>80000</v>
      </c>
    </row>
    <row r="321" ht="15" customHeight="1" spans="10:152" x14ac:dyDescent="0.25">
      <c r="J321" t="s">
        <v>1995</v>
      </c>
      <c r="K321">
        <v>5.5</v>
      </c>
      <c r="L321" t="s">
        <v>2276</v>
      </c>
      <c r="M321" t="s">
        <v>2586</v>
      </c>
      <c r="N321" t="s">
        <v>2587</v>
      </c>
      <c r="O321">
        <v>50900</v>
      </c>
      <c r="P321">
        <v>67190</v>
      </c>
      <c r="Q321">
        <v>73300</v>
      </c>
      <c r="R321">
        <v>73300</v>
      </c>
      <c r="DG321" t="s">
        <v>4297</v>
      </c>
      <c r="DH321" t="s">
        <v>82</v>
      </c>
      <c r="DI321" t="s">
        <v>1604</v>
      </c>
      <c r="DJ321" t="s">
        <v>1605</v>
      </c>
      <c r="DK321" t="s">
        <v>668</v>
      </c>
      <c r="DL321">
        <v>3.85</v>
      </c>
      <c r="DM321" t="s">
        <v>670</v>
      </c>
      <c r="DN321" t="s">
        <v>669</v>
      </c>
      <c r="DO321">
        <v>0</v>
      </c>
      <c r="DP321">
        <v>0</v>
      </c>
      <c r="DQ321">
        <v>6.94</v>
      </c>
      <c r="DR321" t="s">
        <v>4298</v>
      </c>
      <c r="EB321" t="s">
        <v>4299</v>
      </c>
      <c r="EC321" t="s">
        <v>2597</v>
      </c>
      <c r="ED321" t="s">
        <v>2598</v>
      </c>
      <c r="EE321" t="s">
        <v>569</v>
      </c>
      <c r="EF321" t="s">
        <v>567</v>
      </c>
      <c r="EG321">
        <v>1</v>
      </c>
      <c r="EH321">
        <v>1</v>
      </c>
      <c r="EI321">
        <v>1</v>
      </c>
      <c r="EJ321">
        <v>1</v>
      </c>
      <c r="EL321" t="s">
        <v>4300</v>
      </c>
      <c r="EM321" t="s">
        <v>2779</v>
      </c>
      <c r="EN321" t="s">
        <v>2780</v>
      </c>
      <c r="EO321">
        <v>8</v>
      </c>
      <c r="EP321" t="s">
        <v>2276</v>
      </c>
      <c r="EQ321" t="s">
        <v>2701</v>
      </c>
      <c r="ER321" t="s">
        <v>2729</v>
      </c>
      <c r="ES321">
        <v>149350</v>
      </c>
      <c r="ET321">
        <v>149350</v>
      </c>
      <c r="EU321">
        <v>149350</v>
      </c>
      <c r="EV321">
        <v>149350</v>
      </c>
    </row>
    <row r="322" ht="15" customHeight="1" spans="10:152" x14ac:dyDescent="0.25">
      <c r="J322" t="s">
        <v>1995</v>
      </c>
      <c r="K322">
        <v>6</v>
      </c>
      <c r="L322" t="s">
        <v>2252</v>
      </c>
      <c r="M322" t="s">
        <v>2601</v>
      </c>
      <c r="N322" t="s">
        <v>2602</v>
      </c>
      <c r="O322">
        <v>50740</v>
      </c>
      <c r="P322">
        <v>56040</v>
      </c>
      <c r="Q322">
        <v>60560</v>
      </c>
      <c r="R322">
        <v>60560</v>
      </c>
      <c r="DG322" t="s">
        <v>4301</v>
      </c>
      <c r="DH322" t="s">
        <v>82</v>
      </c>
      <c r="DI322" t="s">
        <v>1607</v>
      </c>
      <c r="DJ322" t="s">
        <v>1608</v>
      </c>
      <c r="DK322" t="s">
        <v>668</v>
      </c>
      <c r="DL322">
        <v>3.85</v>
      </c>
      <c r="DM322" t="s">
        <v>670</v>
      </c>
      <c r="DN322" t="s">
        <v>669</v>
      </c>
      <c r="DO322">
        <v>0</v>
      </c>
      <c r="DP322">
        <v>0</v>
      </c>
      <c r="DQ322">
        <v>272.24</v>
      </c>
      <c r="DR322" t="s">
        <v>4302</v>
      </c>
      <c r="EB322" t="s">
        <v>4303</v>
      </c>
      <c r="EC322" t="s">
        <v>2597</v>
      </c>
      <c r="ED322" t="s">
        <v>2598</v>
      </c>
      <c r="EE322" t="s">
        <v>2641</v>
      </c>
      <c r="EF322" t="s">
        <v>3125</v>
      </c>
      <c r="EG322">
        <v>1750</v>
      </c>
      <c r="EH322">
        <v>1750</v>
      </c>
      <c r="EI322">
        <v>1750</v>
      </c>
      <c r="EJ322">
        <v>1750</v>
      </c>
      <c r="EL322" t="s">
        <v>4300</v>
      </c>
      <c r="EM322" t="s">
        <v>2779</v>
      </c>
      <c r="EN322" t="s">
        <v>2780</v>
      </c>
      <c r="EO322">
        <v>8</v>
      </c>
      <c r="EP322" t="s">
        <v>2276</v>
      </c>
      <c r="EQ322" t="s">
        <v>2728</v>
      </c>
      <c r="ER322" t="s">
        <v>2729</v>
      </c>
      <c r="ES322">
        <v>149350</v>
      </c>
      <c r="ET322">
        <v>149350</v>
      </c>
      <c r="EU322">
        <v>149350</v>
      </c>
      <c r="EV322">
        <v>149350</v>
      </c>
    </row>
    <row r="323" ht="15" customHeight="1" spans="10:152" x14ac:dyDescent="0.25">
      <c r="J323" t="s">
        <v>1995</v>
      </c>
      <c r="K323">
        <v>6</v>
      </c>
      <c r="L323" t="s">
        <v>2276</v>
      </c>
      <c r="M323" t="s">
        <v>2615</v>
      </c>
      <c r="N323" t="s">
        <v>2616</v>
      </c>
      <c r="O323">
        <v>53180</v>
      </c>
      <c r="P323">
        <v>70200</v>
      </c>
      <c r="Q323">
        <v>76580</v>
      </c>
      <c r="R323">
        <v>76580</v>
      </c>
      <c r="DG323" t="s">
        <v>4304</v>
      </c>
      <c r="DH323" t="s">
        <v>82</v>
      </c>
      <c r="DI323" t="s">
        <v>1610</v>
      </c>
      <c r="DJ323" t="s">
        <v>1611</v>
      </c>
      <c r="DK323" t="s">
        <v>668</v>
      </c>
      <c r="DL323">
        <v>3.85</v>
      </c>
      <c r="DM323" t="s">
        <v>670</v>
      </c>
      <c r="DN323" t="s">
        <v>669</v>
      </c>
      <c r="DO323">
        <v>0</v>
      </c>
      <c r="DP323">
        <v>0</v>
      </c>
      <c r="DQ323">
        <v>781.4</v>
      </c>
      <c r="DR323" t="s">
        <v>4305</v>
      </c>
      <c r="EB323" t="s">
        <v>4306</v>
      </c>
      <c r="EC323" t="s">
        <v>2597</v>
      </c>
      <c r="ED323" t="s">
        <v>2598</v>
      </c>
      <c r="EE323" t="s">
        <v>2656</v>
      </c>
      <c r="EF323" t="s">
        <v>3133</v>
      </c>
      <c r="EG323">
        <v>3750</v>
      </c>
      <c r="EH323">
        <v>3750</v>
      </c>
      <c r="EI323">
        <v>3750</v>
      </c>
      <c r="EJ323">
        <v>3750</v>
      </c>
      <c r="EL323" t="s">
        <v>4307</v>
      </c>
      <c r="EM323" t="s">
        <v>2779</v>
      </c>
      <c r="EN323" t="s">
        <v>2780</v>
      </c>
      <c r="EO323">
        <v>9</v>
      </c>
      <c r="EP323" t="s">
        <v>2252</v>
      </c>
      <c r="EQ323" t="s">
        <v>4175</v>
      </c>
      <c r="ER323" t="s">
        <v>4176</v>
      </c>
      <c r="ES323">
        <v>90000</v>
      </c>
      <c r="ET323">
        <v>90000</v>
      </c>
      <c r="EU323">
        <v>90000</v>
      </c>
      <c r="EV323">
        <v>90000</v>
      </c>
    </row>
    <row r="324" ht="15" customHeight="1" spans="10:152" x14ac:dyDescent="0.25">
      <c r="J324" t="s">
        <v>1995</v>
      </c>
      <c r="K324">
        <v>6.5</v>
      </c>
      <c r="L324" t="s">
        <v>2252</v>
      </c>
      <c r="M324" t="s">
        <v>2628</v>
      </c>
      <c r="N324" t="s">
        <v>2629</v>
      </c>
      <c r="O324">
        <v>52550</v>
      </c>
      <c r="P324">
        <v>58050</v>
      </c>
      <c r="Q324">
        <v>62730</v>
      </c>
      <c r="R324">
        <v>62730</v>
      </c>
      <c r="DG324" t="s">
        <v>4308</v>
      </c>
      <c r="DH324" t="s">
        <v>82</v>
      </c>
      <c r="DI324" t="s">
        <v>1613</v>
      </c>
      <c r="DJ324" t="s">
        <v>1614</v>
      </c>
      <c r="DK324" t="s">
        <v>668</v>
      </c>
      <c r="DL324">
        <v>3.85</v>
      </c>
      <c r="DM324" t="s">
        <v>670</v>
      </c>
      <c r="DN324" t="s">
        <v>669</v>
      </c>
      <c r="DO324">
        <v>0</v>
      </c>
      <c r="DP324">
        <v>0</v>
      </c>
      <c r="DQ324">
        <v>24</v>
      </c>
      <c r="DR324" t="s">
        <v>4309</v>
      </c>
      <c r="EB324" t="s">
        <v>4310</v>
      </c>
      <c r="EC324" t="s">
        <v>2597</v>
      </c>
      <c r="ED324" t="s">
        <v>2598</v>
      </c>
      <c r="EE324" t="s">
        <v>2670</v>
      </c>
      <c r="EF324" t="s">
        <v>3139</v>
      </c>
      <c r="EG324">
        <v>5000</v>
      </c>
      <c r="EH324">
        <v>5000</v>
      </c>
      <c r="EI324">
        <v>5000</v>
      </c>
      <c r="EJ324">
        <v>5000</v>
      </c>
      <c r="EL324" t="s">
        <v>4311</v>
      </c>
      <c r="EM324" t="s">
        <v>2522</v>
      </c>
      <c r="EN324" t="s">
        <v>2523</v>
      </c>
      <c r="EO324">
        <v>0.5</v>
      </c>
      <c r="EP324" t="s">
        <v>2252</v>
      </c>
      <c r="EQ324" t="s">
        <v>2253</v>
      </c>
      <c r="ER324" t="s">
        <v>2254</v>
      </c>
      <c r="ES324">
        <v>8000</v>
      </c>
      <c r="ET324">
        <v>8000</v>
      </c>
      <c r="EU324">
        <v>8000</v>
      </c>
      <c r="EV324">
        <v>8000</v>
      </c>
    </row>
    <row r="325" ht="15" customHeight="1" spans="10:152" x14ac:dyDescent="0.25">
      <c r="J325" t="s">
        <v>1995</v>
      </c>
      <c r="K325">
        <v>6.5</v>
      </c>
      <c r="L325" t="s">
        <v>2276</v>
      </c>
      <c r="M325" t="s">
        <v>2644</v>
      </c>
      <c r="N325" t="s">
        <v>2645</v>
      </c>
      <c r="O325">
        <v>55070</v>
      </c>
      <c r="P325">
        <v>72690</v>
      </c>
      <c r="Q325">
        <v>79300</v>
      </c>
      <c r="R325">
        <v>79300</v>
      </c>
      <c r="DG325" t="s">
        <v>4312</v>
      </c>
      <c r="DH325" t="s">
        <v>82</v>
      </c>
      <c r="DI325" t="s">
        <v>1616</v>
      </c>
      <c r="DJ325" t="s">
        <v>1617</v>
      </c>
      <c r="DK325" t="s">
        <v>668</v>
      </c>
      <c r="DL325">
        <v>3.85</v>
      </c>
      <c r="DM325" t="s">
        <v>669</v>
      </c>
      <c r="DN325" t="s">
        <v>670</v>
      </c>
      <c r="DO325">
        <v>2</v>
      </c>
      <c r="DP325">
        <v>997.34</v>
      </c>
      <c r="DQ325">
        <v>997.34</v>
      </c>
      <c r="DR325" t="s">
        <v>4313</v>
      </c>
      <c r="EB325" t="s">
        <v>4314</v>
      </c>
      <c r="EC325" t="s">
        <v>2597</v>
      </c>
      <c r="ED325" t="s">
        <v>2598</v>
      </c>
      <c r="EE325" t="s">
        <v>561</v>
      </c>
      <c r="EF325" t="s">
        <v>2684</v>
      </c>
      <c r="EG325">
        <v>1</v>
      </c>
      <c r="EH325">
        <v>1</v>
      </c>
      <c r="EI325">
        <v>1</v>
      </c>
      <c r="EJ325">
        <v>1</v>
      </c>
      <c r="EL325" t="s">
        <v>4315</v>
      </c>
      <c r="EM325" t="s">
        <v>2522</v>
      </c>
      <c r="EN325" t="s">
        <v>2523</v>
      </c>
      <c r="EO325">
        <v>0.5</v>
      </c>
      <c r="EP325" t="s">
        <v>2276</v>
      </c>
      <c r="EQ325" t="s">
        <v>2277</v>
      </c>
      <c r="ER325" t="s">
        <v>2278</v>
      </c>
      <c r="ES325">
        <v>12000</v>
      </c>
      <c r="ET325">
        <v>12000</v>
      </c>
      <c r="EU325">
        <v>12000</v>
      </c>
      <c r="EV325">
        <v>12000</v>
      </c>
    </row>
    <row r="326" ht="15" customHeight="1" spans="10:152" x14ac:dyDescent="0.25">
      <c r="J326" t="s">
        <v>1995</v>
      </c>
      <c r="K326">
        <v>7</v>
      </c>
      <c r="L326" t="s">
        <v>2252</v>
      </c>
      <c r="M326" t="s">
        <v>2659</v>
      </c>
      <c r="N326" t="s">
        <v>2660</v>
      </c>
      <c r="O326">
        <v>53990</v>
      </c>
      <c r="P326">
        <v>59640</v>
      </c>
      <c r="Q326">
        <v>64440</v>
      </c>
      <c r="R326">
        <v>64440</v>
      </c>
      <c r="DG326" t="s">
        <v>4316</v>
      </c>
      <c r="DH326" t="s">
        <v>82</v>
      </c>
      <c r="DI326" t="s">
        <v>1619</v>
      </c>
      <c r="DJ326" t="s">
        <v>1620</v>
      </c>
      <c r="DK326" t="s">
        <v>668</v>
      </c>
      <c r="DL326">
        <v>3.85</v>
      </c>
      <c r="DM326" t="s">
        <v>670</v>
      </c>
      <c r="DN326" t="s">
        <v>669</v>
      </c>
      <c r="DO326">
        <v>0</v>
      </c>
      <c r="DP326">
        <v>0</v>
      </c>
      <c r="DQ326">
        <v>1629</v>
      </c>
      <c r="DR326" t="s">
        <v>4317</v>
      </c>
      <c r="EB326" t="s">
        <v>4318</v>
      </c>
      <c r="EC326" t="s">
        <v>2597</v>
      </c>
      <c r="ED326" t="s">
        <v>2598</v>
      </c>
      <c r="EE326" t="s">
        <v>563</v>
      </c>
      <c r="EF326" t="s">
        <v>2699</v>
      </c>
      <c r="EG326">
        <v>8000</v>
      </c>
      <c r="EH326">
        <v>8000</v>
      </c>
      <c r="EI326">
        <v>8000</v>
      </c>
      <c r="EJ326">
        <v>8000</v>
      </c>
      <c r="EL326" t="s">
        <v>4319</v>
      </c>
      <c r="EM326" t="s">
        <v>2522</v>
      </c>
      <c r="EN326" t="s">
        <v>2523</v>
      </c>
      <c r="EO326">
        <v>1</v>
      </c>
      <c r="EP326" t="s">
        <v>2252</v>
      </c>
      <c r="EQ326" t="s">
        <v>2293</v>
      </c>
      <c r="ER326" t="s">
        <v>2294</v>
      </c>
      <c r="ES326">
        <v>14850</v>
      </c>
      <c r="ET326">
        <v>14850</v>
      </c>
      <c r="EU326">
        <v>14850</v>
      </c>
      <c r="EV326">
        <v>14850</v>
      </c>
    </row>
    <row r="327" ht="15" customHeight="1" spans="10:152" x14ac:dyDescent="0.25">
      <c r="J327" t="s">
        <v>1995</v>
      </c>
      <c r="K327">
        <v>7</v>
      </c>
      <c r="L327" t="s">
        <v>2276</v>
      </c>
      <c r="M327" t="s">
        <v>2673</v>
      </c>
      <c r="N327" t="s">
        <v>2674</v>
      </c>
      <c r="O327">
        <v>56570</v>
      </c>
      <c r="P327">
        <v>74670</v>
      </c>
      <c r="Q327">
        <v>81460</v>
      </c>
      <c r="R327">
        <v>81460</v>
      </c>
      <c r="DG327" t="s">
        <v>4320</v>
      </c>
      <c r="DH327" t="s">
        <v>82</v>
      </c>
      <c r="DI327" t="s">
        <v>1622</v>
      </c>
      <c r="DJ327" t="s">
        <v>1623</v>
      </c>
      <c r="DK327" t="s">
        <v>668</v>
      </c>
      <c r="DL327">
        <v>3.85</v>
      </c>
      <c r="DM327" t="s">
        <v>670</v>
      </c>
      <c r="DN327" t="s">
        <v>669</v>
      </c>
      <c r="DO327">
        <v>0</v>
      </c>
      <c r="DP327">
        <v>0</v>
      </c>
      <c r="DQ327">
        <v>1068</v>
      </c>
      <c r="DR327" t="s">
        <v>4321</v>
      </c>
      <c r="EB327" t="s">
        <v>4322</v>
      </c>
      <c r="EC327" t="s">
        <v>2597</v>
      </c>
      <c r="ED327" t="s">
        <v>2598</v>
      </c>
      <c r="EE327" t="s">
        <v>556</v>
      </c>
      <c r="EF327" t="s">
        <v>2713</v>
      </c>
      <c r="EG327">
        <v>1</v>
      </c>
      <c r="EH327">
        <v>1</v>
      </c>
      <c r="EI327">
        <v>1</v>
      </c>
      <c r="EJ327">
        <v>1</v>
      </c>
      <c r="EL327" t="s">
        <v>4323</v>
      </c>
      <c r="EM327" t="s">
        <v>2522</v>
      </c>
      <c r="EN327" t="s">
        <v>2523</v>
      </c>
      <c r="EO327">
        <v>1</v>
      </c>
      <c r="EP327" t="s">
        <v>2276</v>
      </c>
      <c r="EQ327" t="s">
        <v>2306</v>
      </c>
      <c r="ER327" t="s">
        <v>2307</v>
      </c>
      <c r="ES327">
        <v>22275</v>
      </c>
      <c r="ET327">
        <v>22275</v>
      </c>
      <c r="EU327">
        <v>22275</v>
      </c>
      <c r="EV327">
        <v>22275</v>
      </c>
    </row>
    <row r="328" ht="15" customHeight="1" spans="10:152" x14ac:dyDescent="0.25">
      <c r="J328" t="s">
        <v>1995</v>
      </c>
      <c r="K328">
        <v>7.5</v>
      </c>
      <c r="L328" t="s">
        <v>2252</v>
      </c>
      <c r="M328" t="s">
        <v>2686</v>
      </c>
      <c r="N328" t="s">
        <v>2687</v>
      </c>
      <c r="O328">
        <v>55030</v>
      </c>
      <c r="P328">
        <v>60830</v>
      </c>
      <c r="Q328">
        <v>65690</v>
      </c>
      <c r="R328">
        <v>65690</v>
      </c>
      <c r="DG328" t="s">
        <v>4324</v>
      </c>
      <c r="DH328" t="s">
        <v>82</v>
      </c>
      <c r="DI328" t="s">
        <v>1625</v>
      </c>
      <c r="DJ328" t="s">
        <v>1626</v>
      </c>
      <c r="DK328" t="s">
        <v>668</v>
      </c>
      <c r="DL328">
        <v>3.85</v>
      </c>
      <c r="DM328" t="s">
        <v>670</v>
      </c>
      <c r="DN328" t="s">
        <v>669</v>
      </c>
      <c r="DO328">
        <v>0</v>
      </c>
      <c r="DP328">
        <v>0</v>
      </c>
      <c r="DQ328">
        <v>94.48</v>
      </c>
      <c r="DR328" t="s">
        <v>4325</v>
      </c>
      <c r="EB328" t="s">
        <v>4326</v>
      </c>
      <c r="EC328" t="s">
        <v>2597</v>
      </c>
      <c r="EE328" t="s">
        <v>551</v>
      </c>
      <c r="EL328" t="s">
        <v>4327</v>
      </c>
      <c r="EM328" t="s">
        <v>2522</v>
      </c>
      <c r="EN328" t="s">
        <v>2523</v>
      </c>
      <c r="EO328">
        <v>1.5</v>
      </c>
      <c r="EP328" t="s">
        <v>2252</v>
      </c>
      <c r="EQ328" t="s">
        <v>2322</v>
      </c>
      <c r="ER328" t="s">
        <v>2323</v>
      </c>
      <c r="ES328">
        <v>22300</v>
      </c>
      <c r="ET328">
        <v>22300</v>
      </c>
      <c r="EU328">
        <v>22300</v>
      </c>
      <c r="EV328">
        <v>22300</v>
      </c>
    </row>
    <row r="329" ht="15" customHeight="1" spans="10:152" x14ac:dyDescent="0.25">
      <c r="J329" t="s">
        <v>1995</v>
      </c>
      <c r="K329">
        <v>7.5</v>
      </c>
      <c r="L329" t="s">
        <v>2276</v>
      </c>
      <c r="M329" t="s">
        <v>2701</v>
      </c>
      <c r="N329" t="s">
        <v>2702</v>
      </c>
      <c r="O329">
        <v>55560</v>
      </c>
      <c r="P329">
        <v>60610</v>
      </c>
      <c r="Q329">
        <v>65660</v>
      </c>
      <c r="R329">
        <v>70720</v>
      </c>
      <c r="DG329" t="s">
        <v>4328</v>
      </c>
      <c r="DH329" t="s">
        <v>82</v>
      </c>
      <c r="DI329" t="s">
        <v>1628</v>
      </c>
      <c r="DJ329" t="s">
        <v>1629</v>
      </c>
      <c r="DK329" t="s">
        <v>668</v>
      </c>
      <c r="DL329">
        <v>3.85</v>
      </c>
      <c r="DM329" t="s">
        <v>670</v>
      </c>
      <c r="DN329" t="s">
        <v>669</v>
      </c>
      <c r="DO329">
        <v>0</v>
      </c>
      <c r="DP329">
        <v>0</v>
      </c>
      <c r="DQ329">
        <v>39</v>
      </c>
      <c r="DR329" t="s">
        <v>4329</v>
      </c>
      <c r="EB329" t="s">
        <v>4330</v>
      </c>
      <c r="EC329" t="s">
        <v>2597</v>
      </c>
      <c r="ED329" t="s">
        <v>2598</v>
      </c>
      <c r="EE329" t="s">
        <v>290</v>
      </c>
      <c r="EF329" t="s">
        <v>289</v>
      </c>
      <c r="EG329">
        <v>255</v>
      </c>
      <c r="EH329">
        <v>280</v>
      </c>
      <c r="EI329">
        <v>280</v>
      </c>
      <c r="EJ329">
        <v>320</v>
      </c>
      <c r="EL329" t="s">
        <v>4331</v>
      </c>
      <c r="EM329" t="s">
        <v>2522</v>
      </c>
      <c r="EN329" t="s">
        <v>2523</v>
      </c>
      <c r="EO329">
        <v>1.5</v>
      </c>
      <c r="EP329" t="s">
        <v>2276</v>
      </c>
      <c r="EQ329" t="s">
        <v>2338</v>
      </c>
      <c r="ER329" t="s">
        <v>2339</v>
      </c>
      <c r="ES329">
        <v>33450</v>
      </c>
      <c r="ET329">
        <v>33450</v>
      </c>
      <c r="EU329">
        <v>33450</v>
      </c>
      <c r="EV329">
        <v>33450</v>
      </c>
    </row>
    <row r="330" ht="15" customHeight="1" spans="10:152" x14ac:dyDescent="0.25">
      <c r="J330" t="s">
        <v>1995</v>
      </c>
      <c r="K330">
        <v>8</v>
      </c>
      <c r="L330" t="s">
        <v>2252</v>
      </c>
      <c r="M330" t="s">
        <v>2715</v>
      </c>
      <c r="N330" t="s">
        <v>2716</v>
      </c>
      <c r="O330">
        <v>55700</v>
      </c>
      <c r="P330">
        <v>61550</v>
      </c>
      <c r="Q330">
        <v>66480</v>
      </c>
      <c r="R330">
        <v>66480</v>
      </c>
      <c r="DG330" t="s">
        <v>4332</v>
      </c>
      <c r="DH330" t="s">
        <v>82</v>
      </c>
      <c r="DI330" t="s">
        <v>1631</v>
      </c>
      <c r="DJ330" t="s">
        <v>1632</v>
      </c>
      <c r="DK330" t="s">
        <v>668</v>
      </c>
      <c r="DL330">
        <v>3.85</v>
      </c>
      <c r="DM330" t="s">
        <v>670</v>
      </c>
      <c r="DN330" t="s">
        <v>669</v>
      </c>
      <c r="DO330">
        <v>0</v>
      </c>
      <c r="DP330">
        <v>0</v>
      </c>
      <c r="DQ330">
        <v>37.56</v>
      </c>
      <c r="DR330" t="s">
        <v>4333</v>
      </c>
      <c r="EB330" t="s">
        <v>4334</v>
      </c>
      <c r="EC330" t="s">
        <v>2597</v>
      </c>
      <c r="ED330" t="s">
        <v>2598</v>
      </c>
      <c r="EE330" t="s">
        <v>275</v>
      </c>
      <c r="EF330" t="s">
        <v>273</v>
      </c>
      <c r="EG330">
        <v>835</v>
      </c>
      <c r="EH330">
        <v>920</v>
      </c>
      <c r="EI330">
        <v>920</v>
      </c>
      <c r="EJ330">
        <v>1060</v>
      </c>
      <c r="EL330" t="s">
        <v>4335</v>
      </c>
      <c r="EM330" t="s">
        <v>2522</v>
      </c>
      <c r="EN330" t="s">
        <v>2523</v>
      </c>
      <c r="EO330">
        <v>2</v>
      </c>
      <c r="EP330" t="s">
        <v>2252</v>
      </c>
      <c r="EQ330" t="s">
        <v>2354</v>
      </c>
      <c r="ER330" t="s">
        <v>2355</v>
      </c>
      <c r="ES330">
        <v>29700</v>
      </c>
      <c r="ET330">
        <v>29700</v>
      </c>
      <c r="EU330">
        <v>29700</v>
      </c>
      <c r="EV330">
        <v>29700</v>
      </c>
    </row>
    <row r="331" ht="15" customHeight="1" spans="10:152" x14ac:dyDescent="0.25">
      <c r="J331" t="s">
        <v>1995</v>
      </c>
      <c r="K331">
        <v>8</v>
      </c>
      <c r="L331" t="s">
        <v>2276</v>
      </c>
      <c r="M331" t="s">
        <v>2728</v>
      </c>
      <c r="N331" t="s">
        <v>2729</v>
      </c>
      <c r="O331">
        <v>58390</v>
      </c>
      <c r="P331">
        <v>77070</v>
      </c>
      <c r="Q331">
        <v>84080</v>
      </c>
      <c r="R331">
        <v>84080</v>
      </c>
      <c r="DG331" t="s">
        <v>4336</v>
      </c>
      <c r="DH331" t="s">
        <v>82</v>
      </c>
      <c r="DI331" t="s">
        <v>1634</v>
      </c>
      <c r="DJ331" t="s">
        <v>1635</v>
      </c>
      <c r="DK331" t="s">
        <v>668</v>
      </c>
      <c r="DL331">
        <v>3.85</v>
      </c>
      <c r="DM331" t="s">
        <v>670</v>
      </c>
      <c r="DN331" t="s">
        <v>669</v>
      </c>
      <c r="DO331">
        <v>0</v>
      </c>
      <c r="DP331">
        <v>0</v>
      </c>
      <c r="DQ331">
        <v>133.5</v>
      </c>
      <c r="DR331" t="s">
        <v>4337</v>
      </c>
      <c r="EB331" t="s">
        <v>4338</v>
      </c>
      <c r="EC331" t="s">
        <v>2597</v>
      </c>
      <c r="EE331" t="s">
        <v>298</v>
      </c>
      <c r="EL331" t="s">
        <v>4339</v>
      </c>
      <c r="EM331" t="s">
        <v>2522</v>
      </c>
      <c r="EN331" t="s">
        <v>2523</v>
      </c>
      <c r="EO331">
        <v>2</v>
      </c>
      <c r="EP331" t="s">
        <v>2276</v>
      </c>
      <c r="EQ331" t="s">
        <v>2373</v>
      </c>
      <c r="ER331" t="s">
        <v>2374</v>
      </c>
      <c r="ES331">
        <v>44550</v>
      </c>
      <c r="ET331">
        <v>44550</v>
      </c>
      <c r="EU331">
        <v>44550</v>
      </c>
      <c r="EV331">
        <v>44550</v>
      </c>
    </row>
    <row r="332" ht="15" customHeight="1" spans="111:152" x14ac:dyDescent="0.25">
      <c r="DG332" t="s">
        <v>4340</v>
      </c>
      <c r="DH332" t="s">
        <v>82</v>
      </c>
      <c r="DI332" t="s">
        <v>1637</v>
      </c>
      <c r="DJ332" t="s">
        <v>1638</v>
      </c>
      <c r="DK332" t="s">
        <v>668</v>
      </c>
      <c r="DL332">
        <v>3.85</v>
      </c>
      <c r="DM332" t="s">
        <v>670</v>
      </c>
      <c r="DN332" t="s">
        <v>669</v>
      </c>
      <c r="DO332">
        <v>0</v>
      </c>
      <c r="DP332">
        <v>0</v>
      </c>
      <c r="DQ332">
        <v>34</v>
      </c>
      <c r="DR332" t="s">
        <v>4341</v>
      </c>
      <c r="EB332" t="s">
        <v>4342</v>
      </c>
      <c r="EC332" t="s">
        <v>2597</v>
      </c>
      <c r="ED332" t="s">
        <v>2598</v>
      </c>
      <c r="EE332" t="s">
        <v>286</v>
      </c>
      <c r="EF332" t="s">
        <v>284</v>
      </c>
      <c r="EG332">
        <v>380</v>
      </c>
      <c r="EH332">
        <v>420</v>
      </c>
      <c r="EI332">
        <v>420</v>
      </c>
      <c r="EJ332">
        <v>485</v>
      </c>
      <c r="EL332" t="s">
        <v>4343</v>
      </c>
      <c r="EM332" t="s">
        <v>2522</v>
      </c>
      <c r="EN332" t="s">
        <v>2523</v>
      </c>
      <c r="EO332">
        <v>2.5</v>
      </c>
      <c r="EP332" t="s">
        <v>2252</v>
      </c>
      <c r="EQ332" t="s">
        <v>2389</v>
      </c>
      <c r="ER332" t="s">
        <v>2390</v>
      </c>
      <c r="ES332">
        <v>38950</v>
      </c>
      <c r="ET332">
        <v>38950</v>
      </c>
      <c r="EU332">
        <v>38950</v>
      </c>
      <c r="EV332">
        <v>38950</v>
      </c>
    </row>
    <row r="333" ht="15" customHeight="1" spans="111:152" x14ac:dyDescent="0.25">
      <c r="DG333" t="s">
        <v>4344</v>
      </c>
      <c r="DH333" t="s">
        <v>82</v>
      </c>
      <c r="DI333" t="s">
        <v>1639</v>
      </c>
      <c r="DJ333" t="s">
        <v>1640</v>
      </c>
      <c r="DK333" t="s">
        <v>668</v>
      </c>
      <c r="DL333">
        <v>3.85</v>
      </c>
      <c r="DM333" t="s">
        <v>670</v>
      </c>
      <c r="DN333" t="s">
        <v>669</v>
      </c>
      <c r="DO333">
        <v>0</v>
      </c>
      <c r="DP333">
        <v>0</v>
      </c>
      <c r="DQ333">
        <v>8</v>
      </c>
      <c r="DR333" t="s">
        <v>4345</v>
      </c>
      <c r="EB333" t="s">
        <v>4346</v>
      </c>
      <c r="EC333" t="s">
        <v>2597</v>
      </c>
      <c r="ED333" t="s">
        <v>2598</v>
      </c>
      <c r="EE333" t="s">
        <v>272</v>
      </c>
      <c r="EF333" t="s">
        <v>270</v>
      </c>
      <c r="EG333">
        <v>1230</v>
      </c>
      <c r="EH333">
        <v>1355</v>
      </c>
      <c r="EI333">
        <v>1355</v>
      </c>
      <c r="EJ333">
        <v>1560</v>
      </c>
      <c r="EL333" t="s">
        <v>4347</v>
      </c>
      <c r="EM333" t="s">
        <v>2522</v>
      </c>
      <c r="EN333" t="s">
        <v>2523</v>
      </c>
      <c r="EO333">
        <v>2.5</v>
      </c>
      <c r="EP333" t="s">
        <v>2276</v>
      </c>
      <c r="EQ333" t="s">
        <v>2406</v>
      </c>
      <c r="ER333" t="s">
        <v>2407</v>
      </c>
      <c r="ES333">
        <v>58425</v>
      </c>
      <c r="ET333">
        <v>58425</v>
      </c>
      <c r="EU333">
        <v>58425</v>
      </c>
      <c r="EV333">
        <v>58425</v>
      </c>
    </row>
    <row r="334" ht="15" customHeight="1" spans="111:152" x14ac:dyDescent="0.25">
      <c r="DG334" t="s">
        <v>4348</v>
      </c>
      <c r="DH334" t="s">
        <v>82</v>
      </c>
      <c r="DI334" t="s">
        <v>1641</v>
      </c>
      <c r="DJ334" t="s">
        <v>1642</v>
      </c>
      <c r="DK334" t="s">
        <v>668</v>
      </c>
      <c r="DL334">
        <v>3.85</v>
      </c>
      <c r="DM334" t="s">
        <v>670</v>
      </c>
      <c r="DN334" t="s">
        <v>669</v>
      </c>
      <c r="DO334">
        <v>0</v>
      </c>
      <c r="DP334">
        <v>0</v>
      </c>
      <c r="DQ334">
        <v>13.22</v>
      </c>
      <c r="DR334" t="s">
        <v>4349</v>
      </c>
      <c r="EB334" t="s">
        <v>4350</v>
      </c>
      <c r="EC334" t="s">
        <v>2597</v>
      </c>
      <c r="ED334" t="s">
        <v>2598</v>
      </c>
      <c r="EE334" t="s">
        <v>283</v>
      </c>
      <c r="EF334" t="s">
        <v>281</v>
      </c>
      <c r="EG334">
        <v>190</v>
      </c>
      <c r="EH334">
        <v>210</v>
      </c>
      <c r="EI334">
        <v>210</v>
      </c>
      <c r="EJ334">
        <v>240</v>
      </c>
      <c r="EL334" t="s">
        <v>4351</v>
      </c>
      <c r="EM334" t="s">
        <v>2522</v>
      </c>
      <c r="EN334" t="s">
        <v>2523</v>
      </c>
      <c r="EO334">
        <v>3</v>
      </c>
      <c r="EP334" t="s">
        <v>2252</v>
      </c>
      <c r="EQ334" t="s">
        <v>2423</v>
      </c>
      <c r="ER334" t="s">
        <v>2424</v>
      </c>
      <c r="ES334">
        <v>45900</v>
      </c>
      <c r="ET334">
        <v>45900</v>
      </c>
      <c r="EU334">
        <v>45900</v>
      </c>
      <c r="EV334">
        <v>45900</v>
      </c>
    </row>
    <row r="335" ht="15" customHeight="1" spans="111:152" x14ac:dyDescent="0.25">
      <c r="DG335" t="s">
        <v>4352</v>
      </c>
      <c r="DH335" t="s">
        <v>82</v>
      </c>
      <c r="DI335" t="s">
        <v>1644</v>
      </c>
      <c r="DJ335" t="s">
        <v>1645</v>
      </c>
      <c r="DK335" t="s">
        <v>668</v>
      </c>
      <c r="DL335">
        <v>3.85</v>
      </c>
      <c r="DM335" t="s">
        <v>669</v>
      </c>
      <c r="DN335" t="s">
        <v>670</v>
      </c>
      <c r="DO335">
        <v>1</v>
      </c>
      <c r="DP335">
        <v>543.75</v>
      </c>
      <c r="DQ335">
        <v>543.75</v>
      </c>
      <c r="DR335" t="s">
        <v>4353</v>
      </c>
      <c r="EB335" t="s">
        <v>4354</v>
      </c>
      <c r="EC335" t="s">
        <v>2597</v>
      </c>
      <c r="ED335" t="s">
        <v>2598</v>
      </c>
      <c r="EE335" t="s">
        <v>267</v>
      </c>
      <c r="EF335" t="s">
        <v>265</v>
      </c>
      <c r="EG335">
        <v>1160</v>
      </c>
      <c r="EH335">
        <v>1275</v>
      </c>
      <c r="EI335">
        <v>1275</v>
      </c>
      <c r="EJ335">
        <v>1465</v>
      </c>
      <c r="EL335" t="s">
        <v>4355</v>
      </c>
      <c r="EM335" t="s">
        <v>2522</v>
      </c>
      <c r="EN335" t="s">
        <v>2523</v>
      </c>
      <c r="EO335">
        <v>3</v>
      </c>
      <c r="EP335" t="s">
        <v>2276</v>
      </c>
      <c r="EQ335" t="s">
        <v>2439</v>
      </c>
      <c r="ER335" t="s">
        <v>2440</v>
      </c>
      <c r="ES335">
        <v>68850</v>
      </c>
      <c r="ET335">
        <v>68850</v>
      </c>
      <c r="EU335">
        <v>68850</v>
      </c>
      <c r="EV335">
        <v>68850</v>
      </c>
    </row>
    <row r="336" ht="15" customHeight="1" spans="111:152" x14ac:dyDescent="0.25">
      <c r="DG336" t="s">
        <v>4356</v>
      </c>
      <c r="DH336" t="s">
        <v>82</v>
      </c>
      <c r="DI336" t="s">
        <v>1647</v>
      </c>
      <c r="DJ336" t="s">
        <v>1648</v>
      </c>
      <c r="DK336" t="s">
        <v>668</v>
      </c>
      <c r="DL336">
        <v>3.85</v>
      </c>
      <c r="DM336" t="s">
        <v>670</v>
      </c>
      <c r="DN336" t="s">
        <v>669</v>
      </c>
      <c r="DO336">
        <v>0</v>
      </c>
      <c r="DP336">
        <v>0</v>
      </c>
      <c r="DQ336">
        <v>2.46</v>
      </c>
      <c r="DR336" t="s">
        <v>4357</v>
      </c>
      <c r="EB336" t="s">
        <v>4358</v>
      </c>
      <c r="EC336" t="s">
        <v>2597</v>
      </c>
      <c r="ED336" t="s">
        <v>2598</v>
      </c>
      <c r="EE336" t="s">
        <v>258</v>
      </c>
      <c r="EF336" t="s">
        <v>256</v>
      </c>
      <c r="EG336">
        <v>2000</v>
      </c>
      <c r="EH336">
        <v>2200</v>
      </c>
      <c r="EI336">
        <v>2200</v>
      </c>
      <c r="EJ336">
        <v>2530</v>
      </c>
      <c r="EL336" t="s">
        <v>4359</v>
      </c>
      <c r="EM336" t="s">
        <v>2522</v>
      </c>
      <c r="EN336" t="s">
        <v>2523</v>
      </c>
      <c r="EO336">
        <v>3.5</v>
      </c>
      <c r="EP336" t="s">
        <v>2252</v>
      </c>
      <c r="EQ336" t="s">
        <v>2454</v>
      </c>
      <c r="ER336" t="s">
        <v>2455</v>
      </c>
      <c r="ES336">
        <v>54000</v>
      </c>
      <c r="ET336">
        <v>54000</v>
      </c>
      <c r="EU336">
        <v>54000</v>
      </c>
      <c r="EV336">
        <v>54000</v>
      </c>
    </row>
    <row r="337" ht="15" customHeight="1" spans="111:152" x14ac:dyDescent="0.25">
      <c r="DG337" t="s">
        <v>4360</v>
      </c>
      <c r="DH337" t="s">
        <v>82</v>
      </c>
      <c r="DI337" t="s">
        <v>1650</v>
      </c>
      <c r="DJ337" t="s">
        <v>1651</v>
      </c>
      <c r="DK337" t="s">
        <v>668</v>
      </c>
      <c r="DL337">
        <v>3.85</v>
      </c>
      <c r="DM337" t="s">
        <v>670</v>
      </c>
      <c r="DN337" t="s">
        <v>669</v>
      </c>
      <c r="DO337">
        <v>0</v>
      </c>
      <c r="DP337">
        <v>0</v>
      </c>
      <c r="DQ337">
        <v>10</v>
      </c>
      <c r="DR337" t="s">
        <v>4361</v>
      </c>
      <c r="EB337" t="s">
        <v>4362</v>
      </c>
      <c r="EC337" t="s">
        <v>2597</v>
      </c>
      <c r="ED337" t="s">
        <v>2598</v>
      </c>
      <c r="EE337" t="s">
        <v>222</v>
      </c>
      <c r="EF337" t="s">
        <v>220</v>
      </c>
      <c r="EG337">
        <v>1450</v>
      </c>
      <c r="EH337">
        <v>1595</v>
      </c>
      <c r="EI337">
        <v>1595</v>
      </c>
      <c r="EJ337">
        <v>1835</v>
      </c>
      <c r="EL337" t="s">
        <v>4363</v>
      </c>
      <c r="EM337" t="s">
        <v>2522</v>
      </c>
      <c r="EN337" t="s">
        <v>2523</v>
      </c>
      <c r="EO337">
        <v>3.5</v>
      </c>
      <c r="EP337" t="s">
        <v>2276</v>
      </c>
      <c r="EQ337" t="s">
        <v>2471</v>
      </c>
      <c r="ER337" t="s">
        <v>2472</v>
      </c>
      <c r="ES337">
        <v>81000</v>
      </c>
      <c r="ET337">
        <v>81000</v>
      </c>
      <c r="EU337">
        <v>81000</v>
      </c>
      <c r="EV337">
        <v>81000</v>
      </c>
    </row>
    <row r="338" ht="15" customHeight="1" spans="111:152" x14ac:dyDescent="0.25">
      <c r="DG338" t="s">
        <v>4364</v>
      </c>
      <c r="DH338" t="s">
        <v>82</v>
      </c>
      <c r="DI338" t="s">
        <v>1652</v>
      </c>
      <c r="DJ338" t="s">
        <v>1653</v>
      </c>
      <c r="DK338" t="s">
        <v>668</v>
      </c>
      <c r="DL338">
        <v>3.85</v>
      </c>
      <c r="DM338" t="s">
        <v>670</v>
      </c>
      <c r="DN338" t="s">
        <v>669</v>
      </c>
      <c r="DO338">
        <v>0</v>
      </c>
      <c r="DP338">
        <v>0</v>
      </c>
      <c r="DQ338">
        <v>0.74</v>
      </c>
      <c r="DR338" t="s">
        <v>4365</v>
      </c>
      <c r="EB338" t="s">
        <v>4366</v>
      </c>
      <c r="EC338" t="s">
        <v>2597</v>
      </c>
      <c r="ED338" t="s">
        <v>2598</v>
      </c>
      <c r="EE338" t="s">
        <v>233</v>
      </c>
      <c r="EF338" t="s">
        <v>231</v>
      </c>
      <c r="EG338">
        <v>725</v>
      </c>
      <c r="EH338">
        <v>800</v>
      </c>
      <c r="EI338">
        <v>800</v>
      </c>
      <c r="EJ338">
        <v>920</v>
      </c>
      <c r="EL338" t="s">
        <v>4367</v>
      </c>
      <c r="EM338" t="s">
        <v>2522</v>
      </c>
      <c r="EN338" t="s">
        <v>2523</v>
      </c>
      <c r="EO338">
        <v>4</v>
      </c>
      <c r="EP338" t="s">
        <v>2252</v>
      </c>
      <c r="EQ338" t="s">
        <v>2485</v>
      </c>
      <c r="ER338" t="s">
        <v>2486</v>
      </c>
      <c r="ES338">
        <v>60900</v>
      </c>
      <c r="ET338">
        <v>60900</v>
      </c>
      <c r="EU338">
        <v>60900</v>
      </c>
      <c r="EV338">
        <v>60900</v>
      </c>
    </row>
    <row r="339" ht="15" customHeight="1" spans="111:152" x14ac:dyDescent="0.25">
      <c r="DG339" t="s">
        <v>4368</v>
      </c>
      <c r="DH339" t="s">
        <v>82</v>
      </c>
      <c r="DI339" t="s">
        <v>1655</v>
      </c>
      <c r="DJ339" t="s">
        <v>1656</v>
      </c>
      <c r="DK339" t="s">
        <v>668</v>
      </c>
      <c r="DL339">
        <v>3.85</v>
      </c>
      <c r="DM339" t="s">
        <v>670</v>
      </c>
      <c r="DN339" t="s">
        <v>669</v>
      </c>
      <c r="DO339">
        <v>0</v>
      </c>
      <c r="DP339">
        <v>0</v>
      </c>
      <c r="DQ339">
        <v>48</v>
      </c>
      <c r="DR339" t="s">
        <v>4369</v>
      </c>
      <c r="EB339" t="s">
        <v>4370</v>
      </c>
      <c r="EC339" t="s">
        <v>2597</v>
      </c>
      <c r="ED339" t="s">
        <v>2598</v>
      </c>
      <c r="EE339" t="s">
        <v>225</v>
      </c>
      <c r="EF339" t="s">
        <v>223</v>
      </c>
      <c r="EG339">
        <v>1445</v>
      </c>
      <c r="EH339">
        <v>1590</v>
      </c>
      <c r="EI339">
        <v>1590</v>
      </c>
      <c r="EJ339">
        <v>1830</v>
      </c>
      <c r="EL339" t="s">
        <v>4371</v>
      </c>
      <c r="EM339" t="s">
        <v>2522</v>
      </c>
      <c r="EN339" t="s">
        <v>2523</v>
      </c>
      <c r="EO339">
        <v>4</v>
      </c>
      <c r="EP339" t="s">
        <v>2276</v>
      </c>
      <c r="EQ339" t="s">
        <v>2498</v>
      </c>
      <c r="ER339" t="s">
        <v>2499</v>
      </c>
      <c r="ES339">
        <v>91350</v>
      </c>
      <c r="ET339">
        <v>91350</v>
      </c>
      <c r="EU339">
        <v>91350</v>
      </c>
      <c r="EV339">
        <v>91350</v>
      </c>
    </row>
    <row r="340" ht="15" customHeight="1" spans="111:152" x14ac:dyDescent="0.25">
      <c r="DG340" t="s">
        <v>4372</v>
      </c>
      <c r="DH340" t="s">
        <v>82</v>
      </c>
      <c r="DI340" t="s">
        <v>1658</v>
      </c>
      <c r="DJ340" t="s">
        <v>1659</v>
      </c>
      <c r="DK340" t="s">
        <v>668</v>
      </c>
      <c r="DL340">
        <v>3.85</v>
      </c>
      <c r="DM340" t="s">
        <v>669</v>
      </c>
      <c r="DN340" t="s">
        <v>670</v>
      </c>
      <c r="DO340">
        <v>1</v>
      </c>
      <c r="DP340">
        <v>138.75</v>
      </c>
      <c r="DQ340">
        <v>138.75</v>
      </c>
      <c r="DR340" t="s">
        <v>4373</v>
      </c>
      <c r="EB340" t="s">
        <v>4374</v>
      </c>
      <c r="EC340" t="s">
        <v>2597</v>
      </c>
      <c r="EE340" t="s">
        <v>288</v>
      </c>
      <c r="EL340" t="s">
        <v>4375</v>
      </c>
      <c r="EM340" t="s">
        <v>2522</v>
      </c>
      <c r="EN340" t="s">
        <v>2523</v>
      </c>
      <c r="EO340">
        <v>4.5</v>
      </c>
      <c r="EP340" t="s">
        <v>2252</v>
      </c>
      <c r="EQ340" t="s">
        <v>2512</v>
      </c>
      <c r="ER340" t="s">
        <v>2513</v>
      </c>
      <c r="ES340">
        <v>68400</v>
      </c>
      <c r="ET340">
        <v>68400</v>
      </c>
      <c r="EU340">
        <v>68400</v>
      </c>
      <c r="EV340">
        <v>68400</v>
      </c>
    </row>
    <row r="341" ht="15" customHeight="1" spans="111:152" x14ac:dyDescent="0.25">
      <c r="DG341" t="s">
        <v>4376</v>
      </c>
      <c r="DH341" t="s">
        <v>82</v>
      </c>
      <c r="DI341" t="s">
        <v>1661</v>
      </c>
      <c r="DJ341" t="s">
        <v>1662</v>
      </c>
      <c r="DK341" t="s">
        <v>668</v>
      </c>
      <c r="DL341">
        <v>3.85</v>
      </c>
      <c r="DM341" t="s">
        <v>670</v>
      </c>
      <c r="DN341" t="s">
        <v>669</v>
      </c>
      <c r="DO341">
        <v>0</v>
      </c>
      <c r="DP341">
        <v>0</v>
      </c>
      <c r="DQ341">
        <v>12.42</v>
      </c>
      <c r="DR341" t="s">
        <v>4377</v>
      </c>
      <c r="EB341" t="s">
        <v>4378</v>
      </c>
      <c r="EC341" t="s">
        <v>2597</v>
      </c>
      <c r="ED341" t="s">
        <v>2598</v>
      </c>
      <c r="EE341" t="s">
        <v>269</v>
      </c>
      <c r="EF341" t="s">
        <v>3239</v>
      </c>
      <c r="EG341">
        <v>695</v>
      </c>
      <c r="EH341">
        <v>765</v>
      </c>
      <c r="EI341">
        <v>765</v>
      </c>
      <c r="EJ341">
        <v>880</v>
      </c>
      <c r="EL341" t="s">
        <v>4379</v>
      </c>
      <c r="EM341" t="s">
        <v>2522</v>
      </c>
      <c r="EN341" t="s">
        <v>2523</v>
      </c>
      <c r="EO341">
        <v>4.5</v>
      </c>
      <c r="EP341" t="s">
        <v>2276</v>
      </c>
      <c r="EQ341" t="s">
        <v>2527</v>
      </c>
      <c r="ER341" t="s">
        <v>2528</v>
      </c>
      <c r="ES341">
        <v>102600</v>
      </c>
      <c r="ET341">
        <v>102600</v>
      </c>
      <c r="EU341">
        <v>102600</v>
      </c>
      <c r="EV341">
        <v>102600</v>
      </c>
    </row>
    <row r="342" ht="15" customHeight="1" spans="111:152" x14ac:dyDescent="0.25">
      <c r="DG342" t="s">
        <v>4380</v>
      </c>
      <c r="DH342" t="s">
        <v>82</v>
      </c>
      <c r="DI342" t="s">
        <v>1664</v>
      </c>
      <c r="DJ342" t="s">
        <v>1665</v>
      </c>
      <c r="DK342" t="s">
        <v>668</v>
      </c>
      <c r="DL342">
        <v>3.85</v>
      </c>
      <c r="DM342" t="s">
        <v>670</v>
      </c>
      <c r="DN342" t="s">
        <v>669</v>
      </c>
      <c r="DO342">
        <v>0</v>
      </c>
      <c r="DP342">
        <v>0</v>
      </c>
      <c r="DQ342">
        <v>701</v>
      </c>
      <c r="DR342" t="s">
        <v>4381</v>
      </c>
      <c r="EB342" t="s">
        <v>4382</v>
      </c>
      <c r="EC342" t="s">
        <v>2597</v>
      </c>
      <c r="ED342" t="s">
        <v>2598</v>
      </c>
      <c r="EE342" t="s">
        <v>237</v>
      </c>
      <c r="EF342" t="s">
        <v>3246</v>
      </c>
      <c r="EG342">
        <v>1500</v>
      </c>
      <c r="EH342">
        <v>1650</v>
      </c>
      <c r="EI342">
        <v>1650</v>
      </c>
      <c r="EJ342">
        <v>1900</v>
      </c>
      <c r="EL342" t="s">
        <v>4383</v>
      </c>
      <c r="EM342" t="s">
        <v>2522</v>
      </c>
      <c r="EN342" t="s">
        <v>2523</v>
      </c>
      <c r="EO342">
        <v>5</v>
      </c>
      <c r="EP342" t="s">
        <v>2252</v>
      </c>
      <c r="EQ342" t="s">
        <v>2541</v>
      </c>
      <c r="ER342" t="s">
        <v>2542</v>
      </c>
      <c r="ES342">
        <v>75750</v>
      </c>
      <c r="ET342">
        <v>75750</v>
      </c>
      <c r="EU342">
        <v>75750</v>
      </c>
      <c r="EV342">
        <v>75750</v>
      </c>
    </row>
    <row r="343" ht="15" customHeight="1" spans="111:152" x14ac:dyDescent="0.25">
      <c r="DG343" t="s">
        <v>4384</v>
      </c>
      <c r="DH343" t="s">
        <v>82</v>
      </c>
      <c r="DI343" t="s">
        <v>1667</v>
      </c>
      <c r="DJ343" t="s">
        <v>1668</v>
      </c>
      <c r="DK343" t="s">
        <v>668</v>
      </c>
      <c r="DL343">
        <v>3.85</v>
      </c>
      <c r="DM343" t="s">
        <v>670</v>
      </c>
      <c r="DN343" t="s">
        <v>669</v>
      </c>
      <c r="DO343">
        <v>0</v>
      </c>
      <c r="DP343">
        <v>0</v>
      </c>
      <c r="DQ343">
        <v>5.12</v>
      </c>
      <c r="DR343" t="s">
        <v>4385</v>
      </c>
      <c r="EB343" t="s">
        <v>4386</v>
      </c>
      <c r="EC343" t="s">
        <v>2597</v>
      </c>
      <c r="ED343" t="s">
        <v>2598</v>
      </c>
      <c r="EE343" t="s">
        <v>249</v>
      </c>
      <c r="EF343" t="s">
        <v>247</v>
      </c>
      <c r="EG343">
        <v>240</v>
      </c>
      <c r="EH343">
        <v>265</v>
      </c>
      <c r="EI343">
        <v>265</v>
      </c>
      <c r="EJ343">
        <v>305</v>
      </c>
      <c r="EL343" t="s">
        <v>4387</v>
      </c>
      <c r="EM343" t="s">
        <v>2522</v>
      </c>
      <c r="EN343" t="s">
        <v>2523</v>
      </c>
      <c r="EO343">
        <v>5</v>
      </c>
      <c r="EP343" t="s">
        <v>2276</v>
      </c>
      <c r="EQ343" t="s">
        <v>2559</v>
      </c>
      <c r="ER343" t="s">
        <v>2560</v>
      </c>
      <c r="ES343">
        <v>113625</v>
      </c>
      <c r="ET343">
        <v>113625</v>
      </c>
      <c r="EU343">
        <v>113625</v>
      </c>
      <c r="EV343">
        <v>113625</v>
      </c>
    </row>
    <row r="344" ht="15" customHeight="1" spans="111:152" x14ac:dyDescent="0.25">
      <c r="DG344" t="s">
        <v>4388</v>
      </c>
      <c r="DH344" t="s">
        <v>82</v>
      </c>
      <c r="DI344" t="s">
        <v>1670</v>
      </c>
      <c r="DJ344" t="s">
        <v>1671</v>
      </c>
      <c r="DK344" t="s">
        <v>668</v>
      </c>
      <c r="DL344">
        <v>3.85</v>
      </c>
      <c r="DM344" t="s">
        <v>670</v>
      </c>
      <c r="DN344" t="s">
        <v>669</v>
      </c>
      <c r="DO344">
        <v>0</v>
      </c>
      <c r="DP344">
        <v>0</v>
      </c>
      <c r="DQ344">
        <v>6.56</v>
      </c>
      <c r="DR344" t="s">
        <v>4389</v>
      </c>
      <c r="EB344" t="s">
        <v>4390</v>
      </c>
      <c r="EC344" t="s">
        <v>2597</v>
      </c>
      <c r="ED344" t="s">
        <v>2598</v>
      </c>
      <c r="EE344" t="s">
        <v>293</v>
      </c>
      <c r="EF344" t="s">
        <v>291</v>
      </c>
      <c r="EG344">
        <v>270</v>
      </c>
      <c r="EH344">
        <v>295</v>
      </c>
      <c r="EI344">
        <v>295</v>
      </c>
      <c r="EJ344">
        <v>340</v>
      </c>
      <c r="EL344" t="s">
        <v>4391</v>
      </c>
      <c r="EM344" t="s">
        <v>2522</v>
      </c>
      <c r="EN344" t="s">
        <v>2523</v>
      </c>
      <c r="EO344">
        <v>5.5</v>
      </c>
      <c r="EP344" t="s">
        <v>2252</v>
      </c>
      <c r="EQ344" t="s">
        <v>2572</v>
      </c>
      <c r="ER344" t="s">
        <v>2573</v>
      </c>
      <c r="ES344">
        <v>82850</v>
      </c>
      <c r="ET344">
        <v>82850</v>
      </c>
      <c r="EU344">
        <v>82850</v>
      </c>
      <c r="EV344">
        <v>82850</v>
      </c>
    </row>
    <row r="345" ht="15" customHeight="1" spans="111:152" x14ac:dyDescent="0.25">
      <c r="DG345" t="s">
        <v>4392</v>
      </c>
      <c r="DH345" t="s">
        <v>82</v>
      </c>
      <c r="DI345" t="s">
        <v>1673</v>
      </c>
      <c r="DJ345" t="s">
        <v>1674</v>
      </c>
      <c r="DK345" t="s">
        <v>668</v>
      </c>
      <c r="DL345">
        <v>3.85</v>
      </c>
      <c r="DM345" t="s">
        <v>670</v>
      </c>
      <c r="DN345" t="s">
        <v>669</v>
      </c>
      <c r="DO345">
        <v>0</v>
      </c>
      <c r="DP345">
        <v>0</v>
      </c>
      <c r="DQ345">
        <v>149.6</v>
      </c>
      <c r="DR345" t="s">
        <v>4393</v>
      </c>
      <c r="EB345" t="s">
        <v>4394</v>
      </c>
      <c r="EC345" t="s">
        <v>2597</v>
      </c>
      <c r="ED345" t="s">
        <v>2598</v>
      </c>
      <c r="EE345" t="s">
        <v>280</v>
      </c>
      <c r="EF345" t="s">
        <v>279</v>
      </c>
      <c r="EG345">
        <v>475</v>
      </c>
      <c r="EH345">
        <v>525</v>
      </c>
      <c r="EI345">
        <v>525</v>
      </c>
      <c r="EJ345">
        <v>605</v>
      </c>
      <c r="EL345" t="s">
        <v>4395</v>
      </c>
      <c r="EM345" t="s">
        <v>2522</v>
      </c>
      <c r="EN345" t="s">
        <v>2523</v>
      </c>
      <c r="EO345">
        <v>5.5</v>
      </c>
      <c r="EP345" t="s">
        <v>2276</v>
      </c>
      <c r="EQ345" t="s">
        <v>2586</v>
      </c>
      <c r="ER345" t="s">
        <v>2587</v>
      </c>
      <c r="ES345">
        <v>124275</v>
      </c>
      <c r="ET345">
        <v>124275</v>
      </c>
      <c r="EU345">
        <v>124275</v>
      </c>
      <c r="EV345">
        <v>124275</v>
      </c>
    </row>
    <row r="346" ht="15" customHeight="1" spans="111:152" x14ac:dyDescent="0.25">
      <c r="DG346" t="s">
        <v>4396</v>
      </c>
      <c r="DH346" t="s">
        <v>82</v>
      </c>
      <c r="DI346" t="s">
        <v>1676</v>
      </c>
      <c r="DJ346" t="s">
        <v>1677</v>
      </c>
      <c r="DK346" t="s">
        <v>668</v>
      </c>
      <c r="DL346">
        <v>3.85</v>
      </c>
      <c r="DM346" t="s">
        <v>670</v>
      </c>
      <c r="DN346" t="s">
        <v>669</v>
      </c>
      <c r="DO346">
        <v>0</v>
      </c>
      <c r="DP346">
        <v>0</v>
      </c>
      <c r="DQ346">
        <v>33.25</v>
      </c>
      <c r="DR346" t="s">
        <v>4397</v>
      </c>
      <c r="EB346" t="s">
        <v>4398</v>
      </c>
      <c r="EC346" t="s">
        <v>2597</v>
      </c>
      <c r="ED346" t="s">
        <v>2598</v>
      </c>
      <c r="EE346" t="s">
        <v>264</v>
      </c>
      <c r="EF346" t="s">
        <v>262</v>
      </c>
      <c r="EG346">
        <v>580</v>
      </c>
      <c r="EH346">
        <v>640</v>
      </c>
      <c r="EI346">
        <v>640</v>
      </c>
      <c r="EJ346">
        <v>735</v>
      </c>
      <c r="EL346" t="s">
        <v>4399</v>
      </c>
      <c r="EM346" t="s">
        <v>2522</v>
      </c>
      <c r="EN346" t="s">
        <v>2523</v>
      </c>
      <c r="EO346">
        <v>6</v>
      </c>
      <c r="EP346" t="s">
        <v>2252</v>
      </c>
      <c r="EQ346" t="s">
        <v>2601</v>
      </c>
      <c r="ER346" t="s">
        <v>2602</v>
      </c>
      <c r="ES346">
        <v>90350</v>
      </c>
      <c r="ET346">
        <v>90350</v>
      </c>
      <c r="EU346">
        <v>90350</v>
      </c>
      <c r="EV346">
        <v>90350</v>
      </c>
    </row>
    <row r="347" ht="15" customHeight="1" spans="111:152" x14ac:dyDescent="0.25">
      <c r="DG347" t="s">
        <v>4400</v>
      </c>
      <c r="DH347" t="s">
        <v>82</v>
      </c>
      <c r="DI347" t="s">
        <v>1679</v>
      </c>
      <c r="DJ347" t="s">
        <v>1680</v>
      </c>
      <c r="DK347" t="s">
        <v>668</v>
      </c>
      <c r="DL347">
        <v>3.85</v>
      </c>
      <c r="DM347" t="s">
        <v>670</v>
      </c>
      <c r="DN347" t="s">
        <v>669</v>
      </c>
      <c r="DO347">
        <v>0</v>
      </c>
      <c r="DP347">
        <v>0</v>
      </c>
      <c r="DQ347">
        <v>327.42</v>
      </c>
      <c r="DR347" t="s">
        <v>4401</v>
      </c>
      <c r="EB347" t="s">
        <v>4402</v>
      </c>
      <c r="EC347" t="s">
        <v>2597</v>
      </c>
      <c r="EE347" t="s">
        <v>278</v>
      </c>
      <c r="EL347" t="s">
        <v>4403</v>
      </c>
      <c r="EM347" t="s">
        <v>2522</v>
      </c>
      <c r="EN347" t="s">
        <v>2523</v>
      </c>
      <c r="EO347">
        <v>6</v>
      </c>
      <c r="EP347" t="s">
        <v>2276</v>
      </c>
      <c r="EQ347" t="s">
        <v>2615</v>
      </c>
      <c r="ER347" t="s">
        <v>2616</v>
      </c>
      <c r="ES347">
        <v>135525</v>
      </c>
      <c r="ET347">
        <v>135525</v>
      </c>
      <c r="EU347">
        <v>135525</v>
      </c>
      <c r="EV347">
        <v>135525</v>
      </c>
    </row>
    <row r="348" ht="15" customHeight="1" spans="111:152" x14ac:dyDescent="0.25">
      <c r="DG348" t="s">
        <v>4404</v>
      </c>
      <c r="DH348" t="s">
        <v>82</v>
      </c>
      <c r="DI348" t="s">
        <v>1682</v>
      </c>
      <c r="DJ348" t="s">
        <v>1683</v>
      </c>
      <c r="DK348" t="s">
        <v>668</v>
      </c>
      <c r="DL348">
        <v>3.85</v>
      </c>
      <c r="DM348" t="s">
        <v>669</v>
      </c>
      <c r="DN348" t="s">
        <v>670</v>
      </c>
      <c r="DO348">
        <v>2</v>
      </c>
      <c r="DP348">
        <v>36.3</v>
      </c>
      <c r="DQ348">
        <v>36.3</v>
      </c>
      <c r="DR348" t="s">
        <v>4405</v>
      </c>
      <c r="EB348" t="s">
        <v>4406</v>
      </c>
      <c r="EC348" t="s">
        <v>2597</v>
      </c>
      <c r="ED348" t="s">
        <v>2598</v>
      </c>
      <c r="EE348" t="s">
        <v>240</v>
      </c>
      <c r="EF348" t="s">
        <v>238</v>
      </c>
      <c r="EG348">
        <v>4335</v>
      </c>
      <c r="EH348">
        <v>4335</v>
      </c>
      <c r="EI348">
        <v>4335</v>
      </c>
      <c r="EJ348">
        <v>4335</v>
      </c>
      <c r="EL348" t="s">
        <v>4407</v>
      </c>
      <c r="EM348" t="s">
        <v>2522</v>
      </c>
      <c r="EN348" t="s">
        <v>2523</v>
      </c>
      <c r="EO348">
        <v>6.5</v>
      </c>
      <c r="EP348" t="s">
        <v>2252</v>
      </c>
      <c r="EQ348" t="s">
        <v>2628</v>
      </c>
      <c r="ER348" t="s">
        <v>2629</v>
      </c>
      <c r="ES348">
        <v>97300</v>
      </c>
      <c r="ET348">
        <v>97300</v>
      </c>
      <c r="EU348">
        <v>97300</v>
      </c>
      <c r="EV348">
        <v>97300</v>
      </c>
    </row>
    <row r="349" ht="15" customHeight="1" spans="111:152" x14ac:dyDescent="0.25">
      <c r="DG349" t="s">
        <v>4408</v>
      </c>
      <c r="DH349" t="s">
        <v>82</v>
      </c>
      <c r="DI349" t="s">
        <v>1685</v>
      </c>
      <c r="DJ349" t="s">
        <v>1686</v>
      </c>
      <c r="DK349" t="s">
        <v>668</v>
      </c>
      <c r="DL349">
        <v>3.85</v>
      </c>
      <c r="DM349" t="s">
        <v>670</v>
      </c>
      <c r="DN349" t="s">
        <v>669</v>
      </c>
      <c r="DO349">
        <v>0</v>
      </c>
      <c r="DP349">
        <v>0</v>
      </c>
      <c r="DQ349">
        <v>6.65</v>
      </c>
      <c r="DR349" t="s">
        <v>4409</v>
      </c>
      <c r="EB349" t="s">
        <v>4410</v>
      </c>
      <c r="EC349" t="s">
        <v>2597</v>
      </c>
      <c r="ED349" t="s">
        <v>2598</v>
      </c>
      <c r="EE349" t="s">
        <v>252</v>
      </c>
      <c r="EF349" t="s">
        <v>250</v>
      </c>
      <c r="EG349">
        <v>750</v>
      </c>
      <c r="EH349">
        <v>750</v>
      </c>
      <c r="EI349">
        <v>750</v>
      </c>
      <c r="EJ349">
        <v>750</v>
      </c>
      <c r="EL349" t="s">
        <v>4411</v>
      </c>
      <c r="EM349" t="s">
        <v>2522</v>
      </c>
      <c r="EN349" t="s">
        <v>2523</v>
      </c>
      <c r="EO349">
        <v>6.5</v>
      </c>
      <c r="EP349" t="s">
        <v>2276</v>
      </c>
      <c r="EQ349" t="s">
        <v>2644</v>
      </c>
      <c r="ER349" t="s">
        <v>2645</v>
      </c>
      <c r="ES349">
        <v>145950</v>
      </c>
      <c r="ET349">
        <v>145950</v>
      </c>
      <c r="EU349">
        <v>145950</v>
      </c>
      <c r="EV349">
        <v>145950</v>
      </c>
    </row>
    <row r="350" ht="15" customHeight="1" spans="111:152" x14ac:dyDescent="0.25">
      <c r="DG350" t="s">
        <v>4412</v>
      </c>
      <c r="DH350" t="s">
        <v>82</v>
      </c>
      <c r="DI350" t="s">
        <v>1688</v>
      </c>
      <c r="DJ350" t="s">
        <v>1689</v>
      </c>
      <c r="DK350" t="s">
        <v>668</v>
      </c>
      <c r="DL350">
        <v>3.85</v>
      </c>
      <c r="DM350" t="s">
        <v>670</v>
      </c>
      <c r="DN350" t="s">
        <v>669</v>
      </c>
      <c r="DO350">
        <v>0</v>
      </c>
      <c r="DP350">
        <v>0</v>
      </c>
      <c r="DQ350">
        <v>4.53</v>
      </c>
      <c r="DR350" t="s">
        <v>4413</v>
      </c>
      <c r="EB350" t="s">
        <v>4414</v>
      </c>
      <c r="EC350" t="s">
        <v>2597</v>
      </c>
      <c r="ED350" t="s">
        <v>2598</v>
      </c>
      <c r="EE350" t="s">
        <v>229</v>
      </c>
      <c r="EF350" t="s">
        <v>227</v>
      </c>
      <c r="EG350">
        <v>85</v>
      </c>
      <c r="EH350">
        <v>95</v>
      </c>
      <c r="EI350">
        <v>95</v>
      </c>
      <c r="EJ350">
        <v>110</v>
      </c>
      <c r="EL350" t="s">
        <v>4415</v>
      </c>
      <c r="EM350" t="s">
        <v>2522</v>
      </c>
      <c r="EN350" t="s">
        <v>2523</v>
      </c>
      <c r="EO350">
        <v>7</v>
      </c>
      <c r="EP350" t="s">
        <v>2252</v>
      </c>
      <c r="EQ350" t="s">
        <v>2659</v>
      </c>
      <c r="ER350" t="s">
        <v>2660</v>
      </c>
      <c r="ES350">
        <v>103350</v>
      </c>
      <c r="ET350">
        <v>103350</v>
      </c>
      <c r="EU350">
        <v>103350</v>
      </c>
      <c r="EV350">
        <v>103350</v>
      </c>
    </row>
    <row r="351" ht="15" customHeight="1" spans="111:152" x14ac:dyDescent="0.25">
      <c r="DG351" t="s">
        <v>4416</v>
      </c>
      <c r="DH351" t="s">
        <v>82</v>
      </c>
      <c r="DI351" t="s">
        <v>1691</v>
      </c>
      <c r="DJ351" t="s">
        <v>1692</v>
      </c>
      <c r="DK351" t="s">
        <v>668</v>
      </c>
      <c r="DL351">
        <v>3.85</v>
      </c>
      <c r="DM351" t="s">
        <v>670</v>
      </c>
      <c r="DN351" t="s">
        <v>669</v>
      </c>
      <c r="DO351">
        <v>0</v>
      </c>
      <c r="DP351">
        <v>0</v>
      </c>
      <c r="DQ351">
        <v>45.99</v>
      </c>
      <c r="DR351" t="s">
        <v>4417</v>
      </c>
      <c r="EB351" t="s">
        <v>4418</v>
      </c>
      <c r="EC351" t="s">
        <v>2597</v>
      </c>
      <c r="ED351" t="s">
        <v>2598</v>
      </c>
      <c r="EE351" t="s">
        <v>246</v>
      </c>
      <c r="EF351" t="s">
        <v>244</v>
      </c>
      <c r="EG351">
        <v>180</v>
      </c>
      <c r="EH351">
        <v>200</v>
      </c>
      <c r="EI351">
        <v>200</v>
      </c>
      <c r="EJ351">
        <v>230</v>
      </c>
      <c r="EL351" t="s">
        <v>4419</v>
      </c>
      <c r="EM351" t="s">
        <v>2522</v>
      </c>
      <c r="EN351" t="s">
        <v>2523</v>
      </c>
      <c r="EO351">
        <v>7</v>
      </c>
      <c r="EP351" t="s">
        <v>2276</v>
      </c>
      <c r="EQ351" t="s">
        <v>2673</v>
      </c>
      <c r="ER351" t="s">
        <v>2674</v>
      </c>
      <c r="ES351">
        <v>155025</v>
      </c>
      <c r="ET351">
        <v>155025</v>
      </c>
      <c r="EU351">
        <v>155025</v>
      </c>
      <c r="EV351">
        <v>155025</v>
      </c>
    </row>
    <row r="352" ht="15" customHeight="1" spans="111:152" x14ac:dyDescent="0.25">
      <c r="DG352" t="s">
        <v>4420</v>
      </c>
      <c r="DH352" t="s">
        <v>82</v>
      </c>
      <c r="DI352" t="s">
        <v>1694</v>
      </c>
      <c r="DJ352" t="s">
        <v>1695</v>
      </c>
      <c r="DK352" t="s">
        <v>668</v>
      </c>
      <c r="DL352">
        <v>3.85</v>
      </c>
      <c r="DM352" t="s">
        <v>669</v>
      </c>
      <c r="DN352" t="s">
        <v>670</v>
      </c>
      <c r="DO352">
        <v>1</v>
      </c>
      <c r="DP352">
        <v>63.17</v>
      </c>
      <c r="DQ352">
        <v>63.17</v>
      </c>
      <c r="DR352" t="s">
        <v>4421</v>
      </c>
      <c r="EB352" t="s">
        <v>4422</v>
      </c>
      <c r="EC352" t="s">
        <v>2597</v>
      </c>
      <c r="EE352" t="s">
        <v>255</v>
      </c>
      <c r="EL352" t="s">
        <v>4423</v>
      </c>
      <c r="EM352" t="s">
        <v>2522</v>
      </c>
      <c r="EN352" t="s">
        <v>2523</v>
      </c>
      <c r="EO352">
        <v>7.5</v>
      </c>
      <c r="EP352" t="s">
        <v>2252</v>
      </c>
      <c r="EQ352" t="s">
        <v>2686</v>
      </c>
      <c r="ER352" t="s">
        <v>3547</v>
      </c>
      <c r="ES352">
        <v>109750</v>
      </c>
      <c r="ET352">
        <v>109750</v>
      </c>
      <c r="EU352">
        <v>109750</v>
      </c>
      <c r="EV352">
        <v>109750</v>
      </c>
    </row>
    <row r="353" ht="15" customHeight="1" spans="111:152" x14ac:dyDescent="0.25">
      <c r="DG353" t="s">
        <v>4424</v>
      </c>
      <c r="DH353" t="s">
        <v>82</v>
      </c>
      <c r="DI353" t="s">
        <v>1697</v>
      </c>
      <c r="DJ353" t="s">
        <v>1698</v>
      </c>
      <c r="DK353" t="s">
        <v>668</v>
      </c>
      <c r="DL353">
        <v>3.85</v>
      </c>
      <c r="DM353" t="s">
        <v>670</v>
      </c>
      <c r="DN353" t="s">
        <v>669</v>
      </c>
      <c r="DO353">
        <v>0</v>
      </c>
      <c r="DP353">
        <v>0</v>
      </c>
      <c r="DQ353">
        <v>24.56</v>
      </c>
      <c r="DR353" t="s">
        <v>4425</v>
      </c>
      <c r="EB353" t="s">
        <v>4426</v>
      </c>
      <c r="EC353" t="s">
        <v>2597</v>
      </c>
      <c r="EE353" t="s">
        <v>243</v>
      </c>
      <c r="EL353" t="s">
        <v>4427</v>
      </c>
      <c r="EM353" t="s">
        <v>2522</v>
      </c>
      <c r="EN353" t="s">
        <v>2523</v>
      </c>
      <c r="EO353">
        <v>7.5</v>
      </c>
      <c r="EP353" t="s">
        <v>2276</v>
      </c>
      <c r="EQ353" t="s">
        <v>2701</v>
      </c>
      <c r="ER353" t="s">
        <v>2702</v>
      </c>
      <c r="ES353">
        <v>164625</v>
      </c>
      <c r="ET353">
        <v>164625</v>
      </c>
      <c r="EU353">
        <v>164625</v>
      </c>
      <c r="EV353">
        <v>164625</v>
      </c>
    </row>
    <row r="354" ht="15" customHeight="1" spans="111:152" x14ac:dyDescent="0.25">
      <c r="DG354" t="s">
        <v>4428</v>
      </c>
      <c r="DH354" t="s">
        <v>82</v>
      </c>
      <c r="DI354" t="s">
        <v>1700</v>
      </c>
      <c r="DJ354" t="s">
        <v>1701</v>
      </c>
      <c r="DK354" t="s">
        <v>668</v>
      </c>
      <c r="DL354">
        <v>3.85</v>
      </c>
      <c r="DM354" t="s">
        <v>670</v>
      </c>
      <c r="DN354" t="s">
        <v>669</v>
      </c>
      <c r="DO354">
        <v>0</v>
      </c>
      <c r="DP354">
        <v>0</v>
      </c>
      <c r="DQ354">
        <v>31.7</v>
      </c>
      <c r="DR354" t="s">
        <v>4429</v>
      </c>
      <c r="EB354" t="s">
        <v>4430</v>
      </c>
      <c r="EC354" t="s">
        <v>2597</v>
      </c>
      <c r="ED354" t="s">
        <v>2598</v>
      </c>
      <c r="EE354" t="s">
        <v>261</v>
      </c>
      <c r="EF354" t="s">
        <v>259</v>
      </c>
      <c r="EG354">
        <v>1</v>
      </c>
      <c r="EH354">
        <v>1</v>
      </c>
      <c r="EI354">
        <v>1</v>
      </c>
      <c r="EJ354">
        <v>1</v>
      </c>
      <c r="EL354" t="s">
        <v>4431</v>
      </c>
      <c r="EM354" t="s">
        <v>2522</v>
      </c>
      <c r="EN354" t="s">
        <v>2523</v>
      </c>
      <c r="EO354">
        <v>8</v>
      </c>
      <c r="EP354" t="s">
        <v>2252</v>
      </c>
      <c r="EQ354" t="s">
        <v>2715</v>
      </c>
      <c r="ER354" t="s">
        <v>2716</v>
      </c>
      <c r="ES354">
        <v>114900</v>
      </c>
      <c r="ET354">
        <v>114900</v>
      </c>
      <c r="EU354">
        <v>114900</v>
      </c>
      <c r="EV354">
        <v>114900</v>
      </c>
    </row>
    <row r="355" ht="15" customHeight="1" spans="111:152" x14ac:dyDescent="0.25">
      <c r="DG355" t="s">
        <v>4432</v>
      </c>
      <c r="DH355" t="s">
        <v>82</v>
      </c>
      <c r="DI355" t="s">
        <v>1703</v>
      </c>
      <c r="DJ355" t="s">
        <v>1579</v>
      </c>
      <c r="DK355" t="s">
        <v>668</v>
      </c>
      <c r="DL355">
        <v>3.85</v>
      </c>
      <c r="DM355" t="s">
        <v>670</v>
      </c>
      <c r="DN355" t="s">
        <v>669</v>
      </c>
      <c r="DO355">
        <v>0</v>
      </c>
      <c r="DP355">
        <v>0</v>
      </c>
      <c r="DQ355">
        <v>0</v>
      </c>
      <c r="DR355" t="s">
        <v>4235</v>
      </c>
      <c r="EB355" t="s">
        <v>4433</v>
      </c>
      <c r="EC355" t="s">
        <v>2597</v>
      </c>
      <c r="EE355" t="s">
        <v>296</v>
      </c>
      <c r="EL355" t="s">
        <v>4434</v>
      </c>
      <c r="EM355" t="s">
        <v>2522</v>
      </c>
      <c r="EN355" t="s">
        <v>2523</v>
      </c>
      <c r="EO355">
        <v>8</v>
      </c>
      <c r="EP355" t="s">
        <v>2276</v>
      </c>
      <c r="EQ355" t="s">
        <v>2728</v>
      </c>
      <c r="ER355" t="s">
        <v>2729</v>
      </c>
      <c r="ES355">
        <v>172350</v>
      </c>
      <c r="ET355">
        <v>172350</v>
      </c>
      <c r="EU355">
        <v>172350</v>
      </c>
      <c r="EV355">
        <v>172350</v>
      </c>
    </row>
    <row r="356" ht="15" customHeight="1" spans="111:140" x14ac:dyDescent="0.25">
      <c r="DG356" t="s">
        <v>4435</v>
      </c>
      <c r="DH356" t="s">
        <v>82</v>
      </c>
      <c r="DI356" t="s">
        <v>1705</v>
      </c>
      <c r="DJ356" t="s">
        <v>1706</v>
      </c>
      <c r="DK356" t="s">
        <v>668</v>
      </c>
      <c r="DL356">
        <v>3.85</v>
      </c>
      <c r="DM356" t="s">
        <v>670</v>
      </c>
      <c r="DN356" t="s">
        <v>669</v>
      </c>
      <c r="DO356">
        <v>0</v>
      </c>
      <c r="DP356">
        <v>0</v>
      </c>
      <c r="DQ356">
        <v>152</v>
      </c>
      <c r="DR356" t="s">
        <v>4436</v>
      </c>
      <c r="EB356" t="s">
        <v>4437</v>
      </c>
      <c r="EC356" t="s">
        <v>2449</v>
      </c>
      <c r="ED356" t="s">
        <v>2450</v>
      </c>
      <c r="EE356" t="s">
        <v>620</v>
      </c>
      <c r="EF356" t="s">
        <v>2250</v>
      </c>
      <c r="EG356">
        <v>580</v>
      </c>
      <c r="EH356">
        <v>650</v>
      </c>
      <c r="EI356">
        <v>740</v>
      </c>
      <c r="EJ356">
        <v>790</v>
      </c>
    </row>
    <row r="357" ht="15" customHeight="1" spans="111:140" x14ac:dyDescent="0.25">
      <c r="DG357" t="s">
        <v>4438</v>
      </c>
      <c r="DH357" t="s">
        <v>82</v>
      </c>
      <c r="DI357" t="s">
        <v>1708</v>
      </c>
      <c r="DJ357" t="s">
        <v>1709</v>
      </c>
      <c r="DK357" t="s">
        <v>668</v>
      </c>
      <c r="DL357">
        <v>3.85</v>
      </c>
      <c r="DM357" t="s">
        <v>670</v>
      </c>
      <c r="DN357" t="s">
        <v>669</v>
      </c>
      <c r="DO357">
        <v>0</v>
      </c>
      <c r="DP357">
        <v>0</v>
      </c>
      <c r="DQ357">
        <v>66.36</v>
      </c>
      <c r="DR357" t="s">
        <v>4439</v>
      </c>
      <c r="EB357" t="s">
        <v>4440</v>
      </c>
      <c r="EC357" t="s">
        <v>2449</v>
      </c>
      <c r="ED357" t="s">
        <v>2450</v>
      </c>
      <c r="EE357" t="s">
        <v>618</v>
      </c>
      <c r="EF357" t="s">
        <v>2274</v>
      </c>
      <c r="EG357">
        <v>580</v>
      </c>
      <c r="EH357">
        <v>660</v>
      </c>
      <c r="EI357">
        <v>760</v>
      </c>
      <c r="EJ357">
        <v>800</v>
      </c>
    </row>
    <row r="358" ht="15" customHeight="1" spans="111:140" x14ac:dyDescent="0.25">
      <c r="DG358" t="s">
        <v>4441</v>
      </c>
      <c r="DH358" t="s">
        <v>82</v>
      </c>
      <c r="DI358" t="s">
        <v>1711</v>
      </c>
      <c r="DJ358" t="s">
        <v>1712</v>
      </c>
      <c r="DK358" t="s">
        <v>668</v>
      </c>
      <c r="DL358">
        <v>3.85</v>
      </c>
      <c r="DM358" t="s">
        <v>670</v>
      </c>
      <c r="DN358" t="s">
        <v>669</v>
      </c>
      <c r="DO358">
        <v>0</v>
      </c>
      <c r="DP358">
        <v>0</v>
      </c>
      <c r="DQ358">
        <v>19.9</v>
      </c>
      <c r="DR358" t="s">
        <v>4442</v>
      </c>
      <c r="EB358" t="s">
        <v>4443</v>
      </c>
      <c r="EC358" t="s">
        <v>2449</v>
      </c>
      <c r="ED358" t="s">
        <v>2450</v>
      </c>
      <c r="EE358" t="s">
        <v>616</v>
      </c>
      <c r="EF358" t="s">
        <v>2291</v>
      </c>
      <c r="EG358">
        <v>2020</v>
      </c>
      <c r="EH358">
        <v>2320</v>
      </c>
      <c r="EI358">
        <v>2620</v>
      </c>
      <c r="EJ358">
        <v>2830</v>
      </c>
    </row>
    <row r="359" ht="15" customHeight="1" spans="111:140" x14ac:dyDescent="0.25">
      <c r="DG359" t="s">
        <v>4444</v>
      </c>
      <c r="DH359" t="s">
        <v>82</v>
      </c>
      <c r="DI359" t="s">
        <v>1714</v>
      </c>
      <c r="DJ359" t="s">
        <v>1715</v>
      </c>
      <c r="DK359" t="s">
        <v>668</v>
      </c>
      <c r="DL359">
        <v>3.85</v>
      </c>
      <c r="DM359" t="s">
        <v>670</v>
      </c>
      <c r="DN359" t="s">
        <v>669</v>
      </c>
      <c r="DO359">
        <v>0</v>
      </c>
      <c r="DP359">
        <v>0</v>
      </c>
      <c r="DQ359">
        <v>9.66</v>
      </c>
      <c r="DR359" t="s">
        <v>4445</v>
      </c>
      <c r="EB359" t="s">
        <v>4446</v>
      </c>
      <c r="EC359" t="s">
        <v>2449</v>
      </c>
      <c r="ED359" t="s">
        <v>2450</v>
      </c>
      <c r="EE359" t="s">
        <v>614</v>
      </c>
      <c r="EF359" t="s">
        <v>2304</v>
      </c>
      <c r="EG359">
        <v>840</v>
      </c>
      <c r="EH359">
        <v>970</v>
      </c>
      <c r="EI359">
        <v>1100</v>
      </c>
      <c r="EJ359">
        <v>1170</v>
      </c>
    </row>
    <row r="360" ht="15" customHeight="1" spans="111:140" x14ac:dyDescent="0.25">
      <c r="DG360" t="s">
        <v>4447</v>
      </c>
      <c r="DH360" t="s">
        <v>82</v>
      </c>
      <c r="DI360" t="s">
        <v>1717</v>
      </c>
      <c r="DJ360" t="s">
        <v>1718</v>
      </c>
      <c r="DK360" t="s">
        <v>668</v>
      </c>
      <c r="DL360">
        <v>3.85</v>
      </c>
      <c r="DM360" t="s">
        <v>669</v>
      </c>
      <c r="DN360" t="s">
        <v>670</v>
      </c>
      <c r="DO360">
        <v>13</v>
      </c>
      <c r="DP360">
        <v>156</v>
      </c>
      <c r="DQ360">
        <v>156</v>
      </c>
      <c r="DR360" t="s">
        <v>4448</v>
      </c>
      <c r="EB360" t="s">
        <v>4449</v>
      </c>
      <c r="EC360" t="s">
        <v>2449</v>
      </c>
      <c r="ED360" t="s">
        <v>2450</v>
      </c>
      <c r="EE360" t="s">
        <v>612</v>
      </c>
      <c r="EF360" t="s">
        <v>2320</v>
      </c>
      <c r="EG360">
        <v>500</v>
      </c>
      <c r="EH360">
        <v>570</v>
      </c>
      <c r="EI360">
        <v>640</v>
      </c>
      <c r="EJ360">
        <v>680</v>
      </c>
    </row>
    <row r="361" ht="15" customHeight="1" spans="111:140" x14ac:dyDescent="0.25">
      <c r="DG361" t="s">
        <v>4450</v>
      </c>
      <c r="DH361" t="s">
        <v>82</v>
      </c>
      <c r="DI361" t="s">
        <v>1719</v>
      </c>
      <c r="DJ361" t="s">
        <v>1720</v>
      </c>
      <c r="DK361" t="s">
        <v>668</v>
      </c>
      <c r="DL361">
        <v>3.85</v>
      </c>
      <c r="DM361" t="s">
        <v>669</v>
      </c>
      <c r="DN361" t="s">
        <v>670</v>
      </c>
      <c r="DO361">
        <v>1</v>
      </c>
      <c r="DP361">
        <v>407.8</v>
      </c>
      <c r="DQ361">
        <v>407.8</v>
      </c>
      <c r="DR361" t="s">
        <v>4451</v>
      </c>
      <c r="EB361" t="s">
        <v>4452</v>
      </c>
      <c r="EC361" t="s">
        <v>2449</v>
      </c>
      <c r="ED361" t="s">
        <v>2450</v>
      </c>
      <c r="EE361" t="s">
        <v>610</v>
      </c>
      <c r="EF361" t="s">
        <v>2336</v>
      </c>
      <c r="EG361">
        <v>550</v>
      </c>
      <c r="EH361">
        <v>630</v>
      </c>
      <c r="EI361">
        <v>720</v>
      </c>
      <c r="EJ361">
        <v>770</v>
      </c>
    </row>
    <row r="362" ht="15" customHeight="1" spans="111:140" x14ac:dyDescent="0.25">
      <c r="DG362" t="s">
        <v>4453</v>
      </c>
      <c r="DH362" t="s">
        <v>82</v>
      </c>
      <c r="DI362" t="s">
        <v>1722</v>
      </c>
      <c r="DJ362" t="s">
        <v>1723</v>
      </c>
      <c r="DK362" t="s">
        <v>668</v>
      </c>
      <c r="DL362">
        <v>3.85</v>
      </c>
      <c r="DM362" t="s">
        <v>670</v>
      </c>
      <c r="DN362" t="s">
        <v>669</v>
      </c>
      <c r="DO362">
        <v>0</v>
      </c>
      <c r="DP362">
        <v>0</v>
      </c>
      <c r="DQ362">
        <v>0</v>
      </c>
      <c r="DR362" t="s">
        <v>4454</v>
      </c>
      <c r="EB362" t="s">
        <v>4455</v>
      </c>
      <c r="EC362" t="s">
        <v>2449</v>
      </c>
      <c r="ED362" t="s">
        <v>2450</v>
      </c>
      <c r="EE362" t="s">
        <v>608</v>
      </c>
      <c r="EF362" t="s">
        <v>2352</v>
      </c>
      <c r="EG362">
        <v>910</v>
      </c>
      <c r="EH362">
        <v>1050</v>
      </c>
      <c r="EI362">
        <v>1190</v>
      </c>
      <c r="EJ362">
        <v>1280</v>
      </c>
    </row>
    <row r="363" ht="15" customHeight="1" spans="111:140" x14ac:dyDescent="0.25">
      <c r="DG363" t="s">
        <v>4456</v>
      </c>
      <c r="DH363" t="s">
        <v>82</v>
      </c>
      <c r="DI363" t="s">
        <v>1725</v>
      </c>
      <c r="DJ363" t="s">
        <v>1726</v>
      </c>
      <c r="DK363" t="s">
        <v>668</v>
      </c>
      <c r="DL363">
        <v>3.85</v>
      </c>
      <c r="DM363" t="s">
        <v>669</v>
      </c>
      <c r="DN363" t="s">
        <v>670</v>
      </c>
      <c r="DO363">
        <v>5</v>
      </c>
      <c r="DP363">
        <v>127.55</v>
      </c>
      <c r="DQ363">
        <v>127.55</v>
      </c>
      <c r="DR363" t="s">
        <v>4457</v>
      </c>
      <c r="EB363" t="s">
        <v>4458</v>
      </c>
      <c r="EC363" t="s">
        <v>2449</v>
      </c>
      <c r="ED363" t="s">
        <v>2450</v>
      </c>
      <c r="EE363" t="s">
        <v>606</v>
      </c>
      <c r="EF363" t="s">
        <v>2371</v>
      </c>
      <c r="EG363">
        <v>720</v>
      </c>
      <c r="EH363">
        <v>830</v>
      </c>
      <c r="EI363">
        <v>940</v>
      </c>
      <c r="EJ363">
        <v>1010</v>
      </c>
    </row>
    <row r="364" ht="15" customHeight="1" spans="111:140" x14ac:dyDescent="0.25">
      <c r="DG364" t="s">
        <v>4459</v>
      </c>
      <c r="DH364" t="s">
        <v>82</v>
      </c>
      <c r="DI364" t="s">
        <v>1728</v>
      </c>
      <c r="DJ364" t="s">
        <v>1729</v>
      </c>
      <c r="DK364" t="s">
        <v>668</v>
      </c>
      <c r="DL364">
        <v>3.85</v>
      </c>
      <c r="DM364" t="s">
        <v>669</v>
      </c>
      <c r="DN364" t="s">
        <v>670</v>
      </c>
      <c r="DO364">
        <v>5</v>
      </c>
      <c r="DP364">
        <v>1031.25</v>
      </c>
      <c r="DQ364">
        <v>1031.25</v>
      </c>
      <c r="DR364" t="s">
        <v>4460</v>
      </c>
      <c r="EB364" t="s">
        <v>4461</v>
      </c>
      <c r="EC364" t="s">
        <v>2449</v>
      </c>
      <c r="ED364" t="s">
        <v>2450</v>
      </c>
      <c r="EE364" t="s">
        <v>603</v>
      </c>
      <c r="EF364" t="s">
        <v>2387</v>
      </c>
      <c r="EG364">
        <v>350</v>
      </c>
      <c r="EH364">
        <v>350</v>
      </c>
      <c r="EI364">
        <v>350</v>
      </c>
      <c r="EJ364">
        <v>350</v>
      </c>
    </row>
    <row r="365" ht="15" customHeight="1" spans="111:140" x14ac:dyDescent="0.25">
      <c r="DG365" t="s">
        <v>4462</v>
      </c>
      <c r="DH365" t="s">
        <v>82</v>
      </c>
      <c r="DI365" t="s">
        <v>1731</v>
      </c>
      <c r="DJ365" t="s">
        <v>1732</v>
      </c>
      <c r="DK365" t="s">
        <v>668</v>
      </c>
      <c r="DL365">
        <v>3.85</v>
      </c>
      <c r="DM365" t="s">
        <v>670</v>
      </c>
      <c r="DN365" t="s">
        <v>669</v>
      </c>
      <c r="DO365">
        <v>0</v>
      </c>
      <c r="DP365">
        <v>0</v>
      </c>
      <c r="DQ365">
        <v>15.74</v>
      </c>
      <c r="DR365" t="s">
        <v>4463</v>
      </c>
      <c r="EB365" t="s">
        <v>4464</v>
      </c>
      <c r="EC365" t="s">
        <v>2449</v>
      </c>
      <c r="ED365" t="s">
        <v>2450</v>
      </c>
      <c r="EE365" t="s">
        <v>601</v>
      </c>
      <c r="EF365" t="s">
        <v>2404</v>
      </c>
      <c r="EG365">
        <v>1120</v>
      </c>
      <c r="EH365">
        <v>1120</v>
      </c>
      <c r="EI365">
        <v>1120</v>
      </c>
      <c r="EJ365">
        <v>1120</v>
      </c>
    </row>
    <row r="366" ht="15" customHeight="1" spans="111:140" x14ac:dyDescent="0.25">
      <c r="DG366" t="s">
        <v>4465</v>
      </c>
      <c r="DH366" t="s">
        <v>82</v>
      </c>
      <c r="DI366" t="s">
        <v>1734</v>
      </c>
      <c r="DJ366" t="s">
        <v>1735</v>
      </c>
      <c r="DK366" t="s">
        <v>668</v>
      </c>
      <c r="DL366">
        <v>3.85</v>
      </c>
      <c r="DM366" t="s">
        <v>670</v>
      </c>
      <c r="DN366" t="s">
        <v>669</v>
      </c>
      <c r="DO366">
        <v>0</v>
      </c>
      <c r="DP366">
        <v>0</v>
      </c>
      <c r="DQ366">
        <v>378.6</v>
      </c>
      <c r="DR366" t="s">
        <v>4466</v>
      </c>
      <c r="EB366" t="s">
        <v>4467</v>
      </c>
      <c r="EC366" t="s">
        <v>2449</v>
      </c>
      <c r="ED366" t="s">
        <v>2450</v>
      </c>
      <c r="EE366" t="s">
        <v>599</v>
      </c>
      <c r="EF366" t="s">
        <v>2421</v>
      </c>
      <c r="EG366">
        <v>1230</v>
      </c>
      <c r="EH366">
        <v>1230</v>
      </c>
      <c r="EI366">
        <v>1230</v>
      </c>
      <c r="EJ366">
        <v>1230</v>
      </c>
    </row>
    <row r="367" ht="15" customHeight="1" spans="111:140" x14ac:dyDescent="0.25">
      <c r="DG367" t="s">
        <v>4468</v>
      </c>
      <c r="DH367" t="s">
        <v>82</v>
      </c>
      <c r="DI367" t="s">
        <v>1737</v>
      </c>
      <c r="DJ367" t="s">
        <v>1738</v>
      </c>
      <c r="DK367" t="s">
        <v>668</v>
      </c>
      <c r="DL367">
        <v>3.85</v>
      </c>
      <c r="DM367" t="s">
        <v>670</v>
      </c>
      <c r="DN367" t="s">
        <v>669</v>
      </c>
      <c r="DO367">
        <v>0</v>
      </c>
      <c r="DP367">
        <v>0</v>
      </c>
      <c r="DQ367">
        <v>69.18</v>
      </c>
      <c r="DR367" t="s">
        <v>4469</v>
      </c>
      <c r="EB367" t="s">
        <v>4470</v>
      </c>
      <c r="EC367" t="s">
        <v>2449</v>
      </c>
      <c r="ED367" t="s">
        <v>2450</v>
      </c>
      <c r="EE367" t="s">
        <v>623</v>
      </c>
      <c r="EF367" t="s">
        <v>2437</v>
      </c>
      <c r="EG367">
        <v>1890</v>
      </c>
      <c r="EH367">
        <v>1890</v>
      </c>
      <c r="EI367">
        <v>1890</v>
      </c>
      <c r="EJ367">
        <v>1890</v>
      </c>
    </row>
    <row r="368" ht="15" customHeight="1" spans="111:135" x14ac:dyDescent="0.25">
      <c r="DG368" t="s">
        <v>4471</v>
      </c>
      <c r="DH368" t="s">
        <v>82</v>
      </c>
      <c r="DI368" t="s">
        <v>1740</v>
      </c>
      <c r="DJ368" t="s">
        <v>1741</v>
      </c>
      <c r="DK368" t="s">
        <v>668</v>
      </c>
      <c r="DL368">
        <v>3.85</v>
      </c>
      <c r="DM368" t="s">
        <v>670</v>
      </c>
      <c r="DN368" t="s">
        <v>669</v>
      </c>
      <c r="DO368">
        <v>0</v>
      </c>
      <c r="DP368">
        <v>0</v>
      </c>
      <c r="DQ368">
        <v>33.92</v>
      </c>
      <c r="DR368" t="s">
        <v>4472</v>
      </c>
      <c r="EB368" t="s">
        <v>4473</v>
      </c>
      <c r="EC368" t="s">
        <v>2449</v>
      </c>
      <c r="EE368" t="s">
        <v>596</v>
      </c>
    </row>
    <row r="369" ht="15" customHeight="1" spans="111:135" x14ac:dyDescent="0.25">
      <c r="DG369" t="s">
        <v>4474</v>
      </c>
      <c r="DH369" t="s">
        <v>82</v>
      </c>
      <c r="DI369" t="s">
        <v>1743</v>
      </c>
      <c r="DJ369" t="s">
        <v>1744</v>
      </c>
      <c r="DK369" t="s">
        <v>668</v>
      </c>
      <c r="DL369">
        <v>3.85</v>
      </c>
      <c r="DM369" t="s">
        <v>670</v>
      </c>
      <c r="DN369" t="s">
        <v>669</v>
      </c>
      <c r="DO369">
        <v>0</v>
      </c>
      <c r="DP369">
        <v>0</v>
      </c>
      <c r="DQ369">
        <v>832</v>
      </c>
      <c r="DR369" t="s">
        <v>4475</v>
      </c>
      <c r="EB369" t="s">
        <v>4476</v>
      </c>
      <c r="EC369" t="s">
        <v>2449</v>
      </c>
      <c r="EE369" t="s">
        <v>593</v>
      </c>
    </row>
    <row r="370" ht="15" customHeight="1" spans="111:140" x14ac:dyDescent="0.25">
      <c r="DG370" t="s">
        <v>4477</v>
      </c>
      <c r="DH370" t="s">
        <v>82</v>
      </c>
      <c r="DI370" t="s">
        <v>1746</v>
      </c>
      <c r="DJ370" t="s">
        <v>1747</v>
      </c>
      <c r="DK370" t="s">
        <v>668</v>
      </c>
      <c r="DL370">
        <v>3.85</v>
      </c>
      <c r="DM370" t="s">
        <v>670</v>
      </c>
      <c r="DN370" t="s">
        <v>669</v>
      </c>
      <c r="DO370">
        <v>0</v>
      </c>
      <c r="DP370">
        <v>0</v>
      </c>
      <c r="DQ370">
        <v>84.4</v>
      </c>
      <c r="DR370" t="s">
        <v>4478</v>
      </c>
      <c r="EB370" t="s">
        <v>4479</v>
      </c>
      <c r="EC370" t="s">
        <v>2449</v>
      </c>
      <c r="ED370" t="s">
        <v>2450</v>
      </c>
      <c r="EE370" t="s">
        <v>591</v>
      </c>
      <c r="EF370" t="s">
        <v>3058</v>
      </c>
      <c r="EG370">
        <v>1000</v>
      </c>
      <c r="EH370">
        <v>1000</v>
      </c>
      <c r="EI370">
        <v>1000</v>
      </c>
      <c r="EJ370">
        <v>1000</v>
      </c>
    </row>
    <row r="371" ht="15" customHeight="1" spans="111:140" x14ac:dyDescent="0.25">
      <c r="DG371" t="s">
        <v>4480</v>
      </c>
      <c r="DH371" t="s">
        <v>82</v>
      </c>
      <c r="DI371" t="s">
        <v>1749</v>
      </c>
      <c r="DJ371" t="s">
        <v>1750</v>
      </c>
      <c r="DK371" t="s">
        <v>668</v>
      </c>
      <c r="DL371">
        <v>3.85</v>
      </c>
      <c r="DM371" t="s">
        <v>670</v>
      </c>
      <c r="DN371" t="s">
        <v>669</v>
      </c>
      <c r="DO371">
        <v>0</v>
      </c>
      <c r="DP371">
        <v>0</v>
      </c>
      <c r="DQ371">
        <v>53.62</v>
      </c>
      <c r="DR371" t="s">
        <v>4481</v>
      </c>
      <c r="EB371" t="s">
        <v>4482</v>
      </c>
      <c r="EC371" t="s">
        <v>2449</v>
      </c>
      <c r="ED371" t="s">
        <v>2450</v>
      </c>
      <c r="EE371" t="s">
        <v>2423</v>
      </c>
      <c r="EF371" t="s">
        <v>2424</v>
      </c>
      <c r="EG371">
        <v>53270</v>
      </c>
      <c r="EH371">
        <v>53270</v>
      </c>
      <c r="EI371">
        <v>53270</v>
      </c>
      <c r="EJ371">
        <v>53270</v>
      </c>
    </row>
    <row r="372" ht="15" customHeight="1" spans="111:135" x14ac:dyDescent="0.25">
      <c r="DG372" t="s">
        <v>4483</v>
      </c>
      <c r="DH372" t="s">
        <v>82</v>
      </c>
      <c r="DI372" t="s">
        <v>1752</v>
      </c>
      <c r="DJ372" t="s">
        <v>1753</v>
      </c>
      <c r="DK372" t="s">
        <v>668</v>
      </c>
      <c r="DL372">
        <v>3.85</v>
      </c>
      <c r="DM372" t="s">
        <v>670</v>
      </c>
      <c r="DN372" t="s">
        <v>669</v>
      </c>
      <c r="DO372">
        <v>0</v>
      </c>
      <c r="DP372">
        <v>0</v>
      </c>
      <c r="DQ372">
        <v>30.25</v>
      </c>
      <c r="DR372" t="s">
        <v>4484</v>
      </c>
      <c r="EB372" t="s">
        <v>4485</v>
      </c>
      <c r="EC372" t="s">
        <v>2449</v>
      </c>
      <c r="EE372" t="s">
        <v>584</v>
      </c>
    </row>
    <row r="373" ht="15" customHeight="1" spans="111:140" x14ac:dyDescent="0.25">
      <c r="DG373" t="s">
        <v>4486</v>
      </c>
      <c r="DH373" t="s">
        <v>82</v>
      </c>
      <c r="DI373" t="s">
        <v>1755</v>
      </c>
      <c r="DJ373" t="s">
        <v>1756</v>
      </c>
      <c r="DK373" t="s">
        <v>668</v>
      </c>
      <c r="DL373">
        <v>3.85</v>
      </c>
      <c r="DM373" t="s">
        <v>670</v>
      </c>
      <c r="DN373" t="s">
        <v>669</v>
      </c>
      <c r="DO373">
        <v>0</v>
      </c>
      <c r="DP373">
        <v>0</v>
      </c>
      <c r="DQ373">
        <v>7.53</v>
      </c>
      <c r="DR373" t="s">
        <v>4487</v>
      </c>
      <c r="EB373" t="s">
        <v>4488</v>
      </c>
      <c r="EC373" t="s">
        <v>2449</v>
      </c>
      <c r="ED373" t="s">
        <v>2450</v>
      </c>
      <c r="EE373" t="s">
        <v>582</v>
      </c>
      <c r="EF373" t="s">
        <v>2525</v>
      </c>
      <c r="EG373">
        <v>710</v>
      </c>
      <c r="EH373">
        <v>810</v>
      </c>
      <c r="EI373">
        <v>920</v>
      </c>
      <c r="EJ373">
        <v>990</v>
      </c>
    </row>
    <row r="374" ht="15" customHeight="1" spans="111:140" x14ac:dyDescent="0.25">
      <c r="DG374" t="s">
        <v>4489</v>
      </c>
      <c r="DH374" t="s">
        <v>82</v>
      </c>
      <c r="DI374" t="s">
        <v>1758</v>
      </c>
      <c r="DJ374" t="s">
        <v>1759</v>
      </c>
      <c r="DK374" t="s">
        <v>668</v>
      </c>
      <c r="DL374">
        <v>3.85</v>
      </c>
      <c r="DM374" t="s">
        <v>670</v>
      </c>
      <c r="DN374" t="s">
        <v>669</v>
      </c>
      <c r="DO374">
        <v>0</v>
      </c>
      <c r="DP374">
        <v>0</v>
      </c>
      <c r="DQ374">
        <v>14.2</v>
      </c>
      <c r="DR374" t="s">
        <v>4490</v>
      </c>
      <c r="EB374" t="s">
        <v>4491</v>
      </c>
      <c r="EC374" t="s">
        <v>2449</v>
      </c>
      <c r="ED374" t="s">
        <v>2450</v>
      </c>
      <c r="EE374" t="s">
        <v>580</v>
      </c>
      <c r="EF374" t="s">
        <v>2539</v>
      </c>
      <c r="EG374">
        <v>11280</v>
      </c>
      <c r="EH374">
        <v>12970</v>
      </c>
      <c r="EI374">
        <v>14660</v>
      </c>
      <c r="EJ374">
        <v>15790</v>
      </c>
    </row>
    <row r="375" ht="15" customHeight="1" spans="111:140" x14ac:dyDescent="0.25">
      <c r="DG375" t="s">
        <v>4492</v>
      </c>
      <c r="DH375" t="s">
        <v>82</v>
      </c>
      <c r="DI375" t="s">
        <v>1761</v>
      </c>
      <c r="DJ375" t="s">
        <v>1762</v>
      </c>
      <c r="DK375" t="s">
        <v>668</v>
      </c>
      <c r="DL375">
        <v>3.85</v>
      </c>
      <c r="DM375" t="s">
        <v>670</v>
      </c>
      <c r="DN375" t="s">
        <v>669</v>
      </c>
      <c r="DO375">
        <v>0</v>
      </c>
      <c r="DP375">
        <v>0</v>
      </c>
      <c r="DQ375">
        <v>18</v>
      </c>
      <c r="DR375" t="s">
        <v>4493</v>
      </c>
      <c r="EB375" t="s">
        <v>4494</v>
      </c>
      <c r="EC375" t="s">
        <v>2449</v>
      </c>
      <c r="ED375" t="s">
        <v>2450</v>
      </c>
      <c r="EE375" t="s">
        <v>578</v>
      </c>
      <c r="EF375" t="s">
        <v>577</v>
      </c>
      <c r="EG375">
        <v>120000</v>
      </c>
      <c r="EH375">
        <v>120000</v>
      </c>
      <c r="EI375">
        <v>120000</v>
      </c>
      <c r="EJ375">
        <v>120000</v>
      </c>
    </row>
    <row r="376" ht="15" customHeight="1" spans="111:140" x14ac:dyDescent="0.25">
      <c r="DG376" t="s">
        <v>4495</v>
      </c>
      <c r="DH376" t="s">
        <v>82</v>
      </c>
      <c r="DI376" t="s">
        <v>1763</v>
      </c>
      <c r="DJ376" t="s">
        <v>1764</v>
      </c>
      <c r="DK376" t="s">
        <v>668</v>
      </c>
      <c r="DL376">
        <v>3.85</v>
      </c>
      <c r="DM376" t="s">
        <v>670</v>
      </c>
      <c r="DN376" t="s">
        <v>669</v>
      </c>
      <c r="DO376">
        <v>0</v>
      </c>
      <c r="DP376">
        <v>0</v>
      </c>
      <c r="DQ376">
        <v>14.39</v>
      </c>
      <c r="DR376" t="s">
        <v>4496</v>
      </c>
      <c r="EB376" t="s">
        <v>4497</v>
      </c>
      <c r="EC376" t="s">
        <v>2449</v>
      </c>
      <c r="ED376" t="s">
        <v>2450</v>
      </c>
      <c r="EE376" t="s">
        <v>327</v>
      </c>
      <c r="EF376" t="s">
        <v>328</v>
      </c>
      <c r="EG376">
        <v>1200</v>
      </c>
      <c r="EH376">
        <v>1370</v>
      </c>
      <c r="EI376">
        <v>1560</v>
      </c>
      <c r="EJ376">
        <v>1660</v>
      </c>
    </row>
    <row r="377" ht="15" customHeight="1" spans="111:140" x14ac:dyDescent="0.25">
      <c r="DG377" t="s">
        <v>4498</v>
      </c>
      <c r="DH377" t="s">
        <v>82</v>
      </c>
      <c r="DI377" t="s">
        <v>1766</v>
      </c>
      <c r="DJ377" t="s">
        <v>1767</v>
      </c>
      <c r="DK377" t="s">
        <v>668</v>
      </c>
      <c r="DL377">
        <v>3.85</v>
      </c>
      <c r="DM377" t="s">
        <v>670</v>
      </c>
      <c r="DN377" t="s">
        <v>669</v>
      </c>
      <c r="DO377">
        <v>0</v>
      </c>
      <c r="DP377">
        <v>0</v>
      </c>
      <c r="DQ377">
        <v>31.8</v>
      </c>
      <c r="DR377" t="s">
        <v>4499</v>
      </c>
      <c r="EB377" t="s">
        <v>4500</v>
      </c>
      <c r="EC377" t="s">
        <v>2449</v>
      </c>
      <c r="ED377" t="s">
        <v>2450</v>
      </c>
      <c r="EE377" t="s">
        <v>330</v>
      </c>
      <c r="EF377" t="s">
        <v>331</v>
      </c>
      <c r="EG377">
        <v>640</v>
      </c>
      <c r="EH377">
        <v>730</v>
      </c>
      <c r="EI377">
        <v>810</v>
      </c>
      <c r="EJ377">
        <v>890</v>
      </c>
    </row>
    <row r="378" ht="15" customHeight="1" spans="111:135" x14ac:dyDescent="0.25">
      <c r="DG378" t="s">
        <v>4501</v>
      </c>
      <c r="DH378" t="s">
        <v>82</v>
      </c>
      <c r="DI378" t="s">
        <v>1769</v>
      </c>
      <c r="DJ378" t="s">
        <v>1770</v>
      </c>
      <c r="DK378" t="s">
        <v>668</v>
      </c>
      <c r="DL378">
        <v>3.85</v>
      </c>
      <c r="DM378" t="s">
        <v>670</v>
      </c>
      <c r="DN378" t="s">
        <v>669</v>
      </c>
      <c r="DO378">
        <v>0</v>
      </c>
      <c r="DP378">
        <v>0</v>
      </c>
      <c r="DQ378">
        <v>896.15</v>
      </c>
      <c r="DR378" t="s">
        <v>4502</v>
      </c>
      <c r="EB378" t="s">
        <v>4503</v>
      </c>
      <c r="EC378" t="s">
        <v>2449</v>
      </c>
      <c r="EE378" t="s">
        <v>576</v>
      </c>
    </row>
    <row r="379" ht="15" customHeight="1" spans="111:140" x14ac:dyDescent="0.25">
      <c r="DG379" t="s">
        <v>4504</v>
      </c>
      <c r="DH379" t="s">
        <v>82</v>
      </c>
      <c r="DI379" t="s">
        <v>1772</v>
      </c>
      <c r="DJ379" t="s">
        <v>1773</v>
      </c>
      <c r="DK379" t="s">
        <v>668</v>
      </c>
      <c r="DL379">
        <v>3.85</v>
      </c>
      <c r="DM379" t="s">
        <v>670</v>
      </c>
      <c r="DN379" t="s">
        <v>669</v>
      </c>
      <c r="DO379">
        <v>0</v>
      </c>
      <c r="DP379">
        <v>0</v>
      </c>
      <c r="DQ379">
        <v>4.2</v>
      </c>
      <c r="DR379" t="s">
        <v>4505</v>
      </c>
      <c r="EB379" t="s">
        <v>4506</v>
      </c>
      <c r="EC379" t="s">
        <v>2449</v>
      </c>
      <c r="ED379" t="s">
        <v>2450</v>
      </c>
      <c r="EE379" t="s">
        <v>573</v>
      </c>
      <c r="EF379" t="s">
        <v>2613</v>
      </c>
      <c r="EG379">
        <v>1510</v>
      </c>
      <c r="EH379">
        <v>1510</v>
      </c>
      <c r="EI379">
        <v>1510</v>
      </c>
      <c r="EJ379">
        <v>1510</v>
      </c>
    </row>
    <row r="380" ht="15" customHeight="1" spans="111:140" x14ac:dyDescent="0.25">
      <c r="DG380" t="s">
        <v>4507</v>
      </c>
      <c r="DH380" t="s">
        <v>82</v>
      </c>
      <c r="DI380" t="s">
        <v>1775</v>
      </c>
      <c r="DJ380" t="s">
        <v>1776</v>
      </c>
      <c r="DK380" t="s">
        <v>668</v>
      </c>
      <c r="DL380">
        <v>3.85</v>
      </c>
      <c r="DM380" t="s">
        <v>670</v>
      </c>
      <c r="DN380" t="s">
        <v>669</v>
      </c>
      <c r="DO380">
        <v>0</v>
      </c>
      <c r="DP380">
        <v>0</v>
      </c>
      <c r="DQ380">
        <v>3.06</v>
      </c>
      <c r="DR380" t="s">
        <v>4508</v>
      </c>
      <c r="EB380" t="s">
        <v>4509</v>
      </c>
      <c r="EC380" t="s">
        <v>2449</v>
      </c>
      <c r="ED380" t="s">
        <v>2450</v>
      </c>
      <c r="EE380" t="s">
        <v>569</v>
      </c>
      <c r="EF380" t="s">
        <v>567</v>
      </c>
      <c r="EG380">
        <v>1650</v>
      </c>
      <c r="EH380">
        <v>1650</v>
      </c>
      <c r="EI380">
        <v>1650</v>
      </c>
      <c r="EJ380">
        <v>1650</v>
      </c>
    </row>
    <row r="381" ht="15" customHeight="1" spans="111:140" x14ac:dyDescent="0.25">
      <c r="DG381" t="s">
        <v>4510</v>
      </c>
      <c r="DH381" t="s">
        <v>82</v>
      </c>
      <c r="DI381" t="s">
        <v>1778</v>
      </c>
      <c r="DJ381" t="s">
        <v>1580</v>
      </c>
      <c r="DK381" t="s">
        <v>668</v>
      </c>
      <c r="DL381">
        <v>3.85</v>
      </c>
      <c r="DM381" t="s">
        <v>670</v>
      </c>
      <c r="DN381" t="s">
        <v>669</v>
      </c>
      <c r="DO381">
        <v>0</v>
      </c>
      <c r="DP381">
        <v>0</v>
      </c>
      <c r="DQ381">
        <v>512.47</v>
      </c>
      <c r="DR381" t="s">
        <v>4257</v>
      </c>
      <c r="EB381" t="s">
        <v>4511</v>
      </c>
      <c r="EC381" t="s">
        <v>2449</v>
      </c>
      <c r="ED381" t="s">
        <v>2450</v>
      </c>
      <c r="EE381" t="s">
        <v>2641</v>
      </c>
      <c r="EF381" t="s">
        <v>4512</v>
      </c>
      <c r="EG381">
        <v>3000</v>
      </c>
      <c r="EH381">
        <v>3000</v>
      </c>
      <c r="EI381">
        <v>3000</v>
      </c>
      <c r="EJ381">
        <v>3000</v>
      </c>
    </row>
    <row r="382" ht="15" customHeight="1" spans="111:140" x14ac:dyDescent="0.25">
      <c r="DG382" t="s">
        <v>4513</v>
      </c>
      <c r="DH382" t="s">
        <v>82</v>
      </c>
      <c r="DI382" t="s">
        <v>1780</v>
      </c>
      <c r="DJ382" t="s">
        <v>1781</v>
      </c>
      <c r="DK382" t="s">
        <v>668</v>
      </c>
      <c r="DL382">
        <v>3.85</v>
      </c>
      <c r="DM382" t="s">
        <v>670</v>
      </c>
      <c r="DN382" t="s">
        <v>669</v>
      </c>
      <c r="DO382">
        <v>0</v>
      </c>
      <c r="DP382">
        <v>0</v>
      </c>
      <c r="DQ382">
        <v>39.6</v>
      </c>
      <c r="DR382" t="s">
        <v>4514</v>
      </c>
      <c r="EB382" t="s">
        <v>4515</v>
      </c>
      <c r="EC382" t="s">
        <v>2449</v>
      </c>
      <c r="ED382" t="s">
        <v>2450</v>
      </c>
      <c r="EE382" t="s">
        <v>2656</v>
      </c>
      <c r="EF382" t="s">
        <v>3133</v>
      </c>
      <c r="EG382">
        <v>6650</v>
      </c>
      <c r="EH382">
        <v>6650</v>
      </c>
      <c r="EI382">
        <v>6650</v>
      </c>
      <c r="EJ382">
        <v>6650</v>
      </c>
    </row>
    <row r="383" ht="15" customHeight="1" spans="111:140" x14ac:dyDescent="0.25">
      <c r="DG383" t="s">
        <v>4516</v>
      </c>
      <c r="DH383" t="s">
        <v>82</v>
      </c>
      <c r="DI383" t="s">
        <v>1783</v>
      </c>
      <c r="DJ383" t="s">
        <v>1784</v>
      </c>
      <c r="DK383" t="s">
        <v>668</v>
      </c>
      <c r="DL383">
        <v>3.85</v>
      </c>
      <c r="DM383" t="s">
        <v>670</v>
      </c>
      <c r="DN383" t="s">
        <v>669</v>
      </c>
      <c r="DO383">
        <v>0</v>
      </c>
      <c r="DP383">
        <v>0</v>
      </c>
      <c r="DQ383">
        <v>26.81</v>
      </c>
      <c r="DR383" t="s">
        <v>4517</v>
      </c>
      <c r="EB383" t="s">
        <v>4518</v>
      </c>
      <c r="EC383" t="s">
        <v>2449</v>
      </c>
      <c r="ED383" t="s">
        <v>2450</v>
      </c>
      <c r="EE383" t="s">
        <v>2670</v>
      </c>
      <c r="EF383" t="s">
        <v>4519</v>
      </c>
      <c r="EG383">
        <v>10000</v>
      </c>
      <c r="EH383">
        <v>10000</v>
      </c>
      <c r="EI383">
        <v>10000</v>
      </c>
      <c r="EJ383">
        <v>10000</v>
      </c>
    </row>
    <row r="384" ht="15" customHeight="1" spans="111:135" x14ac:dyDescent="0.25">
      <c r="DG384" t="s">
        <v>4520</v>
      </c>
      <c r="DH384" t="s">
        <v>82</v>
      </c>
      <c r="DI384" t="s">
        <v>1785</v>
      </c>
      <c r="DJ384" t="s">
        <v>1786</v>
      </c>
      <c r="DK384" t="s">
        <v>668</v>
      </c>
      <c r="DL384">
        <v>3.85</v>
      </c>
      <c r="DM384" t="s">
        <v>670</v>
      </c>
      <c r="DN384" t="s">
        <v>669</v>
      </c>
      <c r="DO384">
        <v>0</v>
      </c>
      <c r="DP384">
        <v>0</v>
      </c>
      <c r="DQ384">
        <v>223.85</v>
      </c>
      <c r="DR384" t="s">
        <v>4521</v>
      </c>
      <c r="EB384" t="s">
        <v>4522</v>
      </c>
      <c r="EC384" t="s">
        <v>2449</v>
      </c>
      <c r="EE384" t="s">
        <v>561</v>
      </c>
    </row>
    <row r="385" ht="15" customHeight="1" spans="111:140" x14ac:dyDescent="0.25">
      <c r="DG385" t="s">
        <v>4523</v>
      </c>
      <c r="DH385" t="s">
        <v>82</v>
      </c>
      <c r="DI385" t="s">
        <v>1788</v>
      </c>
      <c r="DJ385" t="s">
        <v>1789</v>
      </c>
      <c r="DK385" t="s">
        <v>668</v>
      </c>
      <c r="DL385">
        <v>3.85</v>
      </c>
      <c r="DM385" t="s">
        <v>670</v>
      </c>
      <c r="DN385" t="s">
        <v>669</v>
      </c>
      <c r="DO385">
        <v>0</v>
      </c>
      <c r="DP385">
        <v>0</v>
      </c>
      <c r="DQ385">
        <v>0</v>
      </c>
      <c r="DR385" t="s">
        <v>4524</v>
      </c>
      <c r="EB385" t="s">
        <v>4525</v>
      </c>
      <c r="EC385" t="s">
        <v>2449</v>
      </c>
      <c r="ED385" t="s">
        <v>2450</v>
      </c>
      <c r="EE385" t="s">
        <v>563</v>
      </c>
      <c r="EF385" t="s">
        <v>4526</v>
      </c>
      <c r="EG385">
        <v>21000</v>
      </c>
      <c r="EH385">
        <v>21000</v>
      </c>
      <c r="EI385">
        <v>21000</v>
      </c>
      <c r="EJ385">
        <v>21000</v>
      </c>
    </row>
    <row r="386" ht="15" customHeight="1" spans="111:140" x14ac:dyDescent="0.25">
      <c r="DG386" t="s">
        <v>4527</v>
      </c>
      <c r="DH386" t="s">
        <v>82</v>
      </c>
      <c r="DI386" t="s">
        <v>1791</v>
      </c>
      <c r="DJ386" t="s">
        <v>1792</v>
      </c>
      <c r="DK386" t="s">
        <v>668</v>
      </c>
      <c r="DL386">
        <v>3.85</v>
      </c>
      <c r="DM386" t="s">
        <v>670</v>
      </c>
      <c r="DN386" t="s">
        <v>669</v>
      </c>
      <c r="DO386">
        <v>0</v>
      </c>
      <c r="DP386">
        <v>0</v>
      </c>
      <c r="DQ386">
        <v>23.74</v>
      </c>
      <c r="DR386" t="s">
        <v>4528</v>
      </c>
      <c r="EB386" t="s">
        <v>4529</v>
      </c>
      <c r="EC386" t="s">
        <v>2449</v>
      </c>
      <c r="ED386" t="s">
        <v>2450</v>
      </c>
      <c r="EE386" t="s">
        <v>556</v>
      </c>
      <c r="EF386" t="s">
        <v>2713</v>
      </c>
      <c r="EG386">
        <v>1</v>
      </c>
      <c r="EH386">
        <v>1</v>
      </c>
      <c r="EI386">
        <v>1</v>
      </c>
      <c r="EJ386">
        <v>1</v>
      </c>
    </row>
    <row r="387" ht="15" customHeight="1" spans="111:140" x14ac:dyDescent="0.25">
      <c r="DG387" t="s">
        <v>4530</v>
      </c>
      <c r="DH387" t="s">
        <v>82</v>
      </c>
      <c r="DI387" t="s">
        <v>1794</v>
      </c>
      <c r="DJ387" t="s">
        <v>1795</v>
      </c>
      <c r="DK387" t="s">
        <v>668</v>
      </c>
      <c r="DL387">
        <v>3.85</v>
      </c>
      <c r="DM387" t="s">
        <v>670</v>
      </c>
      <c r="DN387" t="s">
        <v>669</v>
      </c>
      <c r="DO387">
        <v>0</v>
      </c>
      <c r="DP387">
        <v>0</v>
      </c>
      <c r="DQ387">
        <v>102.53</v>
      </c>
      <c r="DR387" t="s">
        <v>4531</v>
      </c>
      <c r="EB387" t="s">
        <v>4532</v>
      </c>
      <c r="EC387" t="s">
        <v>2449</v>
      </c>
      <c r="ED387" t="s">
        <v>2450</v>
      </c>
      <c r="EE387" t="s">
        <v>551</v>
      </c>
      <c r="EF387" t="s">
        <v>4533</v>
      </c>
      <c r="EG387">
        <v>1700</v>
      </c>
      <c r="EH387">
        <v>1700</v>
      </c>
      <c r="EI387">
        <v>1700</v>
      </c>
      <c r="EJ387">
        <v>1700</v>
      </c>
    </row>
    <row r="388" ht="15" customHeight="1" spans="111:140" x14ac:dyDescent="0.25">
      <c r="DG388" t="s">
        <v>4534</v>
      </c>
      <c r="DH388" t="s">
        <v>82</v>
      </c>
      <c r="DI388" t="s">
        <v>1797</v>
      </c>
      <c r="DJ388" t="s">
        <v>1798</v>
      </c>
      <c r="DK388" t="s">
        <v>668</v>
      </c>
      <c r="DL388">
        <v>3.85</v>
      </c>
      <c r="DM388" t="s">
        <v>670</v>
      </c>
      <c r="DN388" t="s">
        <v>669</v>
      </c>
      <c r="DO388">
        <v>0</v>
      </c>
      <c r="DP388">
        <v>0</v>
      </c>
      <c r="DQ388">
        <v>12</v>
      </c>
      <c r="DR388" t="s">
        <v>4535</v>
      </c>
      <c r="EB388" t="s">
        <v>4536</v>
      </c>
      <c r="EC388" t="s">
        <v>2449</v>
      </c>
      <c r="ED388" t="s">
        <v>2450</v>
      </c>
      <c r="EE388" t="s">
        <v>290</v>
      </c>
      <c r="EF388" t="s">
        <v>289</v>
      </c>
      <c r="EG388">
        <v>500</v>
      </c>
      <c r="EH388">
        <v>570</v>
      </c>
      <c r="EI388">
        <v>640</v>
      </c>
      <c r="EJ388">
        <v>680</v>
      </c>
    </row>
    <row r="389" ht="15" customHeight="1" spans="111:140" x14ac:dyDescent="0.25">
      <c r="DG389" t="s">
        <v>4537</v>
      </c>
      <c r="DH389" t="s">
        <v>82</v>
      </c>
      <c r="DI389" t="s">
        <v>1799</v>
      </c>
      <c r="DJ389" t="s">
        <v>1800</v>
      </c>
      <c r="DK389" t="s">
        <v>668</v>
      </c>
      <c r="DL389">
        <v>3.85</v>
      </c>
      <c r="DM389" t="s">
        <v>670</v>
      </c>
      <c r="DN389" t="s">
        <v>669</v>
      </c>
      <c r="DO389">
        <v>0</v>
      </c>
      <c r="DP389">
        <v>0</v>
      </c>
      <c r="DQ389">
        <v>19.89</v>
      </c>
      <c r="DR389" t="s">
        <v>4538</v>
      </c>
      <c r="EB389" t="s">
        <v>4539</v>
      </c>
      <c r="EC389" t="s">
        <v>2449</v>
      </c>
      <c r="ED389" t="s">
        <v>2450</v>
      </c>
      <c r="EE389" t="s">
        <v>275</v>
      </c>
      <c r="EF389" t="s">
        <v>273</v>
      </c>
      <c r="EG389">
        <v>1690</v>
      </c>
      <c r="EH389">
        <v>1940</v>
      </c>
      <c r="EI389">
        <v>2190</v>
      </c>
      <c r="EJ389">
        <v>2360</v>
      </c>
    </row>
    <row r="390" ht="15" customHeight="1" spans="111:135" x14ac:dyDescent="0.25">
      <c r="DG390" t="s">
        <v>4540</v>
      </c>
      <c r="DH390" t="s">
        <v>82</v>
      </c>
      <c r="DI390" t="s">
        <v>1802</v>
      </c>
      <c r="DJ390" t="s">
        <v>1803</v>
      </c>
      <c r="DK390" t="s">
        <v>668</v>
      </c>
      <c r="DL390">
        <v>3.85</v>
      </c>
      <c r="DM390" t="s">
        <v>670</v>
      </c>
      <c r="DN390" t="s">
        <v>669</v>
      </c>
      <c r="DO390">
        <v>0</v>
      </c>
      <c r="DP390">
        <v>0</v>
      </c>
      <c r="DQ390">
        <v>21.51</v>
      </c>
      <c r="DR390" t="s">
        <v>4541</v>
      </c>
      <c r="EB390" t="s">
        <v>4542</v>
      </c>
      <c r="EC390" t="s">
        <v>2449</v>
      </c>
      <c r="EE390" t="s">
        <v>298</v>
      </c>
    </row>
    <row r="391" ht="15" customHeight="1" spans="111:140" x14ac:dyDescent="0.25">
      <c r="DG391" t="s">
        <v>4543</v>
      </c>
      <c r="DH391" t="s">
        <v>82</v>
      </c>
      <c r="DI391" t="s">
        <v>1805</v>
      </c>
      <c r="DJ391" t="s">
        <v>1806</v>
      </c>
      <c r="DK391" t="s">
        <v>668</v>
      </c>
      <c r="DL391">
        <v>3.85</v>
      </c>
      <c r="DM391" t="s">
        <v>670</v>
      </c>
      <c r="DN391" t="s">
        <v>669</v>
      </c>
      <c r="DO391">
        <v>0</v>
      </c>
      <c r="DP391">
        <v>0</v>
      </c>
      <c r="DQ391">
        <v>92.88</v>
      </c>
      <c r="DR391" t="s">
        <v>4544</v>
      </c>
      <c r="EB391" t="s">
        <v>4545</v>
      </c>
      <c r="EC391" t="s">
        <v>2449</v>
      </c>
      <c r="ED391" t="s">
        <v>2450</v>
      </c>
      <c r="EE391" t="s">
        <v>286</v>
      </c>
      <c r="EF391" t="s">
        <v>284</v>
      </c>
      <c r="EG391">
        <v>830</v>
      </c>
      <c r="EH391">
        <v>960</v>
      </c>
      <c r="EI391">
        <v>1070</v>
      </c>
      <c r="EJ391">
        <v>1160</v>
      </c>
    </row>
    <row r="392" ht="15" customHeight="1" spans="111:140" x14ac:dyDescent="0.25">
      <c r="DG392" t="s">
        <v>4546</v>
      </c>
      <c r="DH392" t="s">
        <v>82</v>
      </c>
      <c r="DI392" t="s">
        <v>1808</v>
      </c>
      <c r="DJ392" t="s">
        <v>1809</v>
      </c>
      <c r="DK392" t="s">
        <v>668</v>
      </c>
      <c r="DL392">
        <v>3.85</v>
      </c>
      <c r="DM392" t="s">
        <v>670</v>
      </c>
      <c r="DN392" t="s">
        <v>669</v>
      </c>
      <c r="DO392">
        <v>0</v>
      </c>
      <c r="DP392">
        <v>0</v>
      </c>
      <c r="DQ392">
        <v>120.94</v>
      </c>
      <c r="DR392" t="s">
        <v>4547</v>
      </c>
      <c r="EB392" t="s">
        <v>4548</v>
      </c>
      <c r="EC392" t="s">
        <v>2449</v>
      </c>
      <c r="ED392" t="s">
        <v>2450</v>
      </c>
      <c r="EE392" t="s">
        <v>272</v>
      </c>
      <c r="EF392" t="s">
        <v>270</v>
      </c>
      <c r="EG392">
        <v>2220</v>
      </c>
      <c r="EH392">
        <v>2550</v>
      </c>
      <c r="EI392">
        <v>2880</v>
      </c>
      <c r="EJ392">
        <v>3090</v>
      </c>
    </row>
    <row r="393" ht="15" customHeight="1" spans="111:140" x14ac:dyDescent="0.25">
      <c r="DG393" t="s">
        <v>4549</v>
      </c>
      <c r="DH393" t="s">
        <v>82</v>
      </c>
      <c r="DI393" t="s">
        <v>512</v>
      </c>
      <c r="DJ393" t="s">
        <v>513</v>
      </c>
      <c r="DK393" t="s">
        <v>1079</v>
      </c>
      <c r="DL393">
        <v>3.85</v>
      </c>
      <c r="DM393" t="s">
        <v>669</v>
      </c>
      <c r="DN393" t="s">
        <v>670</v>
      </c>
      <c r="DO393">
        <v>1</v>
      </c>
      <c r="DP393">
        <v>1500</v>
      </c>
      <c r="DQ393">
        <v>1500</v>
      </c>
      <c r="DR393" t="s">
        <v>4550</v>
      </c>
      <c r="EB393" t="s">
        <v>4551</v>
      </c>
      <c r="EC393" t="s">
        <v>2449</v>
      </c>
      <c r="ED393" t="s">
        <v>2450</v>
      </c>
      <c r="EE393" t="s">
        <v>283</v>
      </c>
      <c r="EF393" t="s">
        <v>281</v>
      </c>
      <c r="EG393">
        <v>500</v>
      </c>
      <c r="EH393">
        <v>570</v>
      </c>
      <c r="EI393">
        <v>640</v>
      </c>
      <c r="EJ393">
        <v>680</v>
      </c>
    </row>
    <row r="394" ht="15" customHeight="1" spans="111:140" x14ac:dyDescent="0.25">
      <c r="DG394" t="s">
        <v>4552</v>
      </c>
      <c r="DH394" t="s">
        <v>82</v>
      </c>
      <c r="DI394" t="s">
        <v>428</v>
      </c>
      <c r="DJ394" t="s">
        <v>429</v>
      </c>
      <c r="DK394" t="s">
        <v>1079</v>
      </c>
      <c r="DL394">
        <v>3.85</v>
      </c>
      <c r="DM394" t="s">
        <v>669</v>
      </c>
      <c r="DN394" t="s">
        <v>670</v>
      </c>
      <c r="DO394">
        <v>1</v>
      </c>
      <c r="DP394">
        <v>13344.05</v>
      </c>
      <c r="DQ394">
        <v>13344.05</v>
      </c>
      <c r="DR394" t="s">
        <v>4553</v>
      </c>
      <c r="EB394" t="s">
        <v>4554</v>
      </c>
      <c r="EC394" t="s">
        <v>2449</v>
      </c>
      <c r="ED394" t="s">
        <v>2450</v>
      </c>
      <c r="EE394" t="s">
        <v>267</v>
      </c>
      <c r="EF394" t="s">
        <v>265</v>
      </c>
      <c r="EG394">
        <v>3660</v>
      </c>
      <c r="EH394">
        <v>4190</v>
      </c>
      <c r="EI394">
        <v>4740</v>
      </c>
      <c r="EJ394">
        <v>5110</v>
      </c>
    </row>
    <row r="395" ht="15" customHeight="1" spans="111:140" x14ac:dyDescent="0.25">
      <c r="DG395" t="s">
        <v>4555</v>
      </c>
      <c r="DH395" t="s">
        <v>82</v>
      </c>
      <c r="DI395" t="s">
        <v>426</v>
      </c>
      <c r="DJ395" t="s">
        <v>427</v>
      </c>
      <c r="DK395" t="s">
        <v>1079</v>
      </c>
      <c r="DL395">
        <v>3.85</v>
      </c>
      <c r="DM395" t="s">
        <v>669</v>
      </c>
      <c r="DN395" t="s">
        <v>670</v>
      </c>
      <c r="DO395">
        <v>1</v>
      </c>
      <c r="DP395">
        <v>13344</v>
      </c>
      <c r="DQ395">
        <v>13344</v>
      </c>
      <c r="DR395" t="s">
        <v>4556</v>
      </c>
      <c r="EB395" t="s">
        <v>4557</v>
      </c>
      <c r="EC395" t="s">
        <v>2449</v>
      </c>
      <c r="ED395" t="s">
        <v>2450</v>
      </c>
      <c r="EE395" t="s">
        <v>258</v>
      </c>
      <c r="EF395" t="s">
        <v>256</v>
      </c>
      <c r="EG395">
        <v>4870</v>
      </c>
      <c r="EH395">
        <v>5590</v>
      </c>
      <c r="EI395">
        <v>6320</v>
      </c>
      <c r="EJ395">
        <v>6820</v>
      </c>
    </row>
    <row r="396" ht="15" customHeight="1" spans="111:140" x14ac:dyDescent="0.25">
      <c r="DG396" t="s">
        <v>4558</v>
      </c>
      <c r="DH396" t="s">
        <v>82</v>
      </c>
      <c r="DI396" t="s">
        <v>430</v>
      </c>
      <c r="DJ396" t="s">
        <v>431</v>
      </c>
      <c r="DK396" t="s">
        <v>1079</v>
      </c>
      <c r="DL396">
        <v>3.85</v>
      </c>
      <c r="DM396" t="s">
        <v>669</v>
      </c>
      <c r="DN396" t="s">
        <v>670</v>
      </c>
      <c r="DO396">
        <v>1</v>
      </c>
      <c r="DP396">
        <v>13344</v>
      </c>
      <c r="DQ396">
        <v>13344</v>
      </c>
      <c r="DR396" t="s">
        <v>4559</v>
      </c>
      <c r="EB396" t="s">
        <v>4560</v>
      </c>
      <c r="EC396" t="s">
        <v>2449</v>
      </c>
      <c r="ED396" t="s">
        <v>2450</v>
      </c>
      <c r="EE396" t="s">
        <v>222</v>
      </c>
      <c r="EF396" t="s">
        <v>220</v>
      </c>
      <c r="EG396">
        <v>3230</v>
      </c>
      <c r="EH396">
        <v>3720</v>
      </c>
      <c r="EI396">
        <v>4210</v>
      </c>
      <c r="EJ396">
        <v>4530</v>
      </c>
    </row>
    <row r="397" ht="15" customHeight="1" spans="111:140" x14ac:dyDescent="0.25">
      <c r="DG397" t="s">
        <v>4561</v>
      </c>
      <c r="DH397" t="s">
        <v>82</v>
      </c>
      <c r="DI397" t="s">
        <v>432</v>
      </c>
      <c r="DJ397" t="s">
        <v>433</v>
      </c>
      <c r="DK397" t="s">
        <v>1079</v>
      </c>
      <c r="DL397">
        <v>3.85</v>
      </c>
      <c r="DM397" t="s">
        <v>669</v>
      </c>
      <c r="DN397" t="s">
        <v>670</v>
      </c>
      <c r="DO397">
        <v>1</v>
      </c>
      <c r="DP397">
        <v>13344.01</v>
      </c>
      <c r="DQ397">
        <v>13344.01</v>
      </c>
      <c r="DR397" t="s">
        <v>4562</v>
      </c>
      <c r="EB397" t="s">
        <v>4563</v>
      </c>
      <c r="EC397" t="s">
        <v>2449</v>
      </c>
      <c r="ED397" t="s">
        <v>2450</v>
      </c>
      <c r="EE397" t="s">
        <v>233</v>
      </c>
      <c r="EF397" t="s">
        <v>231</v>
      </c>
      <c r="EG397">
        <v>2220</v>
      </c>
      <c r="EH397">
        <v>2550</v>
      </c>
      <c r="EI397">
        <v>2880</v>
      </c>
      <c r="EJ397">
        <v>3090</v>
      </c>
    </row>
    <row r="398" ht="15" customHeight="1" spans="111:140" x14ac:dyDescent="0.25">
      <c r="DG398" t="s">
        <v>4564</v>
      </c>
      <c r="DH398" t="s">
        <v>82</v>
      </c>
      <c r="DI398" t="s">
        <v>434</v>
      </c>
      <c r="DJ398" t="s">
        <v>435</v>
      </c>
      <c r="DK398" t="s">
        <v>1079</v>
      </c>
      <c r="DL398">
        <v>3.85</v>
      </c>
      <c r="DM398" t="s">
        <v>669</v>
      </c>
      <c r="DN398" t="s">
        <v>670</v>
      </c>
      <c r="DO398">
        <v>1</v>
      </c>
      <c r="DP398">
        <v>13344.01</v>
      </c>
      <c r="DQ398">
        <v>13344.01</v>
      </c>
      <c r="DR398" t="s">
        <v>4565</v>
      </c>
      <c r="EB398" t="s">
        <v>4566</v>
      </c>
      <c r="EC398" t="s">
        <v>2449</v>
      </c>
      <c r="ED398" t="s">
        <v>2450</v>
      </c>
      <c r="EE398" t="s">
        <v>225</v>
      </c>
      <c r="EF398" t="s">
        <v>223</v>
      </c>
      <c r="EG398">
        <v>3480</v>
      </c>
      <c r="EH398">
        <v>4000</v>
      </c>
      <c r="EI398">
        <v>4520</v>
      </c>
      <c r="EJ398">
        <v>4870</v>
      </c>
    </row>
    <row r="399" ht="15" customHeight="1" spans="111:140" x14ac:dyDescent="0.25">
      <c r="DG399" t="s">
        <v>4567</v>
      </c>
      <c r="DH399" t="s">
        <v>82</v>
      </c>
      <c r="DI399" t="s">
        <v>437</v>
      </c>
      <c r="DJ399" t="s">
        <v>438</v>
      </c>
      <c r="DK399" t="s">
        <v>1079</v>
      </c>
      <c r="DL399">
        <v>3.85</v>
      </c>
      <c r="DM399" t="s">
        <v>669</v>
      </c>
      <c r="DN399" t="s">
        <v>670</v>
      </c>
      <c r="DO399">
        <v>1</v>
      </c>
      <c r="DP399">
        <v>13344</v>
      </c>
      <c r="DQ399">
        <v>13344</v>
      </c>
      <c r="DR399" t="s">
        <v>4568</v>
      </c>
      <c r="EB399" t="s">
        <v>4569</v>
      </c>
      <c r="EC399" t="s">
        <v>2449</v>
      </c>
      <c r="ED399" t="s">
        <v>2450</v>
      </c>
      <c r="EE399" t="s">
        <v>288</v>
      </c>
      <c r="EF399" t="s">
        <v>287</v>
      </c>
      <c r="EG399">
        <v>490</v>
      </c>
      <c r="EH399">
        <v>550</v>
      </c>
      <c r="EI399">
        <v>630</v>
      </c>
      <c r="EJ399">
        <v>630</v>
      </c>
    </row>
    <row r="400" ht="15" customHeight="1" spans="111:140" x14ac:dyDescent="0.25">
      <c r="DG400" t="s">
        <v>4570</v>
      </c>
      <c r="DH400" t="s">
        <v>82</v>
      </c>
      <c r="DI400" t="s">
        <v>474</v>
      </c>
      <c r="DJ400" t="s">
        <v>475</v>
      </c>
      <c r="DK400" t="s">
        <v>1079</v>
      </c>
      <c r="DL400">
        <v>3.85</v>
      </c>
      <c r="DM400" t="s">
        <v>669</v>
      </c>
      <c r="DN400" t="s">
        <v>670</v>
      </c>
      <c r="DO400">
        <v>1</v>
      </c>
      <c r="DP400">
        <v>23742</v>
      </c>
      <c r="DQ400">
        <v>23742</v>
      </c>
      <c r="DR400" t="s">
        <v>4571</v>
      </c>
      <c r="EB400" t="s">
        <v>4572</v>
      </c>
      <c r="EC400" t="s">
        <v>2449</v>
      </c>
      <c r="ED400" t="s">
        <v>2450</v>
      </c>
      <c r="EE400" t="s">
        <v>269</v>
      </c>
      <c r="EF400" t="s">
        <v>3239</v>
      </c>
      <c r="EG400">
        <v>1980</v>
      </c>
      <c r="EH400">
        <v>2280</v>
      </c>
      <c r="EI400">
        <v>2570</v>
      </c>
      <c r="EJ400">
        <v>2570</v>
      </c>
    </row>
    <row r="401" ht="15" customHeight="1" spans="111:140" x14ac:dyDescent="0.25">
      <c r="DG401" t="s">
        <v>4573</v>
      </c>
      <c r="DH401" t="s">
        <v>82</v>
      </c>
      <c r="DI401" t="s">
        <v>356</v>
      </c>
      <c r="DJ401" t="s">
        <v>357</v>
      </c>
      <c r="DK401" t="s">
        <v>1079</v>
      </c>
      <c r="DL401">
        <v>3.85</v>
      </c>
      <c r="DM401" t="s">
        <v>669</v>
      </c>
      <c r="DN401" t="s">
        <v>670</v>
      </c>
      <c r="DO401">
        <v>1</v>
      </c>
      <c r="DP401">
        <v>36136</v>
      </c>
      <c r="DQ401">
        <v>36136</v>
      </c>
      <c r="DR401" t="s">
        <v>4574</v>
      </c>
      <c r="EB401" t="s">
        <v>4575</v>
      </c>
      <c r="EC401" t="s">
        <v>2449</v>
      </c>
      <c r="ED401" t="s">
        <v>2450</v>
      </c>
      <c r="EE401" t="s">
        <v>237</v>
      </c>
      <c r="EF401" t="s">
        <v>4576</v>
      </c>
      <c r="EG401">
        <v>4070</v>
      </c>
      <c r="EH401">
        <v>4690</v>
      </c>
      <c r="EI401">
        <v>5300</v>
      </c>
      <c r="EJ401">
        <v>5300</v>
      </c>
    </row>
    <row r="402" ht="15" customHeight="1" spans="111:140" x14ac:dyDescent="0.25">
      <c r="DG402" t="s">
        <v>4577</v>
      </c>
      <c r="DH402" t="s">
        <v>82</v>
      </c>
      <c r="DI402" t="s">
        <v>502</v>
      </c>
      <c r="DJ402" t="s">
        <v>503</v>
      </c>
      <c r="DK402" t="s">
        <v>1079</v>
      </c>
      <c r="DL402">
        <v>3.85</v>
      </c>
      <c r="DM402" t="s">
        <v>669</v>
      </c>
      <c r="DN402" t="s">
        <v>670</v>
      </c>
      <c r="DO402">
        <v>1</v>
      </c>
      <c r="DP402">
        <v>43628</v>
      </c>
      <c r="DQ402">
        <v>43628</v>
      </c>
      <c r="DR402" t="s">
        <v>4578</v>
      </c>
      <c r="EB402" t="s">
        <v>4579</v>
      </c>
      <c r="EC402" t="s">
        <v>2449</v>
      </c>
      <c r="ED402" t="s">
        <v>2450</v>
      </c>
      <c r="EE402" t="s">
        <v>249</v>
      </c>
      <c r="EF402" t="s">
        <v>247</v>
      </c>
      <c r="EG402">
        <v>510</v>
      </c>
      <c r="EH402">
        <v>590</v>
      </c>
      <c r="EI402">
        <v>660</v>
      </c>
      <c r="EJ402">
        <v>710</v>
      </c>
    </row>
    <row r="403" ht="15" customHeight="1" spans="111:140" x14ac:dyDescent="0.25">
      <c r="DG403" t="s">
        <v>4580</v>
      </c>
      <c r="DH403" t="s">
        <v>82</v>
      </c>
      <c r="DI403" t="s">
        <v>472</v>
      </c>
      <c r="DJ403" t="s">
        <v>473</v>
      </c>
      <c r="DK403" t="s">
        <v>1079</v>
      </c>
      <c r="DL403">
        <v>3.85</v>
      </c>
      <c r="DM403" t="s">
        <v>669</v>
      </c>
      <c r="DN403" t="s">
        <v>670</v>
      </c>
      <c r="DO403">
        <v>1</v>
      </c>
      <c r="DP403">
        <v>43628</v>
      </c>
      <c r="DQ403">
        <v>43628</v>
      </c>
      <c r="DR403" t="s">
        <v>4581</v>
      </c>
      <c r="EB403" t="s">
        <v>4582</v>
      </c>
      <c r="EC403" t="s">
        <v>2449</v>
      </c>
      <c r="ED403" t="s">
        <v>2450</v>
      </c>
      <c r="EE403" t="s">
        <v>293</v>
      </c>
      <c r="EF403" t="s">
        <v>291</v>
      </c>
      <c r="EG403">
        <v>840</v>
      </c>
      <c r="EH403">
        <v>970</v>
      </c>
      <c r="EI403">
        <v>1100</v>
      </c>
      <c r="EJ403">
        <v>1170</v>
      </c>
    </row>
    <row r="404" ht="15" customHeight="1" spans="111:140" x14ac:dyDescent="0.25">
      <c r="DG404" t="s">
        <v>4583</v>
      </c>
      <c r="DH404" t="s">
        <v>82</v>
      </c>
      <c r="DI404" t="s">
        <v>472</v>
      </c>
      <c r="DJ404" t="s">
        <v>1815</v>
      </c>
      <c r="DK404" t="s">
        <v>1079</v>
      </c>
      <c r="DL404">
        <v>3.85</v>
      </c>
      <c r="DM404" t="s">
        <v>669</v>
      </c>
      <c r="DN404" t="s">
        <v>670</v>
      </c>
      <c r="DO404">
        <v>1</v>
      </c>
      <c r="DP404">
        <v>43628</v>
      </c>
      <c r="DQ404">
        <v>43628</v>
      </c>
      <c r="DR404" t="s">
        <v>4584</v>
      </c>
      <c r="EB404" t="s">
        <v>4585</v>
      </c>
      <c r="EC404" t="s">
        <v>2449</v>
      </c>
      <c r="ED404" t="s">
        <v>2450</v>
      </c>
      <c r="EE404" t="s">
        <v>280</v>
      </c>
      <c r="EF404" t="s">
        <v>279</v>
      </c>
      <c r="EG404">
        <v>1060</v>
      </c>
      <c r="EH404">
        <v>1220</v>
      </c>
      <c r="EI404">
        <v>1370</v>
      </c>
      <c r="EJ404">
        <v>1480</v>
      </c>
    </row>
    <row r="405" ht="15" customHeight="1" spans="111:140" x14ac:dyDescent="0.25">
      <c r="DG405" t="s">
        <v>4586</v>
      </c>
      <c r="DH405" t="s">
        <v>82</v>
      </c>
      <c r="DI405" t="s">
        <v>480</v>
      </c>
      <c r="DJ405" t="s">
        <v>481</v>
      </c>
      <c r="DK405" t="s">
        <v>1079</v>
      </c>
      <c r="DL405">
        <v>3.85</v>
      </c>
      <c r="DM405" t="s">
        <v>669</v>
      </c>
      <c r="DN405" t="s">
        <v>670</v>
      </c>
      <c r="DO405">
        <v>1</v>
      </c>
      <c r="DP405">
        <v>43628</v>
      </c>
      <c r="DQ405">
        <v>43628</v>
      </c>
      <c r="DR405" t="s">
        <v>4587</v>
      </c>
      <c r="EB405" t="s">
        <v>4588</v>
      </c>
      <c r="EC405" t="s">
        <v>2449</v>
      </c>
      <c r="ED405" t="s">
        <v>2450</v>
      </c>
      <c r="EE405" t="s">
        <v>264</v>
      </c>
      <c r="EF405" t="s">
        <v>262</v>
      </c>
      <c r="EG405">
        <v>2100</v>
      </c>
      <c r="EH405">
        <v>2420</v>
      </c>
      <c r="EI405">
        <v>2740</v>
      </c>
      <c r="EJ405">
        <v>2940</v>
      </c>
    </row>
    <row r="406" ht="15" customHeight="1" spans="111:135" x14ac:dyDescent="0.25">
      <c r="DG406" t="s">
        <v>4589</v>
      </c>
      <c r="DH406" t="s">
        <v>82</v>
      </c>
      <c r="DI406" t="s">
        <v>420</v>
      </c>
      <c r="DJ406" t="s">
        <v>421</v>
      </c>
      <c r="DK406" t="s">
        <v>1079</v>
      </c>
      <c r="DL406">
        <v>3.85</v>
      </c>
      <c r="DM406" t="s">
        <v>669</v>
      </c>
      <c r="DN406" t="s">
        <v>670</v>
      </c>
      <c r="DO406">
        <v>1</v>
      </c>
      <c r="DP406">
        <v>13344.01</v>
      </c>
      <c r="DQ406">
        <v>13344.01</v>
      </c>
      <c r="DR406" t="s">
        <v>4590</v>
      </c>
      <c r="EB406" t="s">
        <v>4591</v>
      </c>
      <c r="EC406" t="s">
        <v>2449</v>
      </c>
      <c r="EE406" t="s">
        <v>278</v>
      </c>
    </row>
    <row r="407" ht="15" customHeight="1" spans="111:140" x14ac:dyDescent="0.25">
      <c r="DG407" t="s">
        <v>4592</v>
      </c>
      <c r="DH407" t="s">
        <v>82</v>
      </c>
      <c r="DI407" t="s">
        <v>424</v>
      </c>
      <c r="DJ407" t="s">
        <v>425</v>
      </c>
      <c r="DK407" t="s">
        <v>1079</v>
      </c>
      <c r="DL407">
        <v>3.85</v>
      </c>
      <c r="DM407" t="s">
        <v>669</v>
      </c>
      <c r="DN407" t="s">
        <v>670</v>
      </c>
      <c r="DO407">
        <v>1</v>
      </c>
      <c r="DP407">
        <v>13344.09</v>
      </c>
      <c r="DQ407">
        <v>13344.09</v>
      </c>
      <c r="DR407" t="s">
        <v>4593</v>
      </c>
      <c r="EB407" t="s">
        <v>4594</v>
      </c>
      <c r="EC407" t="s">
        <v>2449</v>
      </c>
      <c r="ED407" t="s">
        <v>2450</v>
      </c>
      <c r="EE407" t="s">
        <v>240</v>
      </c>
      <c r="EF407" t="s">
        <v>238</v>
      </c>
      <c r="EG407">
        <v>4180</v>
      </c>
      <c r="EH407">
        <v>4800</v>
      </c>
      <c r="EI407">
        <v>5430</v>
      </c>
      <c r="EJ407">
        <v>5850</v>
      </c>
    </row>
    <row r="408" ht="15" customHeight="1" spans="111:140" x14ac:dyDescent="0.25">
      <c r="DG408" t="s">
        <v>4595</v>
      </c>
      <c r="DH408" t="s">
        <v>82</v>
      </c>
      <c r="DI408" t="s">
        <v>418</v>
      </c>
      <c r="DJ408" t="s">
        <v>419</v>
      </c>
      <c r="DK408" t="s">
        <v>1079</v>
      </c>
      <c r="DL408">
        <v>3.85</v>
      </c>
      <c r="DM408" t="s">
        <v>669</v>
      </c>
      <c r="DN408" t="s">
        <v>670</v>
      </c>
      <c r="DO408">
        <v>1</v>
      </c>
      <c r="DP408">
        <v>13344.05</v>
      </c>
      <c r="DQ408">
        <v>13344.05</v>
      </c>
      <c r="DR408" t="s">
        <v>4596</v>
      </c>
      <c r="EB408" t="s">
        <v>4597</v>
      </c>
      <c r="EC408" t="s">
        <v>2449</v>
      </c>
      <c r="ED408" t="s">
        <v>2450</v>
      </c>
      <c r="EE408" t="s">
        <v>252</v>
      </c>
      <c r="EF408" t="s">
        <v>250</v>
      </c>
      <c r="EG408">
        <v>710</v>
      </c>
      <c r="EH408">
        <v>810</v>
      </c>
      <c r="EI408">
        <v>920</v>
      </c>
      <c r="EJ408">
        <v>990</v>
      </c>
    </row>
    <row r="409" ht="15" customHeight="1" spans="111:140" x14ac:dyDescent="0.25">
      <c r="DG409" t="s">
        <v>4598</v>
      </c>
      <c r="DH409" t="s">
        <v>82</v>
      </c>
      <c r="DI409" t="s">
        <v>422</v>
      </c>
      <c r="DJ409" t="s">
        <v>423</v>
      </c>
      <c r="DK409" t="s">
        <v>1079</v>
      </c>
      <c r="DL409">
        <v>3.85</v>
      </c>
      <c r="DM409" t="s">
        <v>669</v>
      </c>
      <c r="DN409" t="s">
        <v>670</v>
      </c>
      <c r="DO409">
        <v>1</v>
      </c>
      <c r="DP409">
        <v>13344.05</v>
      </c>
      <c r="DQ409">
        <v>13344.05</v>
      </c>
      <c r="DR409" t="s">
        <v>4599</v>
      </c>
      <c r="EB409" t="s">
        <v>4600</v>
      </c>
      <c r="EC409" t="s">
        <v>2449</v>
      </c>
      <c r="ED409" t="s">
        <v>2450</v>
      </c>
      <c r="EE409" t="s">
        <v>229</v>
      </c>
      <c r="EF409" t="s">
        <v>227</v>
      </c>
      <c r="EG409">
        <v>250</v>
      </c>
      <c r="EH409">
        <v>290</v>
      </c>
      <c r="EI409">
        <v>330</v>
      </c>
      <c r="EJ409">
        <v>350</v>
      </c>
    </row>
    <row r="410" ht="15" customHeight="1" spans="111:140" x14ac:dyDescent="0.25">
      <c r="DG410" t="s">
        <v>4601</v>
      </c>
      <c r="DH410" t="s">
        <v>82</v>
      </c>
      <c r="DI410" t="s">
        <v>476</v>
      </c>
      <c r="DJ410" t="s">
        <v>477</v>
      </c>
      <c r="DK410" t="s">
        <v>1079</v>
      </c>
      <c r="DL410">
        <v>3.85</v>
      </c>
      <c r="DM410" t="s">
        <v>669</v>
      </c>
      <c r="DN410" t="s">
        <v>670</v>
      </c>
      <c r="DO410">
        <v>1</v>
      </c>
      <c r="DP410">
        <v>23742</v>
      </c>
      <c r="DQ410">
        <v>23742</v>
      </c>
      <c r="DR410" t="s">
        <v>4602</v>
      </c>
      <c r="EB410" t="s">
        <v>4603</v>
      </c>
      <c r="EC410" t="s">
        <v>2449</v>
      </c>
      <c r="ED410" t="s">
        <v>2450</v>
      </c>
      <c r="EE410" t="s">
        <v>246</v>
      </c>
      <c r="EF410" t="s">
        <v>244</v>
      </c>
      <c r="EG410">
        <v>790</v>
      </c>
      <c r="EH410">
        <v>790</v>
      </c>
      <c r="EI410">
        <v>790</v>
      </c>
      <c r="EJ410">
        <v>790</v>
      </c>
    </row>
    <row r="411" ht="15" customHeight="1" spans="111:140" x14ac:dyDescent="0.25">
      <c r="DG411" t="s">
        <v>4604</v>
      </c>
      <c r="DH411" t="s">
        <v>82</v>
      </c>
      <c r="DI411" t="s">
        <v>350</v>
      </c>
      <c r="DJ411" t="s">
        <v>351</v>
      </c>
      <c r="DK411" t="s">
        <v>1079</v>
      </c>
      <c r="DL411">
        <v>3.85</v>
      </c>
      <c r="DM411" t="s">
        <v>669</v>
      </c>
      <c r="DN411" t="s">
        <v>670</v>
      </c>
      <c r="DO411">
        <v>1</v>
      </c>
      <c r="DP411">
        <v>36136</v>
      </c>
      <c r="DQ411">
        <v>36136</v>
      </c>
      <c r="DR411" t="s">
        <v>4605</v>
      </c>
      <c r="EB411" t="s">
        <v>4606</v>
      </c>
      <c r="EC411" t="s">
        <v>2449</v>
      </c>
      <c r="ED411" t="s">
        <v>2450</v>
      </c>
      <c r="EE411" t="s">
        <v>255</v>
      </c>
      <c r="EF411" t="s">
        <v>253</v>
      </c>
      <c r="EG411">
        <v>650</v>
      </c>
      <c r="EH411">
        <v>750</v>
      </c>
      <c r="EI411">
        <v>840</v>
      </c>
      <c r="EJ411">
        <v>910</v>
      </c>
    </row>
    <row r="412" ht="15" customHeight="1" spans="111:135" x14ac:dyDescent="0.25">
      <c r="DG412" t="s">
        <v>4607</v>
      </c>
      <c r="DH412" t="s">
        <v>82</v>
      </c>
      <c r="DI412" t="s">
        <v>382</v>
      </c>
      <c r="DJ412" t="s">
        <v>383</v>
      </c>
      <c r="DK412" t="s">
        <v>1079</v>
      </c>
      <c r="DL412">
        <v>3.85</v>
      </c>
      <c r="DM412" t="s">
        <v>669</v>
      </c>
      <c r="DN412" t="s">
        <v>670</v>
      </c>
      <c r="DO412">
        <v>1</v>
      </c>
      <c r="DP412">
        <v>36136</v>
      </c>
      <c r="DQ412">
        <v>36136</v>
      </c>
      <c r="DR412" t="s">
        <v>4608</v>
      </c>
      <c r="EB412" t="s">
        <v>4609</v>
      </c>
      <c r="EC412" t="s">
        <v>2449</v>
      </c>
      <c r="EE412" t="s">
        <v>243</v>
      </c>
    </row>
    <row r="413" ht="15" customHeight="1" spans="111:135" x14ac:dyDescent="0.25">
      <c r="DG413" t="s">
        <v>4610</v>
      </c>
      <c r="DH413" t="s">
        <v>82</v>
      </c>
      <c r="DI413" t="s">
        <v>364</v>
      </c>
      <c r="DJ413" t="s">
        <v>365</v>
      </c>
      <c r="DK413" t="s">
        <v>1079</v>
      </c>
      <c r="DL413">
        <v>3.85</v>
      </c>
      <c r="DM413" t="s">
        <v>669</v>
      </c>
      <c r="DN413" t="s">
        <v>670</v>
      </c>
      <c r="DO413">
        <v>1</v>
      </c>
      <c r="DP413">
        <v>36136</v>
      </c>
      <c r="DQ413">
        <v>36136</v>
      </c>
      <c r="DR413" t="s">
        <v>4611</v>
      </c>
      <c r="EB413" t="s">
        <v>4612</v>
      </c>
      <c r="EC413" t="s">
        <v>2449</v>
      </c>
      <c r="EE413" t="s">
        <v>261</v>
      </c>
    </row>
    <row r="414" ht="15" customHeight="1" spans="111:135" x14ac:dyDescent="0.25">
      <c r="DG414" t="s">
        <v>4613</v>
      </c>
      <c r="DH414" t="s">
        <v>82</v>
      </c>
      <c r="DI414" t="s">
        <v>514</v>
      </c>
      <c r="DJ414" t="s">
        <v>515</v>
      </c>
      <c r="DK414" t="s">
        <v>1079</v>
      </c>
      <c r="DL414">
        <v>3.85</v>
      </c>
      <c r="DM414" t="s">
        <v>669</v>
      </c>
      <c r="DN414" t="s">
        <v>670</v>
      </c>
      <c r="DO414">
        <v>1</v>
      </c>
      <c r="DP414">
        <v>30768.75</v>
      </c>
      <c r="DQ414">
        <v>30768.75</v>
      </c>
      <c r="DR414" t="s">
        <v>4614</v>
      </c>
      <c r="EB414" t="s">
        <v>4615</v>
      </c>
      <c r="EC414" t="s">
        <v>2449</v>
      </c>
      <c r="EE414" t="s">
        <v>296</v>
      </c>
    </row>
    <row r="415" ht="15" customHeight="1" spans="111:135" x14ac:dyDescent="0.25">
      <c r="DG415" t="s">
        <v>4616</v>
      </c>
      <c r="DH415" t="s">
        <v>82</v>
      </c>
      <c r="DI415" t="s">
        <v>508</v>
      </c>
      <c r="DJ415" t="s">
        <v>509</v>
      </c>
      <c r="DK415" t="s">
        <v>1079</v>
      </c>
      <c r="DL415">
        <v>3.85</v>
      </c>
      <c r="DM415" t="s">
        <v>669</v>
      </c>
      <c r="DN415" t="s">
        <v>670</v>
      </c>
      <c r="DO415">
        <v>1</v>
      </c>
      <c r="DP415">
        <v>227.9</v>
      </c>
      <c r="DQ415">
        <v>227.9</v>
      </c>
      <c r="DR415" t="s">
        <v>4617</v>
      </c>
      <c r="EB415" t="s">
        <v>4618</v>
      </c>
      <c r="EC415" t="s">
        <v>2555</v>
      </c>
      <c r="EE415" t="s">
        <v>620</v>
      </c>
    </row>
    <row r="416" ht="15" customHeight="1" spans="111:135" x14ac:dyDescent="0.25">
      <c r="DG416" t="s">
        <v>4619</v>
      </c>
      <c r="DH416" t="s">
        <v>82</v>
      </c>
      <c r="DI416" t="s">
        <v>510</v>
      </c>
      <c r="DJ416" t="s">
        <v>511</v>
      </c>
      <c r="DK416" t="s">
        <v>1079</v>
      </c>
      <c r="DL416">
        <v>3.85</v>
      </c>
      <c r="DM416" t="s">
        <v>669</v>
      </c>
      <c r="DN416" t="s">
        <v>670</v>
      </c>
      <c r="DO416">
        <v>1</v>
      </c>
      <c r="DP416">
        <v>565.35</v>
      </c>
      <c r="DQ416">
        <v>565.35</v>
      </c>
      <c r="DR416" t="s">
        <v>4620</v>
      </c>
      <c r="EB416" t="s">
        <v>4621</v>
      </c>
      <c r="EC416" t="s">
        <v>2555</v>
      </c>
      <c r="EE416" t="s">
        <v>618</v>
      </c>
    </row>
    <row r="417" ht="15" customHeight="1" spans="111:135" x14ac:dyDescent="0.25">
      <c r="DG417" t="s">
        <v>4622</v>
      </c>
      <c r="DH417" t="s">
        <v>82</v>
      </c>
      <c r="DI417" t="s">
        <v>442</v>
      </c>
      <c r="DJ417" t="s">
        <v>443</v>
      </c>
      <c r="DK417" t="s">
        <v>1079</v>
      </c>
      <c r="DL417">
        <v>3.85</v>
      </c>
      <c r="DM417" t="s">
        <v>669</v>
      </c>
      <c r="DN417" t="s">
        <v>670</v>
      </c>
      <c r="DO417">
        <v>1</v>
      </c>
      <c r="DP417">
        <v>13340.05</v>
      </c>
      <c r="DQ417">
        <v>13340.05</v>
      </c>
      <c r="DR417" t="s">
        <v>4623</v>
      </c>
      <c r="EB417" t="s">
        <v>4624</v>
      </c>
      <c r="EC417" t="s">
        <v>2555</v>
      </c>
      <c r="EE417" t="s">
        <v>616</v>
      </c>
    </row>
    <row r="418" ht="15" customHeight="1" spans="111:135" x14ac:dyDescent="0.25">
      <c r="DG418" t="s">
        <v>4625</v>
      </c>
      <c r="DH418" t="s">
        <v>82</v>
      </c>
      <c r="DI418" t="s">
        <v>444</v>
      </c>
      <c r="DJ418" t="s">
        <v>445</v>
      </c>
      <c r="DK418" t="s">
        <v>1079</v>
      </c>
      <c r="DL418">
        <v>3.85</v>
      </c>
      <c r="DM418" t="s">
        <v>669</v>
      </c>
      <c r="DN418" t="s">
        <v>670</v>
      </c>
      <c r="DO418">
        <v>1</v>
      </c>
      <c r="DP418">
        <v>13340.05</v>
      </c>
      <c r="DQ418">
        <v>13340.05</v>
      </c>
      <c r="DR418" t="s">
        <v>4626</v>
      </c>
      <c r="EB418" t="s">
        <v>4627</v>
      </c>
      <c r="EC418" t="s">
        <v>2555</v>
      </c>
      <c r="EE418" t="s">
        <v>614</v>
      </c>
    </row>
    <row r="419" ht="15" customHeight="1" spans="111:135" x14ac:dyDescent="0.25">
      <c r="DG419" t="s">
        <v>4628</v>
      </c>
      <c r="DH419" t="s">
        <v>82</v>
      </c>
      <c r="DI419" t="s">
        <v>390</v>
      </c>
      <c r="DJ419" t="s">
        <v>391</v>
      </c>
      <c r="DK419" t="s">
        <v>1079</v>
      </c>
      <c r="DL419">
        <v>3.85</v>
      </c>
      <c r="DM419" t="s">
        <v>669</v>
      </c>
      <c r="DN419" t="s">
        <v>670</v>
      </c>
      <c r="DO419">
        <v>1</v>
      </c>
      <c r="DP419">
        <v>36130</v>
      </c>
      <c r="DQ419">
        <v>36130</v>
      </c>
      <c r="DR419" t="s">
        <v>4629</v>
      </c>
      <c r="EB419" t="s">
        <v>4630</v>
      </c>
      <c r="EC419" t="s">
        <v>2555</v>
      </c>
      <c r="EE419" t="s">
        <v>612</v>
      </c>
    </row>
    <row r="420" ht="15" customHeight="1" spans="111:140" x14ac:dyDescent="0.25">
      <c r="DG420" t="s">
        <v>4631</v>
      </c>
      <c r="DH420" t="s">
        <v>82</v>
      </c>
      <c r="DI420" t="s">
        <v>395</v>
      </c>
      <c r="DJ420" t="s">
        <v>396</v>
      </c>
      <c r="DK420" t="s">
        <v>1079</v>
      </c>
      <c r="DL420">
        <v>3.85</v>
      </c>
      <c r="DM420" t="s">
        <v>669</v>
      </c>
      <c r="DN420" t="s">
        <v>670</v>
      </c>
      <c r="DO420">
        <v>1</v>
      </c>
      <c r="DP420">
        <v>36130</v>
      </c>
      <c r="DQ420">
        <v>36130</v>
      </c>
      <c r="DR420" t="s">
        <v>4632</v>
      </c>
      <c r="EB420" t="s">
        <v>4633</v>
      </c>
      <c r="EC420" t="s">
        <v>2555</v>
      </c>
      <c r="ED420" t="s">
        <v>2556</v>
      </c>
      <c r="EE420" t="s">
        <v>610</v>
      </c>
      <c r="EF420" t="s">
        <v>2336</v>
      </c>
      <c r="EG420">
        <v>390</v>
      </c>
      <c r="EH420">
        <v>440</v>
      </c>
      <c r="EI420">
        <v>500</v>
      </c>
      <c r="EJ420">
        <v>540</v>
      </c>
    </row>
    <row r="421" ht="15" customHeight="1" spans="111:140" x14ac:dyDescent="0.25">
      <c r="DG421" t="s">
        <v>4634</v>
      </c>
      <c r="DH421" t="s">
        <v>82</v>
      </c>
      <c r="DI421" t="s">
        <v>400</v>
      </c>
      <c r="DJ421" t="s">
        <v>401</v>
      </c>
      <c r="DK421" t="s">
        <v>1079</v>
      </c>
      <c r="DL421">
        <v>3.85</v>
      </c>
      <c r="DM421" t="s">
        <v>669</v>
      </c>
      <c r="DN421" t="s">
        <v>670</v>
      </c>
      <c r="DO421">
        <v>1</v>
      </c>
      <c r="DP421">
        <v>36130</v>
      </c>
      <c r="DQ421">
        <v>36130</v>
      </c>
      <c r="DR421" t="s">
        <v>4635</v>
      </c>
      <c r="EB421" t="s">
        <v>4636</v>
      </c>
      <c r="EC421" t="s">
        <v>2555</v>
      </c>
      <c r="ED421" t="s">
        <v>2556</v>
      </c>
      <c r="EE421" t="s">
        <v>608</v>
      </c>
      <c r="EF421" t="s">
        <v>2352</v>
      </c>
      <c r="EG421">
        <v>620</v>
      </c>
      <c r="EH421">
        <v>710</v>
      </c>
      <c r="EI421">
        <v>800</v>
      </c>
      <c r="EJ421">
        <v>860</v>
      </c>
    </row>
    <row r="422" ht="15" customHeight="1" spans="111:140" x14ac:dyDescent="0.25">
      <c r="DG422" t="s">
        <v>4637</v>
      </c>
      <c r="DH422" t="s">
        <v>82</v>
      </c>
      <c r="DI422" t="s">
        <v>387</v>
      </c>
      <c r="DJ422" t="s">
        <v>388</v>
      </c>
      <c r="DK422" t="s">
        <v>1079</v>
      </c>
      <c r="DL422">
        <v>3.85</v>
      </c>
      <c r="DM422" t="s">
        <v>669</v>
      </c>
      <c r="DN422" t="s">
        <v>670</v>
      </c>
      <c r="DO422">
        <v>1</v>
      </c>
      <c r="DP422">
        <v>36130</v>
      </c>
      <c r="DQ422">
        <v>36130</v>
      </c>
      <c r="DR422" t="s">
        <v>4638</v>
      </c>
      <c r="EB422" t="s">
        <v>4639</v>
      </c>
      <c r="EC422" t="s">
        <v>2555</v>
      </c>
      <c r="ED422" t="s">
        <v>2556</v>
      </c>
      <c r="EE422" t="s">
        <v>606</v>
      </c>
      <c r="EF422" t="s">
        <v>2371</v>
      </c>
      <c r="EG422">
        <v>550</v>
      </c>
      <c r="EH422">
        <v>660</v>
      </c>
      <c r="EI422">
        <v>715</v>
      </c>
      <c r="EJ422">
        <v>770</v>
      </c>
    </row>
    <row r="423" ht="15" customHeight="1" spans="111:140" x14ac:dyDescent="0.25">
      <c r="DG423" t="s">
        <v>4640</v>
      </c>
      <c r="DH423" t="s">
        <v>82</v>
      </c>
      <c r="DI423" t="s">
        <v>482</v>
      </c>
      <c r="DJ423" t="s">
        <v>483</v>
      </c>
      <c r="DK423" t="s">
        <v>1079</v>
      </c>
      <c r="DL423">
        <v>3.85</v>
      </c>
      <c r="DM423" t="s">
        <v>669</v>
      </c>
      <c r="DN423" t="s">
        <v>670</v>
      </c>
      <c r="DO423">
        <v>1</v>
      </c>
      <c r="DP423">
        <v>33924.98</v>
      </c>
      <c r="DQ423">
        <v>33924.98</v>
      </c>
      <c r="DR423" t="s">
        <v>4641</v>
      </c>
      <c r="EB423" t="s">
        <v>4642</v>
      </c>
      <c r="EC423" t="s">
        <v>2555</v>
      </c>
      <c r="ED423" t="s">
        <v>2556</v>
      </c>
      <c r="EE423" t="s">
        <v>603</v>
      </c>
      <c r="EF423" t="s">
        <v>2387</v>
      </c>
      <c r="EG423">
        <v>280</v>
      </c>
      <c r="EH423">
        <v>280</v>
      </c>
      <c r="EI423">
        <v>280</v>
      </c>
      <c r="EJ423">
        <v>280</v>
      </c>
    </row>
    <row r="424" ht="15" customHeight="1" spans="111:140" x14ac:dyDescent="0.25">
      <c r="DG424" t="s">
        <v>4643</v>
      </c>
      <c r="DH424" t="s">
        <v>82</v>
      </c>
      <c r="DI424" t="s">
        <v>484</v>
      </c>
      <c r="DJ424" t="s">
        <v>485</v>
      </c>
      <c r="DK424" t="s">
        <v>1079</v>
      </c>
      <c r="DL424">
        <v>3.85</v>
      </c>
      <c r="DM424" t="s">
        <v>669</v>
      </c>
      <c r="DN424" t="s">
        <v>670</v>
      </c>
      <c r="DO424">
        <v>1</v>
      </c>
      <c r="DP424">
        <v>33925</v>
      </c>
      <c r="DQ424">
        <v>33925</v>
      </c>
      <c r="DR424" t="s">
        <v>4644</v>
      </c>
      <c r="EB424" t="s">
        <v>4645</v>
      </c>
      <c r="EC424" t="s">
        <v>2555</v>
      </c>
      <c r="ED424" t="s">
        <v>2556</v>
      </c>
      <c r="EE424" t="s">
        <v>601</v>
      </c>
      <c r="EF424" t="s">
        <v>2404</v>
      </c>
      <c r="EG424">
        <v>1</v>
      </c>
      <c r="EH424">
        <v>1</v>
      </c>
      <c r="EI424">
        <v>1</v>
      </c>
      <c r="EJ424">
        <v>1</v>
      </c>
    </row>
    <row r="425" ht="15" customHeight="1" spans="111:140" x14ac:dyDescent="0.25">
      <c r="DG425" t="s">
        <v>4646</v>
      </c>
      <c r="DH425" t="s">
        <v>82</v>
      </c>
      <c r="DI425" t="s">
        <v>486</v>
      </c>
      <c r="DJ425" t="s">
        <v>487</v>
      </c>
      <c r="DK425" t="s">
        <v>1079</v>
      </c>
      <c r="DL425">
        <v>3.85</v>
      </c>
      <c r="DM425" t="s">
        <v>669</v>
      </c>
      <c r="DN425" t="s">
        <v>670</v>
      </c>
      <c r="DO425">
        <v>1</v>
      </c>
      <c r="DP425">
        <v>33925</v>
      </c>
      <c r="DQ425">
        <v>33925</v>
      </c>
      <c r="DR425" t="s">
        <v>4647</v>
      </c>
      <c r="EB425" t="s">
        <v>4648</v>
      </c>
      <c r="EC425" t="s">
        <v>2555</v>
      </c>
      <c r="ED425" t="s">
        <v>2556</v>
      </c>
      <c r="EE425" t="s">
        <v>599</v>
      </c>
      <c r="EF425" t="s">
        <v>2421</v>
      </c>
      <c r="EG425">
        <v>930</v>
      </c>
      <c r="EH425">
        <v>930</v>
      </c>
      <c r="EI425">
        <v>930</v>
      </c>
      <c r="EJ425">
        <v>930</v>
      </c>
    </row>
    <row r="426" ht="15" customHeight="1" spans="111:140" x14ac:dyDescent="0.25">
      <c r="DG426" t="s">
        <v>4649</v>
      </c>
      <c r="DH426" t="s">
        <v>82</v>
      </c>
      <c r="DI426" t="s">
        <v>488</v>
      </c>
      <c r="DJ426" t="s">
        <v>489</v>
      </c>
      <c r="DK426" t="s">
        <v>1079</v>
      </c>
      <c r="DL426">
        <v>3.85</v>
      </c>
      <c r="DM426" t="s">
        <v>669</v>
      </c>
      <c r="DN426" t="s">
        <v>670</v>
      </c>
      <c r="DO426">
        <v>1</v>
      </c>
      <c r="DP426">
        <v>33925</v>
      </c>
      <c r="DQ426">
        <v>33925</v>
      </c>
      <c r="DR426" t="s">
        <v>4650</v>
      </c>
      <c r="EB426" t="s">
        <v>4651</v>
      </c>
      <c r="EC426" t="s">
        <v>2555</v>
      </c>
      <c r="ED426" t="s">
        <v>2556</v>
      </c>
      <c r="EE426" t="s">
        <v>623</v>
      </c>
      <c r="EF426" t="s">
        <v>2437</v>
      </c>
      <c r="EG426">
        <v>1200</v>
      </c>
      <c r="EH426">
        <v>1200</v>
      </c>
      <c r="EI426">
        <v>1200</v>
      </c>
      <c r="EJ426">
        <v>1200</v>
      </c>
    </row>
    <row r="427" ht="15" customHeight="1" spans="111:135" x14ac:dyDescent="0.25">
      <c r="DG427" t="s">
        <v>4652</v>
      </c>
      <c r="DH427" t="s">
        <v>82</v>
      </c>
      <c r="DI427" t="s">
        <v>440</v>
      </c>
      <c r="DJ427" t="s">
        <v>441</v>
      </c>
      <c r="DK427" t="s">
        <v>1079</v>
      </c>
      <c r="DL427">
        <v>3.85</v>
      </c>
      <c r="DM427" t="s">
        <v>669</v>
      </c>
      <c r="DN427" t="s">
        <v>670</v>
      </c>
      <c r="DO427">
        <v>2</v>
      </c>
      <c r="DP427">
        <v>26680.1</v>
      </c>
      <c r="DQ427">
        <v>26680.1</v>
      </c>
      <c r="DR427" t="s">
        <v>4653</v>
      </c>
      <c r="EB427" t="s">
        <v>4654</v>
      </c>
      <c r="EC427" t="s">
        <v>2555</v>
      </c>
      <c r="EE427" t="s">
        <v>596</v>
      </c>
    </row>
    <row r="428" ht="15" customHeight="1" spans="111:140" x14ac:dyDescent="0.25">
      <c r="DG428" t="s">
        <v>4655</v>
      </c>
      <c r="DH428" t="s">
        <v>82</v>
      </c>
      <c r="DI428" t="s">
        <v>446</v>
      </c>
      <c r="DJ428" t="s">
        <v>447</v>
      </c>
      <c r="DK428" t="s">
        <v>1079</v>
      </c>
      <c r="DL428">
        <v>3.85</v>
      </c>
      <c r="DM428" t="s">
        <v>669</v>
      </c>
      <c r="DN428" t="s">
        <v>670</v>
      </c>
      <c r="DO428">
        <v>1</v>
      </c>
      <c r="DP428">
        <v>13339.5</v>
      </c>
      <c r="DQ428">
        <v>13339.5</v>
      </c>
      <c r="DR428" t="s">
        <v>4656</v>
      </c>
      <c r="EB428" t="s">
        <v>4657</v>
      </c>
      <c r="EC428" t="s">
        <v>2555</v>
      </c>
      <c r="ED428" t="s">
        <v>2556</v>
      </c>
      <c r="EE428" t="s">
        <v>593</v>
      </c>
      <c r="EF428" t="s">
        <v>2469</v>
      </c>
      <c r="EG428">
        <v>1</v>
      </c>
      <c r="EH428">
        <v>1</v>
      </c>
      <c r="EI428">
        <v>1</v>
      </c>
      <c r="EJ428">
        <v>1</v>
      </c>
    </row>
    <row r="429" ht="15" customHeight="1" spans="111:140" x14ac:dyDescent="0.25">
      <c r="DG429" t="s">
        <v>4658</v>
      </c>
      <c r="DH429" t="s">
        <v>82</v>
      </c>
      <c r="DI429" t="s">
        <v>464</v>
      </c>
      <c r="DJ429" t="s">
        <v>465</v>
      </c>
      <c r="DK429" t="s">
        <v>1079</v>
      </c>
      <c r="DL429">
        <v>3.85</v>
      </c>
      <c r="DM429" t="s">
        <v>669</v>
      </c>
      <c r="DN429" t="s">
        <v>670</v>
      </c>
      <c r="DO429">
        <v>1</v>
      </c>
      <c r="DP429">
        <v>0.02</v>
      </c>
      <c r="DQ429">
        <v>0.02</v>
      </c>
      <c r="DR429" t="s">
        <v>4659</v>
      </c>
      <c r="EB429" t="s">
        <v>4660</v>
      </c>
      <c r="EC429" t="s">
        <v>2555</v>
      </c>
      <c r="ED429" t="s">
        <v>2556</v>
      </c>
      <c r="EE429" t="s">
        <v>591</v>
      </c>
      <c r="EF429" t="s">
        <v>3058</v>
      </c>
      <c r="EG429">
        <v>1000</v>
      </c>
      <c r="EH429">
        <v>1000</v>
      </c>
      <c r="EI429">
        <v>1000</v>
      </c>
      <c r="EJ429">
        <v>1000</v>
      </c>
    </row>
    <row r="430" ht="15" customHeight="1" spans="111:140" x14ac:dyDescent="0.25">
      <c r="DG430" t="s">
        <v>4661</v>
      </c>
      <c r="DH430" t="s">
        <v>82</v>
      </c>
      <c r="DI430" t="s">
        <v>468</v>
      </c>
      <c r="DJ430" t="s">
        <v>467</v>
      </c>
      <c r="DK430" t="s">
        <v>1079</v>
      </c>
      <c r="DL430">
        <v>3.85</v>
      </c>
      <c r="DM430" t="s">
        <v>669</v>
      </c>
      <c r="DN430" t="s">
        <v>670</v>
      </c>
      <c r="DO430">
        <v>1</v>
      </c>
      <c r="DP430">
        <v>0.1</v>
      </c>
      <c r="DQ430">
        <v>0.1</v>
      </c>
      <c r="DR430" t="s">
        <v>3540</v>
      </c>
      <c r="EB430" t="s">
        <v>4662</v>
      </c>
      <c r="EC430" t="s">
        <v>2555</v>
      </c>
      <c r="ED430" t="s">
        <v>2556</v>
      </c>
      <c r="EE430" t="s">
        <v>2423</v>
      </c>
      <c r="EF430" t="s">
        <v>2424</v>
      </c>
      <c r="EG430">
        <v>43900</v>
      </c>
      <c r="EH430">
        <v>43900</v>
      </c>
      <c r="EI430">
        <v>43900</v>
      </c>
      <c r="EJ430">
        <v>43900</v>
      </c>
    </row>
    <row r="431" ht="15" customHeight="1" spans="111:135" x14ac:dyDescent="0.25">
      <c r="DG431" t="s">
        <v>4663</v>
      </c>
      <c r="DH431" t="s">
        <v>82</v>
      </c>
      <c r="DI431" t="s">
        <v>470</v>
      </c>
      <c r="DJ431" t="s">
        <v>471</v>
      </c>
      <c r="DK431" t="s">
        <v>1079</v>
      </c>
      <c r="DL431">
        <v>3.85</v>
      </c>
      <c r="DM431" t="s">
        <v>669</v>
      </c>
      <c r="DN431" t="s">
        <v>670</v>
      </c>
      <c r="DO431">
        <v>1</v>
      </c>
      <c r="DP431">
        <v>5730</v>
      </c>
      <c r="DQ431">
        <v>5730</v>
      </c>
      <c r="DR431" t="s">
        <v>4664</v>
      </c>
      <c r="EB431" t="s">
        <v>4665</v>
      </c>
      <c r="EC431" t="s">
        <v>2555</v>
      </c>
      <c r="EE431" t="s">
        <v>584</v>
      </c>
    </row>
    <row r="432" ht="15" customHeight="1" spans="111:140" x14ac:dyDescent="0.25">
      <c r="DG432" t="s">
        <v>4666</v>
      </c>
      <c r="DH432" t="s">
        <v>82</v>
      </c>
      <c r="DI432" t="s">
        <v>458</v>
      </c>
      <c r="DJ432" t="s">
        <v>459</v>
      </c>
      <c r="DK432" t="s">
        <v>1079</v>
      </c>
      <c r="DL432">
        <v>3.85</v>
      </c>
      <c r="DM432" t="s">
        <v>669</v>
      </c>
      <c r="DN432" t="s">
        <v>670</v>
      </c>
      <c r="DO432">
        <v>1</v>
      </c>
      <c r="DP432">
        <v>13340.05</v>
      </c>
      <c r="DQ432">
        <v>13340.05</v>
      </c>
      <c r="DR432" t="s">
        <v>4667</v>
      </c>
      <c r="EB432" t="s">
        <v>4668</v>
      </c>
      <c r="EC432" t="s">
        <v>2555</v>
      </c>
      <c r="ED432" t="s">
        <v>2556</v>
      </c>
      <c r="EE432" t="s">
        <v>582</v>
      </c>
      <c r="EF432" t="s">
        <v>2525</v>
      </c>
      <c r="EG432">
        <v>1</v>
      </c>
      <c r="EH432">
        <v>1</v>
      </c>
      <c r="EI432">
        <v>1</v>
      </c>
      <c r="EJ432">
        <v>1</v>
      </c>
    </row>
    <row r="433" ht="15" customHeight="1" spans="111:140" x14ac:dyDescent="0.25">
      <c r="DG433" t="s">
        <v>4669</v>
      </c>
      <c r="DH433" t="s">
        <v>82</v>
      </c>
      <c r="DI433" t="s">
        <v>409</v>
      </c>
      <c r="DJ433" t="s">
        <v>410</v>
      </c>
      <c r="DK433" t="s">
        <v>1079</v>
      </c>
      <c r="DL433">
        <v>3.85</v>
      </c>
      <c r="DM433" t="s">
        <v>669</v>
      </c>
      <c r="DN433" t="s">
        <v>670</v>
      </c>
      <c r="DO433">
        <v>1</v>
      </c>
      <c r="DP433">
        <v>36130</v>
      </c>
      <c r="DQ433">
        <v>36130</v>
      </c>
      <c r="DR433" t="s">
        <v>4670</v>
      </c>
      <c r="EB433" t="s">
        <v>4671</v>
      </c>
      <c r="EC433" t="s">
        <v>2555</v>
      </c>
      <c r="ED433" t="s">
        <v>2556</v>
      </c>
      <c r="EE433" t="s">
        <v>580</v>
      </c>
      <c r="EF433" t="s">
        <v>2539</v>
      </c>
      <c r="EG433">
        <v>1</v>
      </c>
      <c r="EH433">
        <v>1</v>
      </c>
      <c r="EI433">
        <v>1</v>
      </c>
      <c r="EJ433">
        <v>1</v>
      </c>
    </row>
    <row r="434" ht="15" customHeight="1" spans="111:140" x14ac:dyDescent="0.25">
      <c r="DG434" t="s">
        <v>4672</v>
      </c>
      <c r="DH434" t="s">
        <v>82</v>
      </c>
      <c r="DI434" t="s">
        <v>406</v>
      </c>
      <c r="DJ434" t="s">
        <v>1824</v>
      </c>
      <c r="DK434" t="s">
        <v>1079</v>
      </c>
      <c r="DL434">
        <v>3.85</v>
      </c>
      <c r="DM434" t="s">
        <v>669</v>
      </c>
      <c r="DN434" t="s">
        <v>670</v>
      </c>
      <c r="DO434">
        <v>1</v>
      </c>
      <c r="DP434">
        <v>36130</v>
      </c>
      <c r="DQ434">
        <v>36130</v>
      </c>
      <c r="DR434" t="s">
        <v>4673</v>
      </c>
      <c r="EB434" t="s">
        <v>4674</v>
      </c>
      <c r="EC434" t="s">
        <v>2555</v>
      </c>
      <c r="ED434" t="s">
        <v>2556</v>
      </c>
      <c r="EE434" t="s">
        <v>578</v>
      </c>
      <c r="EF434" t="s">
        <v>577</v>
      </c>
      <c r="EG434">
        <v>120000</v>
      </c>
      <c r="EH434">
        <v>120000</v>
      </c>
      <c r="EI434">
        <v>120000</v>
      </c>
      <c r="EJ434">
        <v>120000</v>
      </c>
    </row>
    <row r="435" ht="15" customHeight="1" spans="111:135" x14ac:dyDescent="0.25">
      <c r="DG435" t="s">
        <v>4675</v>
      </c>
      <c r="DH435" t="s">
        <v>82</v>
      </c>
      <c r="DI435" t="s">
        <v>412</v>
      </c>
      <c r="DJ435" t="s">
        <v>413</v>
      </c>
      <c r="DK435" t="s">
        <v>1079</v>
      </c>
      <c r="DL435">
        <v>3.85</v>
      </c>
      <c r="DM435" t="s">
        <v>669</v>
      </c>
      <c r="DN435" t="s">
        <v>670</v>
      </c>
      <c r="DO435">
        <v>1</v>
      </c>
      <c r="DP435">
        <v>36130</v>
      </c>
      <c r="DQ435">
        <v>36130</v>
      </c>
      <c r="DR435" t="s">
        <v>4676</v>
      </c>
      <c r="EB435" t="s">
        <v>4677</v>
      </c>
      <c r="EC435" t="s">
        <v>2555</v>
      </c>
      <c r="EE435" t="s">
        <v>327</v>
      </c>
    </row>
    <row r="436" ht="15" customHeight="1" spans="111:135" x14ac:dyDescent="0.25">
      <c r="DG436" t="s">
        <v>4678</v>
      </c>
      <c r="DH436" t="s">
        <v>82</v>
      </c>
      <c r="DI436" t="s">
        <v>452</v>
      </c>
      <c r="DJ436" t="s">
        <v>453</v>
      </c>
      <c r="DK436" t="s">
        <v>1079</v>
      </c>
      <c r="DL436">
        <v>3.85</v>
      </c>
      <c r="DM436" t="s">
        <v>669</v>
      </c>
      <c r="DN436" t="s">
        <v>670</v>
      </c>
      <c r="DO436">
        <v>1</v>
      </c>
      <c r="DP436">
        <v>13340.05</v>
      </c>
      <c r="DQ436">
        <v>13340.05</v>
      </c>
      <c r="DR436" t="s">
        <v>4679</v>
      </c>
      <c r="EB436" t="s">
        <v>4680</v>
      </c>
      <c r="EC436" t="s">
        <v>2555</v>
      </c>
      <c r="EE436" t="s">
        <v>330</v>
      </c>
    </row>
    <row r="437" ht="15" customHeight="1" spans="111:135" x14ac:dyDescent="0.25">
      <c r="DG437" t="s">
        <v>4681</v>
      </c>
      <c r="DH437" t="s">
        <v>82</v>
      </c>
      <c r="DI437" t="s">
        <v>450</v>
      </c>
      <c r="DJ437" t="s">
        <v>451</v>
      </c>
      <c r="DK437" t="s">
        <v>1079</v>
      </c>
      <c r="DL437">
        <v>3.85</v>
      </c>
      <c r="DM437" t="s">
        <v>669</v>
      </c>
      <c r="DN437" t="s">
        <v>670</v>
      </c>
      <c r="DO437">
        <v>1</v>
      </c>
      <c r="DP437">
        <v>13340</v>
      </c>
      <c r="DQ437">
        <v>13340</v>
      </c>
      <c r="DR437" t="s">
        <v>4682</v>
      </c>
      <c r="EB437" t="s">
        <v>4683</v>
      </c>
      <c r="EC437" t="s">
        <v>2555</v>
      </c>
      <c r="EE437" t="s">
        <v>576</v>
      </c>
    </row>
    <row r="438" ht="15" customHeight="1" spans="111:140" x14ac:dyDescent="0.25">
      <c r="DG438" t="s">
        <v>4684</v>
      </c>
      <c r="DH438" t="s">
        <v>82</v>
      </c>
      <c r="DI438" t="s">
        <v>448</v>
      </c>
      <c r="DJ438" t="s">
        <v>449</v>
      </c>
      <c r="DK438" t="s">
        <v>1079</v>
      </c>
      <c r="DL438">
        <v>3.85</v>
      </c>
      <c r="DM438" t="s">
        <v>669</v>
      </c>
      <c r="DN438" t="s">
        <v>670</v>
      </c>
      <c r="DO438">
        <v>1</v>
      </c>
      <c r="DP438">
        <v>13340.05</v>
      </c>
      <c r="DQ438">
        <v>13340.05</v>
      </c>
      <c r="DR438" t="s">
        <v>4685</v>
      </c>
      <c r="EB438" t="s">
        <v>4686</v>
      </c>
      <c r="EC438" t="s">
        <v>2555</v>
      </c>
      <c r="ED438" t="s">
        <v>2556</v>
      </c>
      <c r="EE438" t="s">
        <v>573</v>
      </c>
      <c r="EF438" t="s">
        <v>2613</v>
      </c>
      <c r="EG438">
        <v>1300</v>
      </c>
      <c r="EH438">
        <v>1300</v>
      </c>
      <c r="EI438">
        <v>1300</v>
      </c>
      <c r="EJ438">
        <v>1300</v>
      </c>
    </row>
    <row r="439" ht="15" customHeight="1" spans="111:140" x14ac:dyDescent="0.25">
      <c r="DG439" t="s">
        <v>4687</v>
      </c>
      <c r="DH439" t="s">
        <v>82</v>
      </c>
      <c r="DI439" t="s">
        <v>460</v>
      </c>
      <c r="DJ439" t="s">
        <v>461</v>
      </c>
      <c r="DK439" t="s">
        <v>1079</v>
      </c>
      <c r="DL439">
        <v>3.85</v>
      </c>
      <c r="DM439" t="s">
        <v>669</v>
      </c>
      <c r="DN439" t="s">
        <v>670</v>
      </c>
      <c r="DO439">
        <v>1</v>
      </c>
      <c r="DP439">
        <v>13340.05</v>
      </c>
      <c r="DQ439">
        <v>13340.05</v>
      </c>
      <c r="DR439" t="s">
        <v>4688</v>
      </c>
      <c r="EB439" t="s">
        <v>4689</v>
      </c>
      <c r="EC439" t="s">
        <v>2555</v>
      </c>
      <c r="ED439" t="s">
        <v>2556</v>
      </c>
      <c r="EE439" t="s">
        <v>569</v>
      </c>
      <c r="EF439" t="s">
        <v>567</v>
      </c>
      <c r="EG439">
        <v>1</v>
      </c>
      <c r="EH439">
        <v>1</v>
      </c>
      <c r="EI439">
        <v>1</v>
      </c>
      <c r="EJ439">
        <v>1</v>
      </c>
    </row>
    <row r="440" ht="15" customHeight="1" spans="111:140" x14ac:dyDescent="0.25">
      <c r="DG440" t="s">
        <v>4690</v>
      </c>
      <c r="DH440" t="s">
        <v>82</v>
      </c>
      <c r="DI440" t="s">
        <v>490</v>
      </c>
      <c r="DJ440" t="s">
        <v>491</v>
      </c>
      <c r="DK440" t="s">
        <v>1079</v>
      </c>
      <c r="DL440">
        <v>3.85</v>
      </c>
      <c r="DM440" t="s">
        <v>669</v>
      </c>
      <c r="DN440" t="s">
        <v>670</v>
      </c>
      <c r="DO440">
        <v>1</v>
      </c>
      <c r="DP440">
        <v>23735.05</v>
      </c>
      <c r="DQ440">
        <v>23735.05</v>
      </c>
      <c r="DR440" t="s">
        <v>4691</v>
      </c>
      <c r="EB440" t="s">
        <v>4692</v>
      </c>
      <c r="EC440" t="s">
        <v>2555</v>
      </c>
      <c r="ED440" t="s">
        <v>2556</v>
      </c>
      <c r="EE440" t="s">
        <v>2641</v>
      </c>
      <c r="EF440" t="s">
        <v>4693</v>
      </c>
      <c r="EG440">
        <v>2950</v>
      </c>
      <c r="EH440">
        <v>2950</v>
      </c>
      <c r="EI440">
        <v>2950</v>
      </c>
      <c r="EJ440">
        <v>2950</v>
      </c>
    </row>
    <row r="441" ht="15" customHeight="1" spans="111:140" x14ac:dyDescent="0.25">
      <c r="DG441" t="s">
        <v>4694</v>
      </c>
      <c r="DH441" t="s">
        <v>82</v>
      </c>
      <c r="DI441" t="s">
        <v>492</v>
      </c>
      <c r="DJ441" t="s">
        <v>493</v>
      </c>
      <c r="DK441" t="s">
        <v>1079</v>
      </c>
      <c r="DL441">
        <v>3.85</v>
      </c>
      <c r="DM441" t="s">
        <v>669</v>
      </c>
      <c r="DN441" t="s">
        <v>670</v>
      </c>
      <c r="DO441">
        <v>1</v>
      </c>
      <c r="DP441">
        <v>39660</v>
      </c>
      <c r="DQ441">
        <v>39660</v>
      </c>
      <c r="DR441" t="s">
        <v>4695</v>
      </c>
      <c r="EB441" t="s">
        <v>4696</v>
      </c>
      <c r="EC441" t="s">
        <v>2555</v>
      </c>
      <c r="ED441" t="s">
        <v>2556</v>
      </c>
      <c r="EE441" t="s">
        <v>2656</v>
      </c>
      <c r="EF441" t="s">
        <v>4697</v>
      </c>
      <c r="EG441">
        <v>5950</v>
      </c>
      <c r="EH441">
        <v>5950</v>
      </c>
      <c r="EI441">
        <v>5950</v>
      </c>
      <c r="EJ441">
        <v>5950</v>
      </c>
    </row>
    <row r="442" ht="15" customHeight="1" spans="111:140" x14ac:dyDescent="0.25">
      <c r="DG442" t="s">
        <v>4698</v>
      </c>
      <c r="DH442" t="s">
        <v>82</v>
      </c>
      <c r="DI442" t="s">
        <v>494</v>
      </c>
      <c r="DJ442" t="s">
        <v>495</v>
      </c>
      <c r="DK442" t="s">
        <v>1079</v>
      </c>
      <c r="DL442">
        <v>3.85</v>
      </c>
      <c r="DM442" t="s">
        <v>669</v>
      </c>
      <c r="DN442" t="s">
        <v>670</v>
      </c>
      <c r="DO442">
        <v>1</v>
      </c>
      <c r="DP442">
        <v>39660</v>
      </c>
      <c r="DQ442">
        <v>39660</v>
      </c>
      <c r="DR442" t="s">
        <v>4699</v>
      </c>
      <c r="EB442" t="s">
        <v>4700</v>
      </c>
      <c r="EC442" t="s">
        <v>2555</v>
      </c>
      <c r="ED442" t="s">
        <v>2556</v>
      </c>
      <c r="EE442" t="s">
        <v>2670</v>
      </c>
      <c r="EF442" t="s">
        <v>4701</v>
      </c>
      <c r="EG442">
        <v>9000</v>
      </c>
      <c r="EH442">
        <v>9000</v>
      </c>
      <c r="EI442">
        <v>9000</v>
      </c>
      <c r="EJ442">
        <v>9000</v>
      </c>
    </row>
    <row r="443" ht="15" customHeight="1" spans="111:140" x14ac:dyDescent="0.25">
      <c r="DG443" t="s">
        <v>4702</v>
      </c>
      <c r="DH443" t="s">
        <v>82</v>
      </c>
      <c r="DI443" t="s">
        <v>496</v>
      </c>
      <c r="DJ443" t="s">
        <v>1827</v>
      </c>
      <c r="DK443" t="s">
        <v>1079</v>
      </c>
      <c r="DL443">
        <v>3.85</v>
      </c>
      <c r="DM443" t="s">
        <v>669</v>
      </c>
      <c r="DN443" t="s">
        <v>670</v>
      </c>
      <c r="DO443">
        <v>1</v>
      </c>
      <c r="DP443">
        <v>39660</v>
      </c>
      <c r="DQ443">
        <v>39660</v>
      </c>
      <c r="DR443" t="s">
        <v>4703</v>
      </c>
      <c r="EB443" t="s">
        <v>4704</v>
      </c>
      <c r="EC443" t="s">
        <v>2555</v>
      </c>
      <c r="ED443" t="s">
        <v>2556</v>
      </c>
      <c r="EE443" t="s">
        <v>561</v>
      </c>
      <c r="EF443" t="s">
        <v>2684</v>
      </c>
      <c r="EG443">
        <v>1</v>
      </c>
      <c r="EH443">
        <v>1</v>
      </c>
      <c r="EI443">
        <v>1</v>
      </c>
      <c r="EJ443">
        <v>1</v>
      </c>
    </row>
    <row r="444" ht="15" customHeight="1" spans="111:140" x14ac:dyDescent="0.25">
      <c r="DG444" t="s">
        <v>4705</v>
      </c>
      <c r="DH444" t="s">
        <v>82</v>
      </c>
      <c r="DI444" t="s">
        <v>498</v>
      </c>
      <c r="DJ444" t="s">
        <v>499</v>
      </c>
      <c r="DK444" t="s">
        <v>1079</v>
      </c>
      <c r="DL444">
        <v>3.85</v>
      </c>
      <c r="DM444" t="s">
        <v>669</v>
      </c>
      <c r="DN444" t="s">
        <v>670</v>
      </c>
      <c r="DO444">
        <v>1</v>
      </c>
      <c r="DP444">
        <v>39660</v>
      </c>
      <c r="DQ444">
        <v>39660</v>
      </c>
      <c r="DR444" t="s">
        <v>4706</v>
      </c>
      <c r="EB444" t="s">
        <v>4707</v>
      </c>
      <c r="EC444" t="s">
        <v>2555</v>
      </c>
      <c r="ED444" t="s">
        <v>2556</v>
      </c>
      <c r="EE444" t="s">
        <v>563</v>
      </c>
      <c r="EF444" t="s">
        <v>2699</v>
      </c>
      <c r="EG444">
        <v>17000</v>
      </c>
      <c r="EH444">
        <v>17000</v>
      </c>
      <c r="EI444">
        <v>17000</v>
      </c>
      <c r="EJ444">
        <v>17000</v>
      </c>
    </row>
    <row r="445" ht="15" customHeight="1" spans="111:140" x14ac:dyDescent="0.25">
      <c r="DG445" t="s">
        <v>4708</v>
      </c>
      <c r="DH445" t="s">
        <v>82</v>
      </c>
      <c r="DI445" t="s">
        <v>500</v>
      </c>
      <c r="DJ445" t="s">
        <v>501</v>
      </c>
      <c r="DK445" t="s">
        <v>1079</v>
      </c>
      <c r="DL445">
        <v>3.85</v>
      </c>
      <c r="DM445" t="s">
        <v>669</v>
      </c>
      <c r="DN445" t="s">
        <v>670</v>
      </c>
      <c r="DO445">
        <v>1</v>
      </c>
      <c r="DP445">
        <v>23735</v>
      </c>
      <c r="DQ445">
        <v>23735</v>
      </c>
      <c r="DR445" t="s">
        <v>4709</v>
      </c>
      <c r="EB445" t="s">
        <v>4710</v>
      </c>
      <c r="EC445" t="s">
        <v>2555</v>
      </c>
      <c r="ED445" t="s">
        <v>2556</v>
      </c>
      <c r="EE445" t="s">
        <v>556</v>
      </c>
      <c r="EF445" t="s">
        <v>2713</v>
      </c>
      <c r="EG445">
        <v>1</v>
      </c>
      <c r="EH445">
        <v>1</v>
      </c>
      <c r="EI445">
        <v>1</v>
      </c>
      <c r="EJ445">
        <v>1</v>
      </c>
    </row>
    <row r="446" ht="15" customHeight="1" spans="111:135" x14ac:dyDescent="0.25">
      <c r="DG446" t="s">
        <v>4711</v>
      </c>
      <c r="DH446" t="s">
        <v>82</v>
      </c>
      <c r="DI446" t="s">
        <v>506</v>
      </c>
      <c r="DJ446" t="s">
        <v>507</v>
      </c>
      <c r="DK446" t="s">
        <v>1079</v>
      </c>
      <c r="DL446">
        <v>3.85</v>
      </c>
      <c r="DM446" t="s">
        <v>669</v>
      </c>
      <c r="DN446" t="s">
        <v>670</v>
      </c>
      <c r="DO446">
        <v>1</v>
      </c>
      <c r="DP446">
        <v>0.1</v>
      </c>
      <c r="DQ446">
        <v>0.1</v>
      </c>
      <c r="DR446" t="s">
        <v>4712</v>
      </c>
      <c r="EB446" t="s">
        <v>4713</v>
      </c>
      <c r="EC446" t="s">
        <v>2555</v>
      </c>
      <c r="EE446" t="s">
        <v>551</v>
      </c>
    </row>
    <row r="447" ht="15" customHeight="1" spans="111:135" x14ac:dyDescent="0.25">
      <c r="DG447" t="s">
        <v>4714</v>
      </c>
      <c r="DH447" t="s">
        <v>82</v>
      </c>
      <c r="DI447" t="s">
        <v>504</v>
      </c>
      <c r="DJ447" t="s">
        <v>1829</v>
      </c>
      <c r="DK447" t="s">
        <v>1079</v>
      </c>
      <c r="DL447">
        <v>3.85</v>
      </c>
      <c r="DM447" t="s">
        <v>669</v>
      </c>
      <c r="DN447" t="s">
        <v>670</v>
      </c>
      <c r="DO447">
        <v>1</v>
      </c>
      <c r="DP447">
        <v>0.02</v>
      </c>
      <c r="DQ447">
        <v>0.02</v>
      </c>
      <c r="DR447" t="s">
        <v>4715</v>
      </c>
      <c r="EB447" t="s">
        <v>4716</v>
      </c>
      <c r="EC447" t="s">
        <v>2555</v>
      </c>
      <c r="EE447" t="s">
        <v>290</v>
      </c>
    </row>
    <row r="448" ht="15" customHeight="1" spans="111:135" x14ac:dyDescent="0.25">
      <c r="DG448" t="s">
        <v>4717</v>
      </c>
      <c r="DH448" t="s">
        <v>82</v>
      </c>
      <c r="DI448" t="s">
        <v>454</v>
      </c>
      <c r="DJ448" t="s">
        <v>455</v>
      </c>
      <c r="DK448" t="s">
        <v>1079</v>
      </c>
      <c r="DL448">
        <v>3.85</v>
      </c>
      <c r="DM448" t="s">
        <v>669</v>
      </c>
      <c r="DN448" t="s">
        <v>670</v>
      </c>
      <c r="DO448">
        <v>1</v>
      </c>
      <c r="DP448">
        <v>13340</v>
      </c>
      <c r="DQ448">
        <v>13340</v>
      </c>
      <c r="DR448" t="s">
        <v>4718</v>
      </c>
      <c r="EB448" t="s">
        <v>4719</v>
      </c>
      <c r="EC448" t="s">
        <v>2555</v>
      </c>
      <c r="EE448" t="s">
        <v>275</v>
      </c>
    </row>
    <row r="449" ht="15" customHeight="1" spans="111:135" x14ac:dyDescent="0.25">
      <c r="DG449" t="s">
        <v>4720</v>
      </c>
      <c r="DH449" t="s">
        <v>82</v>
      </c>
      <c r="DI449" t="s">
        <v>456</v>
      </c>
      <c r="DJ449" t="s">
        <v>457</v>
      </c>
      <c r="DK449" t="s">
        <v>1079</v>
      </c>
      <c r="DL449">
        <v>3.85</v>
      </c>
      <c r="DM449" t="s">
        <v>669</v>
      </c>
      <c r="DN449" t="s">
        <v>670</v>
      </c>
      <c r="DO449">
        <v>1</v>
      </c>
      <c r="DP449">
        <v>13340.05</v>
      </c>
      <c r="DQ449">
        <v>13340.05</v>
      </c>
      <c r="DR449" t="s">
        <v>4721</v>
      </c>
      <c r="EB449" t="s">
        <v>4722</v>
      </c>
      <c r="EC449" t="s">
        <v>2555</v>
      </c>
      <c r="EE449" t="s">
        <v>298</v>
      </c>
    </row>
    <row r="450" ht="15" customHeight="1" spans="111:135" x14ac:dyDescent="0.25">
      <c r="DG450" t="s">
        <v>4723</v>
      </c>
      <c r="DH450" t="s">
        <v>82</v>
      </c>
      <c r="DJ450" t="s">
        <v>1150</v>
      </c>
      <c r="DK450" t="s">
        <v>692</v>
      </c>
      <c r="DL450">
        <v>3.85</v>
      </c>
      <c r="DM450" t="s">
        <v>669</v>
      </c>
      <c r="DN450" t="s">
        <v>669</v>
      </c>
      <c r="DO450">
        <v>0</v>
      </c>
      <c r="DP450">
        <v>0</v>
      </c>
      <c r="DQ450">
        <v>0</v>
      </c>
      <c r="DR450" t="s">
        <v>3443</v>
      </c>
      <c r="EB450" t="s">
        <v>4724</v>
      </c>
      <c r="EC450" t="s">
        <v>2555</v>
      </c>
      <c r="EE450" t="s">
        <v>286</v>
      </c>
    </row>
    <row r="451" ht="15" customHeight="1" spans="111:135" x14ac:dyDescent="0.25">
      <c r="DG451" t="s">
        <v>4725</v>
      </c>
      <c r="DH451" t="s">
        <v>82</v>
      </c>
      <c r="DJ451" t="s">
        <v>1830</v>
      </c>
      <c r="DK451" t="s">
        <v>692</v>
      </c>
      <c r="DL451">
        <v>3.85</v>
      </c>
      <c r="DM451" t="s">
        <v>669</v>
      </c>
      <c r="DN451" t="s">
        <v>669</v>
      </c>
      <c r="DO451">
        <v>0</v>
      </c>
      <c r="DP451">
        <v>0</v>
      </c>
      <c r="DQ451">
        <v>0</v>
      </c>
      <c r="DR451" t="s">
        <v>4726</v>
      </c>
      <c r="EB451" t="s">
        <v>4727</v>
      </c>
      <c r="EC451" t="s">
        <v>2555</v>
      </c>
      <c r="EE451" t="s">
        <v>272</v>
      </c>
    </row>
    <row r="452" ht="15" customHeight="1" spans="111:135" x14ac:dyDescent="0.25">
      <c r="DG452" t="s">
        <v>4728</v>
      </c>
      <c r="DH452" t="s">
        <v>82</v>
      </c>
      <c r="DJ452" t="s">
        <v>941</v>
      </c>
      <c r="DK452" t="s">
        <v>692</v>
      </c>
      <c r="DL452">
        <v>3.85</v>
      </c>
      <c r="DM452" t="s">
        <v>669</v>
      </c>
      <c r="DN452" t="s">
        <v>669</v>
      </c>
      <c r="DO452">
        <v>0</v>
      </c>
      <c r="DP452">
        <v>0</v>
      </c>
      <c r="DQ452">
        <v>0</v>
      </c>
      <c r="DR452" t="s">
        <v>3032</v>
      </c>
      <c r="EB452" t="s">
        <v>4729</v>
      </c>
      <c r="EC452" t="s">
        <v>2555</v>
      </c>
      <c r="EE452" t="s">
        <v>283</v>
      </c>
    </row>
    <row r="453" ht="15" customHeight="1" spans="111:135" x14ac:dyDescent="0.25">
      <c r="DG453" t="s">
        <v>4730</v>
      </c>
      <c r="DH453" t="s">
        <v>82</v>
      </c>
      <c r="DJ453" t="s">
        <v>700</v>
      </c>
      <c r="DK453" t="s">
        <v>692</v>
      </c>
      <c r="DL453">
        <v>3.85</v>
      </c>
      <c r="DM453" t="s">
        <v>669</v>
      </c>
      <c r="DN453" t="s">
        <v>669</v>
      </c>
      <c r="DO453">
        <v>0</v>
      </c>
      <c r="DP453">
        <v>0</v>
      </c>
      <c r="DQ453">
        <v>0</v>
      </c>
      <c r="DR453" t="s">
        <v>2364</v>
      </c>
      <c r="EB453" t="s">
        <v>4731</v>
      </c>
      <c r="EC453" t="s">
        <v>2555</v>
      </c>
      <c r="EE453" t="s">
        <v>267</v>
      </c>
    </row>
    <row r="454" ht="15" customHeight="1" spans="111:135" x14ac:dyDescent="0.25">
      <c r="DG454" t="s">
        <v>4732</v>
      </c>
      <c r="DH454" t="s">
        <v>82</v>
      </c>
      <c r="DJ454" t="s">
        <v>1386</v>
      </c>
      <c r="DK454" t="s">
        <v>692</v>
      </c>
      <c r="DL454">
        <v>3.85</v>
      </c>
      <c r="DM454" t="s">
        <v>669</v>
      </c>
      <c r="DN454" t="s">
        <v>669</v>
      </c>
      <c r="DO454">
        <v>0</v>
      </c>
      <c r="DP454">
        <v>0</v>
      </c>
      <c r="DQ454">
        <v>0</v>
      </c>
      <c r="DR454" t="s">
        <v>3849</v>
      </c>
      <c r="EB454" t="s">
        <v>4733</v>
      </c>
      <c r="EC454" t="s">
        <v>2555</v>
      </c>
      <c r="EE454" t="s">
        <v>258</v>
      </c>
    </row>
    <row r="455" ht="15" customHeight="1" spans="111:135" x14ac:dyDescent="0.25">
      <c r="DG455" t="s">
        <v>4734</v>
      </c>
      <c r="DH455" t="s">
        <v>82</v>
      </c>
      <c r="DJ455" t="s">
        <v>1057</v>
      </c>
      <c r="DK455" t="s">
        <v>692</v>
      </c>
      <c r="DL455">
        <v>3.85</v>
      </c>
      <c r="DM455" t="s">
        <v>669</v>
      </c>
      <c r="DN455" t="s">
        <v>669</v>
      </c>
      <c r="DO455">
        <v>0</v>
      </c>
      <c r="DP455">
        <v>0</v>
      </c>
      <c r="DQ455">
        <v>0</v>
      </c>
      <c r="DR455" t="s">
        <v>3244</v>
      </c>
      <c r="EB455" t="s">
        <v>4735</v>
      </c>
      <c r="EC455" t="s">
        <v>2555</v>
      </c>
      <c r="EE455" t="s">
        <v>222</v>
      </c>
    </row>
    <row r="456" ht="15" customHeight="1" spans="111:135" x14ac:dyDescent="0.25">
      <c r="DG456" t="s">
        <v>4736</v>
      </c>
      <c r="DH456" t="s">
        <v>82</v>
      </c>
      <c r="DJ456" t="s">
        <v>1556</v>
      </c>
      <c r="DK456" t="s">
        <v>692</v>
      </c>
      <c r="DL456">
        <v>3.85</v>
      </c>
      <c r="DM456" t="s">
        <v>669</v>
      </c>
      <c r="DN456" t="s">
        <v>669</v>
      </c>
      <c r="DO456">
        <v>0</v>
      </c>
      <c r="DP456">
        <v>0</v>
      </c>
      <c r="DQ456">
        <v>0</v>
      </c>
      <c r="DR456" t="s">
        <v>4179</v>
      </c>
      <c r="EB456" t="s">
        <v>4737</v>
      </c>
      <c r="EC456" t="s">
        <v>2555</v>
      </c>
      <c r="EE456" t="s">
        <v>233</v>
      </c>
    </row>
    <row r="457" ht="15" customHeight="1" spans="111:135" x14ac:dyDescent="0.25">
      <c r="DG457" t="s">
        <v>4738</v>
      </c>
      <c r="DH457" t="s">
        <v>82</v>
      </c>
      <c r="DJ457" t="s">
        <v>1831</v>
      </c>
      <c r="DK457" t="s">
        <v>692</v>
      </c>
      <c r="DL457">
        <v>3.85</v>
      </c>
      <c r="DM457" t="s">
        <v>669</v>
      </c>
      <c r="DN457" t="s">
        <v>669</v>
      </c>
      <c r="DO457">
        <v>0</v>
      </c>
      <c r="DP457">
        <v>0</v>
      </c>
      <c r="DQ457">
        <v>0</v>
      </c>
      <c r="DR457" t="s">
        <v>4739</v>
      </c>
      <c r="EB457" t="s">
        <v>4740</v>
      </c>
      <c r="EC457" t="s">
        <v>2555</v>
      </c>
      <c r="EE457" t="s">
        <v>225</v>
      </c>
    </row>
    <row r="458" ht="15" customHeight="1" spans="111:135" x14ac:dyDescent="0.25">
      <c r="DG458" t="s">
        <v>4741</v>
      </c>
      <c r="DH458" t="s">
        <v>82</v>
      </c>
      <c r="DJ458" t="s">
        <v>711</v>
      </c>
      <c r="DK458" t="s">
        <v>692</v>
      </c>
      <c r="DL458">
        <v>3.85</v>
      </c>
      <c r="DM458" t="s">
        <v>669</v>
      </c>
      <c r="DN458" t="s">
        <v>669</v>
      </c>
      <c r="DO458">
        <v>0</v>
      </c>
      <c r="DP458">
        <v>0</v>
      </c>
      <c r="DQ458">
        <v>0</v>
      </c>
      <c r="DR458" t="s">
        <v>2414</v>
      </c>
      <c r="EB458" t="s">
        <v>4742</v>
      </c>
      <c r="EC458" t="s">
        <v>2555</v>
      </c>
      <c r="EE458" t="s">
        <v>288</v>
      </c>
    </row>
    <row r="459" ht="15" customHeight="1" spans="111:140" x14ac:dyDescent="0.25">
      <c r="DG459" t="s">
        <v>4743</v>
      </c>
      <c r="DH459" t="s">
        <v>82</v>
      </c>
      <c r="DJ459" t="s">
        <v>815</v>
      </c>
      <c r="DK459" t="s">
        <v>692</v>
      </c>
      <c r="DL459">
        <v>3.85</v>
      </c>
      <c r="DM459" t="s">
        <v>669</v>
      </c>
      <c r="DN459" t="s">
        <v>669</v>
      </c>
      <c r="DO459">
        <v>0</v>
      </c>
      <c r="DP459">
        <v>0</v>
      </c>
      <c r="DQ459">
        <v>0</v>
      </c>
      <c r="DR459" t="s">
        <v>2775</v>
      </c>
      <c r="EB459" t="s">
        <v>4744</v>
      </c>
      <c r="EC459" t="s">
        <v>2555</v>
      </c>
      <c r="ED459" t="s">
        <v>2556</v>
      </c>
      <c r="EE459" t="s">
        <v>269</v>
      </c>
      <c r="EF459" t="s">
        <v>268</v>
      </c>
      <c r="EG459">
        <v>280</v>
      </c>
      <c r="EH459">
        <v>280</v>
      </c>
      <c r="EI459">
        <v>280</v>
      </c>
      <c r="EJ459">
        <v>280</v>
      </c>
    </row>
    <row r="460" ht="15" customHeight="1" spans="111:140" x14ac:dyDescent="0.25">
      <c r="DG460" t="s">
        <v>4745</v>
      </c>
      <c r="DH460" t="s">
        <v>82</v>
      </c>
      <c r="DJ460" t="s">
        <v>1321</v>
      </c>
      <c r="DK460" t="s">
        <v>692</v>
      </c>
      <c r="DL460">
        <v>3.85</v>
      </c>
      <c r="DM460" t="s">
        <v>669</v>
      </c>
      <c r="DN460" t="s">
        <v>669</v>
      </c>
      <c r="DO460">
        <v>0</v>
      </c>
      <c r="DP460">
        <v>0</v>
      </c>
      <c r="DQ460">
        <v>0</v>
      </c>
      <c r="DR460" t="s">
        <v>3728</v>
      </c>
      <c r="EB460" t="s">
        <v>4746</v>
      </c>
      <c r="EC460" t="s">
        <v>2555</v>
      </c>
      <c r="ED460" t="s">
        <v>2556</v>
      </c>
      <c r="EE460" t="s">
        <v>237</v>
      </c>
      <c r="EF460" t="s">
        <v>235</v>
      </c>
      <c r="EG460">
        <v>2650</v>
      </c>
      <c r="EH460">
        <v>2650</v>
      </c>
      <c r="EI460">
        <v>2650</v>
      </c>
      <c r="EJ460">
        <v>2650</v>
      </c>
    </row>
    <row r="461" ht="15" customHeight="1" spans="111:135" x14ac:dyDescent="0.25">
      <c r="DG461" t="s">
        <v>4747</v>
      </c>
      <c r="DH461" t="s">
        <v>82</v>
      </c>
      <c r="DI461" t="s">
        <v>1832</v>
      </c>
      <c r="DJ461" t="s">
        <v>1833</v>
      </c>
      <c r="DK461" t="s">
        <v>692</v>
      </c>
      <c r="DL461">
        <v>3.85</v>
      </c>
      <c r="DM461" t="s">
        <v>669</v>
      </c>
      <c r="DN461" t="s">
        <v>670</v>
      </c>
      <c r="DO461">
        <v>1</v>
      </c>
      <c r="DP461">
        <v>818</v>
      </c>
      <c r="DQ461">
        <v>818</v>
      </c>
      <c r="DR461" t="s">
        <v>4748</v>
      </c>
      <c r="EB461" t="s">
        <v>4749</v>
      </c>
      <c r="EC461" t="s">
        <v>2555</v>
      </c>
      <c r="EE461" t="s">
        <v>249</v>
      </c>
    </row>
    <row r="462" ht="15" customHeight="1" spans="111:135" x14ac:dyDescent="0.25">
      <c r="DG462" t="s">
        <v>4750</v>
      </c>
      <c r="DH462" t="s">
        <v>82</v>
      </c>
      <c r="DI462" t="s">
        <v>1835</v>
      </c>
      <c r="DJ462" t="s">
        <v>1836</v>
      </c>
      <c r="DK462" t="s">
        <v>692</v>
      </c>
      <c r="DL462">
        <v>3.85</v>
      </c>
      <c r="DM462" t="s">
        <v>669</v>
      </c>
      <c r="DN462" t="s">
        <v>670</v>
      </c>
      <c r="DO462">
        <v>2</v>
      </c>
      <c r="DP462">
        <v>1629.38</v>
      </c>
      <c r="DQ462">
        <v>1629.38</v>
      </c>
      <c r="DR462" t="s">
        <v>4751</v>
      </c>
      <c r="EB462" t="s">
        <v>4752</v>
      </c>
      <c r="EC462" t="s">
        <v>2555</v>
      </c>
      <c r="EE462" t="s">
        <v>293</v>
      </c>
    </row>
    <row r="463" ht="15" customHeight="1" spans="111:135" x14ac:dyDescent="0.25">
      <c r="DG463" t="s">
        <v>4753</v>
      </c>
      <c r="DH463" t="s">
        <v>82</v>
      </c>
      <c r="DI463" t="s">
        <v>1838</v>
      </c>
      <c r="DJ463" t="s">
        <v>1839</v>
      </c>
      <c r="DK463" t="s">
        <v>692</v>
      </c>
      <c r="DL463">
        <v>3.85</v>
      </c>
      <c r="DM463" t="s">
        <v>669</v>
      </c>
      <c r="DN463" t="s">
        <v>670</v>
      </c>
      <c r="DO463">
        <v>1</v>
      </c>
      <c r="DP463">
        <v>2952</v>
      </c>
      <c r="DQ463">
        <v>2952</v>
      </c>
      <c r="DR463" t="s">
        <v>4754</v>
      </c>
      <c r="EB463" t="s">
        <v>4755</v>
      </c>
      <c r="EC463" t="s">
        <v>2555</v>
      </c>
      <c r="EE463" t="s">
        <v>280</v>
      </c>
    </row>
    <row r="464" ht="15" customHeight="1" spans="111:140" x14ac:dyDescent="0.25">
      <c r="DG464" t="s">
        <v>4756</v>
      </c>
      <c r="DH464" t="s">
        <v>82</v>
      </c>
      <c r="DI464" t="s">
        <v>1841</v>
      </c>
      <c r="DJ464" t="s">
        <v>1842</v>
      </c>
      <c r="DK464" t="s">
        <v>692</v>
      </c>
      <c r="DL464">
        <v>3.85</v>
      </c>
      <c r="DM464" t="s">
        <v>669</v>
      </c>
      <c r="DN464" t="s">
        <v>670</v>
      </c>
      <c r="DO464">
        <v>3</v>
      </c>
      <c r="DP464">
        <v>2160</v>
      </c>
      <c r="DQ464">
        <v>2160</v>
      </c>
      <c r="DR464" t="s">
        <v>4757</v>
      </c>
      <c r="EB464" t="s">
        <v>4758</v>
      </c>
      <c r="EC464" t="s">
        <v>2555</v>
      </c>
      <c r="ED464" t="s">
        <v>2556</v>
      </c>
      <c r="EE464" t="s">
        <v>264</v>
      </c>
      <c r="EF464" t="s">
        <v>262</v>
      </c>
      <c r="EG464">
        <v>1650</v>
      </c>
      <c r="EH464">
        <v>1900</v>
      </c>
      <c r="EI464">
        <v>2150</v>
      </c>
      <c r="EJ464">
        <v>2310</v>
      </c>
    </row>
    <row r="465" ht="15" customHeight="1" spans="111:135" x14ac:dyDescent="0.25">
      <c r="DG465" t="s">
        <v>4759</v>
      </c>
      <c r="DH465" t="s">
        <v>82</v>
      </c>
      <c r="DI465" t="s">
        <v>1844</v>
      </c>
      <c r="DJ465" t="s">
        <v>1845</v>
      </c>
      <c r="DK465" t="s">
        <v>692</v>
      </c>
      <c r="DL465">
        <v>3.85</v>
      </c>
      <c r="DM465" t="s">
        <v>669</v>
      </c>
      <c r="DN465" t="s">
        <v>670</v>
      </c>
      <c r="DO465">
        <v>3</v>
      </c>
      <c r="DP465">
        <v>1156.02</v>
      </c>
      <c r="DQ465">
        <v>1156.02</v>
      </c>
      <c r="DR465" t="s">
        <v>4760</v>
      </c>
      <c r="EB465" t="s">
        <v>4761</v>
      </c>
      <c r="EC465" t="s">
        <v>2555</v>
      </c>
      <c r="EE465" t="s">
        <v>278</v>
      </c>
    </row>
    <row r="466" ht="15" customHeight="1" spans="111:140" x14ac:dyDescent="0.25">
      <c r="DG466" t="s">
        <v>4762</v>
      </c>
      <c r="DH466" t="s">
        <v>82</v>
      </c>
      <c r="DI466" t="s">
        <v>1847</v>
      </c>
      <c r="DJ466" t="s">
        <v>1848</v>
      </c>
      <c r="DK466" t="s">
        <v>692</v>
      </c>
      <c r="DL466">
        <v>3.85</v>
      </c>
      <c r="DM466" t="s">
        <v>670</v>
      </c>
      <c r="DN466" t="s">
        <v>669</v>
      </c>
      <c r="DO466">
        <v>0</v>
      </c>
      <c r="DP466">
        <v>0</v>
      </c>
      <c r="DQ466">
        <v>2.81</v>
      </c>
      <c r="DR466" t="s">
        <v>4763</v>
      </c>
      <c r="EB466" t="s">
        <v>4764</v>
      </c>
      <c r="EC466" t="s">
        <v>2555</v>
      </c>
      <c r="ED466" t="s">
        <v>2556</v>
      </c>
      <c r="EE466" t="s">
        <v>240</v>
      </c>
      <c r="EF466" t="s">
        <v>238</v>
      </c>
      <c r="EG466">
        <v>3060</v>
      </c>
      <c r="EH466">
        <v>3060</v>
      </c>
      <c r="EI466">
        <v>3060</v>
      </c>
      <c r="EJ466">
        <v>3060</v>
      </c>
    </row>
    <row r="467" ht="15" customHeight="1" spans="111:140" x14ac:dyDescent="0.25">
      <c r="DG467" t="s">
        <v>4765</v>
      </c>
      <c r="DH467" t="s">
        <v>82</v>
      </c>
      <c r="DI467" t="s">
        <v>1850</v>
      </c>
      <c r="DJ467" t="s">
        <v>1851</v>
      </c>
      <c r="DK467" t="s">
        <v>692</v>
      </c>
      <c r="DL467">
        <v>3.85</v>
      </c>
      <c r="DM467" t="s">
        <v>669</v>
      </c>
      <c r="DN467" t="s">
        <v>670</v>
      </c>
      <c r="DO467">
        <v>2</v>
      </c>
      <c r="DP467">
        <v>240</v>
      </c>
      <c r="DQ467">
        <v>240</v>
      </c>
      <c r="DR467" t="s">
        <v>4766</v>
      </c>
      <c r="EB467" t="s">
        <v>4767</v>
      </c>
      <c r="EC467" t="s">
        <v>2555</v>
      </c>
      <c r="ED467" t="s">
        <v>2556</v>
      </c>
      <c r="EE467" t="s">
        <v>252</v>
      </c>
      <c r="EF467" t="s">
        <v>250</v>
      </c>
      <c r="EG467">
        <v>370</v>
      </c>
      <c r="EH467">
        <v>370</v>
      </c>
      <c r="EI467">
        <v>370</v>
      </c>
      <c r="EJ467">
        <v>370</v>
      </c>
    </row>
    <row r="468" ht="15" customHeight="1" spans="111:140" x14ac:dyDescent="0.25">
      <c r="DG468" t="s">
        <v>4768</v>
      </c>
      <c r="DH468" t="s">
        <v>82</v>
      </c>
      <c r="DI468" t="s">
        <v>1853</v>
      </c>
      <c r="DJ468" t="s">
        <v>1854</v>
      </c>
      <c r="DK468" t="s">
        <v>692</v>
      </c>
      <c r="DL468">
        <v>3.85</v>
      </c>
      <c r="DM468" t="s">
        <v>669</v>
      </c>
      <c r="DN468" t="s">
        <v>670</v>
      </c>
      <c r="DO468">
        <v>2</v>
      </c>
      <c r="DP468">
        <v>638</v>
      </c>
      <c r="DQ468">
        <v>638</v>
      </c>
      <c r="DR468" t="s">
        <v>4769</v>
      </c>
      <c r="EB468" t="s">
        <v>4770</v>
      </c>
      <c r="EC468" t="s">
        <v>2555</v>
      </c>
      <c r="ED468" t="s">
        <v>2556</v>
      </c>
      <c r="EE468" t="s">
        <v>229</v>
      </c>
      <c r="EF468" t="s">
        <v>227</v>
      </c>
      <c r="EG468">
        <v>170</v>
      </c>
      <c r="EH468">
        <v>200</v>
      </c>
      <c r="EI468">
        <v>220</v>
      </c>
      <c r="EJ468">
        <v>240</v>
      </c>
    </row>
    <row r="469" ht="15" customHeight="1" spans="111:140" x14ac:dyDescent="0.25">
      <c r="DG469" t="s">
        <v>4771</v>
      </c>
      <c r="DH469" t="s">
        <v>82</v>
      </c>
      <c r="DI469" t="s">
        <v>1856</v>
      </c>
      <c r="DJ469" t="s">
        <v>1857</v>
      </c>
      <c r="DK469" t="s">
        <v>692</v>
      </c>
      <c r="DL469">
        <v>3.85</v>
      </c>
      <c r="DM469" t="s">
        <v>670</v>
      </c>
      <c r="DN469" t="s">
        <v>669</v>
      </c>
      <c r="DO469">
        <v>0</v>
      </c>
      <c r="DP469">
        <v>0</v>
      </c>
      <c r="DQ469">
        <v>210.94</v>
      </c>
      <c r="DR469" t="s">
        <v>4772</v>
      </c>
      <c r="EB469" t="s">
        <v>4773</v>
      </c>
      <c r="EC469" t="s">
        <v>2555</v>
      </c>
      <c r="ED469" t="s">
        <v>2556</v>
      </c>
      <c r="EE469" t="s">
        <v>246</v>
      </c>
      <c r="EF469" t="s">
        <v>244</v>
      </c>
      <c r="EG469">
        <v>620</v>
      </c>
      <c r="EH469">
        <v>620</v>
      </c>
      <c r="EI469">
        <v>620</v>
      </c>
      <c r="EJ469">
        <v>620</v>
      </c>
    </row>
    <row r="470" ht="15" customHeight="1" spans="111:140" x14ac:dyDescent="0.25">
      <c r="DG470" t="s">
        <v>4774</v>
      </c>
      <c r="DH470" t="s">
        <v>82</v>
      </c>
      <c r="DI470" t="s">
        <v>1859</v>
      </c>
      <c r="DJ470" t="s">
        <v>1860</v>
      </c>
      <c r="DK470" t="s">
        <v>692</v>
      </c>
      <c r="DL470">
        <v>3.85</v>
      </c>
      <c r="DM470" t="s">
        <v>669</v>
      </c>
      <c r="DN470" t="s">
        <v>670</v>
      </c>
      <c r="DO470">
        <v>1</v>
      </c>
      <c r="DP470">
        <v>199.51</v>
      </c>
      <c r="DQ470">
        <v>199.51</v>
      </c>
      <c r="DR470" t="s">
        <v>4775</v>
      </c>
      <c r="EB470" t="s">
        <v>4776</v>
      </c>
      <c r="EC470" t="s">
        <v>2555</v>
      </c>
      <c r="ED470" t="s">
        <v>2556</v>
      </c>
      <c r="EE470" t="s">
        <v>255</v>
      </c>
      <c r="EF470" t="s">
        <v>253</v>
      </c>
      <c r="EG470">
        <v>430</v>
      </c>
      <c r="EH470">
        <v>500</v>
      </c>
      <c r="EI470">
        <v>560</v>
      </c>
      <c r="EJ470">
        <v>600</v>
      </c>
    </row>
    <row r="471" ht="15" customHeight="1" spans="111:135" x14ac:dyDescent="0.25">
      <c r="DG471" t="s">
        <v>4777</v>
      </c>
      <c r="DH471" t="s">
        <v>82</v>
      </c>
      <c r="DI471" t="s">
        <v>1862</v>
      </c>
      <c r="DJ471" t="s">
        <v>1863</v>
      </c>
      <c r="DK471" t="s">
        <v>692</v>
      </c>
      <c r="DL471">
        <v>3.85</v>
      </c>
      <c r="DM471" t="s">
        <v>669</v>
      </c>
      <c r="DN471" t="s">
        <v>670</v>
      </c>
      <c r="DO471">
        <v>1</v>
      </c>
      <c r="DP471">
        <v>995</v>
      </c>
      <c r="DQ471">
        <v>995</v>
      </c>
      <c r="DR471" t="s">
        <v>4778</v>
      </c>
      <c r="EB471" t="s">
        <v>4779</v>
      </c>
      <c r="EC471" t="s">
        <v>2555</v>
      </c>
      <c r="EE471" t="s">
        <v>243</v>
      </c>
    </row>
    <row r="472" ht="15" customHeight="1" spans="111:140" x14ac:dyDescent="0.25">
      <c r="DG472" t="s">
        <v>4780</v>
      </c>
      <c r="DH472" t="s">
        <v>82</v>
      </c>
      <c r="DI472" t="s">
        <v>1865</v>
      </c>
      <c r="DJ472" t="s">
        <v>205</v>
      </c>
      <c r="DK472" t="s">
        <v>692</v>
      </c>
      <c r="DL472">
        <v>3.85</v>
      </c>
      <c r="DM472" t="s">
        <v>669</v>
      </c>
      <c r="DN472" t="s">
        <v>670</v>
      </c>
      <c r="DO472">
        <v>1</v>
      </c>
      <c r="DP472">
        <v>27280</v>
      </c>
      <c r="DQ472">
        <v>27280</v>
      </c>
      <c r="DR472" t="s">
        <v>4781</v>
      </c>
      <c r="EB472" t="s">
        <v>4782</v>
      </c>
      <c r="EC472" t="s">
        <v>2555</v>
      </c>
      <c r="ED472" t="s">
        <v>2556</v>
      </c>
      <c r="EE472" t="s">
        <v>261</v>
      </c>
      <c r="EF472" t="s">
        <v>259</v>
      </c>
      <c r="EG472">
        <v>1</v>
      </c>
      <c r="EH472">
        <v>1</v>
      </c>
      <c r="EI472">
        <v>1</v>
      </c>
      <c r="EJ472">
        <v>1</v>
      </c>
    </row>
    <row r="473" ht="15" customHeight="1" spans="111:135" x14ac:dyDescent="0.25">
      <c r="DG473" t="s">
        <v>4783</v>
      </c>
      <c r="DH473" t="s">
        <v>82</v>
      </c>
      <c r="DI473" t="s">
        <v>1867</v>
      </c>
      <c r="DJ473" t="s">
        <v>1868</v>
      </c>
      <c r="DK473" t="s">
        <v>692</v>
      </c>
      <c r="DL473">
        <v>3.85</v>
      </c>
      <c r="DM473" t="s">
        <v>670</v>
      </c>
      <c r="DN473" t="s">
        <v>669</v>
      </c>
      <c r="DO473">
        <v>0</v>
      </c>
      <c r="DP473">
        <v>0</v>
      </c>
      <c r="DQ473">
        <v>447</v>
      </c>
      <c r="DR473" t="s">
        <v>4784</v>
      </c>
      <c r="EB473" t="s">
        <v>4785</v>
      </c>
      <c r="EC473" t="s">
        <v>2555</v>
      </c>
      <c r="EE473" t="s">
        <v>296</v>
      </c>
    </row>
    <row r="474" ht="15" customHeight="1" spans="111:135" x14ac:dyDescent="0.25">
      <c r="DG474" t="s">
        <v>4786</v>
      </c>
      <c r="DH474" t="s">
        <v>82</v>
      </c>
      <c r="DI474" t="s">
        <v>1870</v>
      </c>
      <c r="DJ474" t="s">
        <v>1871</v>
      </c>
      <c r="DK474" t="s">
        <v>692</v>
      </c>
      <c r="DL474">
        <v>3.85</v>
      </c>
      <c r="DM474" t="s">
        <v>670</v>
      </c>
      <c r="DN474" t="s">
        <v>669</v>
      </c>
      <c r="DO474">
        <v>0</v>
      </c>
      <c r="DP474">
        <v>0</v>
      </c>
      <c r="DQ474">
        <v>356</v>
      </c>
      <c r="DR474" t="s">
        <v>4787</v>
      </c>
      <c r="EB474" t="s">
        <v>4788</v>
      </c>
      <c r="EC474" t="s">
        <v>2368</v>
      </c>
      <c r="EE474" t="s">
        <v>620</v>
      </c>
    </row>
    <row r="475" ht="15" customHeight="1" spans="111:135" x14ac:dyDescent="0.25">
      <c r="DG475" t="s">
        <v>4789</v>
      </c>
      <c r="DH475" t="s">
        <v>82</v>
      </c>
      <c r="DI475" t="s">
        <v>1873</v>
      </c>
      <c r="DJ475" t="s">
        <v>1874</v>
      </c>
      <c r="DK475" t="s">
        <v>692</v>
      </c>
      <c r="DL475">
        <v>3.85</v>
      </c>
      <c r="DM475" t="s">
        <v>669</v>
      </c>
      <c r="DN475" t="s">
        <v>670</v>
      </c>
      <c r="DO475">
        <v>1</v>
      </c>
      <c r="DP475">
        <v>331</v>
      </c>
      <c r="DQ475">
        <v>331</v>
      </c>
      <c r="DR475" t="s">
        <v>4790</v>
      </c>
      <c r="EB475" t="s">
        <v>4791</v>
      </c>
      <c r="EC475" t="s">
        <v>2368</v>
      </c>
      <c r="EE475" t="s">
        <v>618</v>
      </c>
    </row>
    <row r="476" ht="15" customHeight="1" spans="111:135" x14ac:dyDescent="0.25">
      <c r="DG476" t="s">
        <v>4792</v>
      </c>
      <c r="DH476" t="s">
        <v>82</v>
      </c>
      <c r="DI476" t="s">
        <v>1876</v>
      </c>
      <c r="DJ476" t="s">
        <v>1830</v>
      </c>
      <c r="DK476" t="s">
        <v>692</v>
      </c>
      <c r="DL476">
        <v>3.85</v>
      </c>
      <c r="DM476" t="s">
        <v>670</v>
      </c>
      <c r="DN476" t="s">
        <v>669</v>
      </c>
      <c r="DO476">
        <v>0</v>
      </c>
      <c r="DP476">
        <v>0</v>
      </c>
      <c r="DQ476">
        <v>0</v>
      </c>
      <c r="DR476" t="s">
        <v>4726</v>
      </c>
      <c r="EB476" t="s">
        <v>4793</v>
      </c>
      <c r="EC476" t="s">
        <v>2368</v>
      </c>
      <c r="EE476" t="s">
        <v>616</v>
      </c>
    </row>
    <row r="477" ht="15" customHeight="1" spans="111:135" x14ac:dyDescent="0.25">
      <c r="DG477" t="s">
        <v>4794</v>
      </c>
      <c r="DH477" t="s">
        <v>82</v>
      </c>
      <c r="DI477" t="s">
        <v>1878</v>
      </c>
      <c r="DJ477" t="s">
        <v>1879</v>
      </c>
      <c r="DK477" t="s">
        <v>692</v>
      </c>
      <c r="DL477">
        <v>3.85</v>
      </c>
      <c r="DM477" t="s">
        <v>670</v>
      </c>
      <c r="DN477" t="s">
        <v>669</v>
      </c>
      <c r="DO477">
        <v>0</v>
      </c>
      <c r="DP477">
        <v>0</v>
      </c>
      <c r="DQ477">
        <v>200</v>
      </c>
      <c r="DR477" t="s">
        <v>4795</v>
      </c>
      <c r="EB477" t="s">
        <v>4796</v>
      </c>
      <c r="EC477" t="s">
        <v>2368</v>
      </c>
      <c r="EE477" t="s">
        <v>614</v>
      </c>
    </row>
    <row r="478" ht="15" customHeight="1" spans="111:135" x14ac:dyDescent="0.25">
      <c r="DG478" t="s">
        <v>4797</v>
      </c>
      <c r="DH478" t="s">
        <v>82</v>
      </c>
      <c r="DI478" t="s">
        <v>1881</v>
      </c>
      <c r="DJ478" t="s">
        <v>1882</v>
      </c>
      <c r="DK478" t="s">
        <v>692</v>
      </c>
      <c r="DL478">
        <v>3.85</v>
      </c>
      <c r="DM478" t="s">
        <v>669</v>
      </c>
      <c r="DN478" t="s">
        <v>670</v>
      </c>
      <c r="DO478">
        <v>20</v>
      </c>
      <c r="DP478">
        <v>2341.9</v>
      </c>
      <c r="DQ478">
        <v>2341.9</v>
      </c>
      <c r="DR478" t="s">
        <v>4798</v>
      </c>
      <c r="EB478" t="s">
        <v>4799</v>
      </c>
      <c r="EC478" t="s">
        <v>2368</v>
      </c>
      <c r="EE478" t="s">
        <v>612</v>
      </c>
    </row>
    <row r="479" ht="15" customHeight="1" spans="111:140" x14ac:dyDescent="0.25">
      <c r="DG479" t="s">
        <v>4800</v>
      </c>
      <c r="DH479" t="s">
        <v>82</v>
      </c>
      <c r="DI479" t="s">
        <v>1883</v>
      </c>
      <c r="DJ479" t="s">
        <v>1884</v>
      </c>
      <c r="DK479" t="s">
        <v>692</v>
      </c>
      <c r="DL479">
        <v>3.85</v>
      </c>
      <c r="DM479" t="s">
        <v>669</v>
      </c>
      <c r="DN479" t="s">
        <v>670</v>
      </c>
      <c r="DO479">
        <v>1</v>
      </c>
      <c r="DP479">
        <v>113.44</v>
      </c>
      <c r="DQ479">
        <v>113.44</v>
      </c>
      <c r="DR479" t="s">
        <v>4801</v>
      </c>
      <c r="EB479" t="s">
        <v>4802</v>
      </c>
      <c r="EC479" t="s">
        <v>2368</v>
      </c>
      <c r="ED479" t="s">
        <v>2369</v>
      </c>
      <c r="EE479" t="s">
        <v>610</v>
      </c>
      <c r="EF479" t="s">
        <v>2336</v>
      </c>
      <c r="EG479">
        <v>340</v>
      </c>
      <c r="EH479">
        <v>370</v>
      </c>
      <c r="EI479">
        <v>400</v>
      </c>
      <c r="EJ479">
        <v>430</v>
      </c>
    </row>
    <row r="480" ht="15" customHeight="1" spans="111:140" x14ac:dyDescent="0.25">
      <c r="DG480" t="s">
        <v>4803</v>
      </c>
      <c r="DH480" t="s">
        <v>82</v>
      </c>
      <c r="DI480" t="s">
        <v>1886</v>
      </c>
      <c r="DJ480" t="s">
        <v>1887</v>
      </c>
      <c r="DK480" t="s">
        <v>692</v>
      </c>
      <c r="DL480">
        <v>3.85</v>
      </c>
      <c r="DM480" t="s">
        <v>669</v>
      </c>
      <c r="DN480" t="s">
        <v>670</v>
      </c>
      <c r="DO480">
        <v>10</v>
      </c>
      <c r="DP480">
        <v>1134.4</v>
      </c>
      <c r="DQ480">
        <v>1134.4</v>
      </c>
      <c r="DR480" t="s">
        <v>4804</v>
      </c>
      <c r="EB480" t="s">
        <v>4805</v>
      </c>
      <c r="EC480" t="s">
        <v>2368</v>
      </c>
      <c r="ED480" t="s">
        <v>2369</v>
      </c>
      <c r="EE480" t="s">
        <v>608</v>
      </c>
      <c r="EF480" t="s">
        <v>2352</v>
      </c>
      <c r="EG480">
        <v>670</v>
      </c>
      <c r="EH480">
        <v>770</v>
      </c>
      <c r="EI480">
        <v>860</v>
      </c>
      <c r="EJ480">
        <v>930</v>
      </c>
    </row>
    <row r="481" ht="15" customHeight="1" spans="111:140" x14ac:dyDescent="0.25">
      <c r="DG481" t="s">
        <v>4806</v>
      </c>
      <c r="DH481" t="s">
        <v>82</v>
      </c>
      <c r="DI481" t="s">
        <v>1888</v>
      </c>
      <c r="DJ481" t="s">
        <v>1889</v>
      </c>
      <c r="DK481" t="s">
        <v>692</v>
      </c>
      <c r="DL481">
        <v>3.85</v>
      </c>
      <c r="DM481" t="s">
        <v>669</v>
      </c>
      <c r="DN481" t="s">
        <v>670</v>
      </c>
      <c r="DO481">
        <v>10</v>
      </c>
      <c r="DP481">
        <v>1181.2</v>
      </c>
      <c r="DQ481">
        <v>1181.2</v>
      </c>
      <c r="DR481" t="s">
        <v>4807</v>
      </c>
      <c r="EB481" t="s">
        <v>4808</v>
      </c>
      <c r="EC481" t="s">
        <v>2368</v>
      </c>
      <c r="ED481" t="s">
        <v>2369</v>
      </c>
      <c r="EE481" t="s">
        <v>606</v>
      </c>
      <c r="EF481" t="s">
        <v>2371</v>
      </c>
      <c r="EG481">
        <v>570</v>
      </c>
      <c r="EH481">
        <v>660</v>
      </c>
      <c r="EI481">
        <v>750</v>
      </c>
      <c r="EJ481">
        <v>800</v>
      </c>
    </row>
    <row r="482" ht="15" customHeight="1" spans="111:140" x14ac:dyDescent="0.25">
      <c r="DG482" t="s">
        <v>4809</v>
      </c>
      <c r="DH482" t="s">
        <v>82</v>
      </c>
      <c r="DI482" t="s">
        <v>1891</v>
      </c>
      <c r="DJ482" t="s">
        <v>1892</v>
      </c>
      <c r="DK482" t="s">
        <v>692</v>
      </c>
      <c r="DL482">
        <v>3.85</v>
      </c>
      <c r="DM482" t="s">
        <v>670</v>
      </c>
      <c r="DN482" t="s">
        <v>669</v>
      </c>
      <c r="DO482">
        <v>0</v>
      </c>
      <c r="DP482">
        <v>0</v>
      </c>
      <c r="DQ482">
        <v>63</v>
      </c>
      <c r="DR482" t="s">
        <v>4810</v>
      </c>
      <c r="EB482" t="s">
        <v>4811</v>
      </c>
      <c r="EC482" t="s">
        <v>2368</v>
      </c>
      <c r="ED482" t="s">
        <v>2369</v>
      </c>
      <c r="EE482" t="s">
        <v>603</v>
      </c>
      <c r="EF482" t="s">
        <v>2387</v>
      </c>
      <c r="EG482">
        <v>300</v>
      </c>
      <c r="EH482">
        <v>300</v>
      </c>
      <c r="EI482">
        <v>300</v>
      </c>
      <c r="EJ482">
        <v>300</v>
      </c>
    </row>
    <row r="483" ht="15" customHeight="1" spans="111:140" x14ac:dyDescent="0.25">
      <c r="DG483" t="s">
        <v>4812</v>
      </c>
      <c r="DH483" t="s">
        <v>82</v>
      </c>
      <c r="DI483" t="s">
        <v>1893</v>
      </c>
      <c r="DJ483" t="s">
        <v>1894</v>
      </c>
      <c r="DK483" t="s">
        <v>692</v>
      </c>
      <c r="DL483">
        <v>3.85</v>
      </c>
      <c r="DM483" t="s">
        <v>669</v>
      </c>
      <c r="DN483" t="s">
        <v>670</v>
      </c>
      <c r="DO483">
        <v>1</v>
      </c>
      <c r="DP483">
        <v>164</v>
      </c>
      <c r="DQ483">
        <v>164</v>
      </c>
      <c r="DR483" t="s">
        <v>4813</v>
      </c>
      <c r="EB483" t="s">
        <v>4814</v>
      </c>
      <c r="EC483" t="s">
        <v>2368</v>
      </c>
      <c r="ED483" t="s">
        <v>2369</v>
      </c>
      <c r="EE483" t="s">
        <v>601</v>
      </c>
      <c r="EF483" t="s">
        <v>2404</v>
      </c>
      <c r="EG483">
        <v>1</v>
      </c>
      <c r="EH483">
        <v>1</v>
      </c>
      <c r="EI483">
        <v>1</v>
      </c>
      <c r="EJ483">
        <v>1</v>
      </c>
    </row>
    <row r="484" ht="15" customHeight="1" spans="111:140" x14ac:dyDescent="0.25">
      <c r="DG484" t="s">
        <v>4815</v>
      </c>
      <c r="DH484" t="s">
        <v>82</v>
      </c>
      <c r="DI484" t="s">
        <v>1895</v>
      </c>
      <c r="DJ484" t="s">
        <v>1896</v>
      </c>
      <c r="DK484" t="s">
        <v>692</v>
      </c>
      <c r="DL484">
        <v>3.85</v>
      </c>
      <c r="DM484" t="s">
        <v>670</v>
      </c>
      <c r="DN484" t="s">
        <v>669</v>
      </c>
      <c r="DO484">
        <v>0</v>
      </c>
      <c r="DP484">
        <v>0</v>
      </c>
      <c r="DQ484">
        <v>259.5</v>
      </c>
      <c r="DR484" t="s">
        <v>4816</v>
      </c>
      <c r="EB484" t="s">
        <v>4817</v>
      </c>
      <c r="EC484" t="s">
        <v>2368</v>
      </c>
      <c r="ED484" t="s">
        <v>2369</v>
      </c>
      <c r="EE484" t="s">
        <v>599</v>
      </c>
      <c r="EF484" t="s">
        <v>2421</v>
      </c>
      <c r="EG484">
        <v>930</v>
      </c>
      <c r="EH484">
        <v>930</v>
      </c>
      <c r="EI484">
        <v>930</v>
      </c>
      <c r="EJ484">
        <v>930</v>
      </c>
    </row>
    <row r="485" ht="15" customHeight="1" spans="111:140" x14ac:dyDescent="0.25">
      <c r="DG485" t="s">
        <v>4818</v>
      </c>
      <c r="DH485" t="s">
        <v>82</v>
      </c>
      <c r="DI485" t="s">
        <v>1898</v>
      </c>
      <c r="DJ485" t="s">
        <v>1899</v>
      </c>
      <c r="DK485" t="s">
        <v>692</v>
      </c>
      <c r="DL485">
        <v>3.85</v>
      </c>
      <c r="DM485" t="s">
        <v>669</v>
      </c>
      <c r="DN485" t="s">
        <v>670</v>
      </c>
      <c r="DO485">
        <v>5</v>
      </c>
      <c r="DP485">
        <v>45</v>
      </c>
      <c r="DQ485">
        <v>45</v>
      </c>
      <c r="DR485" t="s">
        <v>4819</v>
      </c>
      <c r="EB485" t="s">
        <v>4820</v>
      </c>
      <c r="EC485" t="s">
        <v>2368</v>
      </c>
      <c r="ED485" t="s">
        <v>2369</v>
      </c>
      <c r="EE485" t="s">
        <v>623</v>
      </c>
      <c r="EF485" t="s">
        <v>2437</v>
      </c>
      <c r="EG485">
        <v>1200</v>
      </c>
      <c r="EH485">
        <v>1200</v>
      </c>
      <c r="EI485">
        <v>1200</v>
      </c>
      <c r="EJ485">
        <v>1200</v>
      </c>
    </row>
    <row r="486" ht="15" customHeight="1" spans="111:135" x14ac:dyDescent="0.25">
      <c r="DG486" t="s">
        <v>4821</v>
      </c>
      <c r="DH486" t="s">
        <v>82</v>
      </c>
      <c r="DI486" t="s">
        <v>1900</v>
      </c>
      <c r="DJ486" t="s">
        <v>1901</v>
      </c>
      <c r="DK486" t="s">
        <v>692</v>
      </c>
      <c r="DL486">
        <v>3.85</v>
      </c>
      <c r="DM486" t="s">
        <v>669</v>
      </c>
      <c r="DN486" t="s">
        <v>670</v>
      </c>
      <c r="DO486">
        <v>5</v>
      </c>
      <c r="DP486">
        <v>129.4</v>
      </c>
      <c r="DQ486">
        <v>129.4</v>
      </c>
      <c r="DR486" t="s">
        <v>4822</v>
      </c>
      <c r="EB486" t="s">
        <v>4823</v>
      </c>
      <c r="EC486" t="s">
        <v>2368</v>
      </c>
      <c r="EE486" t="s">
        <v>596</v>
      </c>
    </row>
    <row r="487" ht="15" customHeight="1" spans="111:140" x14ac:dyDescent="0.25">
      <c r="DG487" t="s">
        <v>4824</v>
      </c>
      <c r="DH487" t="s">
        <v>82</v>
      </c>
      <c r="DI487" t="s">
        <v>1903</v>
      </c>
      <c r="DJ487" t="s">
        <v>1904</v>
      </c>
      <c r="DK487" t="s">
        <v>692</v>
      </c>
      <c r="DL487">
        <v>3.85</v>
      </c>
      <c r="DM487" t="s">
        <v>669</v>
      </c>
      <c r="DN487" t="s">
        <v>670</v>
      </c>
      <c r="DO487">
        <v>1</v>
      </c>
      <c r="DP487">
        <v>1649</v>
      </c>
      <c r="DQ487">
        <v>1649</v>
      </c>
      <c r="DR487" t="s">
        <v>4825</v>
      </c>
      <c r="EB487" t="s">
        <v>4826</v>
      </c>
      <c r="EC487" t="s">
        <v>2368</v>
      </c>
      <c r="ED487" t="s">
        <v>2369</v>
      </c>
      <c r="EE487" t="s">
        <v>593</v>
      </c>
      <c r="EF487" t="s">
        <v>2469</v>
      </c>
      <c r="EG487">
        <v>1</v>
      </c>
      <c r="EH487">
        <v>1</v>
      </c>
      <c r="EI487">
        <v>1</v>
      </c>
      <c r="EJ487">
        <v>1</v>
      </c>
    </row>
    <row r="488" ht="15" customHeight="1" spans="111:140" x14ac:dyDescent="0.25">
      <c r="DG488" t="s">
        <v>4827</v>
      </c>
      <c r="DH488" t="s">
        <v>82</v>
      </c>
      <c r="DI488" t="s">
        <v>1906</v>
      </c>
      <c r="DJ488" t="s">
        <v>1907</v>
      </c>
      <c r="DK488" t="s">
        <v>692</v>
      </c>
      <c r="DL488">
        <v>3.85</v>
      </c>
      <c r="DM488" t="s">
        <v>669</v>
      </c>
      <c r="DN488" t="s">
        <v>670</v>
      </c>
      <c r="DO488">
        <v>1</v>
      </c>
      <c r="DP488">
        <v>18</v>
      </c>
      <c r="DQ488">
        <v>18</v>
      </c>
      <c r="DR488" t="s">
        <v>4828</v>
      </c>
      <c r="EB488" t="s">
        <v>4829</v>
      </c>
      <c r="EC488" t="s">
        <v>2368</v>
      </c>
      <c r="ED488" t="s">
        <v>2369</v>
      </c>
      <c r="EE488" t="s">
        <v>591</v>
      </c>
      <c r="EF488" t="s">
        <v>3058</v>
      </c>
      <c r="EG488">
        <v>1000</v>
      </c>
      <c r="EH488">
        <v>1000</v>
      </c>
      <c r="EI488">
        <v>1000</v>
      </c>
      <c r="EJ488">
        <v>1000</v>
      </c>
    </row>
    <row r="489" ht="15" customHeight="1" spans="111:140" x14ac:dyDescent="0.25">
      <c r="DG489" t="s">
        <v>4830</v>
      </c>
      <c r="DH489" t="s">
        <v>82</v>
      </c>
      <c r="DI489" t="s">
        <v>1908</v>
      </c>
      <c r="DJ489" t="s">
        <v>1909</v>
      </c>
      <c r="DK489" t="s">
        <v>692</v>
      </c>
      <c r="DL489">
        <v>3.85</v>
      </c>
      <c r="DM489" t="s">
        <v>670</v>
      </c>
      <c r="DN489" t="s">
        <v>669</v>
      </c>
      <c r="DO489">
        <v>0</v>
      </c>
      <c r="DP489">
        <v>0</v>
      </c>
      <c r="DQ489">
        <v>380</v>
      </c>
      <c r="DR489" t="s">
        <v>4831</v>
      </c>
      <c r="EB489" t="s">
        <v>4832</v>
      </c>
      <c r="EC489" t="s">
        <v>2368</v>
      </c>
      <c r="ED489" t="s">
        <v>2369</v>
      </c>
      <c r="EE489" t="s">
        <v>2423</v>
      </c>
      <c r="EF489" t="s">
        <v>2424</v>
      </c>
      <c r="EG489">
        <v>45140</v>
      </c>
      <c r="EH489">
        <v>45140</v>
      </c>
      <c r="EI489">
        <v>45140</v>
      </c>
      <c r="EJ489">
        <v>45140</v>
      </c>
    </row>
    <row r="490" ht="15" customHeight="1" spans="111:135" x14ac:dyDescent="0.25">
      <c r="DG490" t="s">
        <v>4833</v>
      </c>
      <c r="DH490" t="s">
        <v>82</v>
      </c>
      <c r="DI490" t="s">
        <v>1911</v>
      </c>
      <c r="DJ490" t="s">
        <v>1912</v>
      </c>
      <c r="DK490" t="s">
        <v>692</v>
      </c>
      <c r="DL490">
        <v>3.85</v>
      </c>
      <c r="DM490" t="s">
        <v>669</v>
      </c>
      <c r="DN490" t="s">
        <v>670</v>
      </c>
      <c r="DO490">
        <v>1</v>
      </c>
      <c r="DP490">
        <v>1295</v>
      </c>
      <c r="DQ490">
        <v>1295</v>
      </c>
      <c r="DR490" t="s">
        <v>4834</v>
      </c>
      <c r="EB490" t="s">
        <v>4835</v>
      </c>
      <c r="EC490" t="s">
        <v>2368</v>
      </c>
      <c r="EE490" t="s">
        <v>584</v>
      </c>
    </row>
    <row r="491" ht="15" customHeight="1" spans="111:140" x14ac:dyDescent="0.25">
      <c r="DG491" t="s">
        <v>4836</v>
      </c>
      <c r="DH491" t="s">
        <v>82</v>
      </c>
      <c r="DI491" t="s">
        <v>1914</v>
      </c>
      <c r="DJ491" t="s">
        <v>1915</v>
      </c>
      <c r="DK491" t="s">
        <v>692</v>
      </c>
      <c r="DL491">
        <v>3.85</v>
      </c>
      <c r="DM491" t="s">
        <v>669</v>
      </c>
      <c r="DN491" t="s">
        <v>670</v>
      </c>
      <c r="DO491">
        <v>1</v>
      </c>
      <c r="DP491">
        <v>211</v>
      </c>
      <c r="DQ491">
        <v>211</v>
      </c>
      <c r="DR491" t="s">
        <v>4837</v>
      </c>
      <c r="EB491" t="s">
        <v>4838</v>
      </c>
      <c r="EC491" t="s">
        <v>2368</v>
      </c>
      <c r="ED491" t="s">
        <v>2369</v>
      </c>
      <c r="EE491" t="s">
        <v>582</v>
      </c>
      <c r="EF491" t="s">
        <v>2525</v>
      </c>
      <c r="EG491">
        <v>1</v>
      </c>
      <c r="EH491">
        <v>1</v>
      </c>
      <c r="EI491">
        <v>1</v>
      </c>
      <c r="EJ491">
        <v>1</v>
      </c>
    </row>
    <row r="492" ht="15" customHeight="1" spans="111:140" x14ac:dyDescent="0.25">
      <c r="DG492" t="s">
        <v>4839</v>
      </c>
      <c r="DH492" t="s">
        <v>82</v>
      </c>
      <c r="DI492" t="s">
        <v>1917</v>
      </c>
      <c r="DJ492" t="s">
        <v>1918</v>
      </c>
      <c r="DK492" t="s">
        <v>692</v>
      </c>
      <c r="DL492">
        <v>3.85</v>
      </c>
      <c r="DM492" t="s">
        <v>669</v>
      </c>
      <c r="DN492" t="s">
        <v>670</v>
      </c>
      <c r="DO492">
        <v>1</v>
      </c>
      <c r="DP492">
        <v>890</v>
      </c>
      <c r="DQ492">
        <v>890</v>
      </c>
      <c r="DR492" t="s">
        <v>4840</v>
      </c>
      <c r="EB492" t="s">
        <v>4841</v>
      </c>
      <c r="EC492" t="s">
        <v>2368</v>
      </c>
      <c r="ED492" t="s">
        <v>2369</v>
      </c>
      <c r="EE492" t="s">
        <v>580</v>
      </c>
      <c r="EF492" t="s">
        <v>2539</v>
      </c>
      <c r="EG492">
        <v>1</v>
      </c>
      <c r="EH492">
        <v>1</v>
      </c>
      <c r="EI492">
        <v>1</v>
      </c>
      <c r="EJ492">
        <v>1</v>
      </c>
    </row>
    <row r="493" ht="15" customHeight="1" spans="111:140" x14ac:dyDescent="0.25">
      <c r="DG493" t="s">
        <v>4842</v>
      </c>
      <c r="DH493" t="s">
        <v>82</v>
      </c>
      <c r="DI493" t="s">
        <v>1920</v>
      </c>
      <c r="DJ493" t="s">
        <v>1921</v>
      </c>
      <c r="DK493" t="s">
        <v>692</v>
      </c>
      <c r="DL493">
        <v>3.85</v>
      </c>
      <c r="DM493" t="s">
        <v>670</v>
      </c>
      <c r="DN493" t="s">
        <v>669</v>
      </c>
      <c r="DO493">
        <v>0</v>
      </c>
      <c r="DP493">
        <v>0</v>
      </c>
      <c r="DQ493">
        <v>1013.44</v>
      </c>
      <c r="DR493" t="s">
        <v>4843</v>
      </c>
      <c r="EB493" t="s">
        <v>4844</v>
      </c>
      <c r="EC493" t="s">
        <v>2368</v>
      </c>
      <c r="ED493" t="s">
        <v>2369</v>
      </c>
      <c r="EE493" t="s">
        <v>578</v>
      </c>
      <c r="EF493" t="s">
        <v>577</v>
      </c>
      <c r="EG493">
        <v>120000</v>
      </c>
      <c r="EH493">
        <v>120000</v>
      </c>
      <c r="EI493">
        <v>120000</v>
      </c>
      <c r="EJ493">
        <v>120000</v>
      </c>
    </row>
    <row r="494" ht="15" customHeight="1" spans="111:135" x14ac:dyDescent="0.25">
      <c r="DG494" t="s">
        <v>4845</v>
      </c>
      <c r="DH494" t="s">
        <v>82</v>
      </c>
      <c r="DI494" t="s">
        <v>1923</v>
      </c>
      <c r="DJ494" t="s">
        <v>1924</v>
      </c>
      <c r="DK494" t="s">
        <v>692</v>
      </c>
      <c r="DL494">
        <v>3.85</v>
      </c>
      <c r="DM494" t="s">
        <v>670</v>
      </c>
      <c r="DN494" t="s">
        <v>669</v>
      </c>
      <c r="DO494">
        <v>0</v>
      </c>
      <c r="DP494">
        <v>0</v>
      </c>
      <c r="DQ494">
        <v>569</v>
      </c>
      <c r="DR494" t="s">
        <v>4846</v>
      </c>
      <c r="EB494" t="s">
        <v>4847</v>
      </c>
      <c r="EC494" t="s">
        <v>2368</v>
      </c>
      <c r="EE494" t="s">
        <v>327</v>
      </c>
    </row>
    <row r="495" ht="15" customHeight="1" spans="111:135" x14ac:dyDescent="0.25">
      <c r="DG495" t="s">
        <v>4848</v>
      </c>
      <c r="DH495" t="s">
        <v>82</v>
      </c>
      <c r="DI495" t="s">
        <v>1926</v>
      </c>
      <c r="DJ495" t="s">
        <v>1927</v>
      </c>
      <c r="DK495" t="s">
        <v>692</v>
      </c>
      <c r="DL495">
        <v>3.85</v>
      </c>
      <c r="DM495" t="s">
        <v>669</v>
      </c>
      <c r="DN495" t="s">
        <v>670</v>
      </c>
      <c r="DO495">
        <v>4</v>
      </c>
      <c r="DP495">
        <v>896.24</v>
      </c>
      <c r="DQ495">
        <v>896.24</v>
      </c>
      <c r="DR495" t="s">
        <v>4849</v>
      </c>
      <c r="EB495" t="s">
        <v>4850</v>
      </c>
      <c r="EC495" t="s">
        <v>2368</v>
      </c>
      <c r="EE495" t="s">
        <v>330</v>
      </c>
    </row>
    <row r="496" ht="15" customHeight="1" spans="111:135" x14ac:dyDescent="0.25">
      <c r="DG496" t="s">
        <v>4851</v>
      </c>
      <c r="DH496" t="s">
        <v>82</v>
      </c>
      <c r="DI496" t="s">
        <v>1385</v>
      </c>
      <c r="DJ496" t="s">
        <v>1929</v>
      </c>
      <c r="DK496" t="s">
        <v>692</v>
      </c>
      <c r="DL496">
        <v>3.85</v>
      </c>
      <c r="DM496" t="s">
        <v>670</v>
      </c>
      <c r="DN496" t="s">
        <v>669</v>
      </c>
      <c r="DO496">
        <v>0</v>
      </c>
      <c r="DP496">
        <v>0</v>
      </c>
      <c r="DQ496">
        <v>768</v>
      </c>
      <c r="DR496" t="s">
        <v>4852</v>
      </c>
      <c r="EB496" t="s">
        <v>4853</v>
      </c>
      <c r="EC496" t="s">
        <v>2368</v>
      </c>
      <c r="EE496" t="s">
        <v>576</v>
      </c>
    </row>
    <row r="497" ht="15" customHeight="1" spans="111:140" x14ac:dyDescent="0.25">
      <c r="DG497" t="s">
        <v>4854</v>
      </c>
      <c r="DH497" t="s">
        <v>82</v>
      </c>
      <c r="DI497" t="s">
        <v>1930</v>
      </c>
      <c r="DJ497" t="s">
        <v>1931</v>
      </c>
      <c r="DK497" t="s">
        <v>692</v>
      </c>
      <c r="DL497">
        <v>3.85</v>
      </c>
      <c r="DM497" t="s">
        <v>670</v>
      </c>
      <c r="DN497" t="s">
        <v>669</v>
      </c>
      <c r="DO497">
        <v>0</v>
      </c>
      <c r="DP497">
        <v>0</v>
      </c>
      <c r="DQ497">
        <v>225</v>
      </c>
      <c r="DR497" t="s">
        <v>4855</v>
      </c>
      <c r="EB497" t="s">
        <v>4856</v>
      </c>
      <c r="EC497" t="s">
        <v>2368</v>
      </c>
      <c r="ED497" t="s">
        <v>2369</v>
      </c>
      <c r="EE497" t="s">
        <v>573</v>
      </c>
      <c r="EF497" t="s">
        <v>2613</v>
      </c>
      <c r="EG497">
        <v>1300</v>
      </c>
      <c r="EH497">
        <v>1300</v>
      </c>
      <c r="EI497">
        <v>1300</v>
      </c>
      <c r="EJ497">
        <v>1300</v>
      </c>
    </row>
    <row r="498" ht="15" customHeight="1" spans="111:140" x14ac:dyDescent="0.25">
      <c r="DG498" t="s">
        <v>4857</v>
      </c>
      <c r="DH498" t="s">
        <v>82</v>
      </c>
      <c r="DI498" t="s">
        <v>1933</v>
      </c>
      <c r="DJ498" t="s">
        <v>1934</v>
      </c>
      <c r="DK498" t="s">
        <v>692</v>
      </c>
      <c r="DL498">
        <v>3.85</v>
      </c>
      <c r="DM498" t="s">
        <v>670</v>
      </c>
      <c r="DN498" t="s">
        <v>669</v>
      </c>
      <c r="DO498">
        <v>0</v>
      </c>
      <c r="DP498">
        <v>0</v>
      </c>
      <c r="DQ498">
        <v>229.69</v>
      </c>
      <c r="DR498" t="s">
        <v>4858</v>
      </c>
      <c r="EB498" t="s">
        <v>4859</v>
      </c>
      <c r="EC498" t="s">
        <v>2368</v>
      </c>
      <c r="ED498" t="s">
        <v>2369</v>
      </c>
      <c r="EE498" t="s">
        <v>569</v>
      </c>
      <c r="EF498" t="s">
        <v>567</v>
      </c>
      <c r="EG498">
        <v>1</v>
      </c>
      <c r="EH498">
        <v>1</v>
      </c>
      <c r="EI498">
        <v>1</v>
      </c>
      <c r="EJ498">
        <v>1</v>
      </c>
    </row>
    <row r="499" ht="15" customHeight="1" spans="111:140" x14ac:dyDescent="0.25">
      <c r="DG499" t="s">
        <v>4860</v>
      </c>
      <c r="DH499" t="s">
        <v>82</v>
      </c>
      <c r="DI499" t="s">
        <v>1936</v>
      </c>
      <c r="DJ499" t="s">
        <v>1937</v>
      </c>
      <c r="DK499" t="s">
        <v>692</v>
      </c>
      <c r="DL499">
        <v>3.85</v>
      </c>
      <c r="DM499" t="s">
        <v>669</v>
      </c>
      <c r="DN499" t="s">
        <v>670</v>
      </c>
      <c r="DO499">
        <v>1</v>
      </c>
      <c r="DP499">
        <v>3.28</v>
      </c>
      <c r="DQ499">
        <v>3.28</v>
      </c>
      <c r="DR499" t="s">
        <v>4861</v>
      </c>
      <c r="EB499" t="s">
        <v>4862</v>
      </c>
      <c r="EC499" t="s">
        <v>2368</v>
      </c>
      <c r="ED499" t="s">
        <v>2369</v>
      </c>
      <c r="EE499" t="s">
        <v>2641</v>
      </c>
      <c r="EF499" t="s">
        <v>4512</v>
      </c>
      <c r="EG499">
        <v>2700</v>
      </c>
      <c r="EH499">
        <v>2700</v>
      </c>
      <c r="EI499">
        <v>2700</v>
      </c>
      <c r="EJ499">
        <v>2700</v>
      </c>
    </row>
    <row r="500" ht="15" customHeight="1" spans="111:140" x14ac:dyDescent="0.25">
      <c r="DG500" t="s">
        <v>4863</v>
      </c>
      <c r="DH500" t="s">
        <v>82</v>
      </c>
      <c r="DI500" t="s">
        <v>1939</v>
      </c>
      <c r="DJ500" t="s">
        <v>1940</v>
      </c>
      <c r="DK500" t="s">
        <v>692</v>
      </c>
      <c r="DL500">
        <v>3.85</v>
      </c>
      <c r="DM500" t="s">
        <v>669</v>
      </c>
      <c r="DN500" t="s">
        <v>670</v>
      </c>
      <c r="DO500">
        <v>1</v>
      </c>
      <c r="DP500">
        <v>4</v>
      </c>
      <c r="DQ500">
        <v>4</v>
      </c>
      <c r="DR500" t="s">
        <v>4864</v>
      </c>
      <c r="EB500" t="s">
        <v>4865</v>
      </c>
      <c r="EC500" t="s">
        <v>2368</v>
      </c>
      <c r="ED500" t="s">
        <v>2369</v>
      </c>
      <c r="EE500" t="s">
        <v>2656</v>
      </c>
      <c r="EF500" t="s">
        <v>3133</v>
      </c>
      <c r="EG500">
        <v>5650</v>
      </c>
      <c r="EH500">
        <v>5650</v>
      </c>
      <c r="EI500">
        <v>5650</v>
      </c>
      <c r="EJ500">
        <v>5650</v>
      </c>
    </row>
    <row r="501" ht="15" customHeight="1" spans="111:140" x14ac:dyDescent="0.25">
      <c r="DG501" t="s">
        <v>4866</v>
      </c>
      <c r="DH501" t="s">
        <v>82</v>
      </c>
      <c r="DI501" t="s">
        <v>1941</v>
      </c>
      <c r="DJ501" t="s">
        <v>1942</v>
      </c>
      <c r="DK501" t="s">
        <v>692</v>
      </c>
      <c r="DL501">
        <v>3.85</v>
      </c>
      <c r="DM501" t="s">
        <v>669</v>
      </c>
      <c r="DN501" t="s">
        <v>670</v>
      </c>
      <c r="DO501">
        <v>1</v>
      </c>
      <c r="DP501">
        <v>1546.88</v>
      </c>
      <c r="DQ501">
        <v>1546.88</v>
      </c>
      <c r="DR501" t="s">
        <v>4867</v>
      </c>
      <c r="EB501" t="s">
        <v>4868</v>
      </c>
      <c r="EC501" t="s">
        <v>2368</v>
      </c>
      <c r="ED501" t="s">
        <v>2369</v>
      </c>
      <c r="EE501" t="s">
        <v>2670</v>
      </c>
      <c r="EF501" t="s">
        <v>4519</v>
      </c>
      <c r="EG501">
        <v>9200</v>
      </c>
      <c r="EH501">
        <v>9200</v>
      </c>
      <c r="EI501">
        <v>9200</v>
      </c>
      <c r="EJ501">
        <v>9200</v>
      </c>
    </row>
    <row r="502" ht="15" customHeight="1" spans="111:140" x14ac:dyDescent="0.25">
      <c r="DG502" t="s">
        <v>4869</v>
      </c>
      <c r="DH502" t="s">
        <v>82</v>
      </c>
      <c r="DI502" t="s">
        <v>1944</v>
      </c>
      <c r="DJ502" t="s">
        <v>1945</v>
      </c>
      <c r="DK502" t="s">
        <v>692</v>
      </c>
      <c r="DL502">
        <v>3.85</v>
      </c>
      <c r="DM502" t="s">
        <v>669</v>
      </c>
      <c r="DN502" t="s">
        <v>670</v>
      </c>
      <c r="DO502">
        <v>1</v>
      </c>
      <c r="DP502">
        <v>510</v>
      </c>
      <c r="DQ502">
        <v>510</v>
      </c>
      <c r="DR502" t="s">
        <v>4870</v>
      </c>
      <c r="EB502" t="s">
        <v>4871</v>
      </c>
      <c r="EC502" t="s">
        <v>2368</v>
      </c>
      <c r="ED502" t="s">
        <v>2369</v>
      </c>
      <c r="EE502" t="s">
        <v>561</v>
      </c>
      <c r="EF502" t="s">
        <v>2684</v>
      </c>
      <c r="EG502">
        <v>1</v>
      </c>
      <c r="EH502">
        <v>1</v>
      </c>
      <c r="EI502">
        <v>1</v>
      </c>
      <c r="EJ502">
        <v>1</v>
      </c>
    </row>
    <row r="503" ht="15" customHeight="1" spans="111:140" x14ac:dyDescent="0.25">
      <c r="DG503" t="s">
        <v>4872</v>
      </c>
      <c r="DH503" t="s">
        <v>82</v>
      </c>
      <c r="DI503" t="s">
        <v>1946</v>
      </c>
      <c r="DJ503" t="s">
        <v>1947</v>
      </c>
      <c r="DK503" t="s">
        <v>692</v>
      </c>
      <c r="DL503">
        <v>3.85</v>
      </c>
      <c r="DM503" t="s">
        <v>670</v>
      </c>
      <c r="DN503" t="s">
        <v>669</v>
      </c>
      <c r="DO503">
        <v>0</v>
      </c>
      <c r="DP503">
        <v>0</v>
      </c>
      <c r="DQ503">
        <v>999</v>
      </c>
      <c r="DR503" t="s">
        <v>4873</v>
      </c>
      <c r="EB503" t="s">
        <v>4874</v>
      </c>
      <c r="EC503" t="s">
        <v>2368</v>
      </c>
      <c r="ED503" t="s">
        <v>2369</v>
      </c>
      <c r="EE503" t="s">
        <v>563</v>
      </c>
      <c r="EF503" t="s">
        <v>4526</v>
      </c>
      <c r="EG503">
        <v>17800</v>
      </c>
      <c r="EH503">
        <v>17800</v>
      </c>
      <c r="EI503">
        <v>17800</v>
      </c>
      <c r="EJ503">
        <v>17800</v>
      </c>
    </row>
    <row r="504" ht="15" customHeight="1" spans="111:140" x14ac:dyDescent="0.25">
      <c r="DG504" t="s">
        <v>4875</v>
      </c>
      <c r="DH504" t="s">
        <v>82</v>
      </c>
      <c r="DI504" t="s">
        <v>1949</v>
      </c>
      <c r="DJ504" t="s">
        <v>1950</v>
      </c>
      <c r="DK504" t="s">
        <v>692</v>
      </c>
      <c r="DL504">
        <v>3.85</v>
      </c>
      <c r="DM504" t="s">
        <v>669</v>
      </c>
      <c r="DN504" t="s">
        <v>670</v>
      </c>
      <c r="DO504">
        <v>4</v>
      </c>
      <c r="DP504">
        <v>1880</v>
      </c>
      <c r="DQ504">
        <v>1880</v>
      </c>
      <c r="DR504" t="s">
        <v>4876</v>
      </c>
      <c r="EB504" t="s">
        <v>4877</v>
      </c>
      <c r="EC504" t="s">
        <v>2368</v>
      </c>
      <c r="ED504" t="s">
        <v>2369</v>
      </c>
      <c r="EE504" t="s">
        <v>556</v>
      </c>
      <c r="EF504" t="s">
        <v>2713</v>
      </c>
      <c r="EG504">
        <v>1</v>
      </c>
      <c r="EH504">
        <v>1</v>
      </c>
      <c r="EI504">
        <v>1</v>
      </c>
      <c r="EJ504">
        <v>1</v>
      </c>
    </row>
    <row r="505" ht="15" customHeight="1" spans="111:135" x14ac:dyDescent="0.25">
      <c r="DG505" t="s">
        <v>4878</v>
      </c>
      <c r="DH505" t="s">
        <v>82</v>
      </c>
      <c r="DI505" t="s">
        <v>1560</v>
      </c>
      <c r="DJ505" t="s">
        <v>1951</v>
      </c>
      <c r="DK505" t="s">
        <v>692</v>
      </c>
      <c r="DL505">
        <v>3.85</v>
      </c>
      <c r="DM505" t="s">
        <v>669</v>
      </c>
      <c r="DN505" t="s">
        <v>670</v>
      </c>
      <c r="DO505">
        <v>1</v>
      </c>
      <c r="DP505">
        <v>8250</v>
      </c>
      <c r="DQ505">
        <v>8250</v>
      </c>
      <c r="DR505" t="s">
        <v>4879</v>
      </c>
      <c r="EB505" t="s">
        <v>4880</v>
      </c>
      <c r="EC505" t="s">
        <v>2368</v>
      </c>
      <c r="EE505" t="s">
        <v>551</v>
      </c>
    </row>
    <row r="506" ht="15" customHeight="1" spans="111:135" x14ac:dyDescent="0.25">
      <c r="DG506" t="s">
        <v>4881</v>
      </c>
      <c r="DH506" t="s">
        <v>82</v>
      </c>
      <c r="DI506" t="s">
        <v>1953</v>
      </c>
      <c r="DJ506" t="s">
        <v>1954</v>
      </c>
      <c r="DK506" t="s">
        <v>692</v>
      </c>
      <c r="DL506">
        <v>3.85</v>
      </c>
      <c r="DM506" t="s">
        <v>669</v>
      </c>
      <c r="DN506" t="s">
        <v>670</v>
      </c>
      <c r="DO506">
        <v>1</v>
      </c>
      <c r="DP506">
        <v>928</v>
      </c>
      <c r="DQ506">
        <v>928</v>
      </c>
      <c r="DR506" t="s">
        <v>4882</v>
      </c>
      <c r="EB506" t="s">
        <v>4883</v>
      </c>
      <c r="EC506" t="s">
        <v>2368</v>
      </c>
      <c r="EE506" t="s">
        <v>290</v>
      </c>
    </row>
    <row r="507" ht="15" customHeight="1" spans="111:135" x14ac:dyDescent="0.25">
      <c r="DG507" t="s">
        <v>4884</v>
      </c>
      <c r="DH507" t="s">
        <v>82</v>
      </c>
      <c r="DI507" t="s">
        <v>1956</v>
      </c>
      <c r="DJ507" t="s">
        <v>1957</v>
      </c>
      <c r="DK507" t="s">
        <v>692</v>
      </c>
      <c r="DL507">
        <v>3.85</v>
      </c>
      <c r="DM507" t="s">
        <v>669</v>
      </c>
      <c r="DN507" t="s">
        <v>670</v>
      </c>
      <c r="DO507">
        <v>1</v>
      </c>
      <c r="DP507">
        <v>112.5</v>
      </c>
      <c r="DQ507">
        <v>112.5</v>
      </c>
      <c r="DR507" t="s">
        <v>4885</v>
      </c>
      <c r="EB507" t="s">
        <v>4886</v>
      </c>
      <c r="EC507" t="s">
        <v>2368</v>
      </c>
      <c r="EE507" t="s">
        <v>275</v>
      </c>
    </row>
    <row r="508" ht="15" customHeight="1" spans="111:135" x14ac:dyDescent="0.25">
      <c r="DG508" t="s">
        <v>4887</v>
      </c>
      <c r="DH508" t="s">
        <v>82</v>
      </c>
      <c r="DI508" t="s">
        <v>1959</v>
      </c>
      <c r="DJ508" t="s">
        <v>1831</v>
      </c>
      <c r="DK508" t="s">
        <v>692</v>
      </c>
      <c r="DL508">
        <v>3.85</v>
      </c>
      <c r="DM508" t="s">
        <v>669</v>
      </c>
      <c r="DN508" t="s">
        <v>670</v>
      </c>
      <c r="DO508">
        <v>0</v>
      </c>
      <c r="DP508">
        <v>0</v>
      </c>
      <c r="DQ508">
        <v>0</v>
      </c>
      <c r="DR508" t="s">
        <v>4739</v>
      </c>
      <c r="EB508" t="s">
        <v>4888</v>
      </c>
      <c r="EC508" t="s">
        <v>2368</v>
      </c>
      <c r="EE508" t="s">
        <v>298</v>
      </c>
    </row>
    <row r="509" ht="15" customHeight="1" spans="111:135" x14ac:dyDescent="0.25">
      <c r="DG509" t="s">
        <v>4889</v>
      </c>
      <c r="DH509" t="s">
        <v>82</v>
      </c>
      <c r="DI509" t="s">
        <v>1961</v>
      </c>
      <c r="DJ509" t="s">
        <v>1962</v>
      </c>
      <c r="DK509" t="s">
        <v>692</v>
      </c>
      <c r="DL509">
        <v>3.85</v>
      </c>
      <c r="DM509" t="s">
        <v>669</v>
      </c>
      <c r="DN509" t="s">
        <v>670</v>
      </c>
      <c r="DO509">
        <v>1</v>
      </c>
      <c r="DP509">
        <v>1593.75</v>
      </c>
      <c r="DQ509">
        <v>1593.75</v>
      </c>
      <c r="DR509" t="s">
        <v>4890</v>
      </c>
      <c r="EB509" t="s">
        <v>4891</v>
      </c>
      <c r="EC509" t="s">
        <v>2368</v>
      </c>
      <c r="EE509" t="s">
        <v>286</v>
      </c>
    </row>
    <row r="510" ht="15" customHeight="1" spans="111:135" x14ac:dyDescent="0.25">
      <c r="DG510" t="s">
        <v>4892</v>
      </c>
      <c r="DH510" t="s">
        <v>82</v>
      </c>
      <c r="DI510" t="s">
        <v>1964</v>
      </c>
      <c r="DJ510" t="s">
        <v>1965</v>
      </c>
      <c r="DK510" t="s">
        <v>692</v>
      </c>
      <c r="DL510">
        <v>3.85</v>
      </c>
      <c r="DM510" t="s">
        <v>669</v>
      </c>
      <c r="DN510" t="s">
        <v>670</v>
      </c>
      <c r="DO510">
        <v>2</v>
      </c>
      <c r="DP510">
        <v>1500</v>
      </c>
      <c r="DQ510">
        <v>1500</v>
      </c>
      <c r="DR510" t="s">
        <v>4893</v>
      </c>
      <c r="EB510" t="s">
        <v>4894</v>
      </c>
      <c r="EC510" t="s">
        <v>2368</v>
      </c>
      <c r="EE510" t="s">
        <v>272</v>
      </c>
    </row>
    <row r="511" ht="15" customHeight="1" spans="111:135" x14ac:dyDescent="0.25">
      <c r="DG511" t="s">
        <v>4895</v>
      </c>
      <c r="DH511" t="s">
        <v>82</v>
      </c>
      <c r="DI511" t="s">
        <v>1967</v>
      </c>
      <c r="DJ511" t="s">
        <v>1968</v>
      </c>
      <c r="DK511" t="s">
        <v>692</v>
      </c>
      <c r="DL511">
        <v>3.85</v>
      </c>
      <c r="DM511" t="s">
        <v>669</v>
      </c>
      <c r="DN511" t="s">
        <v>670</v>
      </c>
      <c r="DO511">
        <v>2</v>
      </c>
      <c r="DP511">
        <v>632</v>
      </c>
      <c r="DQ511">
        <v>632</v>
      </c>
      <c r="DR511" t="s">
        <v>4896</v>
      </c>
      <c r="EB511" t="s">
        <v>4897</v>
      </c>
      <c r="EC511" t="s">
        <v>2368</v>
      </c>
      <c r="EE511" t="s">
        <v>283</v>
      </c>
    </row>
    <row r="512" ht="15" customHeight="1" spans="111:135" x14ac:dyDescent="0.25">
      <c r="DG512" t="s">
        <v>4898</v>
      </c>
      <c r="DH512" t="s">
        <v>82</v>
      </c>
      <c r="DI512" t="s">
        <v>1255</v>
      </c>
      <c r="DJ512" t="s">
        <v>1970</v>
      </c>
      <c r="DK512" t="s">
        <v>692</v>
      </c>
      <c r="DL512">
        <v>3.85</v>
      </c>
      <c r="DM512" t="s">
        <v>669</v>
      </c>
      <c r="DN512" t="s">
        <v>670</v>
      </c>
      <c r="DO512">
        <v>1</v>
      </c>
      <c r="DP512">
        <v>3500</v>
      </c>
      <c r="DQ512">
        <v>3500</v>
      </c>
      <c r="DR512" t="s">
        <v>4899</v>
      </c>
      <c r="EB512" t="s">
        <v>4900</v>
      </c>
      <c r="EC512" t="s">
        <v>2368</v>
      </c>
      <c r="EE512" t="s">
        <v>267</v>
      </c>
    </row>
    <row r="513" ht="15" customHeight="1" spans="111:135" x14ac:dyDescent="0.25">
      <c r="DG513" t="s">
        <v>4901</v>
      </c>
      <c r="DH513" t="s">
        <v>82</v>
      </c>
      <c r="DI513" t="s">
        <v>1971</v>
      </c>
      <c r="DJ513" t="s">
        <v>1972</v>
      </c>
      <c r="DK513" t="s">
        <v>692</v>
      </c>
      <c r="DL513">
        <v>3.85</v>
      </c>
      <c r="DM513" t="s">
        <v>669</v>
      </c>
      <c r="DN513" t="s">
        <v>670</v>
      </c>
      <c r="DO513">
        <v>1</v>
      </c>
      <c r="DP513">
        <v>967</v>
      </c>
      <c r="DQ513">
        <v>967</v>
      </c>
      <c r="DR513" t="s">
        <v>4902</v>
      </c>
      <c r="EB513" t="s">
        <v>4903</v>
      </c>
      <c r="EC513" t="s">
        <v>2368</v>
      </c>
      <c r="EE513" t="s">
        <v>258</v>
      </c>
    </row>
    <row r="514" ht="15" customHeight="1" spans="111:135" x14ac:dyDescent="0.25">
      <c r="DG514" t="s">
        <v>4904</v>
      </c>
      <c r="DH514" t="s">
        <v>82</v>
      </c>
      <c r="DI514" t="s">
        <v>1974</v>
      </c>
      <c r="DJ514" t="s">
        <v>1975</v>
      </c>
      <c r="DK514" t="s">
        <v>692</v>
      </c>
      <c r="DL514">
        <v>3.85</v>
      </c>
      <c r="DM514" t="s">
        <v>669</v>
      </c>
      <c r="DN514" t="s">
        <v>670</v>
      </c>
      <c r="DO514">
        <v>2</v>
      </c>
      <c r="DP514">
        <v>1471.88</v>
      </c>
      <c r="DQ514">
        <v>1471.88</v>
      </c>
      <c r="DR514" t="s">
        <v>4905</v>
      </c>
      <c r="EB514" t="s">
        <v>4906</v>
      </c>
      <c r="EC514" t="s">
        <v>2368</v>
      </c>
      <c r="EE514" t="s">
        <v>222</v>
      </c>
    </row>
    <row r="515" ht="15" customHeight="1" spans="111:135" x14ac:dyDescent="0.25">
      <c r="DG515" t="s">
        <v>4907</v>
      </c>
      <c r="DH515" t="s">
        <v>82</v>
      </c>
      <c r="DI515" t="s">
        <v>1977</v>
      </c>
      <c r="DJ515" t="s">
        <v>1978</v>
      </c>
      <c r="DK515" t="s">
        <v>692</v>
      </c>
      <c r="DL515">
        <v>3.85</v>
      </c>
      <c r="DM515" t="s">
        <v>669</v>
      </c>
      <c r="DN515" t="s">
        <v>670</v>
      </c>
      <c r="DO515">
        <v>2</v>
      </c>
      <c r="DP515">
        <v>1642.5</v>
      </c>
      <c r="DQ515">
        <v>1642.5</v>
      </c>
      <c r="DR515" t="s">
        <v>4908</v>
      </c>
      <c r="EB515" t="s">
        <v>4909</v>
      </c>
      <c r="EC515" t="s">
        <v>2368</v>
      </c>
      <c r="EE515" t="s">
        <v>233</v>
      </c>
    </row>
    <row r="516" ht="15" customHeight="1" spans="111:135" x14ac:dyDescent="0.25">
      <c r="DG516" t="s">
        <v>4910</v>
      </c>
      <c r="DH516" t="s">
        <v>82</v>
      </c>
      <c r="DI516" t="s">
        <v>1980</v>
      </c>
      <c r="DJ516" t="s">
        <v>1981</v>
      </c>
      <c r="DK516" t="s">
        <v>692</v>
      </c>
      <c r="DL516">
        <v>3.85</v>
      </c>
      <c r="DM516" t="s">
        <v>670</v>
      </c>
      <c r="DN516" t="s">
        <v>669</v>
      </c>
      <c r="DO516">
        <v>0</v>
      </c>
      <c r="DP516">
        <v>0</v>
      </c>
      <c r="DQ516">
        <v>202</v>
      </c>
      <c r="DR516" t="s">
        <v>4911</v>
      </c>
      <c r="EB516" t="s">
        <v>4912</v>
      </c>
      <c r="EC516" t="s">
        <v>2368</v>
      </c>
      <c r="EE516" t="s">
        <v>225</v>
      </c>
    </row>
    <row r="517" ht="15" customHeight="1" spans="111:135" x14ac:dyDescent="0.25">
      <c r="DG517" t="s">
        <v>4913</v>
      </c>
      <c r="DH517" t="s">
        <v>82</v>
      </c>
      <c r="DI517" t="s">
        <v>1983</v>
      </c>
      <c r="DJ517" t="s">
        <v>1984</v>
      </c>
      <c r="DK517" t="s">
        <v>692</v>
      </c>
      <c r="DL517">
        <v>3.85</v>
      </c>
      <c r="DM517" t="s">
        <v>670</v>
      </c>
      <c r="DN517" t="s">
        <v>669</v>
      </c>
      <c r="DO517">
        <v>0</v>
      </c>
      <c r="DP517">
        <v>0</v>
      </c>
      <c r="DQ517">
        <v>321.09</v>
      </c>
      <c r="DR517" t="s">
        <v>4914</v>
      </c>
      <c r="EB517" t="s">
        <v>4915</v>
      </c>
      <c r="EC517" t="s">
        <v>2368</v>
      </c>
      <c r="EE517" t="s">
        <v>288</v>
      </c>
    </row>
    <row r="518" ht="15" customHeight="1" spans="111:140" x14ac:dyDescent="0.25">
      <c r="DG518" t="s">
        <v>4916</v>
      </c>
      <c r="DH518" t="s">
        <v>82</v>
      </c>
      <c r="DI518" t="s">
        <v>1985</v>
      </c>
      <c r="DJ518" t="s">
        <v>1986</v>
      </c>
      <c r="DK518" t="s">
        <v>692</v>
      </c>
      <c r="DL518">
        <v>3.85</v>
      </c>
      <c r="DM518" t="s">
        <v>670</v>
      </c>
      <c r="DN518" t="s">
        <v>669</v>
      </c>
      <c r="DO518">
        <v>0</v>
      </c>
      <c r="DP518">
        <v>0</v>
      </c>
      <c r="DQ518">
        <v>2625</v>
      </c>
      <c r="DR518" t="s">
        <v>4917</v>
      </c>
      <c r="EB518" t="s">
        <v>4918</v>
      </c>
      <c r="EC518" t="s">
        <v>2368</v>
      </c>
      <c r="ED518" t="s">
        <v>2369</v>
      </c>
      <c r="EE518" t="s">
        <v>269</v>
      </c>
      <c r="EF518" t="s">
        <v>268</v>
      </c>
      <c r="EG518">
        <v>280</v>
      </c>
      <c r="EH518">
        <v>280</v>
      </c>
      <c r="EI518">
        <v>280</v>
      </c>
      <c r="EJ518">
        <v>280</v>
      </c>
    </row>
    <row r="519" ht="15" customHeight="1" spans="111:140" x14ac:dyDescent="0.25">
      <c r="DG519" t="s">
        <v>4919</v>
      </c>
      <c r="DH519" t="s">
        <v>87</v>
      </c>
      <c r="DI519" t="s">
        <v>666</v>
      </c>
      <c r="DJ519" t="s">
        <v>667</v>
      </c>
      <c r="DK519" t="s">
        <v>668</v>
      </c>
      <c r="DL519">
        <v>100</v>
      </c>
      <c r="DM519" t="s">
        <v>670</v>
      </c>
      <c r="DN519" t="s">
        <v>669</v>
      </c>
      <c r="DO519">
        <v>0</v>
      </c>
      <c r="DP519">
        <v>0</v>
      </c>
      <c r="DQ519">
        <v>270.7</v>
      </c>
      <c r="DR519" t="s">
        <v>4920</v>
      </c>
      <c r="EB519" t="s">
        <v>4921</v>
      </c>
      <c r="EC519" t="s">
        <v>2368</v>
      </c>
      <c r="ED519" t="s">
        <v>2369</v>
      </c>
      <c r="EE519" t="s">
        <v>237</v>
      </c>
      <c r="EF519" t="s">
        <v>235</v>
      </c>
      <c r="EG519">
        <v>2650</v>
      </c>
      <c r="EH519">
        <v>2650</v>
      </c>
      <c r="EI519">
        <v>2650</v>
      </c>
      <c r="EJ519">
        <v>2650</v>
      </c>
    </row>
    <row r="520" ht="15" customHeight="1" spans="111:135" x14ac:dyDescent="0.25">
      <c r="DG520" t="s">
        <v>4922</v>
      </c>
      <c r="DH520" t="s">
        <v>87</v>
      </c>
      <c r="DI520" t="s">
        <v>673</v>
      </c>
      <c r="DJ520" t="s">
        <v>674</v>
      </c>
      <c r="DK520" t="s">
        <v>668</v>
      </c>
      <c r="DL520">
        <v>100</v>
      </c>
      <c r="DM520" t="s">
        <v>670</v>
      </c>
      <c r="DN520" t="s">
        <v>669</v>
      </c>
      <c r="DO520">
        <v>0</v>
      </c>
      <c r="DP520">
        <v>0</v>
      </c>
      <c r="DQ520">
        <v>957.1</v>
      </c>
      <c r="DR520" t="s">
        <v>4923</v>
      </c>
      <c r="EB520" t="s">
        <v>4924</v>
      </c>
      <c r="EC520" t="s">
        <v>2368</v>
      </c>
      <c r="EE520" t="s">
        <v>249</v>
      </c>
    </row>
    <row r="521" ht="15" customHeight="1" spans="111:135" x14ac:dyDescent="0.25">
      <c r="DG521" t="s">
        <v>4925</v>
      </c>
      <c r="DH521" t="s">
        <v>87</v>
      </c>
      <c r="DI521" t="s">
        <v>676</v>
      </c>
      <c r="DJ521" t="s">
        <v>677</v>
      </c>
      <c r="DK521" t="s">
        <v>668</v>
      </c>
      <c r="DL521">
        <v>100</v>
      </c>
      <c r="DM521" t="s">
        <v>670</v>
      </c>
      <c r="DN521" t="s">
        <v>670</v>
      </c>
      <c r="DO521">
        <v>0</v>
      </c>
      <c r="DP521">
        <v>0</v>
      </c>
      <c r="DQ521">
        <v>215.56</v>
      </c>
      <c r="DR521" t="s">
        <v>4926</v>
      </c>
      <c r="EB521" t="s">
        <v>4927</v>
      </c>
      <c r="EC521" t="s">
        <v>2368</v>
      </c>
      <c r="EE521" t="s">
        <v>293</v>
      </c>
    </row>
    <row r="522" ht="15" customHeight="1" spans="111:135" x14ac:dyDescent="0.25">
      <c r="DG522" t="s">
        <v>4928</v>
      </c>
      <c r="DH522" t="s">
        <v>87</v>
      </c>
      <c r="DI522" t="s">
        <v>679</v>
      </c>
      <c r="DJ522" t="s">
        <v>680</v>
      </c>
      <c r="DK522" t="s">
        <v>668</v>
      </c>
      <c r="DL522">
        <v>100</v>
      </c>
      <c r="DM522" t="s">
        <v>670</v>
      </c>
      <c r="DN522" t="s">
        <v>670</v>
      </c>
      <c r="DO522">
        <v>4</v>
      </c>
      <c r="DP522">
        <v>785.12</v>
      </c>
      <c r="DQ522">
        <v>785.12</v>
      </c>
      <c r="DR522" t="s">
        <v>4929</v>
      </c>
      <c r="EB522" t="s">
        <v>4930</v>
      </c>
      <c r="EC522" t="s">
        <v>2368</v>
      </c>
      <c r="EE522" t="s">
        <v>280</v>
      </c>
    </row>
    <row r="523" ht="15" customHeight="1" spans="111:140" x14ac:dyDescent="0.25">
      <c r="DG523" t="s">
        <v>4931</v>
      </c>
      <c r="DH523" t="s">
        <v>87</v>
      </c>
      <c r="DI523" t="s">
        <v>685</v>
      </c>
      <c r="DJ523" t="s">
        <v>686</v>
      </c>
      <c r="DK523" t="s">
        <v>668</v>
      </c>
      <c r="DL523">
        <v>100</v>
      </c>
      <c r="DM523" t="s">
        <v>670</v>
      </c>
      <c r="DN523" t="s">
        <v>669</v>
      </c>
      <c r="DO523">
        <v>0</v>
      </c>
      <c r="DP523">
        <v>0</v>
      </c>
      <c r="DQ523">
        <v>44.75</v>
      </c>
      <c r="DR523" t="s">
        <v>4932</v>
      </c>
      <c r="EB523" t="s">
        <v>4933</v>
      </c>
      <c r="EC523" t="s">
        <v>2368</v>
      </c>
      <c r="ED523" t="s">
        <v>2369</v>
      </c>
      <c r="EE523" t="s">
        <v>264</v>
      </c>
      <c r="EF523" t="s">
        <v>262</v>
      </c>
      <c r="EG523">
        <v>1780</v>
      </c>
      <c r="EH523">
        <v>2050</v>
      </c>
      <c r="EI523">
        <v>2320</v>
      </c>
      <c r="EJ523">
        <v>2490</v>
      </c>
    </row>
    <row r="524" ht="15" customHeight="1" spans="111:135" x14ac:dyDescent="0.25">
      <c r="DG524" t="s">
        <v>4934</v>
      </c>
      <c r="DH524" t="s">
        <v>87</v>
      </c>
      <c r="DI524" t="s">
        <v>690</v>
      </c>
      <c r="DJ524" t="s">
        <v>691</v>
      </c>
      <c r="DK524" t="s">
        <v>692</v>
      </c>
      <c r="DL524">
        <v>100</v>
      </c>
      <c r="DM524" t="s">
        <v>669</v>
      </c>
      <c r="DN524" t="s">
        <v>670</v>
      </c>
      <c r="DO524">
        <v>1</v>
      </c>
      <c r="DP524">
        <v>913</v>
      </c>
      <c r="DQ524">
        <v>913</v>
      </c>
      <c r="DR524" t="s">
        <v>4935</v>
      </c>
      <c r="EB524" t="s">
        <v>4936</v>
      </c>
      <c r="EC524" t="s">
        <v>2368</v>
      </c>
      <c r="EE524" t="s">
        <v>278</v>
      </c>
    </row>
    <row r="525" ht="15" customHeight="1" spans="111:140" x14ac:dyDescent="0.25">
      <c r="DG525" t="s">
        <v>4937</v>
      </c>
      <c r="DH525" t="s">
        <v>87</v>
      </c>
      <c r="DI525" t="s">
        <v>696</v>
      </c>
      <c r="DJ525" t="s">
        <v>697</v>
      </c>
      <c r="DK525" t="s">
        <v>692</v>
      </c>
      <c r="DL525">
        <v>100</v>
      </c>
      <c r="DM525" t="s">
        <v>669</v>
      </c>
      <c r="DN525" t="s">
        <v>670</v>
      </c>
      <c r="DO525">
        <v>1</v>
      </c>
      <c r="DP525">
        <v>61.88</v>
      </c>
      <c r="DQ525">
        <v>61.88</v>
      </c>
      <c r="DR525" t="s">
        <v>4938</v>
      </c>
      <c r="EB525" t="s">
        <v>4939</v>
      </c>
      <c r="EC525" t="s">
        <v>2368</v>
      </c>
      <c r="ED525" t="s">
        <v>2369</v>
      </c>
      <c r="EE525" t="s">
        <v>240</v>
      </c>
      <c r="EF525" t="s">
        <v>238</v>
      </c>
      <c r="EG525">
        <v>3030</v>
      </c>
      <c r="EH525">
        <v>3030</v>
      </c>
      <c r="EI525">
        <v>3030</v>
      </c>
      <c r="EJ525">
        <v>3030</v>
      </c>
    </row>
    <row r="526" ht="15" customHeight="1" spans="111:140" x14ac:dyDescent="0.25">
      <c r="DG526" t="s">
        <v>4940</v>
      </c>
      <c r="DH526" t="s">
        <v>87</v>
      </c>
      <c r="DI526" t="s">
        <v>699</v>
      </c>
      <c r="DJ526" t="s">
        <v>700</v>
      </c>
      <c r="DK526" t="s">
        <v>692</v>
      </c>
      <c r="DL526">
        <v>100</v>
      </c>
      <c r="DM526" t="s">
        <v>670</v>
      </c>
      <c r="DN526" t="s">
        <v>670</v>
      </c>
      <c r="DO526">
        <v>3</v>
      </c>
      <c r="DP526">
        <v>105</v>
      </c>
      <c r="DQ526">
        <v>105</v>
      </c>
      <c r="DR526" t="s">
        <v>4941</v>
      </c>
      <c r="EB526" t="s">
        <v>4942</v>
      </c>
      <c r="EC526" t="s">
        <v>2368</v>
      </c>
      <c r="ED526" t="s">
        <v>2369</v>
      </c>
      <c r="EE526" t="s">
        <v>252</v>
      </c>
      <c r="EF526" t="s">
        <v>250</v>
      </c>
      <c r="EG526">
        <v>400</v>
      </c>
      <c r="EH526">
        <v>400</v>
      </c>
      <c r="EI526">
        <v>400</v>
      </c>
      <c r="EJ526">
        <v>400</v>
      </c>
    </row>
    <row r="527" ht="15" customHeight="1" spans="111:140" x14ac:dyDescent="0.25">
      <c r="DG527" t="s">
        <v>4943</v>
      </c>
      <c r="DH527" t="s">
        <v>87</v>
      </c>
      <c r="DI527" t="s">
        <v>702</v>
      </c>
      <c r="DJ527" t="s">
        <v>703</v>
      </c>
      <c r="DK527" t="s">
        <v>692</v>
      </c>
      <c r="DL527">
        <v>100</v>
      </c>
      <c r="DM527" t="s">
        <v>669</v>
      </c>
      <c r="DN527" t="s">
        <v>670</v>
      </c>
      <c r="DO527">
        <v>1</v>
      </c>
      <c r="DP527">
        <v>1903</v>
      </c>
      <c r="DQ527">
        <v>1903</v>
      </c>
      <c r="DR527" t="s">
        <v>4944</v>
      </c>
      <c r="EB527" t="s">
        <v>4945</v>
      </c>
      <c r="EC527" t="s">
        <v>2368</v>
      </c>
      <c r="ED527" t="s">
        <v>2369</v>
      </c>
      <c r="EE527" t="s">
        <v>229</v>
      </c>
      <c r="EF527" t="s">
        <v>227</v>
      </c>
      <c r="EG527">
        <v>180</v>
      </c>
      <c r="EH527">
        <v>220</v>
      </c>
      <c r="EI527">
        <v>240</v>
      </c>
      <c r="EJ527">
        <v>260</v>
      </c>
    </row>
    <row r="528" ht="15" customHeight="1" spans="111:140" x14ac:dyDescent="0.25">
      <c r="DG528" t="s">
        <v>4946</v>
      </c>
      <c r="DH528" t="s">
        <v>87</v>
      </c>
      <c r="DI528" t="s">
        <v>705</v>
      </c>
      <c r="DJ528" t="s">
        <v>706</v>
      </c>
      <c r="DK528" t="s">
        <v>692</v>
      </c>
      <c r="DL528">
        <v>100</v>
      </c>
      <c r="DM528" t="s">
        <v>670</v>
      </c>
      <c r="DN528" t="s">
        <v>670</v>
      </c>
      <c r="DO528">
        <v>0</v>
      </c>
      <c r="DP528">
        <v>0</v>
      </c>
      <c r="DQ528">
        <v>1769</v>
      </c>
      <c r="DR528" t="s">
        <v>4947</v>
      </c>
      <c r="EB528" t="s">
        <v>4948</v>
      </c>
      <c r="EC528" t="s">
        <v>2368</v>
      </c>
      <c r="ED528" t="s">
        <v>2369</v>
      </c>
      <c r="EE528" t="s">
        <v>246</v>
      </c>
      <c r="EF528" t="s">
        <v>244</v>
      </c>
      <c r="EG528">
        <v>670</v>
      </c>
      <c r="EH528">
        <v>670</v>
      </c>
      <c r="EI528">
        <v>670</v>
      </c>
      <c r="EJ528">
        <v>670</v>
      </c>
    </row>
    <row r="529" ht="15" customHeight="1" spans="111:140" x14ac:dyDescent="0.25">
      <c r="DG529" t="s">
        <v>4949</v>
      </c>
      <c r="DH529" t="s">
        <v>87</v>
      </c>
      <c r="DI529" t="s">
        <v>710</v>
      </c>
      <c r="DJ529" t="s">
        <v>711</v>
      </c>
      <c r="DK529" t="s">
        <v>692</v>
      </c>
      <c r="DL529">
        <v>100</v>
      </c>
      <c r="DM529" t="s">
        <v>670</v>
      </c>
      <c r="DN529" t="s">
        <v>670</v>
      </c>
      <c r="DO529">
        <v>5</v>
      </c>
      <c r="DP529">
        <v>510</v>
      </c>
      <c r="DQ529">
        <v>561</v>
      </c>
      <c r="DR529" t="s">
        <v>4950</v>
      </c>
      <c r="EB529" t="s">
        <v>4951</v>
      </c>
      <c r="EC529" t="s">
        <v>2368</v>
      </c>
      <c r="ED529" t="s">
        <v>2369</v>
      </c>
      <c r="EE529" t="s">
        <v>255</v>
      </c>
      <c r="EF529" t="s">
        <v>253</v>
      </c>
      <c r="EG529">
        <v>460</v>
      </c>
      <c r="EH529">
        <v>540</v>
      </c>
      <c r="EI529">
        <v>600</v>
      </c>
      <c r="EJ529">
        <v>650</v>
      </c>
    </row>
    <row r="530" ht="15" customHeight="1" spans="111:135" x14ac:dyDescent="0.25">
      <c r="DG530" t="s">
        <v>4952</v>
      </c>
      <c r="DH530" t="s">
        <v>87</v>
      </c>
      <c r="DI530" t="s">
        <v>713</v>
      </c>
      <c r="DJ530" t="s">
        <v>714</v>
      </c>
      <c r="DK530" t="s">
        <v>692</v>
      </c>
      <c r="DL530">
        <v>100</v>
      </c>
      <c r="DM530" t="s">
        <v>669</v>
      </c>
      <c r="DN530" t="s">
        <v>670</v>
      </c>
      <c r="DO530">
        <v>1</v>
      </c>
      <c r="DP530">
        <v>7.67</v>
      </c>
      <c r="DQ530">
        <v>7.67</v>
      </c>
      <c r="DR530" t="s">
        <v>4953</v>
      </c>
      <c r="EB530" t="s">
        <v>4954</v>
      </c>
      <c r="EC530" t="s">
        <v>2368</v>
      </c>
      <c r="EE530" t="s">
        <v>243</v>
      </c>
    </row>
    <row r="531" ht="15" customHeight="1" spans="111:140" x14ac:dyDescent="0.25">
      <c r="DG531" t="s">
        <v>4955</v>
      </c>
      <c r="DH531" t="s">
        <v>87</v>
      </c>
      <c r="DI531" t="s">
        <v>718</v>
      </c>
      <c r="DJ531" t="s">
        <v>719</v>
      </c>
      <c r="DK531" t="s">
        <v>692</v>
      </c>
      <c r="DL531">
        <v>100</v>
      </c>
      <c r="DM531" t="s">
        <v>669</v>
      </c>
      <c r="DN531" t="s">
        <v>670</v>
      </c>
      <c r="DO531">
        <v>2</v>
      </c>
      <c r="DP531">
        <v>15.34</v>
      </c>
      <c r="DQ531">
        <v>15.34</v>
      </c>
      <c r="DR531" t="s">
        <v>4956</v>
      </c>
      <c r="EB531" t="s">
        <v>4957</v>
      </c>
      <c r="EC531" t="s">
        <v>2368</v>
      </c>
      <c r="ED531" t="s">
        <v>2369</v>
      </c>
      <c r="EE531" t="s">
        <v>261</v>
      </c>
      <c r="EF531" t="s">
        <v>259</v>
      </c>
      <c r="EG531">
        <v>1</v>
      </c>
      <c r="EH531">
        <v>1</v>
      </c>
      <c r="EI531">
        <v>1</v>
      </c>
      <c r="EJ531">
        <v>1</v>
      </c>
    </row>
    <row r="532" ht="15" customHeight="1" spans="111:135" x14ac:dyDescent="0.25">
      <c r="DG532" t="s">
        <v>4958</v>
      </c>
      <c r="DH532" t="s">
        <v>87</v>
      </c>
      <c r="DI532" t="s">
        <v>720</v>
      </c>
      <c r="DJ532" t="s">
        <v>721</v>
      </c>
      <c r="DK532" t="s">
        <v>692</v>
      </c>
      <c r="DL532">
        <v>100</v>
      </c>
      <c r="DM532" t="s">
        <v>670</v>
      </c>
      <c r="DN532" t="s">
        <v>670</v>
      </c>
      <c r="DO532">
        <v>3</v>
      </c>
      <c r="DP532">
        <v>998.4</v>
      </c>
      <c r="DQ532">
        <v>998.4</v>
      </c>
      <c r="DR532" t="s">
        <v>4959</v>
      </c>
      <c r="EB532" t="s">
        <v>4960</v>
      </c>
      <c r="EC532" t="s">
        <v>2368</v>
      </c>
      <c r="EE532" t="s">
        <v>296</v>
      </c>
    </row>
    <row r="533" ht="15" customHeight="1" spans="111:135" x14ac:dyDescent="0.25">
      <c r="DG533" t="s">
        <v>4961</v>
      </c>
      <c r="DH533" t="s">
        <v>87</v>
      </c>
      <c r="DI533" t="s">
        <v>723</v>
      </c>
      <c r="DJ533" t="s">
        <v>724</v>
      </c>
      <c r="DK533" t="s">
        <v>692</v>
      </c>
      <c r="DL533">
        <v>100</v>
      </c>
      <c r="DM533" t="s">
        <v>670</v>
      </c>
      <c r="DN533" t="s">
        <v>670</v>
      </c>
      <c r="DO533">
        <v>2</v>
      </c>
      <c r="DP533">
        <v>76.4</v>
      </c>
      <c r="DQ533">
        <v>382</v>
      </c>
      <c r="DR533" t="s">
        <v>4962</v>
      </c>
      <c r="EB533" t="s">
        <v>4963</v>
      </c>
      <c r="EC533" t="s">
        <v>2401</v>
      </c>
      <c r="EE533" t="s">
        <v>620</v>
      </c>
    </row>
    <row r="534" ht="15" customHeight="1" spans="111:135" x14ac:dyDescent="0.25">
      <c r="DG534" t="s">
        <v>4964</v>
      </c>
      <c r="DH534" t="s">
        <v>87</v>
      </c>
      <c r="DI534" t="s">
        <v>726</v>
      </c>
      <c r="DJ534" t="s">
        <v>727</v>
      </c>
      <c r="DK534" t="s">
        <v>692</v>
      </c>
      <c r="DL534">
        <v>100</v>
      </c>
      <c r="DM534" t="s">
        <v>670</v>
      </c>
      <c r="DN534" t="s">
        <v>670</v>
      </c>
      <c r="DO534">
        <v>3</v>
      </c>
      <c r="DP534">
        <v>51.3</v>
      </c>
      <c r="DQ534">
        <v>94.05</v>
      </c>
      <c r="DR534" t="s">
        <v>4965</v>
      </c>
      <c r="EB534" t="s">
        <v>4966</v>
      </c>
      <c r="EC534" t="s">
        <v>2401</v>
      </c>
      <c r="EE534" t="s">
        <v>618</v>
      </c>
    </row>
    <row r="535" ht="15" customHeight="1" spans="111:135" x14ac:dyDescent="0.25">
      <c r="DG535" t="s">
        <v>4967</v>
      </c>
      <c r="DH535" t="s">
        <v>87</v>
      </c>
      <c r="DI535" t="s">
        <v>729</v>
      </c>
      <c r="DJ535" t="s">
        <v>730</v>
      </c>
      <c r="DK535" t="s">
        <v>692</v>
      </c>
      <c r="DL535">
        <v>100</v>
      </c>
      <c r="DM535" t="s">
        <v>670</v>
      </c>
      <c r="DN535" t="s">
        <v>669</v>
      </c>
      <c r="DO535">
        <v>0</v>
      </c>
      <c r="DP535">
        <v>0</v>
      </c>
      <c r="DQ535">
        <v>646.9</v>
      </c>
      <c r="DR535" t="s">
        <v>4968</v>
      </c>
      <c r="EB535" t="s">
        <v>4969</v>
      </c>
      <c r="EC535" t="s">
        <v>2401</v>
      </c>
      <c r="EE535" t="s">
        <v>616</v>
      </c>
    </row>
    <row r="536" ht="15" customHeight="1" spans="111:135" x14ac:dyDescent="0.25">
      <c r="DG536" t="s">
        <v>4970</v>
      </c>
      <c r="DH536" t="s">
        <v>87</v>
      </c>
      <c r="DI536" t="s">
        <v>735</v>
      </c>
      <c r="DJ536" t="s">
        <v>736</v>
      </c>
      <c r="DK536" t="s">
        <v>668</v>
      </c>
      <c r="DL536">
        <v>96.15</v>
      </c>
      <c r="DM536" t="s">
        <v>669</v>
      </c>
      <c r="DN536" t="s">
        <v>670</v>
      </c>
      <c r="DO536">
        <v>10</v>
      </c>
      <c r="DP536">
        <v>2006</v>
      </c>
      <c r="DQ536">
        <v>2006</v>
      </c>
      <c r="DR536" t="s">
        <v>4971</v>
      </c>
      <c r="EB536" t="s">
        <v>4972</v>
      </c>
      <c r="EC536" t="s">
        <v>2401</v>
      </c>
      <c r="EE536" t="s">
        <v>614</v>
      </c>
    </row>
    <row r="537" ht="15" customHeight="1" spans="111:135" x14ac:dyDescent="0.25">
      <c r="DG537" t="s">
        <v>4973</v>
      </c>
      <c r="DH537" t="s">
        <v>87</v>
      </c>
      <c r="DI537" t="s">
        <v>740</v>
      </c>
      <c r="DJ537" t="s">
        <v>741</v>
      </c>
      <c r="DK537" t="s">
        <v>692</v>
      </c>
      <c r="DL537">
        <v>96.15</v>
      </c>
      <c r="DM537" t="s">
        <v>669</v>
      </c>
      <c r="DN537" t="s">
        <v>670</v>
      </c>
      <c r="DO537">
        <v>1</v>
      </c>
      <c r="DP537">
        <v>1004</v>
      </c>
      <c r="DQ537">
        <v>1004</v>
      </c>
      <c r="DR537" t="s">
        <v>4974</v>
      </c>
      <c r="EB537" t="s">
        <v>4975</v>
      </c>
      <c r="EC537" t="s">
        <v>2401</v>
      </c>
      <c r="EE537" t="s">
        <v>612</v>
      </c>
    </row>
    <row r="538" ht="15" customHeight="1" spans="111:135" x14ac:dyDescent="0.25">
      <c r="DG538" t="s">
        <v>4976</v>
      </c>
      <c r="DH538" t="s">
        <v>87</v>
      </c>
      <c r="DI538" t="s">
        <v>745</v>
      </c>
      <c r="DJ538" t="s">
        <v>746</v>
      </c>
      <c r="DK538" t="s">
        <v>692</v>
      </c>
      <c r="DL538">
        <v>96.15</v>
      </c>
      <c r="DM538" t="s">
        <v>669</v>
      </c>
      <c r="DN538" t="s">
        <v>670</v>
      </c>
      <c r="DO538">
        <v>2</v>
      </c>
      <c r="DP538">
        <v>2592</v>
      </c>
      <c r="DQ538">
        <v>2592</v>
      </c>
      <c r="DR538" t="s">
        <v>4977</v>
      </c>
      <c r="EB538" t="s">
        <v>4978</v>
      </c>
      <c r="EC538" t="s">
        <v>2401</v>
      </c>
      <c r="EE538" t="s">
        <v>610</v>
      </c>
    </row>
    <row r="539" ht="15" customHeight="1" spans="111:135" x14ac:dyDescent="0.25">
      <c r="DG539" t="s">
        <v>4979</v>
      </c>
      <c r="DH539" t="s">
        <v>87</v>
      </c>
      <c r="DI539" t="s">
        <v>750</v>
      </c>
      <c r="DJ539" t="s">
        <v>751</v>
      </c>
      <c r="DK539" t="s">
        <v>692</v>
      </c>
      <c r="DL539">
        <v>96.15</v>
      </c>
      <c r="DM539" t="s">
        <v>670</v>
      </c>
      <c r="DN539" t="s">
        <v>669</v>
      </c>
      <c r="DO539">
        <v>0</v>
      </c>
      <c r="DP539">
        <v>0</v>
      </c>
      <c r="DQ539">
        <v>245</v>
      </c>
      <c r="DR539" t="s">
        <v>4980</v>
      </c>
      <c r="EB539" t="s">
        <v>4981</v>
      </c>
      <c r="EC539" t="s">
        <v>2401</v>
      </c>
      <c r="EE539" t="s">
        <v>608</v>
      </c>
    </row>
    <row r="540" ht="15" customHeight="1" spans="111:135" x14ac:dyDescent="0.25">
      <c r="DG540" t="s">
        <v>4982</v>
      </c>
      <c r="DH540" t="s">
        <v>87</v>
      </c>
      <c r="DI540" t="s">
        <v>752</v>
      </c>
      <c r="DJ540" t="s">
        <v>753</v>
      </c>
      <c r="DK540" t="s">
        <v>692</v>
      </c>
      <c r="DL540">
        <v>96.15</v>
      </c>
      <c r="DM540" t="s">
        <v>670</v>
      </c>
      <c r="DN540" t="s">
        <v>670</v>
      </c>
      <c r="DO540">
        <v>1</v>
      </c>
      <c r="DP540">
        <v>1416.94</v>
      </c>
      <c r="DQ540">
        <v>1416.94</v>
      </c>
      <c r="DR540" t="s">
        <v>4983</v>
      </c>
      <c r="EB540" t="s">
        <v>4984</v>
      </c>
      <c r="EC540" t="s">
        <v>2401</v>
      </c>
      <c r="EE540" t="s">
        <v>606</v>
      </c>
    </row>
    <row r="541" ht="15" customHeight="1" spans="111:135" x14ac:dyDescent="0.25">
      <c r="DG541" t="s">
        <v>4985</v>
      </c>
      <c r="DH541" t="s">
        <v>87</v>
      </c>
      <c r="DI541" t="s">
        <v>757</v>
      </c>
      <c r="DJ541" t="s">
        <v>758</v>
      </c>
      <c r="DK541" t="s">
        <v>692</v>
      </c>
      <c r="DL541">
        <v>96.15</v>
      </c>
      <c r="DM541" t="s">
        <v>670</v>
      </c>
      <c r="DN541" t="s">
        <v>670</v>
      </c>
      <c r="DO541">
        <v>0</v>
      </c>
      <c r="DP541">
        <v>0</v>
      </c>
      <c r="DQ541">
        <v>871.5</v>
      </c>
      <c r="DR541" t="s">
        <v>4986</v>
      </c>
      <c r="EB541" t="s">
        <v>4987</v>
      </c>
      <c r="EC541" t="s">
        <v>2401</v>
      </c>
      <c r="EE541" t="s">
        <v>603</v>
      </c>
    </row>
    <row r="542" ht="15" customHeight="1" spans="111:140" x14ac:dyDescent="0.25">
      <c r="DG542" t="s">
        <v>4988</v>
      </c>
      <c r="DH542" t="s">
        <v>87</v>
      </c>
      <c r="DI542" t="s">
        <v>760</v>
      </c>
      <c r="DJ542" t="s">
        <v>761</v>
      </c>
      <c r="DK542" t="s">
        <v>692</v>
      </c>
      <c r="DL542">
        <v>96.15</v>
      </c>
      <c r="DM542" t="s">
        <v>670</v>
      </c>
      <c r="DN542" t="s">
        <v>670</v>
      </c>
      <c r="DO542">
        <v>2</v>
      </c>
      <c r="DP542">
        <v>50.62</v>
      </c>
      <c r="DQ542">
        <v>126.25</v>
      </c>
      <c r="DR542" t="s">
        <v>4989</v>
      </c>
      <c r="EB542" t="s">
        <v>4990</v>
      </c>
      <c r="EC542" t="s">
        <v>2401</v>
      </c>
      <c r="ED542" t="s">
        <v>2402</v>
      </c>
      <c r="EE542" t="s">
        <v>601</v>
      </c>
      <c r="EF542" t="s">
        <v>2404</v>
      </c>
      <c r="EG542">
        <v>1</v>
      </c>
      <c r="EH542">
        <v>1</v>
      </c>
      <c r="EI542">
        <v>1</v>
      </c>
      <c r="EJ542">
        <v>1</v>
      </c>
    </row>
    <row r="543" ht="15" customHeight="1" spans="111:135" x14ac:dyDescent="0.25">
      <c r="DG543" t="s">
        <v>4991</v>
      </c>
      <c r="DH543" t="s">
        <v>87</v>
      </c>
      <c r="DI543" t="s">
        <v>765</v>
      </c>
      <c r="DJ543" t="s">
        <v>766</v>
      </c>
      <c r="DK543" t="s">
        <v>668</v>
      </c>
      <c r="DL543">
        <v>92.31</v>
      </c>
      <c r="DM543" t="s">
        <v>670</v>
      </c>
      <c r="DN543" t="s">
        <v>670</v>
      </c>
      <c r="DO543">
        <v>1</v>
      </c>
      <c r="DP543">
        <v>313.12</v>
      </c>
      <c r="DQ543">
        <v>313.12</v>
      </c>
      <c r="DR543" t="s">
        <v>4992</v>
      </c>
      <c r="EB543" t="s">
        <v>4993</v>
      </c>
      <c r="EC543" t="s">
        <v>2401</v>
      </c>
      <c r="EE543" t="s">
        <v>599</v>
      </c>
    </row>
    <row r="544" ht="15" customHeight="1" spans="111:135" x14ac:dyDescent="0.25">
      <c r="DG544" t="s">
        <v>4994</v>
      </c>
      <c r="DH544" t="s">
        <v>87</v>
      </c>
      <c r="DI544" t="s">
        <v>768</v>
      </c>
      <c r="DJ544" t="s">
        <v>769</v>
      </c>
      <c r="DK544" t="s">
        <v>668</v>
      </c>
      <c r="DL544">
        <v>92.31</v>
      </c>
      <c r="DM544" t="s">
        <v>669</v>
      </c>
      <c r="DN544" t="s">
        <v>670</v>
      </c>
      <c r="DO544">
        <v>1</v>
      </c>
      <c r="DP544">
        <v>132.15</v>
      </c>
      <c r="DQ544">
        <v>132.15</v>
      </c>
      <c r="DR544" t="s">
        <v>4995</v>
      </c>
      <c r="EB544" t="s">
        <v>4996</v>
      </c>
      <c r="EC544" t="s">
        <v>2401</v>
      </c>
      <c r="EE544" t="s">
        <v>623</v>
      </c>
    </row>
    <row r="545" ht="15" customHeight="1" spans="111:135" x14ac:dyDescent="0.25">
      <c r="DG545" t="s">
        <v>4997</v>
      </c>
      <c r="DH545" t="s">
        <v>87</v>
      </c>
      <c r="DI545" t="s">
        <v>774</v>
      </c>
      <c r="DJ545" t="s">
        <v>775</v>
      </c>
      <c r="DK545" t="s">
        <v>692</v>
      </c>
      <c r="DL545">
        <v>92.31</v>
      </c>
      <c r="DM545" t="s">
        <v>669</v>
      </c>
      <c r="DN545" t="s">
        <v>670</v>
      </c>
      <c r="DO545">
        <v>1</v>
      </c>
      <c r="DP545">
        <v>1130</v>
      </c>
      <c r="DQ545">
        <v>1130</v>
      </c>
      <c r="DR545" t="s">
        <v>4998</v>
      </c>
      <c r="EB545" t="s">
        <v>4999</v>
      </c>
      <c r="EC545" t="s">
        <v>2401</v>
      </c>
      <c r="EE545" t="s">
        <v>596</v>
      </c>
    </row>
    <row r="546" ht="15" customHeight="1" spans="111:140" x14ac:dyDescent="0.25">
      <c r="DG546" t="s">
        <v>5000</v>
      </c>
      <c r="DH546" t="s">
        <v>87</v>
      </c>
      <c r="DI546" t="s">
        <v>779</v>
      </c>
      <c r="DJ546" t="s">
        <v>780</v>
      </c>
      <c r="DK546" t="s">
        <v>692</v>
      </c>
      <c r="DL546">
        <v>92.31</v>
      </c>
      <c r="DM546" t="s">
        <v>670</v>
      </c>
      <c r="DN546" t="s">
        <v>669</v>
      </c>
      <c r="DO546">
        <v>0</v>
      </c>
      <c r="DP546">
        <v>0</v>
      </c>
      <c r="DQ546">
        <v>595</v>
      </c>
      <c r="DR546" t="s">
        <v>5001</v>
      </c>
      <c r="EB546" t="s">
        <v>5002</v>
      </c>
      <c r="EC546" t="s">
        <v>2401</v>
      </c>
      <c r="ED546" t="s">
        <v>2402</v>
      </c>
      <c r="EE546" t="s">
        <v>593</v>
      </c>
      <c r="EF546" t="s">
        <v>2469</v>
      </c>
      <c r="EG546">
        <v>1</v>
      </c>
      <c r="EH546">
        <v>1</v>
      </c>
      <c r="EI546">
        <v>1</v>
      </c>
      <c r="EJ546">
        <v>1</v>
      </c>
    </row>
    <row r="547" ht="15" customHeight="1" spans="111:140" x14ac:dyDescent="0.25">
      <c r="DG547" t="s">
        <v>5003</v>
      </c>
      <c r="DH547" t="s">
        <v>87</v>
      </c>
      <c r="DI547" t="s">
        <v>782</v>
      </c>
      <c r="DJ547" t="s">
        <v>783</v>
      </c>
      <c r="DK547" t="s">
        <v>692</v>
      </c>
      <c r="DL547">
        <v>92.31</v>
      </c>
      <c r="DM547" t="s">
        <v>669</v>
      </c>
      <c r="DN547" t="s">
        <v>670</v>
      </c>
      <c r="DO547">
        <v>1</v>
      </c>
      <c r="DP547">
        <v>120.3</v>
      </c>
      <c r="DQ547">
        <v>120.3</v>
      </c>
      <c r="DR547" t="s">
        <v>5004</v>
      </c>
      <c r="EB547" t="s">
        <v>5005</v>
      </c>
      <c r="EC547" t="s">
        <v>2401</v>
      </c>
      <c r="ED547" t="s">
        <v>2402</v>
      </c>
      <c r="EE547" t="s">
        <v>591</v>
      </c>
      <c r="EF547" t="s">
        <v>3058</v>
      </c>
      <c r="EG547">
        <v>1000</v>
      </c>
      <c r="EH547">
        <v>1000</v>
      </c>
      <c r="EI547">
        <v>1000</v>
      </c>
      <c r="EJ547">
        <v>1000</v>
      </c>
    </row>
    <row r="548" ht="15" customHeight="1" spans="111:135" x14ac:dyDescent="0.25">
      <c r="DG548" t="s">
        <v>5006</v>
      </c>
      <c r="DH548" t="s">
        <v>87</v>
      </c>
      <c r="DI548" t="s">
        <v>787</v>
      </c>
      <c r="DJ548" t="s">
        <v>788</v>
      </c>
      <c r="DK548" t="s">
        <v>668</v>
      </c>
      <c r="DL548">
        <v>88.46</v>
      </c>
      <c r="DM548" t="s">
        <v>669</v>
      </c>
      <c r="DN548" t="s">
        <v>670</v>
      </c>
      <c r="DO548">
        <v>5</v>
      </c>
      <c r="DP548">
        <v>537</v>
      </c>
      <c r="DQ548">
        <v>537</v>
      </c>
      <c r="DR548" t="s">
        <v>5007</v>
      </c>
      <c r="EB548" t="s">
        <v>5008</v>
      </c>
      <c r="EC548" t="s">
        <v>2401</v>
      </c>
      <c r="EE548" t="s">
        <v>2423</v>
      </c>
    </row>
    <row r="549" ht="15" customHeight="1" spans="111:135" x14ac:dyDescent="0.25">
      <c r="DG549" t="s">
        <v>5009</v>
      </c>
      <c r="DH549" t="s">
        <v>87</v>
      </c>
      <c r="DI549" t="s">
        <v>792</v>
      </c>
      <c r="DJ549" t="s">
        <v>793</v>
      </c>
      <c r="DK549" t="s">
        <v>668</v>
      </c>
      <c r="DL549">
        <v>88.46</v>
      </c>
      <c r="DM549" t="s">
        <v>669</v>
      </c>
      <c r="DN549" t="s">
        <v>670</v>
      </c>
      <c r="DO549">
        <v>1</v>
      </c>
      <c r="DP549">
        <v>13.04</v>
      </c>
      <c r="DQ549">
        <v>13.04</v>
      </c>
      <c r="DR549" t="s">
        <v>5010</v>
      </c>
      <c r="EB549" t="s">
        <v>5011</v>
      </c>
      <c r="EC549" t="s">
        <v>2401</v>
      </c>
      <c r="EE549" t="s">
        <v>584</v>
      </c>
    </row>
    <row r="550" ht="15" customHeight="1" spans="111:140" x14ac:dyDescent="0.25">
      <c r="DG550" t="s">
        <v>5012</v>
      </c>
      <c r="DH550" t="s">
        <v>87</v>
      </c>
      <c r="DI550" t="s">
        <v>795</v>
      </c>
      <c r="DJ550" t="s">
        <v>796</v>
      </c>
      <c r="DK550" t="s">
        <v>668</v>
      </c>
      <c r="DL550">
        <v>84.62</v>
      </c>
      <c r="DM550" t="s">
        <v>669</v>
      </c>
      <c r="DN550" t="s">
        <v>670</v>
      </c>
      <c r="DO550">
        <v>1</v>
      </c>
      <c r="DP550">
        <v>10.88</v>
      </c>
      <c r="DQ550">
        <v>10.88</v>
      </c>
      <c r="DR550" t="s">
        <v>5013</v>
      </c>
      <c r="EB550" t="s">
        <v>5014</v>
      </c>
      <c r="EC550" t="s">
        <v>2401</v>
      </c>
      <c r="ED550" t="s">
        <v>2402</v>
      </c>
      <c r="EE550" t="s">
        <v>582</v>
      </c>
      <c r="EF550" t="s">
        <v>2525</v>
      </c>
      <c r="EG550">
        <v>1</v>
      </c>
      <c r="EH550">
        <v>1</v>
      </c>
      <c r="EI550">
        <v>1</v>
      </c>
      <c r="EJ550">
        <v>1</v>
      </c>
    </row>
    <row r="551" ht="15" customHeight="1" spans="111:140" x14ac:dyDescent="0.25">
      <c r="DG551" t="s">
        <v>5015</v>
      </c>
      <c r="DH551" t="s">
        <v>87</v>
      </c>
      <c r="DI551" t="s">
        <v>798</v>
      </c>
      <c r="DJ551" t="s">
        <v>799</v>
      </c>
      <c r="DK551" t="s">
        <v>668</v>
      </c>
      <c r="DL551">
        <v>84.62</v>
      </c>
      <c r="DM551" t="s">
        <v>669</v>
      </c>
      <c r="DN551" t="s">
        <v>670</v>
      </c>
      <c r="DO551">
        <v>2</v>
      </c>
      <c r="DP551">
        <v>75.44</v>
      </c>
      <c r="DQ551">
        <v>75.44</v>
      </c>
      <c r="DR551" t="s">
        <v>5016</v>
      </c>
      <c r="EB551" t="s">
        <v>5017</v>
      </c>
      <c r="EC551" t="s">
        <v>2401</v>
      </c>
      <c r="ED551" t="s">
        <v>2402</v>
      </c>
      <c r="EE551" t="s">
        <v>580</v>
      </c>
      <c r="EF551" t="s">
        <v>2539</v>
      </c>
      <c r="EG551">
        <v>1</v>
      </c>
      <c r="EH551">
        <v>1</v>
      </c>
      <c r="EI551">
        <v>1</v>
      </c>
      <c r="EJ551">
        <v>1</v>
      </c>
    </row>
    <row r="552" ht="15" customHeight="1" spans="111:135" x14ac:dyDescent="0.25">
      <c r="DG552" t="s">
        <v>5018</v>
      </c>
      <c r="DH552" t="s">
        <v>87</v>
      </c>
      <c r="DI552" t="s">
        <v>801</v>
      </c>
      <c r="DJ552" t="s">
        <v>802</v>
      </c>
      <c r="DK552" t="s">
        <v>692</v>
      </c>
      <c r="DL552">
        <v>84.62</v>
      </c>
      <c r="DM552" t="s">
        <v>669</v>
      </c>
      <c r="DN552" t="s">
        <v>670</v>
      </c>
      <c r="DO552">
        <v>2</v>
      </c>
      <c r="DP552">
        <v>1369.7</v>
      </c>
      <c r="DQ552">
        <v>1369.7</v>
      </c>
      <c r="DR552" t="s">
        <v>5019</v>
      </c>
      <c r="EB552" t="s">
        <v>5020</v>
      </c>
      <c r="EC552" t="s">
        <v>2401</v>
      </c>
      <c r="EE552" t="s">
        <v>578</v>
      </c>
    </row>
    <row r="553" ht="15" customHeight="1" spans="111:135" x14ac:dyDescent="0.25">
      <c r="DG553" t="s">
        <v>5021</v>
      </c>
      <c r="DH553" t="s">
        <v>87</v>
      </c>
      <c r="DI553" t="s">
        <v>806</v>
      </c>
      <c r="DJ553" t="s">
        <v>807</v>
      </c>
      <c r="DK553" t="s">
        <v>668</v>
      </c>
      <c r="DL553">
        <v>80.77</v>
      </c>
      <c r="DM553" t="s">
        <v>669</v>
      </c>
      <c r="DN553" t="s">
        <v>670</v>
      </c>
      <c r="DO553">
        <v>5</v>
      </c>
      <c r="DP553">
        <v>1078</v>
      </c>
      <c r="DQ553">
        <v>1078</v>
      </c>
      <c r="DR553" t="s">
        <v>5022</v>
      </c>
      <c r="EB553" t="s">
        <v>5023</v>
      </c>
      <c r="EC553" t="s">
        <v>2401</v>
      </c>
      <c r="EE553" t="s">
        <v>327</v>
      </c>
    </row>
    <row r="554" ht="15" customHeight="1" spans="111:135" x14ac:dyDescent="0.25">
      <c r="DG554" t="s">
        <v>5024</v>
      </c>
      <c r="DH554" t="s">
        <v>87</v>
      </c>
      <c r="DI554" t="s">
        <v>809</v>
      </c>
      <c r="DJ554" t="s">
        <v>810</v>
      </c>
      <c r="DK554" t="s">
        <v>668</v>
      </c>
      <c r="DL554">
        <v>80.77</v>
      </c>
      <c r="DM554" t="s">
        <v>670</v>
      </c>
      <c r="DN554" t="s">
        <v>670</v>
      </c>
      <c r="DO554">
        <v>1</v>
      </c>
      <c r="DP554">
        <v>814.28</v>
      </c>
      <c r="DQ554">
        <v>814.28</v>
      </c>
      <c r="DR554" t="s">
        <v>5025</v>
      </c>
      <c r="EB554" t="s">
        <v>5026</v>
      </c>
      <c r="EC554" t="s">
        <v>2401</v>
      </c>
      <c r="EE554" t="s">
        <v>330</v>
      </c>
    </row>
    <row r="555" ht="15" customHeight="1" spans="111:135" x14ac:dyDescent="0.25">
      <c r="DG555" t="s">
        <v>5027</v>
      </c>
      <c r="DH555" t="s">
        <v>87</v>
      </c>
      <c r="DI555" t="s">
        <v>814</v>
      </c>
      <c r="DJ555" t="s">
        <v>815</v>
      </c>
      <c r="DK555" t="s">
        <v>692</v>
      </c>
      <c r="DL555">
        <v>80.77</v>
      </c>
      <c r="DM555" t="s">
        <v>670</v>
      </c>
      <c r="DN555" t="s">
        <v>670</v>
      </c>
      <c r="DO555">
        <v>0</v>
      </c>
      <c r="DP555">
        <v>0</v>
      </c>
      <c r="DQ555">
        <v>91</v>
      </c>
      <c r="DR555" t="s">
        <v>5028</v>
      </c>
      <c r="EB555" t="s">
        <v>5029</v>
      </c>
      <c r="EC555" t="s">
        <v>2401</v>
      </c>
      <c r="EE555" t="s">
        <v>576</v>
      </c>
    </row>
    <row r="556" ht="15" customHeight="1" spans="111:135" x14ac:dyDescent="0.25">
      <c r="DG556" t="s">
        <v>5030</v>
      </c>
      <c r="DH556" t="s">
        <v>87</v>
      </c>
      <c r="DI556" t="s">
        <v>819</v>
      </c>
      <c r="DJ556" t="s">
        <v>820</v>
      </c>
      <c r="DK556" t="s">
        <v>692</v>
      </c>
      <c r="DL556">
        <v>80.77</v>
      </c>
      <c r="DM556" t="s">
        <v>670</v>
      </c>
      <c r="DN556" t="s">
        <v>670</v>
      </c>
      <c r="DO556">
        <v>1</v>
      </c>
      <c r="DP556">
        <v>71.25</v>
      </c>
      <c r="DQ556">
        <v>71.25</v>
      </c>
      <c r="DR556" t="s">
        <v>5031</v>
      </c>
      <c r="EB556" t="s">
        <v>5032</v>
      </c>
      <c r="EC556" t="s">
        <v>2401</v>
      </c>
      <c r="EE556" t="s">
        <v>573</v>
      </c>
    </row>
    <row r="557" ht="15" customHeight="1" spans="111:140" x14ac:dyDescent="0.25">
      <c r="DG557" t="s">
        <v>5033</v>
      </c>
      <c r="DH557" t="s">
        <v>87</v>
      </c>
      <c r="DI557" t="s">
        <v>824</v>
      </c>
      <c r="DJ557" t="s">
        <v>825</v>
      </c>
      <c r="DK557" t="s">
        <v>668</v>
      </c>
      <c r="DL557">
        <v>76.92</v>
      </c>
      <c r="DM557" t="s">
        <v>670</v>
      </c>
      <c r="DN557" t="s">
        <v>670</v>
      </c>
      <c r="DO557">
        <v>0</v>
      </c>
      <c r="DP557">
        <v>0</v>
      </c>
      <c r="DQ557">
        <v>180</v>
      </c>
      <c r="DR557" t="s">
        <v>5034</v>
      </c>
      <c r="EB557" t="s">
        <v>5035</v>
      </c>
      <c r="EC557" t="s">
        <v>2401</v>
      </c>
      <c r="ED557" t="s">
        <v>2402</v>
      </c>
      <c r="EE557" t="s">
        <v>569</v>
      </c>
      <c r="EF557" t="s">
        <v>567</v>
      </c>
      <c r="EG557">
        <v>1</v>
      </c>
      <c r="EH557">
        <v>1</v>
      </c>
      <c r="EI557">
        <v>1</v>
      </c>
      <c r="EJ557">
        <v>1</v>
      </c>
    </row>
    <row r="558" ht="15" customHeight="1" spans="111:135" x14ac:dyDescent="0.25">
      <c r="DG558" t="s">
        <v>5036</v>
      </c>
      <c r="DH558" t="s">
        <v>87</v>
      </c>
      <c r="DI558" t="s">
        <v>827</v>
      </c>
      <c r="DJ558" t="s">
        <v>828</v>
      </c>
      <c r="DK558" t="s">
        <v>668</v>
      </c>
      <c r="DL558">
        <v>76.92</v>
      </c>
      <c r="DM558" t="s">
        <v>670</v>
      </c>
      <c r="DN558" t="s">
        <v>670</v>
      </c>
      <c r="DO558">
        <v>0</v>
      </c>
      <c r="DP558">
        <v>0</v>
      </c>
      <c r="DQ558">
        <v>375.8</v>
      </c>
      <c r="DR558" t="s">
        <v>5037</v>
      </c>
      <c r="EB558" t="s">
        <v>5038</v>
      </c>
      <c r="EC558" t="s">
        <v>2401</v>
      </c>
      <c r="EE558" t="s">
        <v>2641</v>
      </c>
    </row>
    <row r="559" ht="15" customHeight="1" spans="111:135" x14ac:dyDescent="0.25">
      <c r="DG559" t="s">
        <v>5039</v>
      </c>
      <c r="DH559" t="s">
        <v>87</v>
      </c>
      <c r="DI559" t="s">
        <v>832</v>
      </c>
      <c r="DJ559" t="s">
        <v>833</v>
      </c>
      <c r="DK559" t="s">
        <v>692</v>
      </c>
      <c r="DL559">
        <v>76.92</v>
      </c>
      <c r="DM559" t="s">
        <v>669</v>
      </c>
      <c r="DN559" t="s">
        <v>670</v>
      </c>
      <c r="DO559">
        <v>2</v>
      </c>
      <c r="DP559">
        <v>256</v>
      </c>
      <c r="DQ559">
        <v>256</v>
      </c>
      <c r="DR559" t="s">
        <v>5040</v>
      </c>
      <c r="EB559" t="s">
        <v>5041</v>
      </c>
      <c r="EC559" t="s">
        <v>2401</v>
      </c>
      <c r="EE559" t="s">
        <v>2656</v>
      </c>
    </row>
    <row r="560" ht="15" customHeight="1" spans="111:135" x14ac:dyDescent="0.25">
      <c r="DG560" t="s">
        <v>5042</v>
      </c>
      <c r="DH560" t="s">
        <v>87</v>
      </c>
      <c r="DI560" t="s">
        <v>837</v>
      </c>
      <c r="DJ560" t="s">
        <v>838</v>
      </c>
      <c r="DK560" t="s">
        <v>692</v>
      </c>
      <c r="DL560">
        <v>76.92</v>
      </c>
      <c r="DM560" t="s">
        <v>669</v>
      </c>
      <c r="DN560" t="s">
        <v>670</v>
      </c>
      <c r="DO560">
        <v>25</v>
      </c>
      <c r="DP560">
        <v>1160</v>
      </c>
      <c r="DQ560">
        <v>1160</v>
      </c>
      <c r="DR560" t="s">
        <v>5043</v>
      </c>
      <c r="EB560" t="s">
        <v>5044</v>
      </c>
      <c r="EC560" t="s">
        <v>2401</v>
      </c>
      <c r="EE560" t="s">
        <v>2670</v>
      </c>
    </row>
    <row r="561" ht="15" customHeight="1" spans="111:140" x14ac:dyDescent="0.25">
      <c r="DG561" t="s">
        <v>5045</v>
      </c>
      <c r="DH561" t="s">
        <v>87</v>
      </c>
      <c r="DI561" t="s">
        <v>840</v>
      </c>
      <c r="DJ561" t="s">
        <v>841</v>
      </c>
      <c r="DK561" t="s">
        <v>692</v>
      </c>
      <c r="DL561">
        <v>76.92</v>
      </c>
      <c r="DM561" t="s">
        <v>670</v>
      </c>
      <c r="DN561" t="s">
        <v>670</v>
      </c>
      <c r="DO561">
        <v>0</v>
      </c>
      <c r="DP561">
        <v>0</v>
      </c>
      <c r="DQ561">
        <v>321.04</v>
      </c>
      <c r="DR561" t="s">
        <v>5046</v>
      </c>
      <c r="EB561" t="s">
        <v>5047</v>
      </c>
      <c r="EC561" t="s">
        <v>2401</v>
      </c>
      <c r="ED561" t="s">
        <v>2402</v>
      </c>
      <c r="EE561" t="s">
        <v>561</v>
      </c>
      <c r="EF561" t="s">
        <v>2684</v>
      </c>
      <c r="EG561">
        <v>1</v>
      </c>
      <c r="EH561">
        <v>1</v>
      </c>
      <c r="EI561">
        <v>1</v>
      </c>
      <c r="EJ561">
        <v>1</v>
      </c>
    </row>
    <row r="562" ht="15" customHeight="1" spans="111:135" x14ac:dyDescent="0.25">
      <c r="DG562" t="s">
        <v>5048</v>
      </c>
      <c r="DH562" t="s">
        <v>87</v>
      </c>
      <c r="DI562" t="s">
        <v>845</v>
      </c>
      <c r="DJ562" t="s">
        <v>846</v>
      </c>
      <c r="DK562" t="s">
        <v>668</v>
      </c>
      <c r="DL562">
        <v>73.08</v>
      </c>
      <c r="DM562" t="s">
        <v>670</v>
      </c>
      <c r="DN562" t="s">
        <v>670</v>
      </c>
      <c r="DO562">
        <v>0</v>
      </c>
      <c r="DP562">
        <v>0</v>
      </c>
      <c r="DQ562">
        <v>314.51</v>
      </c>
      <c r="DR562" t="s">
        <v>5049</v>
      </c>
      <c r="EB562" t="s">
        <v>5050</v>
      </c>
      <c r="EC562" t="s">
        <v>2401</v>
      </c>
      <c r="EE562" t="s">
        <v>563</v>
      </c>
    </row>
    <row r="563" ht="15" customHeight="1" spans="111:140" x14ac:dyDescent="0.25">
      <c r="DG563" t="s">
        <v>5051</v>
      </c>
      <c r="DH563" t="s">
        <v>87</v>
      </c>
      <c r="DI563" t="s">
        <v>850</v>
      </c>
      <c r="DJ563" t="s">
        <v>851</v>
      </c>
      <c r="DK563" t="s">
        <v>692</v>
      </c>
      <c r="DL563">
        <v>73.08</v>
      </c>
      <c r="DM563" t="s">
        <v>670</v>
      </c>
      <c r="DN563" t="s">
        <v>669</v>
      </c>
      <c r="DO563">
        <v>0</v>
      </c>
      <c r="DP563">
        <v>0</v>
      </c>
      <c r="DQ563">
        <v>1060</v>
      </c>
      <c r="DR563" t="s">
        <v>5052</v>
      </c>
      <c r="EB563" t="s">
        <v>5053</v>
      </c>
      <c r="EC563" t="s">
        <v>2401</v>
      </c>
      <c r="ED563" t="s">
        <v>2402</v>
      </c>
      <c r="EE563" t="s">
        <v>556</v>
      </c>
      <c r="EF563" t="s">
        <v>2713</v>
      </c>
      <c r="EG563">
        <v>1</v>
      </c>
      <c r="EH563">
        <v>1</v>
      </c>
      <c r="EI563">
        <v>1</v>
      </c>
      <c r="EJ563">
        <v>1</v>
      </c>
    </row>
    <row r="564" ht="15" customHeight="1" spans="111:135" x14ac:dyDescent="0.25">
      <c r="DG564" t="s">
        <v>5054</v>
      </c>
      <c r="DH564" t="s">
        <v>87</v>
      </c>
      <c r="DI564" t="s">
        <v>855</v>
      </c>
      <c r="DJ564" t="s">
        <v>856</v>
      </c>
      <c r="DK564" t="s">
        <v>692</v>
      </c>
      <c r="DL564">
        <v>73.08</v>
      </c>
      <c r="DM564" t="s">
        <v>669</v>
      </c>
      <c r="DN564" t="s">
        <v>670</v>
      </c>
      <c r="DO564">
        <v>2</v>
      </c>
      <c r="DP564">
        <v>234</v>
      </c>
      <c r="DQ564">
        <v>234</v>
      </c>
      <c r="DR564" t="s">
        <v>5055</v>
      </c>
      <c r="EB564" t="s">
        <v>5056</v>
      </c>
      <c r="EC564" t="s">
        <v>2401</v>
      </c>
      <c r="EE564" t="s">
        <v>551</v>
      </c>
    </row>
    <row r="565" ht="15" customHeight="1" spans="111:135" x14ac:dyDescent="0.25">
      <c r="DG565" t="s">
        <v>5057</v>
      </c>
      <c r="DH565" t="s">
        <v>87</v>
      </c>
      <c r="DI565" t="s">
        <v>857</v>
      </c>
      <c r="DJ565" t="s">
        <v>858</v>
      </c>
      <c r="DK565" t="s">
        <v>692</v>
      </c>
      <c r="DL565">
        <v>73.08</v>
      </c>
      <c r="DM565" t="s">
        <v>669</v>
      </c>
      <c r="DN565" t="s">
        <v>670</v>
      </c>
      <c r="DO565">
        <v>10</v>
      </c>
      <c r="DP565">
        <v>1020</v>
      </c>
      <c r="DQ565">
        <v>1020</v>
      </c>
      <c r="DR565" t="s">
        <v>5058</v>
      </c>
      <c r="EB565" t="s">
        <v>5059</v>
      </c>
      <c r="EC565" t="s">
        <v>2401</v>
      </c>
      <c r="EE565" t="s">
        <v>290</v>
      </c>
    </row>
    <row r="566" ht="15" customHeight="1" spans="111:135" x14ac:dyDescent="0.25">
      <c r="DG566" t="s">
        <v>5060</v>
      </c>
      <c r="DH566" t="s">
        <v>87</v>
      </c>
      <c r="DI566" t="s">
        <v>859</v>
      </c>
      <c r="DJ566" t="s">
        <v>860</v>
      </c>
      <c r="DK566" t="s">
        <v>668</v>
      </c>
      <c r="DL566">
        <v>69.23</v>
      </c>
      <c r="DM566" t="s">
        <v>669</v>
      </c>
      <c r="DN566" t="s">
        <v>670</v>
      </c>
      <c r="DO566">
        <v>1</v>
      </c>
      <c r="DP566">
        <v>162.19</v>
      </c>
      <c r="DQ566">
        <v>162.19</v>
      </c>
      <c r="DR566" t="s">
        <v>5061</v>
      </c>
      <c r="EB566" t="s">
        <v>5062</v>
      </c>
      <c r="EC566" t="s">
        <v>2401</v>
      </c>
      <c r="EE566" t="s">
        <v>275</v>
      </c>
    </row>
    <row r="567" ht="15" customHeight="1" spans="111:135" x14ac:dyDescent="0.25">
      <c r="DG567" t="s">
        <v>5063</v>
      </c>
      <c r="DH567" t="s">
        <v>87</v>
      </c>
      <c r="DI567" t="s">
        <v>864</v>
      </c>
      <c r="DJ567" t="s">
        <v>865</v>
      </c>
      <c r="DK567" t="s">
        <v>668</v>
      </c>
      <c r="DL567">
        <v>69.23</v>
      </c>
      <c r="DM567" t="s">
        <v>670</v>
      </c>
      <c r="DN567" t="s">
        <v>670</v>
      </c>
      <c r="DO567">
        <v>0</v>
      </c>
      <c r="DP567">
        <v>0</v>
      </c>
      <c r="DQ567">
        <v>11.4</v>
      </c>
      <c r="DR567" t="s">
        <v>5064</v>
      </c>
      <c r="EB567" t="s">
        <v>5065</v>
      </c>
      <c r="EC567" t="s">
        <v>2401</v>
      </c>
      <c r="EE567" t="s">
        <v>298</v>
      </c>
    </row>
    <row r="568" ht="15" customHeight="1" spans="111:135" x14ac:dyDescent="0.25">
      <c r="DG568" t="s">
        <v>5066</v>
      </c>
      <c r="DH568" t="s">
        <v>87</v>
      </c>
      <c r="DI568" t="s">
        <v>869</v>
      </c>
      <c r="DJ568" t="s">
        <v>870</v>
      </c>
      <c r="DK568" t="s">
        <v>692</v>
      </c>
      <c r="DL568">
        <v>69.23</v>
      </c>
      <c r="DM568" t="s">
        <v>670</v>
      </c>
      <c r="DN568" t="s">
        <v>669</v>
      </c>
      <c r="DO568">
        <v>0</v>
      </c>
      <c r="DP568">
        <v>0</v>
      </c>
      <c r="DQ568">
        <v>993</v>
      </c>
      <c r="DR568" t="s">
        <v>5067</v>
      </c>
      <c r="EB568" t="s">
        <v>5068</v>
      </c>
      <c r="EC568" t="s">
        <v>2401</v>
      </c>
      <c r="EE568" t="s">
        <v>286</v>
      </c>
    </row>
    <row r="569" ht="15" customHeight="1" spans="111:135" x14ac:dyDescent="0.25">
      <c r="DG569" t="s">
        <v>5069</v>
      </c>
      <c r="DH569" t="s">
        <v>87</v>
      </c>
      <c r="DI569" t="s">
        <v>874</v>
      </c>
      <c r="DJ569" t="s">
        <v>875</v>
      </c>
      <c r="DK569" t="s">
        <v>692</v>
      </c>
      <c r="DL569">
        <v>69.23</v>
      </c>
      <c r="DM569" t="s">
        <v>670</v>
      </c>
      <c r="DN569" t="s">
        <v>669</v>
      </c>
      <c r="DO569">
        <v>0</v>
      </c>
      <c r="DP569">
        <v>0</v>
      </c>
      <c r="DQ569">
        <v>69.71</v>
      </c>
      <c r="DR569" t="s">
        <v>5070</v>
      </c>
      <c r="EB569" t="s">
        <v>5071</v>
      </c>
      <c r="EC569" t="s">
        <v>2401</v>
      </c>
      <c r="EE569" t="s">
        <v>272</v>
      </c>
    </row>
    <row r="570" ht="15" customHeight="1" spans="111:135" x14ac:dyDescent="0.25">
      <c r="DG570" t="s">
        <v>5072</v>
      </c>
      <c r="DH570" t="s">
        <v>87</v>
      </c>
      <c r="DI570" t="s">
        <v>879</v>
      </c>
      <c r="DJ570" t="s">
        <v>880</v>
      </c>
      <c r="DK570" t="s">
        <v>692</v>
      </c>
      <c r="DL570">
        <v>69.23</v>
      </c>
      <c r="DM570" t="s">
        <v>670</v>
      </c>
      <c r="DN570" t="s">
        <v>670</v>
      </c>
      <c r="DO570">
        <v>0</v>
      </c>
      <c r="DP570">
        <v>0</v>
      </c>
      <c r="DQ570">
        <v>210</v>
      </c>
      <c r="DR570" t="s">
        <v>5073</v>
      </c>
      <c r="EB570" t="s">
        <v>5074</v>
      </c>
      <c r="EC570" t="s">
        <v>2401</v>
      </c>
      <c r="EE570" t="s">
        <v>283</v>
      </c>
    </row>
    <row r="571" ht="15" customHeight="1" spans="111:135" x14ac:dyDescent="0.25">
      <c r="DG571" t="s">
        <v>5075</v>
      </c>
      <c r="DH571" t="s">
        <v>87</v>
      </c>
      <c r="DI571" t="s">
        <v>881</v>
      </c>
      <c r="DJ571" t="s">
        <v>882</v>
      </c>
      <c r="DK571" t="s">
        <v>692</v>
      </c>
      <c r="DL571">
        <v>69.23</v>
      </c>
      <c r="DM571" t="s">
        <v>670</v>
      </c>
      <c r="DN571" t="s">
        <v>670</v>
      </c>
      <c r="DO571">
        <v>0</v>
      </c>
      <c r="DP571">
        <v>0</v>
      </c>
      <c r="DQ571">
        <v>150.4</v>
      </c>
      <c r="DR571" t="s">
        <v>5076</v>
      </c>
      <c r="EB571" t="s">
        <v>5077</v>
      </c>
      <c r="EC571" t="s">
        <v>2401</v>
      </c>
      <c r="EE571" t="s">
        <v>267</v>
      </c>
    </row>
    <row r="572" ht="15" customHeight="1" spans="111:135" x14ac:dyDescent="0.25">
      <c r="DG572" t="s">
        <v>5078</v>
      </c>
      <c r="DH572" t="s">
        <v>87</v>
      </c>
      <c r="DI572" t="s">
        <v>885</v>
      </c>
      <c r="DJ572" t="s">
        <v>886</v>
      </c>
      <c r="DK572" t="s">
        <v>668</v>
      </c>
      <c r="DL572">
        <v>65.38</v>
      </c>
      <c r="DM572" t="s">
        <v>670</v>
      </c>
      <c r="DN572" t="s">
        <v>670</v>
      </c>
      <c r="DO572">
        <v>0</v>
      </c>
      <c r="DP572">
        <v>0</v>
      </c>
      <c r="DQ572">
        <v>1085.34</v>
      </c>
      <c r="DR572" t="s">
        <v>5079</v>
      </c>
      <c r="EB572" t="s">
        <v>5080</v>
      </c>
      <c r="EC572" t="s">
        <v>2401</v>
      </c>
      <c r="EE572" t="s">
        <v>258</v>
      </c>
    </row>
    <row r="573" ht="15" customHeight="1" spans="111:135" x14ac:dyDescent="0.25">
      <c r="DG573" t="s">
        <v>5081</v>
      </c>
      <c r="DH573" t="s">
        <v>87</v>
      </c>
      <c r="DI573" t="s">
        <v>888</v>
      </c>
      <c r="DJ573" t="s">
        <v>889</v>
      </c>
      <c r="DK573" t="s">
        <v>668</v>
      </c>
      <c r="DL573">
        <v>65.38</v>
      </c>
      <c r="DM573" t="s">
        <v>670</v>
      </c>
      <c r="DN573" t="s">
        <v>669</v>
      </c>
      <c r="DO573">
        <v>0</v>
      </c>
      <c r="DP573">
        <v>0</v>
      </c>
      <c r="DQ573">
        <v>196.88</v>
      </c>
      <c r="DR573" t="s">
        <v>5082</v>
      </c>
      <c r="EB573" t="s">
        <v>5083</v>
      </c>
      <c r="EC573" t="s">
        <v>2401</v>
      </c>
      <c r="EE573" t="s">
        <v>222</v>
      </c>
    </row>
    <row r="574" ht="15" customHeight="1" spans="111:135" x14ac:dyDescent="0.25">
      <c r="DG574" t="s">
        <v>5084</v>
      </c>
      <c r="DH574" t="s">
        <v>87</v>
      </c>
      <c r="DI574" t="s">
        <v>891</v>
      </c>
      <c r="DJ574" t="s">
        <v>892</v>
      </c>
      <c r="DK574" t="s">
        <v>692</v>
      </c>
      <c r="DL574">
        <v>65.38</v>
      </c>
      <c r="DM574" t="s">
        <v>669</v>
      </c>
      <c r="DN574" t="s">
        <v>670</v>
      </c>
      <c r="DO574">
        <v>1</v>
      </c>
      <c r="DP574">
        <v>739</v>
      </c>
      <c r="DQ574">
        <v>739</v>
      </c>
      <c r="DR574" t="s">
        <v>5085</v>
      </c>
      <c r="EB574" t="s">
        <v>5086</v>
      </c>
      <c r="EC574" t="s">
        <v>2401</v>
      </c>
      <c r="EE574" t="s">
        <v>233</v>
      </c>
    </row>
    <row r="575" ht="15" customHeight="1" spans="111:135" x14ac:dyDescent="0.25">
      <c r="DG575" t="s">
        <v>5087</v>
      </c>
      <c r="DH575" t="s">
        <v>87</v>
      </c>
      <c r="DJ575" t="s">
        <v>846</v>
      </c>
      <c r="DK575" t="s">
        <v>668</v>
      </c>
      <c r="DL575">
        <v>61.54</v>
      </c>
      <c r="DM575" t="s">
        <v>669</v>
      </c>
      <c r="DN575" t="s">
        <v>669</v>
      </c>
      <c r="DO575">
        <v>0</v>
      </c>
      <c r="DP575">
        <v>0</v>
      </c>
      <c r="DQ575">
        <v>0</v>
      </c>
      <c r="DR575" t="s">
        <v>5049</v>
      </c>
      <c r="EB575" t="s">
        <v>5088</v>
      </c>
      <c r="EC575" t="s">
        <v>2401</v>
      </c>
      <c r="EE575" t="s">
        <v>225</v>
      </c>
    </row>
    <row r="576" ht="15" customHeight="1" spans="111:135" x14ac:dyDescent="0.25">
      <c r="DG576" t="s">
        <v>5089</v>
      </c>
      <c r="DH576" t="s">
        <v>87</v>
      </c>
      <c r="DI576" t="s">
        <v>899</v>
      </c>
      <c r="DJ576" t="s">
        <v>900</v>
      </c>
      <c r="DK576" t="s">
        <v>668</v>
      </c>
      <c r="DL576">
        <v>61.54</v>
      </c>
      <c r="DM576" t="s">
        <v>670</v>
      </c>
      <c r="DN576" t="s">
        <v>670</v>
      </c>
      <c r="DO576">
        <v>0</v>
      </c>
      <c r="DP576">
        <v>0</v>
      </c>
      <c r="DQ576">
        <v>50.84</v>
      </c>
      <c r="DR576" t="s">
        <v>5090</v>
      </c>
      <c r="EB576" t="s">
        <v>5091</v>
      </c>
      <c r="EC576" t="s">
        <v>2401</v>
      </c>
      <c r="EE576" t="s">
        <v>288</v>
      </c>
    </row>
    <row r="577" ht="15" customHeight="1" spans="111:135" x14ac:dyDescent="0.25">
      <c r="DG577" t="s">
        <v>5092</v>
      </c>
      <c r="DH577" t="s">
        <v>87</v>
      </c>
      <c r="DI577" t="s">
        <v>902</v>
      </c>
      <c r="DJ577" t="s">
        <v>903</v>
      </c>
      <c r="DK577" t="s">
        <v>692</v>
      </c>
      <c r="DL577">
        <v>61.54</v>
      </c>
      <c r="DM577" t="s">
        <v>669</v>
      </c>
      <c r="DN577" t="s">
        <v>670</v>
      </c>
      <c r="DO577">
        <v>10</v>
      </c>
      <c r="DP577">
        <v>160</v>
      </c>
      <c r="DQ577">
        <v>160</v>
      </c>
      <c r="DR577" t="s">
        <v>5093</v>
      </c>
      <c r="EB577" t="s">
        <v>5094</v>
      </c>
      <c r="EC577" t="s">
        <v>2401</v>
      </c>
      <c r="EE577" t="s">
        <v>269</v>
      </c>
    </row>
    <row r="578" ht="15" customHeight="1" spans="111:135" x14ac:dyDescent="0.25">
      <c r="DG578" t="s">
        <v>5095</v>
      </c>
      <c r="DH578" t="s">
        <v>87</v>
      </c>
      <c r="DI578" t="s">
        <v>904</v>
      </c>
      <c r="DJ578" t="s">
        <v>905</v>
      </c>
      <c r="DK578" t="s">
        <v>692</v>
      </c>
      <c r="DL578">
        <v>61.54</v>
      </c>
      <c r="DM578" t="s">
        <v>669</v>
      </c>
      <c r="DN578" t="s">
        <v>670</v>
      </c>
      <c r="DO578">
        <v>1</v>
      </c>
      <c r="DP578">
        <v>1166</v>
      </c>
      <c r="DQ578">
        <v>1166</v>
      </c>
      <c r="DR578" t="s">
        <v>5096</v>
      </c>
      <c r="EB578" t="s">
        <v>5097</v>
      </c>
      <c r="EC578" t="s">
        <v>2401</v>
      </c>
      <c r="EE578" t="s">
        <v>237</v>
      </c>
    </row>
    <row r="579" ht="15" customHeight="1" spans="111:135" x14ac:dyDescent="0.25">
      <c r="DG579" t="s">
        <v>5098</v>
      </c>
      <c r="DH579" t="s">
        <v>87</v>
      </c>
      <c r="DI579" t="s">
        <v>909</v>
      </c>
      <c r="DJ579" t="s">
        <v>910</v>
      </c>
      <c r="DK579" t="s">
        <v>692</v>
      </c>
      <c r="DL579">
        <v>61.54</v>
      </c>
      <c r="DM579" t="s">
        <v>670</v>
      </c>
      <c r="DN579" t="s">
        <v>669</v>
      </c>
      <c r="DO579">
        <v>0</v>
      </c>
      <c r="DP579">
        <v>0</v>
      </c>
      <c r="DQ579">
        <v>87.5</v>
      </c>
      <c r="DR579" t="s">
        <v>5099</v>
      </c>
      <c r="EB579" t="s">
        <v>5100</v>
      </c>
      <c r="EC579" t="s">
        <v>2401</v>
      </c>
      <c r="EE579" t="s">
        <v>249</v>
      </c>
    </row>
    <row r="580" ht="15" customHeight="1" spans="111:135" x14ac:dyDescent="0.25">
      <c r="DG580" t="s">
        <v>5101</v>
      </c>
      <c r="DH580" t="s">
        <v>87</v>
      </c>
      <c r="DI580" t="s">
        <v>912</v>
      </c>
      <c r="DJ580" t="s">
        <v>197</v>
      </c>
      <c r="DK580" t="s">
        <v>692</v>
      </c>
      <c r="DL580">
        <v>61.54</v>
      </c>
      <c r="DM580" t="s">
        <v>669</v>
      </c>
      <c r="DN580" t="s">
        <v>670</v>
      </c>
      <c r="DO580">
        <v>1</v>
      </c>
      <c r="DP580">
        <v>21618.59</v>
      </c>
      <c r="DQ580">
        <v>21618.59</v>
      </c>
      <c r="DR580" t="s">
        <v>5102</v>
      </c>
      <c r="EB580" t="s">
        <v>5103</v>
      </c>
      <c r="EC580" t="s">
        <v>2401</v>
      </c>
      <c r="EE580" t="s">
        <v>293</v>
      </c>
    </row>
    <row r="581" ht="15" customHeight="1" spans="111:135" x14ac:dyDescent="0.25">
      <c r="DG581" t="s">
        <v>5104</v>
      </c>
      <c r="DH581" t="s">
        <v>87</v>
      </c>
      <c r="DI581" t="s">
        <v>916</v>
      </c>
      <c r="DJ581" t="s">
        <v>917</v>
      </c>
      <c r="DK581" t="s">
        <v>692</v>
      </c>
      <c r="DL581">
        <v>61.54</v>
      </c>
      <c r="DM581" t="s">
        <v>669</v>
      </c>
      <c r="DN581" t="s">
        <v>670</v>
      </c>
      <c r="DO581">
        <v>1</v>
      </c>
      <c r="DP581">
        <v>221.5</v>
      </c>
      <c r="DQ581">
        <v>221.5</v>
      </c>
      <c r="DR581" t="s">
        <v>5105</v>
      </c>
      <c r="EB581" t="s">
        <v>5106</v>
      </c>
      <c r="EC581" t="s">
        <v>2401</v>
      </c>
      <c r="EE581" t="s">
        <v>280</v>
      </c>
    </row>
    <row r="582" ht="15" customHeight="1" spans="111:135" x14ac:dyDescent="0.25">
      <c r="DG582" t="s">
        <v>5107</v>
      </c>
      <c r="DH582" t="s">
        <v>87</v>
      </c>
      <c r="DI582" t="s">
        <v>921</v>
      </c>
      <c r="DJ582" t="s">
        <v>202</v>
      </c>
      <c r="DK582" t="s">
        <v>692</v>
      </c>
      <c r="DL582">
        <v>61.54</v>
      </c>
      <c r="DM582" t="s">
        <v>669</v>
      </c>
      <c r="DN582" t="s">
        <v>670</v>
      </c>
      <c r="DO582">
        <v>1</v>
      </c>
      <c r="DP582">
        <v>3760</v>
      </c>
      <c r="DQ582">
        <v>3760</v>
      </c>
      <c r="DR582" t="s">
        <v>5108</v>
      </c>
      <c r="EB582" t="s">
        <v>5109</v>
      </c>
      <c r="EC582" t="s">
        <v>2401</v>
      </c>
      <c r="EE582" t="s">
        <v>264</v>
      </c>
    </row>
    <row r="583" ht="15" customHeight="1" spans="111:135" x14ac:dyDescent="0.25">
      <c r="DG583" t="s">
        <v>5110</v>
      </c>
      <c r="DH583" t="s">
        <v>87</v>
      </c>
      <c r="DI583" t="s">
        <v>923</v>
      </c>
      <c r="DJ583" t="s">
        <v>924</v>
      </c>
      <c r="DK583" t="s">
        <v>668</v>
      </c>
      <c r="DL583">
        <v>57.69</v>
      </c>
      <c r="DM583" t="s">
        <v>670</v>
      </c>
      <c r="DN583" t="s">
        <v>669</v>
      </c>
      <c r="DO583">
        <v>0</v>
      </c>
      <c r="DP583">
        <v>0</v>
      </c>
      <c r="DQ583">
        <v>100.6</v>
      </c>
      <c r="DR583" t="s">
        <v>5111</v>
      </c>
      <c r="EB583" t="s">
        <v>5112</v>
      </c>
      <c r="EC583" t="s">
        <v>2401</v>
      </c>
      <c r="EE583" t="s">
        <v>278</v>
      </c>
    </row>
    <row r="584" ht="15" customHeight="1" spans="111:135" x14ac:dyDescent="0.25">
      <c r="DG584" t="s">
        <v>5113</v>
      </c>
      <c r="DH584" t="s">
        <v>87</v>
      </c>
      <c r="DI584" t="s">
        <v>926</v>
      </c>
      <c r="DJ584" t="s">
        <v>927</v>
      </c>
      <c r="DK584" t="s">
        <v>668</v>
      </c>
      <c r="DL584">
        <v>57.69</v>
      </c>
      <c r="DM584" t="s">
        <v>670</v>
      </c>
      <c r="DN584" t="s">
        <v>670</v>
      </c>
      <c r="DO584">
        <v>1</v>
      </c>
      <c r="DP584">
        <v>7.3</v>
      </c>
      <c r="DQ584">
        <v>7.3</v>
      </c>
      <c r="DR584" t="s">
        <v>5114</v>
      </c>
      <c r="EB584" t="s">
        <v>5115</v>
      </c>
      <c r="EC584" t="s">
        <v>2401</v>
      </c>
      <c r="EE584" t="s">
        <v>240</v>
      </c>
    </row>
    <row r="585" ht="15" customHeight="1" spans="111:135" x14ac:dyDescent="0.25">
      <c r="DG585" t="s">
        <v>5116</v>
      </c>
      <c r="DH585" t="s">
        <v>87</v>
      </c>
      <c r="DI585" t="s">
        <v>931</v>
      </c>
      <c r="DJ585" t="s">
        <v>932</v>
      </c>
      <c r="DK585" t="s">
        <v>692</v>
      </c>
      <c r="DL585">
        <v>57.69</v>
      </c>
      <c r="DM585" t="s">
        <v>670</v>
      </c>
      <c r="DN585" t="s">
        <v>669</v>
      </c>
      <c r="DO585">
        <v>0</v>
      </c>
      <c r="DP585">
        <v>0</v>
      </c>
      <c r="DQ585">
        <v>250</v>
      </c>
      <c r="DR585" t="s">
        <v>5117</v>
      </c>
      <c r="EB585" t="s">
        <v>5118</v>
      </c>
      <c r="EC585" t="s">
        <v>2401</v>
      </c>
      <c r="EE585" t="s">
        <v>252</v>
      </c>
    </row>
    <row r="586" ht="15" customHeight="1" spans="111:135" x14ac:dyDescent="0.25">
      <c r="DG586" t="s">
        <v>5119</v>
      </c>
      <c r="DH586" t="s">
        <v>87</v>
      </c>
      <c r="DI586" t="s">
        <v>934</v>
      </c>
      <c r="DJ586" t="s">
        <v>935</v>
      </c>
      <c r="DK586" t="s">
        <v>692</v>
      </c>
      <c r="DL586">
        <v>57.69</v>
      </c>
      <c r="DM586" t="s">
        <v>669</v>
      </c>
      <c r="DN586" t="s">
        <v>670</v>
      </c>
      <c r="DO586">
        <v>10</v>
      </c>
      <c r="DP586">
        <v>180</v>
      </c>
      <c r="DQ586">
        <v>180</v>
      </c>
      <c r="DR586" t="s">
        <v>5120</v>
      </c>
      <c r="EB586" t="s">
        <v>5121</v>
      </c>
      <c r="EC586" t="s">
        <v>2401</v>
      </c>
      <c r="EE586" t="s">
        <v>229</v>
      </c>
    </row>
    <row r="587" ht="15" customHeight="1" spans="111:135" x14ac:dyDescent="0.25">
      <c r="DG587" t="s">
        <v>5122</v>
      </c>
      <c r="DH587" t="s">
        <v>87</v>
      </c>
      <c r="DI587" t="s">
        <v>937</v>
      </c>
      <c r="DJ587" t="s">
        <v>938</v>
      </c>
      <c r="DK587" t="s">
        <v>692</v>
      </c>
      <c r="DL587">
        <v>53.85</v>
      </c>
      <c r="DM587" t="s">
        <v>670</v>
      </c>
      <c r="DN587" t="s">
        <v>670</v>
      </c>
      <c r="DO587">
        <v>1</v>
      </c>
      <c r="DP587">
        <v>510</v>
      </c>
      <c r="DQ587">
        <v>510</v>
      </c>
      <c r="DR587" t="s">
        <v>5123</v>
      </c>
      <c r="EB587" t="s">
        <v>5124</v>
      </c>
      <c r="EC587" t="s">
        <v>2401</v>
      </c>
      <c r="EE587" t="s">
        <v>246</v>
      </c>
    </row>
    <row r="588" ht="15" customHeight="1" spans="111:135" x14ac:dyDescent="0.25">
      <c r="DG588" t="s">
        <v>5125</v>
      </c>
      <c r="DH588" t="s">
        <v>87</v>
      </c>
      <c r="DI588" t="s">
        <v>940</v>
      </c>
      <c r="DJ588" t="s">
        <v>941</v>
      </c>
      <c r="DK588" t="s">
        <v>692</v>
      </c>
      <c r="DL588">
        <v>53.85</v>
      </c>
      <c r="DM588" t="s">
        <v>670</v>
      </c>
      <c r="DN588" t="s">
        <v>669</v>
      </c>
      <c r="DO588">
        <v>0</v>
      </c>
      <c r="DP588">
        <v>0</v>
      </c>
      <c r="DQ588">
        <v>378.3</v>
      </c>
      <c r="DR588" t="s">
        <v>5126</v>
      </c>
      <c r="EB588" t="s">
        <v>5127</v>
      </c>
      <c r="EC588" t="s">
        <v>2401</v>
      </c>
      <c r="EE588" t="s">
        <v>255</v>
      </c>
    </row>
    <row r="589" ht="15" customHeight="1" spans="111:135" x14ac:dyDescent="0.25">
      <c r="DG589" t="s">
        <v>5128</v>
      </c>
      <c r="DH589" t="s">
        <v>87</v>
      </c>
      <c r="DI589" t="s">
        <v>945</v>
      </c>
      <c r="DJ589" t="s">
        <v>946</v>
      </c>
      <c r="DK589" t="s">
        <v>692</v>
      </c>
      <c r="DL589">
        <v>53.85</v>
      </c>
      <c r="DM589" t="s">
        <v>670</v>
      </c>
      <c r="DN589" t="s">
        <v>670</v>
      </c>
      <c r="DO589">
        <v>1</v>
      </c>
      <c r="DP589">
        <v>287</v>
      </c>
      <c r="DQ589">
        <v>287</v>
      </c>
      <c r="DR589" t="s">
        <v>5129</v>
      </c>
      <c r="EB589" t="s">
        <v>5130</v>
      </c>
      <c r="EC589" t="s">
        <v>2401</v>
      </c>
      <c r="EE589" t="s">
        <v>243</v>
      </c>
    </row>
    <row r="590" ht="15" customHeight="1" spans="111:140" x14ac:dyDescent="0.25">
      <c r="DG590" t="s">
        <v>5131</v>
      </c>
      <c r="DH590" t="s">
        <v>87</v>
      </c>
      <c r="DI590" t="s">
        <v>950</v>
      </c>
      <c r="DJ590" t="s">
        <v>951</v>
      </c>
      <c r="DK590" t="s">
        <v>668</v>
      </c>
      <c r="DL590">
        <v>50</v>
      </c>
      <c r="DM590" t="s">
        <v>669</v>
      </c>
      <c r="DN590" t="s">
        <v>670</v>
      </c>
      <c r="DO590">
        <v>3</v>
      </c>
      <c r="DP590">
        <v>1060.32</v>
      </c>
      <c r="DQ590">
        <v>1060.32</v>
      </c>
      <c r="DR590" t="s">
        <v>5132</v>
      </c>
      <c r="EB590" t="s">
        <v>5133</v>
      </c>
      <c r="EC590" t="s">
        <v>2401</v>
      </c>
      <c r="ED590" t="s">
        <v>2402</v>
      </c>
      <c r="EE590" t="s">
        <v>261</v>
      </c>
      <c r="EF590" t="s">
        <v>259</v>
      </c>
      <c r="EG590">
        <v>1</v>
      </c>
      <c r="EH590">
        <v>1</v>
      </c>
      <c r="EI590">
        <v>1</v>
      </c>
      <c r="EJ590">
        <v>1</v>
      </c>
    </row>
    <row r="591" ht="15" customHeight="1" spans="111:135" x14ac:dyDescent="0.25">
      <c r="DG591" t="s">
        <v>5134</v>
      </c>
      <c r="DH591" t="s">
        <v>87</v>
      </c>
      <c r="DI591" t="s">
        <v>955</v>
      </c>
      <c r="DJ591" t="s">
        <v>956</v>
      </c>
      <c r="DK591" t="s">
        <v>668</v>
      </c>
      <c r="DL591">
        <v>50</v>
      </c>
      <c r="DM591" t="s">
        <v>670</v>
      </c>
      <c r="DN591" t="s">
        <v>670</v>
      </c>
      <c r="DO591">
        <v>0</v>
      </c>
      <c r="DP591">
        <v>0</v>
      </c>
      <c r="DQ591">
        <v>34.5</v>
      </c>
      <c r="DR591" t="s">
        <v>5135</v>
      </c>
      <c r="EB591" t="s">
        <v>5136</v>
      </c>
      <c r="EC591" t="s">
        <v>2401</v>
      </c>
      <c r="EE591" t="s">
        <v>296</v>
      </c>
    </row>
    <row r="592" ht="15" customHeight="1" spans="111:135" x14ac:dyDescent="0.25">
      <c r="DG592" t="s">
        <v>5137</v>
      </c>
      <c r="DH592" t="s">
        <v>87</v>
      </c>
      <c r="DI592" t="s">
        <v>958</v>
      </c>
      <c r="DJ592" t="s">
        <v>959</v>
      </c>
      <c r="DK592" t="s">
        <v>668</v>
      </c>
      <c r="DL592">
        <v>50</v>
      </c>
      <c r="DM592" t="s">
        <v>670</v>
      </c>
      <c r="DN592" t="s">
        <v>670</v>
      </c>
      <c r="DO592">
        <v>40</v>
      </c>
      <c r="DP592">
        <v>1200</v>
      </c>
      <c r="DQ592">
        <v>1200</v>
      </c>
      <c r="DR592" t="s">
        <v>5138</v>
      </c>
      <c r="EB592" t="s">
        <v>5139</v>
      </c>
      <c r="EC592" t="s">
        <v>2317</v>
      </c>
      <c r="EE592" t="s">
        <v>620</v>
      </c>
    </row>
    <row r="593" ht="15" customHeight="1" spans="111:135" x14ac:dyDescent="0.25">
      <c r="DG593" t="s">
        <v>5140</v>
      </c>
      <c r="DH593" t="s">
        <v>87</v>
      </c>
      <c r="DI593" t="s">
        <v>961</v>
      </c>
      <c r="DJ593" t="s">
        <v>962</v>
      </c>
      <c r="DK593" t="s">
        <v>668</v>
      </c>
      <c r="DL593">
        <v>50</v>
      </c>
      <c r="DM593" t="s">
        <v>670</v>
      </c>
      <c r="DN593" t="s">
        <v>670</v>
      </c>
      <c r="DO593">
        <v>0</v>
      </c>
      <c r="DP593">
        <v>0</v>
      </c>
      <c r="DQ593">
        <v>4456.48</v>
      </c>
      <c r="DR593" t="s">
        <v>5141</v>
      </c>
      <c r="EB593" t="s">
        <v>5142</v>
      </c>
      <c r="EC593" t="s">
        <v>2317</v>
      </c>
      <c r="EE593" t="s">
        <v>618</v>
      </c>
    </row>
    <row r="594" ht="15" customHeight="1" spans="111:135" x14ac:dyDescent="0.25">
      <c r="DG594" t="s">
        <v>5143</v>
      </c>
      <c r="DH594" t="s">
        <v>87</v>
      </c>
      <c r="DI594" t="s">
        <v>966</v>
      </c>
      <c r="DJ594" t="s">
        <v>967</v>
      </c>
      <c r="DK594" t="s">
        <v>668</v>
      </c>
      <c r="DL594">
        <v>50</v>
      </c>
      <c r="DM594" t="s">
        <v>669</v>
      </c>
      <c r="DN594" t="s">
        <v>670</v>
      </c>
      <c r="DO594">
        <v>4</v>
      </c>
      <c r="DP594">
        <v>1443.76</v>
      </c>
      <c r="DQ594">
        <v>1443.76</v>
      </c>
      <c r="DR594" t="s">
        <v>5144</v>
      </c>
      <c r="EB594" t="s">
        <v>5145</v>
      </c>
      <c r="EC594" t="s">
        <v>2317</v>
      </c>
      <c r="EE594" t="s">
        <v>616</v>
      </c>
    </row>
    <row r="595" ht="15" customHeight="1" spans="111:135" x14ac:dyDescent="0.25">
      <c r="DG595" t="s">
        <v>5146</v>
      </c>
      <c r="DH595" t="s">
        <v>87</v>
      </c>
      <c r="DI595" t="s">
        <v>969</v>
      </c>
      <c r="DJ595" t="s">
        <v>970</v>
      </c>
      <c r="DK595" t="s">
        <v>692</v>
      </c>
      <c r="DL595">
        <v>50</v>
      </c>
      <c r="DM595" t="s">
        <v>670</v>
      </c>
      <c r="DN595" t="s">
        <v>669</v>
      </c>
      <c r="DO595">
        <v>0</v>
      </c>
      <c r="DP595">
        <v>0</v>
      </c>
      <c r="DQ595">
        <v>243</v>
      </c>
      <c r="DR595" t="s">
        <v>5147</v>
      </c>
      <c r="EB595" t="s">
        <v>5148</v>
      </c>
      <c r="EC595" t="s">
        <v>2317</v>
      </c>
      <c r="EE595" t="s">
        <v>614</v>
      </c>
    </row>
    <row r="596" ht="15" customHeight="1" spans="111:135" x14ac:dyDescent="0.25">
      <c r="DG596" t="s">
        <v>5149</v>
      </c>
      <c r="DH596" t="s">
        <v>87</v>
      </c>
      <c r="DI596" t="s">
        <v>974</v>
      </c>
      <c r="DJ596" t="s">
        <v>975</v>
      </c>
      <c r="DK596" t="s">
        <v>692</v>
      </c>
      <c r="DL596">
        <v>50</v>
      </c>
      <c r="DM596" t="s">
        <v>669</v>
      </c>
      <c r="DN596" t="s">
        <v>670</v>
      </c>
      <c r="DO596">
        <v>1</v>
      </c>
      <c r="DP596">
        <v>117</v>
      </c>
      <c r="DQ596">
        <v>117</v>
      </c>
      <c r="DR596" t="s">
        <v>5150</v>
      </c>
      <c r="EB596" t="s">
        <v>5151</v>
      </c>
      <c r="EC596" t="s">
        <v>2317</v>
      </c>
      <c r="EE596" t="s">
        <v>612</v>
      </c>
    </row>
    <row r="597" ht="15" customHeight="1" spans="111:135" x14ac:dyDescent="0.25">
      <c r="DG597" t="s">
        <v>5152</v>
      </c>
      <c r="DH597" t="s">
        <v>87</v>
      </c>
      <c r="DI597" t="s">
        <v>976</v>
      </c>
      <c r="DJ597" t="s">
        <v>977</v>
      </c>
      <c r="DK597" t="s">
        <v>692</v>
      </c>
      <c r="DL597">
        <v>50</v>
      </c>
      <c r="DM597" t="s">
        <v>669</v>
      </c>
      <c r="DN597" t="s">
        <v>670</v>
      </c>
      <c r="DO597">
        <v>1</v>
      </c>
      <c r="DP597">
        <v>421</v>
      </c>
      <c r="DQ597">
        <v>421</v>
      </c>
      <c r="DR597" t="s">
        <v>5153</v>
      </c>
      <c r="EB597" t="s">
        <v>5154</v>
      </c>
      <c r="EC597" t="s">
        <v>2317</v>
      </c>
      <c r="EE597" t="s">
        <v>610</v>
      </c>
    </row>
    <row r="598" ht="15" customHeight="1" spans="111:135" x14ac:dyDescent="0.25">
      <c r="DG598" t="s">
        <v>5155</v>
      </c>
      <c r="DH598" t="s">
        <v>87</v>
      </c>
      <c r="DI598" t="s">
        <v>979</v>
      </c>
      <c r="DJ598" t="s">
        <v>980</v>
      </c>
      <c r="DK598" t="s">
        <v>692</v>
      </c>
      <c r="DL598">
        <v>50</v>
      </c>
      <c r="DM598" t="s">
        <v>669</v>
      </c>
      <c r="DN598" t="s">
        <v>670</v>
      </c>
      <c r="DO598">
        <v>1</v>
      </c>
      <c r="DP598">
        <v>220</v>
      </c>
      <c r="DQ598">
        <v>220</v>
      </c>
      <c r="DR598" t="s">
        <v>5156</v>
      </c>
      <c r="EB598" t="s">
        <v>5157</v>
      </c>
      <c r="EC598" t="s">
        <v>2317</v>
      </c>
      <c r="EE598" t="s">
        <v>608</v>
      </c>
    </row>
    <row r="599" ht="15" customHeight="1" spans="111:135" x14ac:dyDescent="0.25">
      <c r="DG599" t="s">
        <v>5158</v>
      </c>
      <c r="DH599" t="s">
        <v>87</v>
      </c>
      <c r="DI599" t="s">
        <v>982</v>
      </c>
      <c r="DJ599" t="s">
        <v>983</v>
      </c>
      <c r="DK599" t="s">
        <v>692</v>
      </c>
      <c r="DL599">
        <v>50</v>
      </c>
      <c r="DM599" t="s">
        <v>670</v>
      </c>
      <c r="DN599" t="s">
        <v>669</v>
      </c>
      <c r="DO599">
        <v>0</v>
      </c>
      <c r="DP599">
        <v>0</v>
      </c>
      <c r="DQ599">
        <v>660</v>
      </c>
      <c r="DR599" t="s">
        <v>5159</v>
      </c>
      <c r="EB599" t="s">
        <v>5160</v>
      </c>
      <c r="EC599" t="s">
        <v>2317</v>
      </c>
      <c r="EE599" t="s">
        <v>606</v>
      </c>
    </row>
    <row r="600" ht="15" customHeight="1" spans="111:135" x14ac:dyDescent="0.25">
      <c r="DG600" t="s">
        <v>5161</v>
      </c>
      <c r="DH600" t="s">
        <v>87</v>
      </c>
      <c r="DI600" t="s">
        <v>984</v>
      </c>
      <c r="DJ600" t="s">
        <v>985</v>
      </c>
      <c r="DK600" t="s">
        <v>668</v>
      </c>
      <c r="DL600">
        <v>46.15</v>
      </c>
      <c r="DM600" t="s">
        <v>669</v>
      </c>
      <c r="DN600" t="s">
        <v>670</v>
      </c>
      <c r="DO600">
        <v>1</v>
      </c>
      <c r="DP600">
        <v>847.05</v>
      </c>
      <c r="DQ600">
        <v>847.05</v>
      </c>
      <c r="DR600" t="s">
        <v>5162</v>
      </c>
      <c r="EB600" t="s">
        <v>5163</v>
      </c>
      <c r="EC600" t="s">
        <v>2317</v>
      </c>
      <c r="EE600" t="s">
        <v>603</v>
      </c>
    </row>
    <row r="601" ht="15" customHeight="1" spans="111:140" x14ac:dyDescent="0.25">
      <c r="DG601" t="s">
        <v>5164</v>
      </c>
      <c r="DH601" t="s">
        <v>87</v>
      </c>
      <c r="DI601" t="s">
        <v>989</v>
      </c>
      <c r="DJ601" t="s">
        <v>990</v>
      </c>
      <c r="DK601" t="s">
        <v>692</v>
      </c>
      <c r="DL601">
        <v>46.15</v>
      </c>
      <c r="DM601" t="s">
        <v>670</v>
      </c>
      <c r="DN601" t="s">
        <v>670</v>
      </c>
      <c r="DO601">
        <v>1</v>
      </c>
      <c r="DP601">
        <v>327</v>
      </c>
      <c r="DQ601">
        <v>327</v>
      </c>
      <c r="DR601" t="s">
        <v>5165</v>
      </c>
      <c r="EB601" t="s">
        <v>5166</v>
      </c>
      <c r="EC601" t="s">
        <v>2317</v>
      </c>
      <c r="ED601" t="s">
        <v>2318</v>
      </c>
      <c r="EE601" t="s">
        <v>601</v>
      </c>
      <c r="EF601" t="s">
        <v>2404</v>
      </c>
      <c r="EG601">
        <v>1</v>
      </c>
      <c r="EH601">
        <v>1</v>
      </c>
      <c r="EI601">
        <v>1</v>
      </c>
      <c r="EJ601">
        <v>1</v>
      </c>
    </row>
    <row r="602" ht="15" customHeight="1" spans="111:135" x14ac:dyDescent="0.25">
      <c r="DG602" t="s">
        <v>5167</v>
      </c>
      <c r="DH602" t="s">
        <v>87</v>
      </c>
      <c r="DI602" t="s">
        <v>992</v>
      </c>
      <c r="DJ602" t="s">
        <v>993</v>
      </c>
      <c r="DK602" t="s">
        <v>692</v>
      </c>
      <c r="DL602">
        <v>46.15</v>
      </c>
      <c r="DM602" t="s">
        <v>669</v>
      </c>
      <c r="DN602" t="s">
        <v>670</v>
      </c>
      <c r="DO602">
        <v>3.5</v>
      </c>
      <c r="DP602">
        <v>357</v>
      </c>
      <c r="DQ602">
        <v>357</v>
      </c>
      <c r="DR602" t="s">
        <v>5168</v>
      </c>
      <c r="EB602" t="s">
        <v>5169</v>
      </c>
      <c r="EC602" t="s">
        <v>2317</v>
      </c>
      <c r="EE602" t="s">
        <v>599</v>
      </c>
    </row>
    <row r="603" ht="15" customHeight="1" spans="111:135" x14ac:dyDescent="0.25">
      <c r="DG603" t="s">
        <v>5170</v>
      </c>
      <c r="DH603" t="s">
        <v>87</v>
      </c>
      <c r="DI603" t="s">
        <v>994</v>
      </c>
      <c r="DJ603" t="s">
        <v>995</v>
      </c>
      <c r="DK603" t="s">
        <v>668</v>
      </c>
      <c r="DL603">
        <v>42.31</v>
      </c>
      <c r="DM603" t="s">
        <v>670</v>
      </c>
      <c r="DN603" t="s">
        <v>669</v>
      </c>
      <c r="DO603">
        <v>0</v>
      </c>
      <c r="DP603">
        <v>0</v>
      </c>
      <c r="DQ603">
        <v>3.14</v>
      </c>
      <c r="DR603" t="s">
        <v>5171</v>
      </c>
      <c r="EB603" t="s">
        <v>5172</v>
      </c>
      <c r="EC603" t="s">
        <v>2317</v>
      </c>
      <c r="EE603" t="s">
        <v>623</v>
      </c>
    </row>
    <row r="604" ht="15" customHeight="1" spans="111:135" x14ac:dyDescent="0.25">
      <c r="DG604" t="s">
        <v>5173</v>
      </c>
      <c r="DH604" t="s">
        <v>87</v>
      </c>
      <c r="DI604" t="s">
        <v>997</v>
      </c>
      <c r="DJ604" t="s">
        <v>998</v>
      </c>
      <c r="DK604" t="s">
        <v>668</v>
      </c>
      <c r="DL604">
        <v>42.31</v>
      </c>
      <c r="DM604" t="s">
        <v>670</v>
      </c>
      <c r="DN604" t="s">
        <v>669</v>
      </c>
      <c r="DO604">
        <v>0</v>
      </c>
      <c r="DP604">
        <v>0</v>
      </c>
      <c r="DQ604">
        <v>70</v>
      </c>
      <c r="DR604" t="s">
        <v>5174</v>
      </c>
      <c r="EB604" t="s">
        <v>5175</v>
      </c>
      <c r="EC604" t="s">
        <v>2317</v>
      </c>
      <c r="EE604" t="s">
        <v>596</v>
      </c>
    </row>
    <row r="605" ht="15" customHeight="1" spans="111:140" x14ac:dyDescent="0.25">
      <c r="DG605" t="s">
        <v>5176</v>
      </c>
      <c r="DH605" t="s">
        <v>87</v>
      </c>
      <c r="DJ605" t="s">
        <v>724</v>
      </c>
      <c r="DK605" t="s">
        <v>692</v>
      </c>
      <c r="DL605">
        <v>42.31</v>
      </c>
      <c r="DM605" t="s">
        <v>669</v>
      </c>
      <c r="DN605" t="s">
        <v>669</v>
      </c>
      <c r="DO605">
        <v>0</v>
      </c>
      <c r="DP605">
        <v>0</v>
      </c>
      <c r="DQ605">
        <v>0</v>
      </c>
      <c r="DR605" t="s">
        <v>4962</v>
      </c>
      <c r="EB605" t="s">
        <v>5177</v>
      </c>
      <c r="EC605" t="s">
        <v>2317</v>
      </c>
      <c r="ED605" t="s">
        <v>2318</v>
      </c>
      <c r="EE605" t="s">
        <v>593</v>
      </c>
      <c r="EF605" t="s">
        <v>2469</v>
      </c>
      <c r="EG605">
        <v>1</v>
      </c>
      <c r="EH605">
        <v>1</v>
      </c>
      <c r="EI605">
        <v>1</v>
      </c>
      <c r="EJ605">
        <v>1</v>
      </c>
    </row>
    <row r="606" ht="15" customHeight="1" spans="111:140" x14ac:dyDescent="0.25">
      <c r="DG606" t="s">
        <v>5178</v>
      </c>
      <c r="DH606" t="s">
        <v>87</v>
      </c>
      <c r="DJ606" t="s">
        <v>761</v>
      </c>
      <c r="DK606" t="s">
        <v>692</v>
      </c>
      <c r="DL606">
        <v>42.31</v>
      </c>
      <c r="DM606" t="s">
        <v>669</v>
      </c>
      <c r="DN606" t="s">
        <v>669</v>
      </c>
      <c r="DO606">
        <v>0</v>
      </c>
      <c r="DP606">
        <v>0</v>
      </c>
      <c r="DQ606">
        <v>0</v>
      </c>
      <c r="DR606" t="s">
        <v>4989</v>
      </c>
      <c r="EB606" t="s">
        <v>5179</v>
      </c>
      <c r="EC606" t="s">
        <v>2317</v>
      </c>
      <c r="ED606" t="s">
        <v>2318</v>
      </c>
      <c r="EE606" t="s">
        <v>591</v>
      </c>
      <c r="EF606" t="s">
        <v>3058</v>
      </c>
      <c r="EG606">
        <v>1000</v>
      </c>
      <c r="EH606">
        <v>1000</v>
      </c>
      <c r="EI606">
        <v>1000</v>
      </c>
      <c r="EJ606">
        <v>1000</v>
      </c>
    </row>
    <row r="607" ht="15" customHeight="1" spans="111:135" x14ac:dyDescent="0.25">
      <c r="DG607" t="s">
        <v>5180</v>
      </c>
      <c r="DH607" t="s">
        <v>87</v>
      </c>
      <c r="DI607" t="s">
        <v>1004</v>
      </c>
      <c r="DJ607" t="s">
        <v>1005</v>
      </c>
      <c r="DK607" t="s">
        <v>692</v>
      </c>
      <c r="DL607">
        <v>42.31</v>
      </c>
      <c r="DM607" t="s">
        <v>670</v>
      </c>
      <c r="DN607" t="s">
        <v>669</v>
      </c>
      <c r="DO607">
        <v>0</v>
      </c>
      <c r="DP607">
        <v>0</v>
      </c>
      <c r="DQ607">
        <v>276</v>
      </c>
      <c r="DR607" t="s">
        <v>5181</v>
      </c>
      <c r="EB607" t="s">
        <v>5182</v>
      </c>
      <c r="EC607" t="s">
        <v>2317</v>
      </c>
      <c r="EE607" t="s">
        <v>2423</v>
      </c>
    </row>
    <row r="608" ht="15" customHeight="1" spans="111:135" x14ac:dyDescent="0.25">
      <c r="DG608" t="s">
        <v>5183</v>
      </c>
      <c r="DH608" t="s">
        <v>87</v>
      </c>
      <c r="DI608" t="s">
        <v>1009</v>
      </c>
      <c r="DJ608" t="s">
        <v>1010</v>
      </c>
      <c r="DK608" t="s">
        <v>692</v>
      </c>
      <c r="DL608">
        <v>42.31</v>
      </c>
      <c r="DM608" t="s">
        <v>669</v>
      </c>
      <c r="DN608" t="s">
        <v>670</v>
      </c>
      <c r="DO608">
        <v>1</v>
      </c>
      <c r="DP608">
        <v>675</v>
      </c>
      <c r="DQ608">
        <v>675</v>
      </c>
      <c r="DR608" t="s">
        <v>5184</v>
      </c>
      <c r="EB608" t="s">
        <v>5185</v>
      </c>
      <c r="EC608" t="s">
        <v>2317</v>
      </c>
      <c r="EE608" t="s">
        <v>584</v>
      </c>
    </row>
    <row r="609" ht="15" customHeight="1" spans="111:140" x14ac:dyDescent="0.25">
      <c r="DG609" t="s">
        <v>5186</v>
      </c>
      <c r="DH609" t="s">
        <v>87</v>
      </c>
      <c r="DI609" t="s">
        <v>1012</v>
      </c>
      <c r="DJ609" t="s">
        <v>1013</v>
      </c>
      <c r="DK609" t="s">
        <v>692</v>
      </c>
      <c r="DL609">
        <v>42.31</v>
      </c>
      <c r="DM609" t="s">
        <v>670</v>
      </c>
      <c r="DN609" t="s">
        <v>669</v>
      </c>
      <c r="DO609">
        <v>0</v>
      </c>
      <c r="DP609">
        <v>0</v>
      </c>
      <c r="DQ609">
        <v>355</v>
      </c>
      <c r="DR609" t="s">
        <v>5187</v>
      </c>
      <c r="EB609" t="s">
        <v>5188</v>
      </c>
      <c r="EC609" t="s">
        <v>2317</v>
      </c>
      <c r="ED609" t="s">
        <v>2318</v>
      </c>
      <c r="EE609" t="s">
        <v>582</v>
      </c>
      <c r="EF609" t="s">
        <v>2525</v>
      </c>
      <c r="EG609">
        <v>1</v>
      </c>
      <c r="EH609">
        <v>1</v>
      </c>
      <c r="EI609">
        <v>1</v>
      </c>
      <c r="EJ609">
        <v>1</v>
      </c>
    </row>
    <row r="610" ht="15" customHeight="1" spans="111:140" x14ac:dyDescent="0.25">
      <c r="DG610" t="s">
        <v>5189</v>
      </c>
      <c r="DH610" t="s">
        <v>87</v>
      </c>
      <c r="DJ610" t="s">
        <v>924</v>
      </c>
      <c r="DK610" t="s">
        <v>668</v>
      </c>
      <c r="DL610">
        <v>38.46</v>
      </c>
      <c r="DM610" t="s">
        <v>669</v>
      </c>
      <c r="DN610" t="s">
        <v>669</v>
      </c>
      <c r="DO610">
        <v>0</v>
      </c>
      <c r="DP610">
        <v>0</v>
      </c>
      <c r="DQ610">
        <v>0</v>
      </c>
      <c r="DR610" t="s">
        <v>5111</v>
      </c>
      <c r="EB610" t="s">
        <v>5190</v>
      </c>
      <c r="EC610" t="s">
        <v>2317</v>
      </c>
      <c r="ED610" t="s">
        <v>2318</v>
      </c>
      <c r="EE610" t="s">
        <v>580</v>
      </c>
      <c r="EF610" t="s">
        <v>2539</v>
      </c>
      <c r="EG610">
        <v>1</v>
      </c>
      <c r="EH610">
        <v>1</v>
      </c>
      <c r="EI610">
        <v>1</v>
      </c>
      <c r="EJ610">
        <v>1</v>
      </c>
    </row>
    <row r="611" ht="15" customHeight="1" spans="111:135" x14ac:dyDescent="0.25">
      <c r="DG611" t="s">
        <v>5191</v>
      </c>
      <c r="DH611" t="s">
        <v>87</v>
      </c>
      <c r="DI611" t="s">
        <v>1017</v>
      </c>
      <c r="DJ611" t="s">
        <v>1018</v>
      </c>
      <c r="DK611" t="s">
        <v>668</v>
      </c>
      <c r="DL611">
        <v>38.46</v>
      </c>
      <c r="DM611" t="s">
        <v>669</v>
      </c>
      <c r="DN611" t="s">
        <v>670</v>
      </c>
      <c r="DO611">
        <v>1</v>
      </c>
      <c r="DP611">
        <v>7.2</v>
      </c>
      <c r="DQ611">
        <v>7.2</v>
      </c>
      <c r="DR611" t="s">
        <v>5192</v>
      </c>
      <c r="EB611" t="s">
        <v>5193</v>
      </c>
      <c r="EC611" t="s">
        <v>2317</v>
      </c>
      <c r="EE611" t="s">
        <v>578</v>
      </c>
    </row>
    <row r="612" ht="15" customHeight="1" spans="111:135" x14ac:dyDescent="0.25">
      <c r="DG612" t="s">
        <v>5194</v>
      </c>
      <c r="DH612" t="s">
        <v>87</v>
      </c>
      <c r="DI612" t="s">
        <v>1021</v>
      </c>
      <c r="DJ612" t="s">
        <v>1022</v>
      </c>
      <c r="DK612" t="s">
        <v>668</v>
      </c>
      <c r="DL612">
        <v>38.46</v>
      </c>
      <c r="DM612" t="s">
        <v>670</v>
      </c>
      <c r="DN612" t="s">
        <v>669</v>
      </c>
      <c r="DO612">
        <v>0</v>
      </c>
      <c r="DP612">
        <v>0</v>
      </c>
      <c r="DQ612">
        <v>1067.07</v>
      </c>
      <c r="DR612" t="s">
        <v>5195</v>
      </c>
      <c r="EB612" t="s">
        <v>5196</v>
      </c>
      <c r="EC612" t="s">
        <v>2317</v>
      </c>
      <c r="EE612" t="s">
        <v>327</v>
      </c>
    </row>
    <row r="613" ht="15" customHeight="1" spans="111:135" x14ac:dyDescent="0.25">
      <c r="DG613" t="s">
        <v>5197</v>
      </c>
      <c r="DH613" t="s">
        <v>87</v>
      </c>
      <c r="DI613" t="s">
        <v>1026</v>
      </c>
      <c r="DJ613" t="s">
        <v>1027</v>
      </c>
      <c r="DK613" t="s">
        <v>668</v>
      </c>
      <c r="DL613">
        <v>38.46</v>
      </c>
      <c r="DM613" t="s">
        <v>670</v>
      </c>
      <c r="DN613" t="s">
        <v>669</v>
      </c>
      <c r="DO613">
        <v>0</v>
      </c>
      <c r="DP613">
        <v>0</v>
      </c>
      <c r="DQ613">
        <v>515.62</v>
      </c>
      <c r="DR613" t="s">
        <v>5198</v>
      </c>
      <c r="EB613" t="s">
        <v>5199</v>
      </c>
      <c r="EC613" t="s">
        <v>2317</v>
      </c>
      <c r="EE613" t="s">
        <v>330</v>
      </c>
    </row>
    <row r="614" ht="15" customHeight="1" spans="111:135" x14ac:dyDescent="0.25">
      <c r="DG614" t="s">
        <v>5200</v>
      </c>
      <c r="DH614" t="s">
        <v>87</v>
      </c>
      <c r="DI614" t="s">
        <v>1029</v>
      </c>
      <c r="DJ614" t="s">
        <v>1030</v>
      </c>
      <c r="DK614" t="s">
        <v>668</v>
      </c>
      <c r="DL614">
        <v>38.46</v>
      </c>
      <c r="DM614" t="s">
        <v>670</v>
      </c>
      <c r="DN614" t="s">
        <v>670</v>
      </c>
      <c r="DO614">
        <v>0</v>
      </c>
      <c r="DP614">
        <v>0</v>
      </c>
      <c r="DQ614">
        <v>37.68</v>
      </c>
      <c r="DR614" t="s">
        <v>5201</v>
      </c>
      <c r="EB614" t="s">
        <v>5202</v>
      </c>
      <c r="EC614" t="s">
        <v>2317</v>
      </c>
      <c r="EE614" t="s">
        <v>576</v>
      </c>
    </row>
    <row r="615" ht="15" customHeight="1" spans="111:135" x14ac:dyDescent="0.25">
      <c r="DG615" t="s">
        <v>5203</v>
      </c>
      <c r="DH615" t="s">
        <v>87</v>
      </c>
      <c r="DI615" t="s">
        <v>1034</v>
      </c>
      <c r="DJ615" t="s">
        <v>1035</v>
      </c>
      <c r="DK615" t="s">
        <v>668</v>
      </c>
      <c r="DL615">
        <v>38.46</v>
      </c>
      <c r="DM615" t="s">
        <v>669</v>
      </c>
      <c r="DN615" t="s">
        <v>670</v>
      </c>
      <c r="DO615">
        <v>1</v>
      </c>
      <c r="DP615">
        <v>560.65</v>
      </c>
      <c r="DQ615">
        <v>560.65</v>
      </c>
      <c r="DR615" t="s">
        <v>5204</v>
      </c>
      <c r="EB615" t="s">
        <v>5205</v>
      </c>
      <c r="EC615" t="s">
        <v>2317</v>
      </c>
      <c r="EE615" t="s">
        <v>573</v>
      </c>
    </row>
    <row r="616" ht="15" customHeight="1" spans="111:140" x14ac:dyDescent="0.25">
      <c r="DG616" t="s">
        <v>5206</v>
      </c>
      <c r="DH616" t="s">
        <v>87</v>
      </c>
      <c r="DI616" t="s">
        <v>1037</v>
      </c>
      <c r="DJ616" t="s">
        <v>1038</v>
      </c>
      <c r="DK616" t="s">
        <v>668</v>
      </c>
      <c r="DL616">
        <v>38.46</v>
      </c>
      <c r="DM616" t="s">
        <v>670</v>
      </c>
      <c r="DN616" t="s">
        <v>669</v>
      </c>
      <c r="DO616">
        <v>0</v>
      </c>
      <c r="DP616">
        <v>0</v>
      </c>
      <c r="DQ616">
        <v>181.39</v>
      </c>
      <c r="DR616" t="s">
        <v>5207</v>
      </c>
      <c r="EB616" t="s">
        <v>5208</v>
      </c>
      <c r="EC616" t="s">
        <v>2317</v>
      </c>
      <c r="ED616" t="s">
        <v>2318</v>
      </c>
      <c r="EE616" t="s">
        <v>569</v>
      </c>
      <c r="EF616" t="s">
        <v>567</v>
      </c>
      <c r="EG616">
        <v>1</v>
      </c>
      <c r="EH616">
        <v>1</v>
      </c>
      <c r="EI616">
        <v>1</v>
      </c>
      <c r="EJ616">
        <v>1</v>
      </c>
    </row>
    <row r="617" ht="15" customHeight="1" spans="111:135" x14ac:dyDescent="0.25">
      <c r="DG617" t="s">
        <v>5209</v>
      </c>
      <c r="DH617" t="s">
        <v>87</v>
      </c>
      <c r="DJ617" t="s">
        <v>730</v>
      </c>
      <c r="DK617" t="s">
        <v>692</v>
      </c>
      <c r="DL617">
        <v>38.46</v>
      </c>
      <c r="DM617" t="s">
        <v>669</v>
      </c>
      <c r="DN617" t="s">
        <v>669</v>
      </c>
      <c r="DO617">
        <v>0</v>
      </c>
      <c r="DP617">
        <v>0</v>
      </c>
      <c r="DQ617">
        <v>0</v>
      </c>
      <c r="DR617" t="s">
        <v>4968</v>
      </c>
      <c r="EB617" t="s">
        <v>5210</v>
      </c>
      <c r="EC617" t="s">
        <v>2317</v>
      </c>
      <c r="EE617" t="s">
        <v>2641</v>
      </c>
    </row>
    <row r="618" ht="15" customHeight="1" spans="111:135" x14ac:dyDescent="0.25">
      <c r="DG618" t="s">
        <v>5211</v>
      </c>
      <c r="DH618" t="s">
        <v>87</v>
      </c>
      <c r="DI618" t="s">
        <v>1040</v>
      </c>
      <c r="DJ618" t="s">
        <v>1041</v>
      </c>
      <c r="DK618" t="s">
        <v>692</v>
      </c>
      <c r="DL618">
        <v>38.46</v>
      </c>
      <c r="DM618" t="s">
        <v>669</v>
      </c>
      <c r="DN618" t="s">
        <v>670</v>
      </c>
      <c r="DO618">
        <v>10</v>
      </c>
      <c r="DP618">
        <v>160</v>
      </c>
      <c r="DQ618">
        <v>160</v>
      </c>
      <c r="DR618" t="s">
        <v>5212</v>
      </c>
      <c r="EB618" t="s">
        <v>5213</v>
      </c>
      <c r="EC618" t="s">
        <v>2317</v>
      </c>
      <c r="EE618" t="s">
        <v>2656</v>
      </c>
    </row>
    <row r="619" ht="15" customHeight="1" spans="111:135" x14ac:dyDescent="0.25">
      <c r="DG619" t="s">
        <v>5214</v>
      </c>
      <c r="DH619" t="s">
        <v>87</v>
      </c>
      <c r="DI619" t="s">
        <v>1042</v>
      </c>
      <c r="DJ619" t="s">
        <v>1043</v>
      </c>
      <c r="DK619" t="s">
        <v>692</v>
      </c>
      <c r="DL619">
        <v>38.46</v>
      </c>
      <c r="DM619" t="s">
        <v>670</v>
      </c>
      <c r="DN619" t="s">
        <v>669</v>
      </c>
      <c r="DO619">
        <v>0</v>
      </c>
      <c r="DP619">
        <v>0</v>
      </c>
      <c r="DQ619">
        <v>538.65</v>
      </c>
      <c r="DR619" t="s">
        <v>5215</v>
      </c>
      <c r="EB619" t="s">
        <v>5216</v>
      </c>
      <c r="EC619" t="s">
        <v>2317</v>
      </c>
      <c r="EE619" t="s">
        <v>2670</v>
      </c>
    </row>
    <row r="620" ht="15" customHeight="1" spans="111:140" x14ac:dyDescent="0.25">
      <c r="DG620" t="s">
        <v>5217</v>
      </c>
      <c r="DH620" t="s">
        <v>87</v>
      </c>
      <c r="DI620" t="s">
        <v>1047</v>
      </c>
      <c r="DJ620" t="s">
        <v>1048</v>
      </c>
      <c r="DK620" t="s">
        <v>692</v>
      </c>
      <c r="DL620">
        <v>38.46</v>
      </c>
      <c r="DM620" t="s">
        <v>669</v>
      </c>
      <c r="DN620" t="s">
        <v>670</v>
      </c>
      <c r="DO620">
        <v>2.5</v>
      </c>
      <c r="DP620">
        <v>282.5</v>
      </c>
      <c r="DQ620">
        <v>282.5</v>
      </c>
      <c r="DR620" t="s">
        <v>5218</v>
      </c>
      <c r="EB620" t="s">
        <v>5219</v>
      </c>
      <c r="EC620" t="s">
        <v>2317</v>
      </c>
      <c r="ED620" t="s">
        <v>2318</v>
      </c>
      <c r="EE620" t="s">
        <v>561</v>
      </c>
      <c r="EF620" t="s">
        <v>2684</v>
      </c>
      <c r="EG620">
        <v>1</v>
      </c>
      <c r="EH620">
        <v>1</v>
      </c>
      <c r="EI620">
        <v>1</v>
      </c>
      <c r="EJ620">
        <v>1</v>
      </c>
    </row>
    <row r="621" ht="15" customHeight="1" spans="111:135" x14ac:dyDescent="0.25">
      <c r="DG621" t="s">
        <v>5220</v>
      </c>
      <c r="DH621" t="s">
        <v>87</v>
      </c>
      <c r="DI621" t="s">
        <v>1050</v>
      </c>
      <c r="DJ621" t="s">
        <v>1051</v>
      </c>
      <c r="DK621" t="s">
        <v>692</v>
      </c>
      <c r="DL621">
        <v>38.46</v>
      </c>
      <c r="DM621" t="s">
        <v>669</v>
      </c>
      <c r="DN621" t="s">
        <v>670</v>
      </c>
      <c r="DO621">
        <v>10</v>
      </c>
      <c r="DP621">
        <v>170</v>
      </c>
      <c r="DQ621">
        <v>170</v>
      </c>
      <c r="DR621" t="s">
        <v>5221</v>
      </c>
      <c r="EB621" t="s">
        <v>5222</v>
      </c>
      <c r="EC621" t="s">
        <v>2317</v>
      </c>
      <c r="EE621" t="s">
        <v>563</v>
      </c>
    </row>
    <row r="622" ht="15" customHeight="1" spans="111:140" x14ac:dyDescent="0.25">
      <c r="DG622" t="s">
        <v>5223</v>
      </c>
      <c r="DH622" t="s">
        <v>87</v>
      </c>
      <c r="DI622" t="s">
        <v>1053</v>
      </c>
      <c r="DJ622" t="s">
        <v>1054</v>
      </c>
      <c r="DK622" t="s">
        <v>692</v>
      </c>
      <c r="DL622">
        <v>38.46</v>
      </c>
      <c r="DM622" t="s">
        <v>669</v>
      </c>
      <c r="DN622" t="s">
        <v>670</v>
      </c>
      <c r="DO622">
        <v>1</v>
      </c>
      <c r="DP622">
        <v>4.31</v>
      </c>
      <c r="DQ622">
        <v>4.31</v>
      </c>
      <c r="DR622" t="s">
        <v>5224</v>
      </c>
      <c r="EB622" t="s">
        <v>5225</v>
      </c>
      <c r="EC622" t="s">
        <v>2317</v>
      </c>
      <c r="ED622" t="s">
        <v>2318</v>
      </c>
      <c r="EE622" t="s">
        <v>556</v>
      </c>
      <c r="EF622" t="s">
        <v>2713</v>
      </c>
      <c r="EG622">
        <v>1</v>
      </c>
      <c r="EH622">
        <v>1</v>
      </c>
      <c r="EI622">
        <v>1</v>
      </c>
      <c r="EJ622">
        <v>1</v>
      </c>
    </row>
    <row r="623" ht="15" customHeight="1" spans="111:135" x14ac:dyDescent="0.25">
      <c r="DG623" t="s">
        <v>5226</v>
      </c>
      <c r="DH623" t="s">
        <v>87</v>
      </c>
      <c r="DI623" t="s">
        <v>1056</v>
      </c>
      <c r="DJ623" t="s">
        <v>1057</v>
      </c>
      <c r="DK623" t="s">
        <v>692</v>
      </c>
      <c r="DL623">
        <v>38.46</v>
      </c>
      <c r="DM623" t="s">
        <v>670</v>
      </c>
      <c r="DN623" t="s">
        <v>669</v>
      </c>
      <c r="DO623">
        <v>0</v>
      </c>
      <c r="DP623">
        <v>0</v>
      </c>
      <c r="DQ623">
        <v>205.5</v>
      </c>
      <c r="DR623" t="s">
        <v>5227</v>
      </c>
      <c r="EB623" t="s">
        <v>5228</v>
      </c>
      <c r="EC623" t="s">
        <v>2317</v>
      </c>
      <c r="EE623" t="s">
        <v>551</v>
      </c>
    </row>
    <row r="624" ht="15" customHeight="1" spans="111:135" x14ac:dyDescent="0.25">
      <c r="DG624" t="s">
        <v>5229</v>
      </c>
      <c r="DH624" t="s">
        <v>87</v>
      </c>
      <c r="DI624" t="s">
        <v>1059</v>
      </c>
      <c r="DJ624" t="s">
        <v>195</v>
      </c>
      <c r="DK624" t="s">
        <v>692</v>
      </c>
      <c r="DL624">
        <v>38.46</v>
      </c>
      <c r="DM624" t="s">
        <v>669</v>
      </c>
      <c r="DN624" t="s">
        <v>670</v>
      </c>
      <c r="DO624">
        <v>2</v>
      </c>
      <c r="DP624">
        <v>53250</v>
      </c>
      <c r="DQ624">
        <v>53250</v>
      </c>
      <c r="DR624" t="s">
        <v>5230</v>
      </c>
      <c r="EB624" t="s">
        <v>5231</v>
      </c>
      <c r="EC624" t="s">
        <v>2317</v>
      </c>
      <c r="EE624" t="s">
        <v>290</v>
      </c>
    </row>
    <row r="625" ht="15" customHeight="1" spans="111:135" x14ac:dyDescent="0.25">
      <c r="DG625" t="s">
        <v>5232</v>
      </c>
      <c r="DH625" t="s">
        <v>87</v>
      </c>
      <c r="DI625" t="s">
        <v>1061</v>
      </c>
      <c r="DJ625" t="s">
        <v>1062</v>
      </c>
      <c r="DK625" t="s">
        <v>692</v>
      </c>
      <c r="DL625">
        <v>38.46</v>
      </c>
      <c r="DM625" t="s">
        <v>670</v>
      </c>
      <c r="DN625" t="s">
        <v>670</v>
      </c>
      <c r="DO625">
        <v>1</v>
      </c>
      <c r="DP625">
        <v>169.69</v>
      </c>
      <c r="DQ625">
        <v>172.84</v>
      </c>
      <c r="DR625" t="s">
        <v>5233</v>
      </c>
      <c r="EB625" t="s">
        <v>5234</v>
      </c>
      <c r="EC625" t="s">
        <v>2317</v>
      </c>
      <c r="EE625" t="s">
        <v>275</v>
      </c>
    </row>
    <row r="626" ht="15" customHeight="1" spans="111:135" x14ac:dyDescent="0.25">
      <c r="DG626" t="s">
        <v>5235</v>
      </c>
      <c r="DH626" t="s">
        <v>87</v>
      </c>
      <c r="DI626" t="s">
        <v>1066</v>
      </c>
      <c r="DJ626" t="s">
        <v>1067</v>
      </c>
      <c r="DK626" t="s">
        <v>692</v>
      </c>
      <c r="DL626">
        <v>38.46</v>
      </c>
      <c r="DM626" t="s">
        <v>670</v>
      </c>
      <c r="DN626" t="s">
        <v>669</v>
      </c>
      <c r="DO626">
        <v>0</v>
      </c>
      <c r="DP626">
        <v>0</v>
      </c>
      <c r="DQ626">
        <v>175.5</v>
      </c>
      <c r="DR626" t="s">
        <v>5236</v>
      </c>
      <c r="EB626" t="s">
        <v>5237</v>
      </c>
      <c r="EC626" t="s">
        <v>2317</v>
      </c>
      <c r="EE626" t="s">
        <v>298</v>
      </c>
    </row>
    <row r="627" ht="15" customHeight="1" spans="111:135" x14ac:dyDescent="0.25">
      <c r="DG627" t="s">
        <v>5238</v>
      </c>
      <c r="DH627" t="s">
        <v>87</v>
      </c>
      <c r="DJ627" t="s">
        <v>828</v>
      </c>
      <c r="DK627" t="s">
        <v>668</v>
      </c>
      <c r="DL627">
        <v>34.62</v>
      </c>
      <c r="DM627" t="s">
        <v>669</v>
      </c>
      <c r="DN627" t="s">
        <v>669</v>
      </c>
      <c r="DO627">
        <v>0</v>
      </c>
      <c r="DP627">
        <v>0</v>
      </c>
      <c r="DQ627">
        <v>0</v>
      </c>
      <c r="DR627" t="s">
        <v>5037</v>
      </c>
      <c r="EB627" t="s">
        <v>5239</v>
      </c>
      <c r="EC627" t="s">
        <v>2317</v>
      </c>
      <c r="EE627" t="s">
        <v>286</v>
      </c>
    </row>
    <row r="628" ht="15" customHeight="1" spans="111:135" x14ac:dyDescent="0.25">
      <c r="DG628" t="s">
        <v>5240</v>
      </c>
      <c r="DH628" t="s">
        <v>87</v>
      </c>
      <c r="DI628" t="s">
        <v>1071</v>
      </c>
      <c r="DJ628" t="s">
        <v>1072</v>
      </c>
      <c r="DK628" t="s">
        <v>668</v>
      </c>
      <c r="DL628">
        <v>34.62</v>
      </c>
      <c r="DM628" t="s">
        <v>670</v>
      </c>
      <c r="DN628" t="s">
        <v>669</v>
      </c>
      <c r="DO628">
        <v>0</v>
      </c>
      <c r="DP628">
        <v>0</v>
      </c>
      <c r="DQ628">
        <v>2.64</v>
      </c>
      <c r="DR628" t="s">
        <v>5241</v>
      </c>
      <c r="EB628" t="s">
        <v>5242</v>
      </c>
      <c r="EC628" t="s">
        <v>2317</v>
      </c>
      <c r="EE628" t="s">
        <v>272</v>
      </c>
    </row>
    <row r="629" ht="15" customHeight="1" spans="111:135" x14ac:dyDescent="0.25">
      <c r="DG629" t="s">
        <v>5243</v>
      </c>
      <c r="DH629" t="s">
        <v>87</v>
      </c>
      <c r="DI629" t="s">
        <v>1076</v>
      </c>
      <c r="DJ629" t="s">
        <v>1077</v>
      </c>
      <c r="DK629" t="s">
        <v>668</v>
      </c>
      <c r="DL629">
        <v>34.62</v>
      </c>
      <c r="DM629" t="s">
        <v>670</v>
      </c>
      <c r="DN629" t="s">
        <v>670</v>
      </c>
      <c r="DO629">
        <v>0</v>
      </c>
      <c r="DP629">
        <v>0</v>
      </c>
      <c r="DQ629">
        <v>420</v>
      </c>
      <c r="DR629" t="s">
        <v>5244</v>
      </c>
      <c r="EB629" t="s">
        <v>5245</v>
      </c>
      <c r="EC629" t="s">
        <v>2317</v>
      </c>
      <c r="EE629" t="s">
        <v>283</v>
      </c>
    </row>
    <row r="630" ht="15" customHeight="1" spans="111:135" x14ac:dyDescent="0.25">
      <c r="DG630" t="s">
        <v>5246</v>
      </c>
      <c r="DH630" t="s">
        <v>87</v>
      </c>
      <c r="DI630" t="s">
        <v>470</v>
      </c>
      <c r="DJ630" t="s">
        <v>1078</v>
      </c>
      <c r="DK630" t="s">
        <v>1079</v>
      </c>
      <c r="DL630">
        <v>34.62</v>
      </c>
      <c r="DM630" t="s">
        <v>669</v>
      </c>
      <c r="DN630" t="s">
        <v>670</v>
      </c>
      <c r="DO630">
        <v>1</v>
      </c>
      <c r="DP630">
        <v>5730</v>
      </c>
      <c r="DQ630">
        <v>5730</v>
      </c>
      <c r="DR630" t="s">
        <v>5247</v>
      </c>
      <c r="EB630" t="s">
        <v>5248</v>
      </c>
      <c r="EC630" t="s">
        <v>2317</v>
      </c>
      <c r="EE630" t="s">
        <v>267</v>
      </c>
    </row>
    <row r="631" ht="15" customHeight="1" spans="111:135" x14ac:dyDescent="0.25">
      <c r="DG631" t="s">
        <v>5249</v>
      </c>
      <c r="DH631" t="s">
        <v>87</v>
      </c>
      <c r="DI631" t="s">
        <v>909</v>
      </c>
      <c r="DJ631" t="s">
        <v>1081</v>
      </c>
      <c r="DK631" t="s">
        <v>692</v>
      </c>
      <c r="DL631">
        <v>34.62</v>
      </c>
      <c r="DM631" t="s">
        <v>670</v>
      </c>
      <c r="DN631" t="s">
        <v>669</v>
      </c>
      <c r="DO631">
        <v>0</v>
      </c>
      <c r="DP631">
        <v>0</v>
      </c>
      <c r="DQ631">
        <v>100</v>
      </c>
      <c r="DR631" t="s">
        <v>5250</v>
      </c>
      <c r="EB631" t="s">
        <v>5251</v>
      </c>
      <c r="EC631" t="s">
        <v>2317</v>
      </c>
      <c r="EE631" t="s">
        <v>258</v>
      </c>
    </row>
    <row r="632" ht="15" customHeight="1" spans="111:135" x14ac:dyDescent="0.25">
      <c r="DG632" t="s">
        <v>5252</v>
      </c>
      <c r="DH632" t="s">
        <v>87</v>
      </c>
      <c r="DI632" t="s">
        <v>1082</v>
      </c>
      <c r="DJ632" t="s">
        <v>1083</v>
      </c>
      <c r="DK632" t="s">
        <v>692</v>
      </c>
      <c r="DL632">
        <v>34.62</v>
      </c>
      <c r="DM632" t="s">
        <v>670</v>
      </c>
      <c r="DN632" t="s">
        <v>669</v>
      </c>
      <c r="DO632">
        <v>0</v>
      </c>
      <c r="DP632">
        <v>0</v>
      </c>
      <c r="DQ632">
        <v>187</v>
      </c>
      <c r="DR632" t="s">
        <v>5253</v>
      </c>
      <c r="EB632" t="s">
        <v>5254</v>
      </c>
      <c r="EC632" t="s">
        <v>2317</v>
      </c>
      <c r="EE632" t="s">
        <v>222</v>
      </c>
    </row>
    <row r="633" ht="15" customHeight="1" spans="111:135" x14ac:dyDescent="0.25">
      <c r="DG633" t="s">
        <v>5255</v>
      </c>
      <c r="DH633" t="s">
        <v>87</v>
      </c>
      <c r="DI633" t="s">
        <v>1085</v>
      </c>
      <c r="DJ633" t="s">
        <v>1086</v>
      </c>
      <c r="DK633" t="s">
        <v>692</v>
      </c>
      <c r="DL633">
        <v>34.62</v>
      </c>
      <c r="DM633" t="s">
        <v>669</v>
      </c>
      <c r="DN633" t="s">
        <v>670</v>
      </c>
      <c r="DO633">
        <v>1</v>
      </c>
      <c r="DP633">
        <v>150</v>
      </c>
      <c r="DQ633">
        <v>150</v>
      </c>
      <c r="DR633" t="s">
        <v>5256</v>
      </c>
      <c r="EB633" t="s">
        <v>5257</v>
      </c>
      <c r="EC633" t="s">
        <v>2317</v>
      </c>
      <c r="EE633" t="s">
        <v>233</v>
      </c>
    </row>
    <row r="634" ht="15" customHeight="1" spans="111:135" x14ac:dyDescent="0.25">
      <c r="DG634" t="s">
        <v>5258</v>
      </c>
      <c r="DH634" t="s">
        <v>87</v>
      </c>
      <c r="DI634" t="s">
        <v>1088</v>
      </c>
      <c r="DJ634" t="s">
        <v>1089</v>
      </c>
      <c r="DK634" t="s">
        <v>692</v>
      </c>
      <c r="DL634">
        <v>34.62</v>
      </c>
      <c r="DM634" t="s">
        <v>669</v>
      </c>
      <c r="DN634" t="s">
        <v>670</v>
      </c>
      <c r="DO634">
        <v>1</v>
      </c>
      <c r="DP634">
        <v>1063.13</v>
      </c>
      <c r="DQ634">
        <v>1063.13</v>
      </c>
      <c r="DR634" t="s">
        <v>5259</v>
      </c>
      <c r="EB634" t="s">
        <v>5260</v>
      </c>
      <c r="EC634" t="s">
        <v>2317</v>
      </c>
      <c r="EE634" t="s">
        <v>225</v>
      </c>
    </row>
    <row r="635" ht="15" customHeight="1" spans="111:135" x14ac:dyDescent="0.25">
      <c r="DG635" t="s">
        <v>5261</v>
      </c>
      <c r="DH635" t="s">
        <v>87</v>
      </c>
      <c r="DI635" t="s">
        <v>1093</v>
      </c>
      <c r="DJ635" t="s">
        <v>1094</v>
      </c>
      <c r="DK635" t="s">
        <v>692</v>
      </c>
      <c r="DL635">
        <v>34.62</v>
      </c>
      <c r="DM635" t="s">
        <v>669</v>
      </c>
      <c r="DN635" t="s">
        <v>670</v>
      </c>
      <c r="DO635">
        <v>1</v>
      </c>
      <c r="DP635">
        <v>464</v>
      </c>
      <c r="DQ635">
        <v>464</v>
      </c>
      <c r="DR635" t="s">
        <v>5262</v>
      </c>
      <c r="EB635" t="s">
        <v>5263</v>
      </c>
      <c r="EC635" t="s">
        <v>2317</v>
      </c>
      <c r="EE635" t="s">
        <v>288</v>
      </c>
    </row>
    <row r="636" ht="15" customHeight="1" spans="111:135" x14ac:dyDescent="0.25">
      <c r="DG636" t="s">
        <v>5264</v>
      </c>
      <c r="DH636" t="s">
        <v>87</v>
      </c>
      <c r="DI636" t="s">
        <v>1096</v>
      </c>
      <c r="DJ636" t="s">
        <v>1097</v>
      </c>
      <c r="DK636" t="s">
        <v>692</v>
      </c>
      <c r="DL636">
        <v>34.62</v>
      </c>
      <c r="DM636" t="s">
        <v>669</v>
      </c>
      <c r="DN636" t="s">
        <v>670</v>
      </c>
      <c r="DO636">
        <v>1</v>
      </c>
      <c r="DP636">
        <v>221.72</v>
      </c>
      <c r="DQ636">
        <v>221.72</v>
      </c>
      <c r="DR636" t="s">
        <v>5265</v>
      </c>
      <c r="EB636" t="s">
        <v>5266</v>
      </c>
      <c r="EC636" t="s">
        <v>2317</v>
      </c>
      <c r="EE636" t="s">
        <v>269</v>
      </c>
    </row>
    <row r="637" ht="15" customHeight="1" spans="111:135" x14ac:dyDescent="0.25">
      <c r="DG637" t="s">
        <v>5267</v>
      </c>
      <c r="DH637" t="s">
        <v>87</v>
      </c>
      <c r="DI637" t="s">
        <v>1098</v>
      </c>
      <c r="DJ637" t="s">
        <v>1099</v>
      </c>
      <c r="DK637" t="s">
        <v>692</v>
      </c>
      <c r="DL637">
        <v>34.62</v>
      </c>
      <c r="DM637" t="s">
        <v>669</v>
      </c>
      <c r="DN637" t="s">
        <v>670</v>
      </c>
      <c r="DO637">
        <v>3</v>
      </c>
      <c r="DP637">
        <v>273</v>
      </c>
      <c r="DQ637">
        <v>273</v>
      </c>
      <c r="DR637" t="s">
        <v>5268</v>
      </c>
      <c r="EB637" t="s">
        <v>5269</v>
      </c>
      <c r="EC637" t="s">
        <v>2317</v>
      </c>
      <c r="EE637" t="s">
        <v>237</v>
      </c>
    </row>
    <row r="638" ht="15" customHeight="1" spans="111:135" x14ac:dyDescent="0.25">
      <c r="DG638" t="s">
        <v>5270</v>
      </c>
      <c r="DH638" t="s">
        <v>87</v>
      </c>
      <c r="DI638" t="s">
        <v>1100</v>
      </c>
      <c r="DJ638" t="s">
        <v>1101</v>
      </c>
      <c r="DK638" t="s">
        <v>692</v>
      </c>
      <c r="DL638">
        <v>34.62</v>
      </c>
      <c r="DM638" t="s">
        <v>670</v>
      </c>
      <c r="DN638" t="s">
        <v>670</v>
      </c>
      <c r="DO638">
        <v>8</v>
      </c>
      <c r="DP638">
        <v>728</v>
      </c>
      <c r="DQ638">
        <v>819</v>
      </c>
      <c r="DR638" t="s">
        <v>5271</v>
      </c>
      <c r="EB638" t="s">
        <v>5272</v>
      </c>
      <c r="EC638" t="s">
        <v>2317</v>
      </c>
      <c r="EE638" t="s">
        <v>249</v>
      </c>
    </row>
    <row r="639" ht="15" customHeight="1" spans="111:135" x14ac:dyDescent="0.25">
      <c r="DG639" t="s">
        <v>5273</v>
      </c>
      <c r="DH639" t="s">
        <v>87</v>
      </c>
      <c r="DI639" t="s">
        <v>1102</v>
      </c>
      <c r="DJ639" t="s">
        <v>1103</v>
      </c>
      <c r="DK639" t="s">
        <v>692</v>
      </c>
      <c r="DL639">
        <v>34.62</v>
      </c>
      <c r="DM639" t="s">
        <v>669</v>
      </c>
      <c r="DN639" t="s">
        <v>670</v>
      </c>
      <c r="DO639">
        <v>1</v>
      </c>
      <c r="DP639">
        <v>767</v>
      </c>
      <c r="DQ639">
        <v>767</v>
      </c>
      <c r="DR639" t="s">
        <v>5274</v>
      </c>
      <c r="EB639" t="s">
        <v>5275</v>
      </c>
      <c r="EC639" t="s">
        <v>2317</v>
      </c>
      <c r="EE639" t="s">
        <v>293</v>
      </c>
    </row>
    <row r="640" ht="15" customHeight="1" spans="111:135" x14ac:dyDescent="0.25">
      <c r="DG640" t="s">
        <v>5276</v>
      </c>
      <c r="DH640" t="s">
        <v>87</v>
      </c>
      <c r="DJ640" t="s">
        <v>677</v>
      </c>
      <c r="DK640" t="s">
        <v>668</v>
      </c>
      <c r="DL640">
        <v>30.77</v>
      </c>
      <c r="DM640" t="s">
        <v>669</v>
      </c>
      <c r="DN640" t="s">
        <v>669</v>
      </c>
      <c r="DO640">
        <v>0</v>
      </c>
      <c r="DP640">
        <v>0</v>
      </c>
      <c r="DQ640">
        <v>0</v>
      </c>
      <c r="DR640" t="s">
        <v>4926</v>
      </c>
      <c r="EB640" t="s">
        <v>5277</v>
      </c>
      <c r="EC640" t="s">
        <v>2317</v>
      </c>
      <c r="EE640" t="s">
        <v>280</v>
      </c>
    </row>
    <row r="641" ht="15" customHeight="1" spans="111:135" x14ac:dyDescent="0.25">
      <c r="DG641" t="s">
        <v>5278</v>
      </c>
      <c r="DH641" t="s">
        <v>87</v>
      </c>
      <c r="DJ641" t="s">
        <v>962</v>
      </c>
      <c r="DK641" t="s">
        <v>668</v>
      </c>
      <c r="DL641">
        <v>30.77</v>
      </c>
      <c r="DM641" t="s">
        <v>669</v>
      </c>
      <c r="DN641" t="s">
        <v>669</v>
      </c>
      <c r="DO641">
        <v>0</v>
      </c>
      <c r="DP641">
        <v>0</v>
      </c>
      <c r="DQ641">
        <v>0</v>
      </c>
      <c r="DR641" t="s">
        <v>5141</v>
      </c>
      <c r="EB641" t="s">
        <v>5279</v>
      </c>
      <c r="EC641" t="s">
        <v>2317</v>
      </c>
      <c r="EE641" t="s">
        <v>264</v>
      </c>
    </row>
    <row r="642" ht="15" customHeight="1" spans="111:135" x14ac:dyDescent="0.25">
      <c r="DG642" t="s">
        <v>5280</v>
      </c>
      <c r="DH642" t="s">
        <v>87</v>
      </c>
      <c r="DI642" t="s">
        <v>1107</v>
      </c>
      <c r="DJ642" t="s">
        <v>1108</v>
      </c>
      <c r="DK642" t="s">
        <v>668</v>
      </c>
      <c r="DL642">
        <v>30.77</v>
      </c>
      <c r="DM642" t="s">
        <v>670</v>
      </c>
      <c r="DN642" t="s">
        <v>670</v>
      </c>
      <c r="DO642">
        <v>0</v>
      </c>
      <c r="DP642">
        <v>0</v>
      </c>
      <c r="DQ642">
        <v>120</v>
      </c>
      <c r="DR642" t="s">
        <v>5281</v>
      </c>
      <c r="EB642" t="s">
        <v>5282</v>
      </c>
      <c r="EC642" t="s">
        <v>2317</v>
      </c>
      <c r="EE642" t="s">
        <v>278</v>
      </c>
    </row>
    <row r="643" ht="15" customHeight="1" spans="111:135" x14ac:dyDescent="0.25">
      <c r="DG643" t="s">
        <v>5283</v>
      </c>
      <c r="DH643" t="s">
        <v>87</v>
      </c>
      <c r="DI643" t="s">
        <v>1112</v>
      </c>
      <c r="DJ643" t="s">
        <v>1113</v>
      </c>
      <c r="DK643" t="s">
        <v>668</v>
      </c>
      <c r="DL643">
        <v>30.77</v>
      </c>
      <c r="DM643" t="s">
        <v>670</v>
      </c>
      <c r="DN643" t="s">
        <v>669</v>
      </c>
      <c r="DO643">
        <v>0</v>
      </c>
      <c r="DP643">
        <v>0</v>
      </c>
      <c r="DQ643">
        <v>2669.03</v>
      </c>
      <c r="DR643" t="s">
        <v>5284</v>
      </c>
      <c r="EB643" t="s">
        <v>5285</v>
      </c>
      <c r="EC643" t="s">
        <v>2317</v>
      </c>
      <c r="EE643" t="s">
        <v>240</v>
      </c>
    </row>
    <row r="644" ht="15" customHeight="1" spans="111:135" x14ac:dyDescent="0.25">
      <c r="DG644" t="s">
        <v>5286</v>
      </c>
      <c r="DH644" t="s">
        <v>87</v>
      </c>
      <c r="DI644" t="s">
        <v>1115</v>
      </c>
      <c r="DJ644" t="s">
        <v>1116</v>
      </c>
      <c r="DK644" t="s">
        <v>668</v>
      </c>
      <c r="DL644">
        <v>30.77</v>
      </c>
      <c r="DM644" t="s">
        <v>669</v>
      </c>
      <c r="DN644" t="s">
        <v>670</v>
      </c>
      <c r="DO644">
        <v>1</v>
      </c>
      <c r="DP644">
        <v>31.55</v>
      </c>
      <c r="DQ644">
        <v>31.55</v>
      </c>
      <c r="DR644" t="s">
        <v>5287</v>
      </c>
      <c r="EB644" t="s">
        <v>5288</v>
      </c>
      <c r="EC644" t="s">
        <v>2317</v>
      </c>
      <c r="EE644" t="s">
        <v>252</v>
      </c>
    </row>
    <row r="645" ht="15" customHeight="1" spans="111:135" x14ac:dyDescent="0.25">
      <c r="DG645" t="s">
        <v>5289</v>
      </c>
      <c r="DH645" t="s">
        <v>87</v>
      </c>
      <c r="DI645" t="s">
        <v>1118</v>
      </c>
      <c r="DJ645" t="s">
        <v>1119</v>
      </c>
      <c r="DK645" t="s">
        <v>668</v>
      </c>
      <c r="DL645">
        <v>30.77</v>
      </c>
      <c r="DM645" t="s">
        <v>670</v>
      </c>
      <c r="DN645" t="s">
        <v>670</v>
      </c>
      <c r="DO645">
        <v>1.5</v>
      </c>
      <c r="DP645">
        <v>67.39</v>
      </c>
      <c r="DQ645">
        <v>336.98</v>
      </c>
      <c r="DR645" t="s">
        <v>5290</v>
      </c>
      <c r="EB645" t="s">
        <v>5291</v>
      </c>
      <c r="EC645" t="s">
        <v>2317</v>
      </c>
      <c r="EE645" t="s">
        <v>229</v>
      </c>
    </row>
    <row r="646" ht="15" customHeight="1" spans="111:135" x14ac:dyDescent="0.25">
      <c r="DG646" t="s">
        <v>5292</v>
      </c>
      <c r="DH646" t="s">
        <v>87</v>
      </c>
      <c r="DI646" t="s">
        <v>1120</v>
      </c>
      <c r="DJ646" t="s">
        <v>1121</v>
      </c>
      <c r="DK646" t="s">
        <v>668</v>
      </c>
      <c r="DL646">
        <v>30.77</v>
      </c>
      <c r="DM646" t="s">
        <v>669</v>
      </c>
      <c r="DN646" t="s">
        <v>670</v>
      </c>
      <c r="DO646">
        <v>1</v>
      </c>
      <c r="DP646">
        <v>62.24</v>
      </c>
      <c r="DQ646">
        <v>62.24</v>
      </c>
      <c r="DR646" t="s">
        <v>5293</v>
      </c>
      <c r="EB646" t="s">
        <v>5294</v>
      </c>
      <c r="EC646" t="s">
        <v>2317</v>
      </c>
      <c r="EE646" t="s">
        <v>246</v>
      </c>
    </row>
    <row r="647" ht="15" customHeight="1" spans="111:135" x14ac:dyDescent="0.25">
      <c r="DG647" t="s">
        <v>5295</v>
      </c>
      <c r="DH647" t="s">
        <v>87</v>
      </c>
      <c r="DI647" t="s">
        <v>1123</v>
      </c>
      <c r="DJ647" t="s">
        <v>1124</v>
      </c>
      <c r="DK647" t="s">
        <v>668</v>
      </c>
      <c r="DL647">
        <v>30.77</v>
      </c>
      <c r="DM647" t="s">
        <v>669</v>
      </c>
      <c r="DN647" t="s">
        <v>670</v>
      </c>
      <c r="DO647">
        <v>1</v>
      </c>
      <c r="DP647">
        <v>21.02</v>
      </c>
      <c r="DQ647">
        <v>21.02</v>
      </c>
      <c r="DR647" t="s">
        <v>5296</v>
      </c>
      <c r="EB647" t="s">
        <v>5297</v>
      </c>
      <c r="EC647" t="s">
        <v>2317</v>
      </c>
      <c r="EE647" t="s">
        <v>255</v>
      </c>
    </row>
    <row r="648" ht="15" customHeight="1" spans="111:135" x14ac:dyDescent="0.25">
      <c r="DG648" t="s">
        <v>5298</v>
      </c>
      <c r="DH648" t="s">
        <v>87</v>
      </c>
      <c r="DI648" t="s">
        <v>1126</v>
      </c>
      <c r="DJ648" t="s">
        <v>1127</v>
      </c>
      <c r="DK648" t="s">
        <v>668</v>
      </c>
      <c r="DL648">
        <v>30.77</v>
      </c>
      <c r="DM648" t="s">
        <v>670</v>
      </c>
      <c r="DN648" t="s">
        <v>669</v>
      </c>
      <c r="DO648">
        <v>0</v>
      </c>
      <c r="DP648">
        <v>0</v>
      </c>
      <c r="DQ648">
        <v>14.57</v>
      </c>
      <c r="DR648" t="s">
        <v>5299</v>
      </c>
      <c r="EB648" t="s">
        <v>5300</v>
      </c>
      <c r="EC648" t="s">
        <v>2317</v>
      </c>
      <c r="EE648" t="s">
        <v>243</v>
      </c>
    </row>
    <row r="649" ht="15" customHeight="1" spans="111:140" x14ac:dyDescent="0.25">
      <c r="DG649" t="s">
        <v>5301</v>
      </c>
      <c r="DH649" t="s">
        <v>87</v>
      </c>
      <c r="DI649" t="s">
        <v>1129</v>
      </c>
      <c r="DJ649" t="s">
        <v>1130</v>
      </c>
      <c r="DK649" t="s">
        <v>668</v>
      </c>
      <c r="DL649">
        <v>30.77</v>
      </c>
      <c r="DM649" t="s">
        <v>670</v>
      </c>
      <c r="DN649" t="s">
        <v>669</v>
      </c>
      <c r="DO649">
        <v>0</v>
      </c>
      <c r="DP649">
        <v>0</v>
      </c>
      <c r="DQ649">
        <v>88.19</v>
      </c>
      <c r="DR649" t="s">
        <v>5302</v>
      </c>
      <c r="EB649" t="s">
        <v>5303</v>
      </c>
      <c r="EC649" t="s">
        <v>2317</v>
      </c>
      <c r="ED649" t="s">
        <v>2318</v>
      </c>
      <c r="EE649" t="s">
        <v>261</v>
      </c>
      <c r="EF649" t="s">
        <v>259</v>
      </c>
      <c r="EG649">
        <v>1</v>
      </c>
      <c r="EH649">
        <v>1</v>
      </c>
      <c r="EI649">
        <v>1</v>
      </c>
      <c r="EJ649">
        <v>1</v>
      </c>
    </row>
    <row r="650" ht="15" customHeight="1" spans="111:135" x14ac:dyDescent="0.25">
      <c r="DG650" t="s">
        <v>5304</v>
      </c>
      <c r="DH650" t="s">
        <v>87</v>
      </c>
      <c r="DI650" t="s">
        <v>468</v>
      </c>
      <c r="DJ650" t="s">
        <v>469</v>
      </c>
      <c r="DK650" t="s">
        <v>1079</v>
      </c>
      <c r="DL650">
        <v>30.77</v>
      </c>
      <c r="DM650" t="s">
        <v>669</v>
      </c>
      <c r="DN650" t="s">
        <v>670</v>
      </c>
      <c r="DO650">
        <v>1</v>
      </c>
      <c r="DP650">
        <v>0.1</v>
      </c>
      <c r="DQ650">
        <v>0.1</v>
      </c>
      <c r="DR650" t="s">
        <v>5305</v>
      </c>
      <c r="EB650" t="s">
        <v>5306</v>
      </c>
      <c r="EC650" t="s">
        <v>2317</v>
      </c>
      <c r="EE650" t="s">
        <v>296</v>
      </c>
    </row>
    <row r="651" ht="15" customHeight="1" spans="111:135" x14ac:dyDescent="0.25">
      <c r="DG651" t="s">
        <v>5307</v>
      </c>
      <c r="DH651" t="s">
        <v>87</v>
      </c>
      <c r="DJ651" t="s">
        <v>727</v>
      </c>
      <c r="DK651" t="s">
        <v>692</v>
      </c>
      <c r="DL651">
        <v>30.77</v>
      </c>
      <c r="DM651" t="s">
        <v>669</v>
      </c>
      <c r="DN651" t="s">
        <v>669</v>
      </c>
      <c r="DO651">
        <v>0</v>
      </c>
      <c r="DP651">
        <v>0</v>
      </c>
      <c r="DQ651">
        <v>0</v>
      </c>
      <c r="DR651" t="s">
        <v>4965</v>
      </c>
      <c r="EB651" t="s">
        <v>5308</v>
      </c>
      <c r="EC651" t="s">
        <v>2434</v>
      </c>
      <c r="EE651" t="s">
        <v>620</v>
      </c>
    </row>
    <row r="652" ht="15" customHeight="1" spans="111:135" x14ac:dyDescent="0.25">
      <c r="DG652" t="s">
        <v>5309</v>
      </c>
      <c r="DH652" t="s">
        <v>87</v>
      </c>
      <c r="DI652" t="s">
        <v>1135</v>
      </c>
      <c r="DJ652" t="s">
        <v>1136</v>
      </c>
      <c r="DK652" t="s">
        <v>692</v>
      </c>
      <c r="DL652">
        <v>30.77</v>
      </c>
      <c r="DM652" t="s">
        <v>669</v>
      </c>
      <c r="DN652" t="s">
        <v>670</v>
      </c>
      <c r="DO652">
        <v>40</v>
      </c>
      <c r="DP652">
        <v>937.2</v>
      </c>
      <c r="DQ652">
        <v>937.2</v>
      </c>
      <c r="DR652" t="s">
        <v>5310</v>
      </c>
      <c r="EB652" t="s">
        <v>5311</v>
      </c>
      <c r="EC652" t="s">
        <v>2434</v>
      </c>
      <c r="EE652" t="s">
        <v>618</v>
      </c>
    </row>
    <row r="653" ht="15" customHeight="1" spans="111:135" x14ac:dyDescent="0.25">
      <c r="DG653" t="s">
        <v>5312</v>
      </c>
      <c r="DH653" t="s">
        <v>87</v>
      </c>
      <c r="DI653" t="s">
        <v>1138</v>
      </c>
      <c r="DJ653" t="s">
        <v>1139</v>
      </c>
      <c r="DK653" t="s">
        <v>692</v>
      </c>
      <c r="DL653">
        <v>30.77</v>
      </c>
      <c r="DM653" t="s">
        <v>669</v>
      </c>
      <c r="DN653" t="s">
        <v>670</v>
      </c>
      <c r="DO653">
        <v>1</v>
      </c>
      <c r="DP653">
        <v>5.32</v>
      </c>
      <c r="DQ653">
        <v>5.32</v>
      </c>
      <c r="DR653" t="s">
        <v>5313</v>
      </c>
      <c r="EB653" t="s">
        <v>5314</v>
      </c>
      <c r="EC653" t="s">
        <v>2434</v>
      </c>
      <c r="EE653" t="s">
        <v>616</v>
      </c>
    </row>
    <row r="654" ht="15" customHeight="1" spans="111:135" x14ac:dyDescent="0.25">
      <c r="DG654" t="s">
        <v>5315</v>
      </c>
      <c r="DH654" t="s">
        <v>87</v>
      </c>
      <c r="DI654" t="s">
        <v>1141</v>
      </c>
      <c r="DJ654" t="s">
        <v>1142</v>
      </c>
      <c r="DK654" t="s">
        <v>692</v>
      </c>
      <c r="DL654">
        <v>30.77</v>
      </c>
      <c r="DM654" t="s">
        <v>669</v>
      </c>
      <c r="DN654" t="s">
        <v>670</v>
      </c>
      <c r="DO654">
        <v>1</v>
      </c>
      <c r="DP654">
        <v>3.98</v>
      </c>
      <c r="DQ654">
        <v>3.98</v>
      </c>
      <c r="DR654" t="s">
        <v>5316</v>
      </c>
      <c r="EB654" t="s">
        <v>5317</v>
      </c>
      <c r="EC654" t="s">
        <v>2434</v>
      </c>
      <c r="EE654" t="s">
        <v>614</v>
      </c>
    </row>
    <row r="655" ht="15" customHeight="1" spans="111:135" x14ac:dyDescent="0.25">
      <c r="DG655" t="s">
        <v>5318</v>
      </c>
      <c r="DH655" t="s">
        <v>87</v>
      </c>
      <c r="DJ655" t="s">
        <v>900</v>
      </c>
      <c r="DK655" t="s">
        <v>668</v>
      </c>
      <c r="DL655">
        <v>26.92</v>
      </c>
      <c r="DM655" t="s">
        <v>669</v>
      </c>
      <c r="DN655" t="s">
        <v>669</v>
      </c>
      <c r="DO655">
        <v>0</v>
      </c>
      <c r="DP655">
        <v>0</v>
      </c>
      <c r="DQ655">
        <v>0</v>
      </c>
      <c r="DR655" t="s">
        <v>5090</v>
      </c>
      <c r="EB655" t="s">
        <v>5319</v>
      </c>
      <c r="EC655" t="s">
        <v>2434</v>
      </c>
      <c r="EE655" t="s">
        <v>612</v>
      </c>
    </row>
    <row r="656" ht="15" customHeight="1" spans="111:140" x14ac:dyDescent="0.25">
      <c r="DG656" t="s">
        <v>5320</v>
      </c>
      <c r="DH656" t="s">
        <v>87</v>
      </c>
      <c r="DI656" t="s">
        <v>1146</v>
      </c>
      <c r="DJ656" t="s">
        <v>1147</v>
      </c>
      <c r="DK656" t="s">
        <v>668</v>
      </c>
      <c r="DL656">
        <v>26.92</v>
      </c>
      <c r="DM656" t="s">
        <v>670</v>
      </c>
      <c r="DN656" t="s">
        <v>669</v>
      </c>
      <c r="DO656">
        <v>0</v>
      </c>
      <c r="DP656">
        <v>0</v>
      </c>
      <c r="DQ656">
        <v>33.2</v>
      </c>
      <c r="DR656" t="s">
        <v>5321</v>
      </c>
      <c r="EB656" t="s">
        <v>5322</v>
      </c>
      <c r="EC656" t="s">
        <v>2434</v>
      </c>
      <c r="ED656" t="s">
        <v>2435</v>
      </c>
      <c r="EE656" t="s">
        <v>610</v>
      </c>
      <c r="EF656" t="s">
        <v>2336</v>
      </c>
      <c r="EG656">
        <v>460</v>
      </c>
      <c r="EH656">
        <v>500</v>
      </c>
      <c r="EI656">
        <v>550</v>
      </c>
      <c r="EJ656">
        <v>570</v>
      </c>
    </row>
    <row r="657" ht="15" customHeight="1" spans="111:140" x14ac:dyDescent="0.25">
      <c r="DG657" t="s">
        <v>5323</v>
      </c>
      <c r="DH657" t="s">
        <v>87</v>
      </c>
      <c r="DI657" t="s">
        <v>1149</v>
      </c>
      <c r="DJ657" t="s">
        <v>1150</v>
      </c>
      <c r="DK657" t="s">
        <v>692</v>
      </c>
      <c r="DL657">
        <v>26.92</v>
      </c>
      <c r="DM657" t="s">
        <v>670</v>
      </c>
      <c r="DN657" t="s">
        <v>669</v>
      </c>
      <c r="DO657">
        <v>0</v>
      </c>
      <c r="DP657">
        <v>0</v>
      </c>
      <c r="DQ657">
        <v>570</v>
      </c>
      <c r="DR657" t="s">
        <v>5324</v>
      </c>
      <c r="EB657" t="s">
        <v>5325</v>
      </c>
      <c r="EC657" t="s">
        <v>2434</v>
      </c>
      <c r="ED657" t="s">
        <v>2435</v>
      </c>
      <c r="EE657" t="s">
        <v>608</v>
      </c>
      <c r="EF657" t="s">
        <v>2352</v>
      </c>
      <c r="EG657">
        <v>980</v>
      </c>
      <c r="EH657">
        <v>1080</v>
      </c>
      <c r="EI657">
        <v>1170</v>
      </c>
      <c r="EJ657">
        <v>1170</v>
      </c>
    </row>
    <row r="658" ht="15" customHeight="1" spans="111:140" x14ac:dyDescent="0.25">
      <c r="DG658" t="s">
        <v>5326</v>
      </c>
      <c r="DH658" t="s">
        <v>87</v>
      </c>
      <c r="DI658" t="s">
        <v>1154</v>
      </c>
      <c r="DJ658" t="s">
        <v>1155</v>
      </c>
      <c r="DK658" t="s">
        <v>692</v>
      </c>
      <c r="DL658">
        <v>26.92</v>
      </c>
      <c r="DM658" t="s">
        <v>669</v>
      </c>
      <c r="DN658" t="s">
        <v>670</v>
      </c>
      <c r="DO658">
        <v>1</v>
      </c>
      <c r="DP658">
        <v>277</v>
      </c>
      <c r="DQ658">
        <v>277</v>
      </c>
      <c r="DR658" t="s">
        <v>5327</v>
      </c>
      <c r="EB658" t="s">
        <v>5328</v>
      </c>
      <c r="EC658" t="s">
        <v>2434</v>
      </c>
      <c r="ED658" t="s">
        <v>2435</v>
      </c>
      <c r="EE658" t="s">
        <v>606</v>
      </c>
      <c r="EF658" t="s">
        <v>2371</v>
      </c>
      <c r="EG658">
        <v>740</v>
      </c>
      <c r="EH658">
        <v>740</v>
      </c>
      <c r="EI658">
        <v>740</v>
      </c>
      <c r="EJ658">
        <v>770</v>
      </c>
    </row>
    <row r="659" ht="15" customHeight="1" spans="111:140" x14ac:dyDescent="0.25">
      <c r="DG659" t="s">
        <v>5329</v>
      </c>
      <c r="DH659" t="s">
        <v>87</v>
      </c>
      <c r="DI659" t="s">
        <v>1157</v>
      </c>
      <c r="DJ659" t="s">
        <v>1158</v>
      </c>
      <c r="DK659" t="s">
        <v>692</v>
      </c>
      <c r="DL659">
        <v>26.92</v>
      </c>
      <c r="DM659" t="s">
        <v>669</v>
      </c>
      <c r="DN659" t="s">
        <v>670</v>
      </c>
      <c r="DO659">
        <v>1</v>
      </c>
      <c r="DP659">
        <v>650</v>
      </c>
      <c r="DQ659">
        <v>650</v>
      </c>
      <c r="DR659" t="s">
        <v>5330</v>
      </c>
      <c r="EB659" t="s">
        <v>5331</v>
      </c>
      <c r="EC659" t="s">
        <v>2434</v>
      </c>
      <c r="ED659" t="s">
        <v>2435</v>
      </c>
      <c r="EE659" t="s">
        <v>603</v>
      </c>
      <c r="EF659" t="s">
        <v>2387</v>
      </c>
      <c r="EG659">
        <v>280</v>
      </c>
      <c r="EH659">
        <v>280</v>
      </c>
      <c r="EI659">
        <v>280</v>
      </c>
      <c r="EJ659">
        <v>280</v>
      </c>
    </row>
    <row r="660" ht="15" customHeight="1" spans="111:140" x14ac:dyDescent="0.25">
      <c r="DG660" t="s">
        <v>5332</v>
      </c>
      <c r="DH660" t="s">
        <v>87</v>
      </c>
      <c r="DI660" t="s">
        <v>1161</v>
      </c>
      <c r="DJ660" t="s">
        <v>204</v>
      </c>
      <c r="DK660" t="s">
        <v>692</v>
      </c>
      <c r="DL660">
        <v>26.92</v>
      </c>
      <c r="DM660" t="s">
        <v>669</v>
      </c>
      <c r="DN660" t="s">
        <v>670</v>
      </c>
      <c r="DO660">
        <v>1</v>
      </c>
      <c r="DP660">
        <v>4218.6</v>
      </c>
      <c r="DQ660">
        <v>4218.6</v>
      </c>
      <c r="DR660" t="s">
        <v>5333</v>
      </c>
      <c r="EB660" t="s">
        <v>5334</v>
      </c>
      <c r="EC660" t="s">
        <v>2434</v>
      </c>
      <c r="ED660" t="s">
        <v>2435</v>
      </c>
      <c r="EE660" t="s">
        <v>601</v>
      </c>
      <c r="EF660" t="s">
        <v>2404</v>
      </c>
      <c r="EG660">
        <v>1</v>
      </c>
      <c r="EH660">
        <v>1</v>
      </c>
      <c r="EI660">
        <v>1</v>
      </c>
      <c r="EJ660">
        <v>1</v>
      </c>
    </row>
    <row r="661" ht="15" customHeight="1" spans="111:140" x14ac:dyDescent="0.25">
      <c r="DG661" t="s">
        <v>5335</v>
      </c>
      <c r="DH661" t="s">
        <v>87</v>
      </c>
      <c r="DI661" t="s">
        <v>1165</v>
      </c>
      <c r="DJ661" t="s">
        <v>201</v>
      </c>
      <c r="DK661" t="s">
        <v>692</v>
      </c>
      <c r="DL661">
        <v>26.92</v>
      </c>
      <c r="DM661" t="s">
        <v>669</v>
      </c>
      <c r="DN661" t="s">
        <v>670</v>
      </c>
      <c r="DO661">
        <v>3</v>
      </c>
      <c r="DP661">
        <v>10578</v>
      </c>
      <c r="DQ661">
        <v>10578</v>
      </c>
      <c r="DR661" t="s">
        <v>5336</v>
      </c>
      <c r="EB661" t="s">
        <v>5337</v>
      </c>
      <c r="EC661" t="s">
        <v>2434</v>
      </c>
      <c r="ED661" t="s">
        <v>2435</v>
      </c>
      <c r="EE661" t="s">
        <v>599</v>
      </c>
      <c r="EF661" t="s">
        <v>2421</v>
      </c>
      <c r="EG661">
        <v>930</v>
      </c>
      <c r="EH661">
        <v>930</v>
      </c>
      <c r="EI661">
        <v>930</v>
      </c>
      <c r="EJ661">
        <v>930</v>
      </c>
    </row>
    <row r="662" ht="15" customHeight="1" spans="111:140" x14ac:dyDescent="0.25">
      <c r="DG662" t="s">
        <v>5338</v>
      </c>
      <c r="DH662" t="s">
        <v>87</v>
      </c>
      <c r="DI662" t="s">
        <v>1167</v>
      </c>
      <c r="DJ662" t="s">
        <v>1168</v>
      </c>
      <c r="DK662" t="s">
        <v>692</v>
      </c>
      <c r="DL662">
        <v>26.92</v>
      </c>
      <c r="DM662" t="s">
        <v>669</v>
      </c>
      <c r="DN662" t="s">
        <v>670</v>
      </c>
      <c r="DO662">
        <v>1</v>
      </c>
      <c r="DP662">
        <v>221.5</v>
      </c>
      <c r="DQ662">
        <v>221.5</v>
      </c>
      <c r="DR662" t="s">
        <v>5339</v>
      </c>
      <c r="EB662" t="s">
        <v>5340</v>
      </c>
      <c r="EC662" t="s">
        <v>2434</v>
      </c>
      <c r="ED662" t="s">
        <v>2435</v>
      </c>
      <c r="EE662" t="s">
        <v>623</v>
      </c>
      <c r="EF662" t="s">
        <v>2437</v>
      </c>
      <c r="EG662">
        <v>1200</v>
      </c>
      <c r="EH662">
        <v>1200</v>
      </c>
      <c r="EI662">
        <v>1200</v>
      </c>
      <c r="EJ662">
        <v>1200</v>
      </c>
    </row>
    <row r="663" ht="15" customHeight="1" spans="111:135" x14ac:dyDescent="0.25">
      <c r="DG663" t="s">
        <v>5341</v>
      </c>
      <c r="DH663" t="s">
        <v>87</v>
      </c>
      <c r="DI663" t="s">
        <v>1169</v>
      </c>
      <c r="DJ663" t="s">
        <v>1170</v>
      </c>
      <c r="DK663" t="s">
        <v>692</v>
      </c>
      <c r="DL663">
        <v>26.92</v>
      </c>
      <c r="DM663" t="s">
        <v>669</v>
      </c>
      <c r="DN663" t="s">
        <v>670</v>
      </c>
      <c r="DO663">
        <v>4</v>
      </c>
      <c r="DP663">
        <v>363.76</v>
      </c>
      <c r="DQ663">
        <v>363.76</v>
      </c>
      <c r="DR663" t="s">
        <v>5342</v>
      </c>
      <c r="EB663" t="s">
        <v>5343</v>
      </c>
      <c r="EC663" t="s">
        <v>2434</v>
      </c>
      <c r="EE663" t="s">
        <v>596</v>
      </c>
    </row>
    <row r="664" ht="15" customHeight="1" spans="111:140" x14ac:dyDescent="0.25">
      <c r="DG664" t="s">
        <v>5344</v>
      </c>
      <c r="DH664" t="s">
        <v>87</v>
      </c>
      <c r="DI664" t="s">
        <v>1171</v>
      </c>
      <c r="DJ664" t="s">
        <v>1172</v>
      </c>
      <c r="DK664" t="s">
        <v>692</v>
      </c>
      <c r="DL664">
        <v>26.92</v>
      </c>
      <c r="DM664" t="s">
        <v>670</v>
      </c>
      <c r="DN664" t="s">
        <v>670</v>
      </c>
      <c r="DO664">
        <v>0</v>
      </c>
      <c r="DP664">
        <v>0</v>
      </c>
      <c r="DQ664">
        <v>75.75</v>
      </c>
      <c r="DR664" t="s">
        <v>5345</v>
      </c>
      <c r="EB664" t="s">
        <v>5346</v>
      </c>
      <c r="EC664" t="s">
        <v>2434</v>
      </c>
      <c r="ED664" t="s">
        <v>2435</v>
      </c>
      <c r="EE664" t="s">
        <v>593</v>
      </c>
      <c r="EF664" t="s">
        <v>2469</v>
      </c>
      <c r="EG664">
        <v>1</v>
      </c>
      <c r="EH664">
        <v>1</v>
      </c>
      <c r="EI664">
        <v>1</v>
      </c>
      <c r="EJ664">
        <v>1</v>
      </c>
    </row>
    <row r="665" ht="15" customHeight="1" spans="111:140" x14ac:dyDescent="0.25">
      <c r="DG665" t="s">
        <v>5347</v>
      </c>
      <c r="DH665" t="s">
        <v>87</v>
      </c>
      <c r="DI665" t="s">
        <v>1175</v>
      </c>
      <c r="DJ665" t="s">
        <v>1176</v>
      </c>
      <c r="DK665" t="s">
        <v>692</v>
      </c>
      <c r="DL665">
        <v>26.92</v>
      </c>
      <c r="DM665" t="s">
        <v>670</v>
      </c>
      <c r="DN665" t="s">
        <v>669</v>
      </c>
      <c r="DO665">
        <v>0</v>
      </c>
      <c r="DP665">
        <v>0</v>
      </c>
      <c r="DQ665">
        <v>1650</v>
      </c>
      <c r="DR665" t="s">
        <v>5348</v>
      </c>
      <c r="EB665" t="s">
        <v>5349</v>
      </c>
      <c r="EC665" t="s">
        <v>2434</v>
      </c>
      <c r="ED665" t="s">
        <v>2435</v>
      </c>
      <c r="EE665" t="s">
        <v>591</v>
      </c>
      <c r="EF665" t="s">
        <v>3058</v>
      </c>
      <c r="EG665">
        <v>1000</v>
      </c>
      <c r="EH665">
        <v>1000</v>
      </c>
      <c r="EI665">
        <v>1000</v>
      </c>
      <c r="EJ665">
        <v>1000</v>
      </c>
    </row>
    <row r="666" ht="15" customHeight="1" spans="111:140" x14ac:dyDescent="0.25">
      <c r="DG666" t="s">
        <v>5350</v>
      </c>
      <c r="DH666" t="s">
        <v>87</v>
      </c>
      <c r="DI666" t="s">
        <v>1180</v>
      </c>
      <c r="DJ666" t="s">
        <v>1181</v>
      </c>
      <c r="DK666" t="s">
        <v>668</v>
      </c>
      <c r="DL666">
        <v>23.08</v>
      </c>
      <c r="DM666" t="s">
        <v>669</v>
      </c>
      <c r="DN666" t="s">
        <v>670</v>
      </c>
      <c r="DO666">
        <v>1</v>
      </c>
      <c r="DP666">
        <v>96.8</v>
      </c>
      <c r="DQ666">
        <v>96.8</v>
      </c>
      <c r="DR666" t="s">
        <v>5351</v>
      </c>
      <c r="EB666" t="s">
        <v>5352</v>
      </c>
      <c r="EC666" t="s">
        <v>2434</v>
      </c>
      <c r="ED666" t="s">
        <v>2435</v>
      </c>
      <c r="EE666" t="s">
        <v>2423</v>
      </c>
      <c r="EF666" t="s">
        <v>2424</v>
      </c>
      <c r="EG666">
        <v>45900</v>
      </c>
      <c r="EH666">
        <v>45900</v>
      </c>
      <c r="EI666">
        <v>45900</v>
      </c>
      <c r="EJ666">
        <v>45900</v>
      </c>
    </row>
    <row r="667" ht="15" customHeight="1" spans="111:135" x14ac:dyDescent="0.25">
      <c r="DG667" t="s">
        <v>5353</v>
      </c>
      <c r="DH667" t="s">
        <v>87</v>
      </c>
      <c r="DI667" t="s">
        <v>1185</v>
      </c>
      <c r="DJ667" t="s">
        <v>1186</v>
      </c>
      <c r="DK667" t="s">
        <v>668</v>
      </c>
      <c r="DL667">
        <v>23.08</v>
      </c>
      <c r="DM667" t="s">
        <v>670</v>
      </c>
      <c r="DN667" t="s">
        <v>669</v>
      </c>
      <c r="DO667">
        <v>0</v>
      </c>
      <c r="DP667">
        <v>0</v>
      </c>
      <c r="DQ667">
        <v>71.43</v>
      </c>
      <c r="DR667" t="s">
        <v>5354</v>
      </c>
      <c r="EB667" t="s">
        <v>5355</v>
      </c>
      <c r="EC667" t="s">
        <v>2434</v>
      </c>
      <c r="EE667" t="s">
        <v>584</v>
      </c>
    </row>
    <row r="668" ht="15" customHeight="1" spans="111:140" x14ac:dyDescent="0.25">
      <c r="DG668" t="s">
        <v>5356</v>
      </c>
      <c r="DH668" t="s">
        <v>87</v>
      </c>
      <c r="DI668" t="s">
        <v>1190</v>
      </c>
      <c r="DJ668" t="s">
        <v>1191</v>
      </c>
      <c r="DK668" t="s">
        <v>668</v>
      </c>
      <c r="DL668">
        <v>23.08</v>
      </c>
      <c r="DM668" t="s">
        <v>669</v>
      </c>
      <c r="DN668" t="s">
        <v>670</v>
      </c>
      <c r="DO668">
        <v>1</v>
      </c>
      <c r="DP668">
        <v>31.59</v>
      </c>
      <c r="DQ668">
        <v>31.59</v>
      </c>
      <c r="DR668" t="s">
        <v>5357</v>
      </c>
      <c r="EB668" t="s">
        <v>5358</v>
      </c>
      <c r="EC668" t="s">
        <v>2434</v>
      </c>
      <c r="ED668" t="s">
        <v>2435</v>
      </c>
      <c r="EE668" t="s">
        <v>582</v>
      </c>
      <c r="EF668" t="s">
        <v>2525</v>
      </c>
      <c r="EG668">
        <v>1</v>
      </c>
      <c r="EH668">
        <v>1</v>
      </c>
      <c r="EI668">
        <v>1</v>
      </c>
      <c r="EJ668">
        <v>1</v>
      </c>
    </row>
    <row r="669" ht="15" customHeight="1" spans="111:140" x14ac:dyDescent="0.25">
      <c r="DG669" t="s">
        <v>5359</v>
      </c>
      <c r="DH669" t="s">
        <v>87</v>
      </c>
      <c r="DI669" t="s">
        <v>1193</v>
      </c>
      <c r="DJ669" t="s">
        <v>1194</v>
      </c>
      <c r="DK669" t="s">
        <v>668</v>
      </c>
      <c r="DL669">
        <v>23.08</v>
      </c>
      <c r="DM669" t="s">
        <v>670</v>
      </c>
      <c r="DN669" t="s">
        <v>670</v>
      </c>
      <c r="DO669">
        <v>1</v>
      </c>
      <c r="DP669">
        <v>93.94</v>
      </c>
      <c r="DQ669">
        <v>140.91</v>
      </c>
      <c r="DR669" t="s">
        <v>5360</v>
      </c>
      <c r="EB669" t="s">
        <v>5361</v>
      </c>
      <c r="EC669" t="s">
        <v>2434</v>
      </c>
      <c r="ED669" t="s">
        <v>2435</v>
      </c>
      <c r="EE669" t="s">
        <v>580</v>
      </c>
      <c r="EF669" t="s">
        <v>2539</v>
      </c>
      <c r="EG669">
        <v>1</v>
      </c>
      <c r="EH669">
        <v>1</v>
      </c>
      <c r="EI669">
        <v>1</v>
      </c>
      <c r="EJ669">
        <v>1</v>
      </c>
    </row>
    <row r="670" ht="15" customHeight="1" spans="111:140" x14ac:dyDescent="0.25">
      <c r="DG670" t="s">
        <v>5362</v>
      </c>
      <c r="DH670" t="s">
        <v>87</v>
      </c>
      <c r="DI670" t="s">
        <v>1198</v>
      </c>
      <c r="DJ670" t="s">
        <v>1199</v>
      </c>
      <c r="DK670" t="s">
        <v>668</v>
      </c>
      <c r="DL670">
        <v>23.08</v>
      </c>
      <c r="DM670" t="s">
        <v>669</v>
      </c>
      <c r="DN670" t="s">
        <v>670</v>
      </c>
      <c r="DO670">
        <v>1</v>
      </c>
      <c r="DP670">
        <v>747.44</v>
      </c>
      <c r="DQ670">
        <v>747.44</v>
      </c>
      <c r="DR670" t="s">
        <v>5363</v>
      </c>
      <c r="EB670" t="s">
        <v>5364</v>
      </c>
      <c r="EC670" t="s">
        <v>2434</v>
      </c>
      <c r="ED670" t="s">
        <v>2435</v>
      </c>
      <c r="EE670" t="s">
        <v>578</v>
      </c>
      <c r="EF670" t="s">
        <v>577</v>
      </c>
      <c r="EG670">
        <v>120000</v>
      </c>
      <c r="EH670">
        <v>120000</v>
      </c>
      <c r="EI670">
        <v>120000</v>
      </c>
      <c r="EJ670">
        <v>120000</v>
      </c>
    </row>
    <row r="671" ht="15" customHeight="1" spans="111:135" x14ac:dyDescent="0.25">
      <c r="DG671" t="s">
        <v>5365</v>
      </c>
      <c r="DH671" t="s">
        <v>87</v>
      </c>
      <c r="DI671" t="s">
        <v>1201</v>
      </c>
      <c r="DJ671" t="s">
        <v>1202</v>
      </c>
      <c r="DK671" t="s">
        <v>668</v>
      </c>
      <c r="DL671">
        <v>23.08</v>
      </c>
      <c r="DM671" t="s">
        <v>670</v>
      </c>
      <c r="DN671" t="s">
        <v>670</v>
      </c>
      <c r="DO671">
        <v>1</v>
      </c>
      <c r="DP671">
        <v>93.92</v>
      </c>
      <c r="DQ671">
        <v>281.76</v>
      </c>
      <c r="DR671" t="s">
        <v>5366</v>
      </c>
      <c r="EB671" t="s">
        <v>5367</v>
      </c>
      <c r="EC671" t="s">
        <v>2434</v>
      </c>
      <c r="EE671" t="s">
        <v>327</v>
      </c>
    </row>
    <row r="672" ht="15" customHeight="1" spans="111:135" x14ac:dyDescent="0.25">
      <c r="DG672" t="s">
        <v>5368</v>
      </c>
      <c r="DH672" t="s">
        <v>87</v>
      </c>
      <c r="DI672" t="s">
        <v>1204</v>
      </c>
      <c r="DJ672" t="s">
        <v>1205</v>
      </c>
      <c r="DK672" t="s">
        <v>668</v>
      </c>
      <c r="DL672">
        <v>23.08</v>
      </c>
      <c r="DM672" t="s">
        <v>670</v>
      </c>
      <c r="DN672" t="s">
        <v>669</v>
      </c>
      <c r="DO672">
        <v>0</v>
      </c>
      <c r="DP672">
        <v>0</v>
      </c>
      <c r="DQ672">
        <v>3.51</v>
      </c>
      <c r="DR672" t="s">
        <v>5369</v>
      </c>
      <c r="EB672" t="s">
        <v>5370</v>
      </c>
      <c r="EC672" t="s">
        <v>2434</v>
      </c>
      <c r="EE672" t="s">
        <v>330</v>
      </c>
    </row>
    <row r="673" ht="15" customHeight="1" spans="111:135" x14ac:dyDescent="0.25">
      <c r="DG673" t="s">
        <v>5371</v>
      </c>
      <c r="DH673" t="s">
        <v>87</v>
      </c>
      <c r="DI673" t="s">
        <v>512</v>
      </c>
      <c r="DJ673" t="s">
        <v>1209</v>
      </c>
      <c r="DK673" t="s">
        <v>1079</v>
      </c>
      <c r="DL673">
        <v>23.08</v>
      </c>
      <c r="DM673" t="s">
        <v>669</v>
      </c>
      <c r="DN673" t="s">
        <v>670</v>
      </c>
      <c r="DO673">
        <v>1</v>
      </c>
      <c r="DP673">
        <v>1406.25</v>
      </c>
      <c r="DQ673">
        <v>1406.25</v>
      </c>
      <c r="DR673" t="s">
        <v>5372</v>
      </c>
      <c r="EB673" t="s">
        <v>5373</v>
      </c>
      <c r="EC673" t="s">
        <v>2434</v>
      </c>
      <c r="EE673" t="s">
        <v>576</v>
      </c>
    </row>
    <row r="674" ht="15" customHeight="1" spans="111:140" x14ac:dyDescent="0.25">
      <c r="DG674" t="s">
        <v>5374</v>
      </c>
      <c r="DH674" t="s">
        <v>87</v>
      </c>
      <c r="DI674" t="s">
        <v>466</v>
      </c>
      <c r="DJ674" t="s">
        <v>467</v>
      </c>
      <c r="DK674" t="s">
        <v>1079</v>
      </c>
      <c r="DL674">
        <v>23.08</v>
      </c>
      <c r="DM674" t="s">
        <v>669</v>
      </c>
      <c r="DN674" t="s">
        <v>670</v>
      </c>
      <c r="DO674">
        <v>1</v>
      </c>
      <c r="DP674">
        <v>0.1</v>
      </c>
      <c r="DQ674">
        <v>0.1</v>
      </c>
      <c r="DR674" t="s">
        <v>5375</v>
      </c>
      <c r="EB674" t="s">
        <v>5376</v>
      </c>
      <c r="EC674" t="s">
        <v>2434</v>
      </c>
      <c r="ED674" t="s">
        <v>2435</v>
      </c>
      <c r="EE674" t="s">
        <v>573</v>
      </c>
      <c r="EF674" t="s">
        <v>2613</v>
      </c>
      <c r="EG674">
        <v>1300</v>
      </c>
      <c r="EH674">
        <v>1300</v>
      </c>
      <c r="EI674">
        <v>1300</v>
      </c>
      <c r="EJ674">
        <v>1300</v>
      </c>
    </row>
    <row r="675" ht="15" customHeight="1" spans="111:140" x14ac:dyDescent="0.25">
      <c r="DG675" t="s">
        <v>5377</v>
      </c>
      <c r="DH675" t="s">
        <v>87</v>
      </c>
      <c r="DJ675" t="s">
        <v>1067</v>
      </c>
      <c r="DK675" t="s">
        <v>692</v>
      </c>
      <c r="DL675">
        <v>23.08</v>
      </c>
      <c r="DM675" t="s">
        <v>669</v>
      </c>
      <c r="DN675" t="s">
        <v>669</v>
      </c>
      <c r="DO675">
        <v>0</v>
      </c>
      <c r="DP675">
        <v>0</v>
      </c>
      <c r="DQ675">
        <v>0</v>
      </c>
      <c r="DR675" t="s">
        <v>5236</v>
      </c>
      <c r="EB675" t="s">
        <v>5378</v>
      </c>
      <c r="EC675" t="s">
        <v>2434</v>
      </c>
      <c r="ED675" t="s">
        <v>2435</v>
      </c>
      <c r="EE675" t="s">
        <v>569</v>
      </c>
      <c r="EF675" t="s">
        <v>567</v>
      </c>
      <c r="EG675">
        <v>1</v>
      </c>
      <c r="EH675">
        <v>1</v>
      </c>
      <c r="EI675">
        <v>1</v>
      </c>
      <c r="EJ675">
        <v>1</v>
      </c>
    </row>
    <row r="676" ht="15" customHeight="1" spans="111:140" x14ac:dyDescent="0.25">
      <c r="DG676" t="s">
        <v>5379</v>
      </c>
      <c r="DH676" t="s">
        <v>87</v>
      </c>
      <c r="DI676" t="s">
        <v>1217</v>
      </c>
      <c r="DJ676" t="s">
        <v>1218</v>
      </c>
      <c r="DK676" t="s">
        <v>692</v>
      </c>
      <c r="DL676">
        <v>23.08</v>
      </c>
      <c r="DM676" t="s">
        <v>669</v>
      </c>
      <c r="DN676" t="s">
        <v>670</v>
      </c>
      <c r="DO676">
        <v>1</v>
      </c>
      <c r="DP676">
        <v>117.19</v>
      </c>
      <c r="DQ676">
        <v>117.19</v>
      </c>
      <c r="DR676" t="s">
        <v>5380</v>
      </c>
      <c r="EB676" t="s">
        <v>5381</v>
      </c>
      <c r="EC676" t="s">
        <v>2434</v>
      </c>
      <c r="ED676" t="s">
        <v>2435</v>
      </c>
      <c r="EE676" t="s">
        <v>2641</v>
      </c>
      <c r="EF676" t="s">
        <v>4512</v>
      </c>
      <c r="EG676">
        <v>2950</v>
      </c>
      <c r="EH676">
        <v>2950</v>
      </c>
      <c r="EI676">
        <v>2950</v>
      </c>
      <c r="EJ676">
        <v>2950</v>
      </c>
    </row>
    <row r="677" ht="15" customHeight="1" spans="111:140" x14ac:dyDescent="0.25">
      <c r="DG677" t="s">
        <v>5382</v>
      </c>
      <c r="DH677" t="s">
        <v>87</v>
      </c>
      <c r="DI677" t="s">
        <v>1221</v>
      </c>
      <c r="DJ677" t="s">
        <v>1222</v>
      </c>
      <c r="DK677" t="s">
        <v>692</v>
      </c>
      <c r="DL677">
        <v>23.08</v>
      </c>
      <c r="DM677" t="s">
        <v>669</v>
      </c>
      <c r="DN677" t="s">
        <v>670</v>
      </c>
      <c r="DO677">
        <v>4</v>
      </c>
      <c r="DP677">
        <v>462</v>
      </c>
      <c r="DQ677">
        <v>462</v>
      </c>
      <c r="DR677" t="s">
        <v>5383</v>
      </c>
      <c r="EB677" t="s">
        <v>5384</v>
      </c>
      <c r="EC677" t="s">
        <v>2434</v>
      </c>
      <c r="ED677" t="s">
        <v>2435</v>
      </c>
      <c r="EE677" t="s">
        <v>2656</v>
      </c>
      <c r="EF677" t="s">
        <v>3133</v>
      </c>
      <c r="EG677">
        <v>5950</v>
      </c>
      <c r="EH677">
        <v>5950</v>
      </c>
      <c r="EI677">
        <v>5950</v>
      </c>
      <c r="EJ677">
        <v>5950</v>
      </c>
    </row>
    <row r="678" ht="15" customHeight="1" spans="111:140" x14ac:dyDescent="0.25">
      <c r="DG678" t="s">
        <v>5385</v>
      </c>
      <c r="DH678" t="s">
        <v>87</v>
      </c>
      <c r="DI678" t="s">
        <v>1224</v>
      </c>
      <c r="DJ678" t="s">
        <v>1225</v>
      </c>
      <c r="DK678" t="s">
        <v>692</v>
      </c>
      <c r="DL678">
        <v>23.08</v>
      </c>
      <c r="DM678" t="s">
        <v>669</v>
      </c>
      <c r="DN678" t="s">
        <v>670</v>
      </c>
      <c r="DO678">
        <v>5</v>
      </c>
      <c r="DP678">
        <v>75</v>
      </c>
      <c r="DQ678">
        <v>75</v>
      </c>
      <c r="DR678" t="s">
        <v>5386</v>
      </c>
      <c r="EB678" t="s">
        <v>5387</v>
      </c>
      <c r="EC678" t="s">
        <v>2434</v>
      </c>
      <c r="ED678" t="s">
        <v>2435</v>
      </c>
      <c r="EE678" t="s">
        <v>2670</v>
      </c>
      <c r="EF678" t="s">
        <v>4519</v>
      </c>
      <c r="EG678">
        <v>9000</v>
      </c>
      <c r="EH678">
        <v>9000</v>
      </c>
      <c r="EI678">
        <v>9000</v>
      </c>
      <c r="EJ678">
        <v>9000</v>
      </c>
    </row>
    <row r="679" ht="15" customHeight="1" spans="111:140" x14ac:dyDescent="0.25">
      <c r="DG679" t="s">
        <v>5388</v>
      </c>
      <c r="DH679" t="s">
        <v>87</v>
      </c>
      <c r="DI679" t="s">
        <v>1227</v>
      </c>
      <c r="DJ679" t="s">
        <v>1228</v>
      </c>
      <c r="DK679" t="s">
        <v>692</v>
      </c>
      <c r="DL679">
        <v>23.08</v>
      </c>
      <c r="DM679" t="s">
        <v>669</v>
      </c>
      <c r="DN679" t="s">
        <v>670</v>
      </c>
      <c r="DO679">
        <v>45</v>
      </c>
      <c r="DP679">
        <v>1476</v>
      </c>
      <c r="DQ679">
        <v>1476</v>
      </c>
      <c r="DR679" t="s">
        <v>5389</v>
      </c>
      <c r="EB679" t="s">
        <v>5390</v>
      </c>
      <c r="EC679" t="s">
        <v>2434</v>
      </c>
      <c r="ED679" t="s">
        <v>2435</v>
      </c>
      <c r="EE679" t="s">
        <v>561</v>
      </c>
      <c r="EF679" t="s">
        <v>2684</v>
      </c>
      <c r="EG679">
        <v>1</v>
      </c>
      <c r="EH679">
        <v>1</v>
      </c>
      <c r="EI679">
        <v>1</v>
      </c>
      <c r="EJ679">
        <v>1</v>
      </c>
    </row>
    <row r="680" ht="15" customHeight="1" spans="111:140" x14ac:dyDescent="0.25">
      <c r="DG680" t="s">
        <v>5391</v>
      </c>
      <c r="DH680" t="s">
        <v>87</v>
      </c>
      <c r="DI680" t="s">
        <v>1230</v>
      </c>
      <c r="DJ680" t="s">
        <v>1231</v>
      </c>
      <c r="DK680" t="s">
        <v>692</v>
      </c>
      <c r="DL680">
        <v>23.08</v>
      </c>
      <c r="DM680" t="s">
        <v>669</v>
      </c>
      <c r="DN680" t="s">
        <v>670</v>
      </c>
      <c r="DO680">
        <v>1</v>
      </c>
      <c r="DP680">
        <v>534</v>
      </c>
      <c r="DQ680">
        <v>534</v>
      </c>
      <c r="DR680" t="s">
        <v>5392</v>
      </c>
      <c r="EB680" t="s">
        <v>5393</v>
      </c>
      <c r="EC680" t="s">
        <v>2434</v>
      </c>
      <c r="ED680" t="s">
        <v>2435</v>
      </c>
      <c r="EE680" t="s">
        <v>563</v>
      </c>
      <c r="EF680" t="s">
        <v>4526</v>
      </c>
      <c r="EG680">
        <v>17000</v>
      </c>
      <c r="EH680">
        <v>17000</v>
      </c>
      <c r="EI680">
        <v>17000</v>
      </c>
      <c r="EJ680">
        <v>17000</v>
      </c>
    </row>
    <row r="681" ht="15" customHeight="1" spans="111:140" x14ac:dyDescent="0.25">
      <c r="DG681" t="s">
        <v>5394</v>
      </c>
      <c r="DH681" t="s">
        <v>87</v>
      </c>
      <c r="DI681" t="s">
        <v>1235</v>
      </c>
      <c r="DJ681" t="s">
        <v>198</v>
      </c>
      <c r="DK681" t="s">
        <v>692</v>
      </c>
      <c r="DL681">
        <v>23.08</v>
      </c>
      <c r="DM681" t="s">
        <v>669</v>
      </c>
      <c r="DN681" t="s">
        <v>670</v>
      </c>
      <c r="DO681">
        <v>1</v>
      </c>
      <c r="DP681">
        <v>28040</v>
      </c>
      <c r="DQ681">
        <v>28040</v>
      </c>
      <c r="DR681" t="s">
        <v>5395</v>
      </c>
      <c r="EB681" t="s">
        <v>5396</v>
      </c>
      <c r="EC681" t="s">
        <v>2434</v>
      </c>
      <c r="ED681" t="s">
        <v>2435</v>
      </c>
      <c r="EE681" t="s">
        <v>556</v>
      </c>
      <c r="EF681" t="s">
        <v>2713</v>
      </c>
      <c r="EG681">
        <v>1</v>
      </c>
      <c r="EH681">
        <v>1</v>
      </c>
      <c r="EI681">
        <v>1</v>
      </c>
      <c r="EJ681">
        <v>1</v>
      </c>
    </row>
    <row r="682" ht="15" customHeight="1" spans="111:135" x14ac:dyDescent="0.25">
      <c r="DG682" t="s">
        <v>5397</v>
      </c>
      <c r="DH682" t="s">
        <v>87</v>
      </c>
      <c r="DI682" t="s">
        <v>1237</v>
      </c>
      <c r="DJ682" t="s">
        <v>1238</v>
      </c>
      <c r="DK682" t="s">
        <v>692</v>
      </c>
      <c r="DL682">
        <v>23.08</v>
      </c>
      <c r="DM682" t="s">
        <v>669</v>
      </c>
      <c r="DN682" t="s">
        <v>670</v>
      </c>
      <c r="DO682">
        <v>1</v>
      </c>
      <c r="DP682">
        <v>3862</v>
      </c>
      <c r="DQ682">
        <v>3862</v>
      </c>
      <c r="DR682" t="s">
        <v>5398</v>
      </c>
      <c r="EB682" t="s">
        <v>5399</v>
      </c>
      <c r="EC682" t="s">
        <v>2434</v>
      </c>
      <c r="EE682" t="s">
        <v>551</v>
      </c>
    </row>
    <row r="683" ht="15" customHeight="1" spans="111:135" x14ac:dyDescent="0.25">
      <c r="DG683" t="s">
        <v>5400</v>
      </c>
      <c r="DH683" t="s">
        <v>87</v>
      </c>
      <c r="DI683" t="s">
        <v>1240</v>
      </c>
      <c r="DJ683" t="s">
        <v>1241</v>
      </c>
      <c r="DK683" t="s">
        <v>692</v>
      </c>
      <c r="DL683">
        <v>23.08</v>
      </c>
      <c r="DM683" t="s">
        <v>669</v>
      </c>
      <c r="DN683" t="s">
        <v>670</v>
      </c>
      <c r="DO683">
        <v>5</v>
      </c>
      <c r="DP683">
        <v>38.35</v>
      </c>
      <c r="DQ683">
        <v>38.35</v>
      </c>
      <c r="DR683" t="s">
        <v>5401</v>
      </c>
      <c r="EB683" t="s">
        <v>5402</v>
      </c>
      <c r="EC683" t="s">
        <v>2434</v>
      </c>
      <c r="EE683" t="s">
        <v>290</v>
      </c>
    </row>
    <row r="684" ht="15" customHeight="1" spans="111:135" x14ac:dyDescent="0.25">
      <c r="DG684" t="s">
        <v>5403</v>
      </c>
      <c r="DH684" t="s">
        <v>87</v>
      </c>
      <c r="DI684" t="s">
        <v>1242</v>
      </c>
      <c r="DJ684" t="s">
        <v>1243</v>
      </c>
      <c r="DK684" t="s">
        <v>692</v>
      </c>
      <c r="DL684">
        <v>23.08</v>
      </c>
      <c r="DM684" t="s">
        <v>670</v>
      </c>
      <c r="DN684" t="s">
        <v>669</v>
      </c>
      <c r="DO684">
        <v>0</v>
      </c>
      <c r="DP684">
        <v>0</v>
      </c>
      <c r="DQ684">
        <v>222.25</v>
      </c>
      <c r="DR684" t="s">
        <v>5404</v>
      </c>
      <c r="EB684" t="s">
        <v>5405</v>
      </c>
      <c r="EC684" t="s">
        <v>2434</v>
      </c>
      <c r="EE684" t="s">
        <v>275</v>
      </c>
    </row>
    <row r="685" ht="15" customHeight="1" spans="111:135" x14ac:dyDescent="0.25">
      <c r="DG685" t="s">
        <v>5406</v>
      </c>
      <c r="DH685" t="s">
        <v>87</v>
      </c>
      <c r="DI685" t="s">
        <v>1247</v>
      </c>
      <c r="DJ685" t="s">
        <v>1248</v>
      </c>
      <c r="DK685" t="s">
        <v>692</v>
      </c>
      <c r="DL685">
        <v>23.08</v>
      </c>
      <c r="DM685" t="s">
        <v>670</v>
      </c>
      <c r="DN685" t="s">
        <v>669</v>
      </c>
      <c r="DO685">
        <v>0</v>
      </c>
      <c r="DP685">
        <v>0</v>
      </c>
      <c r="DQ685">
        <v>56.25</v>
      </c>
      <c r="DR685" t="s">
        <v>5407</v>
      </c>
      <c r="EB685" t="s">
        <v>5408</v>
      </c>
      <c r="EC685" t="s">
        <v>2434</v>
      </c>
      <c r="EE685" t="s">
        <v>298</v>
      </c>
    </row>
    <row r="686" ht="15" customHeight="1" spans="111:135" x14ac:dyDescent="0.25">
      <c r="DG686" t="s">
        <v>5409</v>
      </c>
      <c r="DH686" t="s">
        <v>87</v>
      </c>
      <c r="DI686" t="s">
        <v>1250</v>
      </c>
      <c r="DJ686" t="s">
        <v>1251</v>
      </c>
      <c r="DK686" t="s">
        <v>692</v>
      </c>
      <c r="DL686">
        <v>23.08</v>
      </c>
      <c r="DM686" t="s">
        <v>670</v>
      </c>
      <c r="DN686" t="s">
        <v>669</v>
      </c>
      <c r="DO686">
        <v>0</v>
      </c>
      <c r="DP686">
        <v>0</v>
      </c>
      <c r="DQ686">
        <v>276.57</v>
      </c>
      <c r="DR686" t="s">
        <v>5410</v>
      </c>
      <c r="EB686" t="s">
        <v>5411</v>
      </c>
      <c r="EC686" t="s">
        <v>2434</v>
      </c>
      <c r="EE686" t="s">
        <v>286</v>
      </c>
    </row>
    <row r="687" ht="15" customHeight="1" spans="111:135" x14ac:dyDescent="0.25">
      <c r="DG687" t="s">
        <v>5412</v>
      </c>
      <c r="DH687" t="s">
        <v>87</v>
      </c>
      <c r="DI687" t="s">
        <v>1255</v>
      </c>
      <c r="DJ687" t="s">
        <v>1256</v>
      </c>
      <c r="DK687" t="s">
        <v>692</v>
      </c>
      <c r="DL687">
        <v>23.08</v>
      </c>
      <c r="DM687" t="s">
        <v>669</v>
      </c>
      <c r="DN687" t="s">
        <v>670</v>
      </c>
      <c r="DO687">
        <v>1</v>
      </c>
      <c r="DP687">
        <v>3393.25</v>
      </c>
      <c r="DQ687">
        <v>3393.25</v>
      </c>
      <c r="DR687" t="s">
        <v>5413</v>
      </c>
      <c r="EB687" t="s">
        <v>5414</v>
      </c>
      <c r="EC687" t="s">
        <v>2434</v>
      </c>
      <c r="EE687" t="s">
        <v>272</v>
      </c>
    </row>
    <row r="688" ht="15" customHeight="1" spans="111:135" x14ac:dyDescent="0.25">
      <c r="DG688" t="s">
        <v>5415</v>
      </c>
      <c r="DH688" t="s">
        <v>87</v>
      </c>
      <c r="DI688" t="s">
        <v>1260</v>
      </c>
      <c r="DJ688" t="s">
        <v>1261</v>
      </c>
      <c r="DK688" t="s">
        <v>692</v>
      </c>
      <c r="DL688">
        <v>23.08</v>
      </c>
      <c r="DM688" t="s">
        <v>670</v>
      </c>
      <c r="DN688" t="s">
        <v>669</v>
      </c>
      <c r="DO688">
        <v>0</v>
      </c>
      <c r="DP688">
        <v>0</v>
      </c>
      <c r="DQ688">
        <v>245</v>
      </c>
      <c r="DR688" t="s">
        <v>5416</v>
      </c>
      <c r="EB688" t="s">
        <v>5417</v>
      </c>
      <c r="EC688" t="s">
        <v>2434</v>
      </c>
      <c r="EE688" t="s">
        <v>283</v>
      </c>
    </row>
    <row r="689" ht="15" customHeight="1" spans="111:135" x14ac:dyDescent="0.25">
      <c r="DG689" t="s">
        <v>5418</v>
      </c>
      <c r="DH689" t="s">
        <v>87</v>
      </c>
      <c r="DI689" t="s">
        <v>1263</v>
      </c>
      <c r="DJ689" t="s">
        <v>1264</v>
      </c>
      <c r="DK689" t="s">
        <v>692</v>
      </c>
      <c r="DL689">
        <v>23.08</v>
      </c>
      <c r="DM689" t="s">
        <v>670</v>
      </c>
      <c r="DN689" t="s">
        <v>670</v>
      </c>
      <c r="DO689">
        <v>0</v>
      </c>
      <c r="DP689">
        <v>0</v>
      </c>
      <c r="DQ689">
        <v>490.5</v>
      </c>
      <c r="DR689" t="s">
        <v>5419</v>
      </c>
      <c r="EB689" t="s">
        <v>5420</v>
      </c>
      <c r="EC689" t="s">
        <v>2434</v>
      </c>
      <c r="EE689" t="s">
        <v>267</v>
      </c>
    </row>
    <row r="690" ht="15" customHeight="1" spans="111:135" x14ac:dyDescent="0.25">
      <c r="DG690" t="s">
        <v>5421</v>
      </c>
      <c r="DH690" t="s">
        <v>87</v>
      </c>
      <c r="DJ690" t="s">
        <v>674</v>
      </c>
      <c r="DK690" t="s">
        <v>668</v>
      </c>
      <c r="DL690">
        <v>19.23</v>
      </c>
      <c r="DM690" t="s">
        <v>669</v>
      </c>
      <c r="DN690" t="s">
        <v>669</v>
      </c>
      <c r="DO690">
        <v>0</v>
      </c>
      <c r="DP690">
        <v>0</v>
      </c>
      <c r="DQ690">
        <v>0</v>
      </c>
      <c r="DR690" t="s">
        <v>4923</v>
      </c>
      <c r="EB690" t="s">
        <v>5422</v>
      </c>
      <c r="EC690" t="s">
        <v>2434</v>
      </c>
      <c r="EE690" t="s">
        <v>258</v>
      </c>
    </row>
    <row r="691" ht="15" customHeight="1" spans="111:135" x14ac:dyDescent="0.25">
      <c r="DG691" t="s">
        <v>5423</v>
      </c>
      <c r="DH691" t="s">
        <v>87</v>
      </c>
      <c r="DI691" t="s">
        <v>1268</v>
      </c>
      <c r="DJ691" t="s">
        <v>1269</v>
      </c>
      <c r="DK691" t="s">
        <v>668</v>
      </c>
      <c r="DL691">
        <v>19.23</v>
      </c>
      <c r="DM691" t="s">
        <v>670</v>
      </c>
      <c r="DN691" t="s">
        <v>669</v>
      </c>
      <c r="DO691">
        <v>0</v>
      </c>
      <c r="DP691">
        <v>0</v>
      </c>
      <c r="DQ691">
        <v>5.86</v>
      </c>
      <c r="DR691" t="s">
        <v>5424</v>
      </c>
      <c r="EB691" t="s">
        <v>5425</v>
      </c>
      <c r="EC691" t="s">
        <v>2434</v>
      </c>
      <c r="EE691" t="s">
        <v>222</v>
      </c>
    </row>
    <row r="692" ht="15" customHeight="1" spans="111:135" x14ac:dyDescent="0.25">
      <c r="DG692" t="s">
        <v>5426</v>
      </c>
      <c r="DH692" t="s">
        <v>87</v>
      </c>
      <c r="DI692" t="s">
        <v>1273</v>
      </c>
      <c r="DJ692" t="s">
        <v>1274</v>
      </c>
      <c r="DK692" t="s">
        <v>668</v>
      </c>
      <c r="DL692">
        <v>19.23</v>
      </c>
      <c r="DM692" t="s">
        <v>669</v>
      </c>
      <c r="DN692" t="s">
        <v>670</v>
      </c>
      <c r="DO692">
        <v>3</v>
      </c>
      <c r="DP692">
        <v>186.72</v>
      </c>
      <c r="DQ692">
        <v>186.72</v>
      </c>
      <c r="DR692" t="s">
        <v>5427</v>
      </c>
      <c r="EB692" t="s">
        <v>5428</v>
      </c>
      <c r="EC692" t="s">
        <v>2434</v>
      </c>
      <c r="EE692" t="s">
        <v>233</v>
      </c>
    </row>
    <row r="693" ht="15" customHeight="1" spans="111:135" x14ac:dyDescent="0.25">
      <c r="DG693" t="s">
        <v>5429</v>
      </c>
      <c r="DH693" t="s">
        <v>87</v>
      </c>
      <c r="DI693" t="s">
        <v>1275</v>
      </c>
      <c r="DJ693" t="s">
        <v>1276</v>
      </c>
      <c r="DK693" t="s">
        <v>668</v>
      </c>
      <c r="DL693">
        <v>19.23</v>
      </c>
      <c r="DM693" t="s">
        <v>670</v>
      </c>
      <c r="DN693" t="s">
        <v>670</v>
      </c>
      <c r="DO693">
        <v>1</v>
      </c>
      <c r="DP693">
        <v>93.92</v>
      </c>
      <c r="DQ693">
        <v>375.68</v>
      </c>
      <c r="DR693" t="s">
        <v>5430</v>
      </c>
      <c r="EB693" t="s">
        <v>5431</v>
      </c>
      <c r="EC693" t="s">
        <v>2434</v>
      </c>
      <c r="EE693" t="s">
        <v>225</v>
      </c>
    </row>
    <row r="694" ht="15" customHeight="1" spans="111:135" x14ac:dyDescent="0.25">
      <c r="DG694" t="s">
        <v>5432</v>
      </c>
      <c r="DH694" t="s">
        <v>87</v>
      </c>
      <c r="DI694" t="s">
        <v>1277</v>
      </c>
      <c r="DJ694" t="s">
        <v>1278</v>
      </c>
      <c r="DK694" t="s">
        <v>692</v>
      </c>
      <c r="DL694">
        <v>19.23</v>
      </c>
      <c r="DM694" t="s">
        <v>669</v>
      </c>
      <c r="DN694" t="s">
        <v>670</v>
      </c>
      <c r="DO694">
        <v>1</v>
      </c>
      <c r="DP694">
        <v>1063.13</v>
      </c>
      <c r="DQ694">
        <v>1063.13</v>
      </c>
      <c r="DR694" t="s">
        <v>5433</v>
      </c>
      <c r="EB694" t="s">
        <v>5434</v>
      </c>
      <c r="EC694" t="s">
        <v>2434</v>
      </c>
      <c r="EE694" t="s">
        <v>288</v>
      </c>
    </row>
    <row r="695" ht="15" customHeight="1" spans="111:140" x14ac:dyDescent="0.25">
      <c r="DG695" t="s">
        <v>5435</v>
      </c>
      <c r="DH695" t="s">
        <v>87</v>
      </c>
      <c r="DI695" t="s">
        <v>1279</v>
      </c>
      <c r="DJ695" t="s">
        <v>1280</v>
      </c>
      <c r="DK695" t="s">
        <v>692</v>
      </c>
      <c r="DL695">
        <v>19.23</v>
      </c>
      <c r="DM695" t="s">
        <v>670</v>
      </c>
      <c r="DN695" t="s">
        <v>670</v>
      </c>
      <c r="DO695">
        <v>1</v>
      </c>
      <c r="DP695">
        <v>90.94</v>
      </c>
      <c r="DQ695">
        <v>90.94</v>
      </c>
      <c r="DR695" t="s">
        <v>5436</v>
      </c>
      <c r="EB695" t="s">
        <v>5437</v>
      </c>
      <c r="EC695" t="s">
        <v>2434</v>
      </c>
      <c r="ED695" t="s">
        <v>2435</v>
      </c>
      <c r="EE695" t="s">
        <v>269</v>
      </c>
      <c r="EF695" t="s">
        <v>268</v>
      </c>
      <c r="EG695">
        <v>280</v>
      </c>
      <c r="EH695">
        <v>280</v>
      </c>
      <c r="EI695">
        <v>280</v>
      </c>
      <c r="EJ695">
        <v>280</v>
      </c>
    </row>
    <row r="696" ht="15" customHeight="1" spans="111:140" x14ac:dyDescent="0.25">
      <c r="DG696" t="s">
        <v>5438</v>
      </c>
      <c r="DH696" t="s">
        <v>87</v>
      </c>
      <c r="DI696" t="s">
        <v>1281</v>
      </c>
      <c r="DJ696" t="s">
        <v>1282</v>
      </c>
      <c r="DK696" t="s">
        <v>692</v>
      </c>
      <c r="DL696">
        <v>19.23</v>
      </c>
      <c r="DM696" t="s">
        <v>670</v>
      </c>
      <c r="DN696" t="s">
        <v>669</v>
      </c>
      <c r="DO696">
        <v>0</v>
      </c>
      <c r="DP696">
        <v>0</v>
      </c>
      <c r="DQ696">
        <v>135</v>
      </c>
      <c r="DR696" t="s">
        <v>5439</v>
      </c>
      <c r="EB696" t="s">
        <v>5440</v>
      </c>
      <c r="EC696" t="s">
        <v>2434</v>
      </c>
      <c r="ED696" t="s">
        <v>2435</v>
      </c>
      <c r="EE696" t="s">
        <v>237</v>
      </c>
      <c r="EF696" t="s">
        <v>235</v>
      </c>
      <c r="EG696">
        <v>2650</v>
      </c>
      <c r="EH696">
        <v>2650</v>
      </c>
      <c r="EI696">
        <v>2650</v>
      </c>
      <c r="EJ696">
        <v>2650</v>
      </c>
    </row>
    <row r="697" ht="15" customHeight="1" spans="111:135" x14ac:dyDescent="0.25">
      <c r="DG697" t="s">
        <v>5441</v>
      </c>
      <c r="DH697" t="s">
        <v>87</v>
      </c>
      <c r="DI697" t="s">
        <v>1284</v>
      </c>
      <c r="DJ697" t="s">
        <v>1285</v>
      </c>
      <c r="DK697" t="s">
        <v>668</v>
      </c>
      <c r="DL697">
        <v>15.38</v>
      </c>
      <c r="DM697" t="s">
        <v>670</v>
      </c>
      <c r="DN697" t="s">
        <v>669</v>
      </c>
      <c r="DO697">
        <v>0</v>
      </c>
      <c r="DP697">
        <v>0</v>
      </c>
      <c r="DQ697">
        <v>349.5</v>
      </c>
      <c r="DR697" t="s">
        <v>5442</v>
      </c>
      <c r="EB697" t="s">
        <v>5443</v>
      </c>
      <c r="EC697" t="s">
        <v>2434</v>
      </c>
      <c r="EE697" t="s">
        <v>249</v>
      </c>
    </row>
    <row r="698" ht="15" customHeight="1" spans="111:135" x14ac:dyDescent="0.25">
      <c r="DG698" t="s">
        <v>5444</v>
      </c>
      <c r="DH698" t="s">
        <v>87</v>
      </c>
      <c r="DI698" t="s">
        <v>1287</v>
      </c>
      <c r="DJ698" t="s">
        <v>1288</v>
      </c>
      <c r="DK698" t="s">
        <v>668</v>
      </c>
      <c r="DL698">
        <v>15.38</v>
      </c>
      <c r="DM698" t="s">
        <v>669</v>
      </c>
      <c r="DN698" t="s">
        <v>670</v>
      </c>
      <c r="DO698">
        <v>1</v>
      </c>
      <c r="DP698">
        <v>56.84</v>
      </c>
      <c r="DQ698">
        <v>56.84</v>
      </c>
      <c r="DR698" t="s">
        <v>5445</v>
      </c>
      <c r="EB698" t="s">
        <v>5446</v>
      </c>
      <c r="EC698" t="s">
        <v>2434</v>
      </c>
      <c r="EE698" t="s">
        <v>293</v>
      </c>
    </row>
    <row r="699" ht="15" customHeight="1" spans="111:135" x14ac:dyDescent="0.25">
      <c r="DG699" t="s">
        <v>5447</v>
      </c>
      <c r="DH699" t="s">
        <v>87</v>
      </c>
      <c r="DI699" t="s">
        <v>1292</v>
      </c>
      <c r="DJ699" t="s">
        <v>1293</v>
      </c>
      <c r="DK699" t="s">
        <v>668</v>
      </c>
      <c r="DL699">
        <v>15.38</v>
      </c>
      <c r="DM699" t="s">
        <v>669</v>
      </c>
      <c r="DN699" t="s">
        <v>670</v>
      </c>
      <c r="DO699">
        <v>1</v>
      </c>
      <c r="DP699">
        <v>270</v>
      </c>
      <c r="DQ699">
        <v>270</v>
      </c>
      <c r="DR699" t="s">
        <v>5448</v>
      </c>
      <c r="EB699" t="s">
        <v>5449</v>
      </c>
      <c r="EC699" t="s">
        <v>2434</v>
      </c>
      <c r="EE699" t="s">
        <v>280</v>
      </c>
    </row>
    <row r="700" ht="15" customHeight="1" spans="111:140" x14ac:dyDescent="0.25">
      <c r="DG700" t="s">
        <v>5450</v>
      </c>
      <c r="DH700" t="s">
        <v>87</v>
      </c>
      <c r="DI700" t="s">
        <v>1193</v>
      </c>
      <c r="DJ700" t="s">
        <v>1294</v>
      </c>
      <c r="DK700" t="s">
        <v>668</v>
      </c>
      <c r="DL700">
        <v>15.38</v>
      </c>
      <c r="DM700" t="s">
        <v>669</v>
      </c>
      <c r="DN700" t="s">
        <v>670</v>
      </c>
      <c r="DO700">
        <v>1</v>
      </c>
      <c r="DP700">
        <v>94.01</v>
      </c>
      <c r="DQ700">
        <v>94.01</v>
      </c>
      <c r="DR700" t="s">
        <v>5451</v>
      </c>
      <c r="EB700" t="s">
        <v>5452</v>
      </c>
      <c r="EC700" t="s">
        <v>2434</v>
      </c>
      <c r="ED700" t="s">
        <v>2435</v>
      </c>
      <c r="EE700" t="s">
        <v>264</v>
      </c>
      <c r="EF700" t="s">
        <v>262</v>
      </c>
      <c r="EG700">
        <v>1650</v>
      </c>
      <c r="EH700">
        <v>1900</v>
      </c>
      <c r="EI700">
        <v>2150</v>
      </c>
      <c r="EJ700">
        <v>2310</v>
      </c>
    </row>
    <row r="701" ht="15" customHeight="1" spans="111:135" x14ac:dyDescent="0.25">
      <c r="DG701" t="s">
        <v>5453</v>
      </c>
      <c r="DH701" t="s">
        <v>87</v>
      </c>
      <c r="DI701" t="s">
        <v>1295</v>
      </c>
      <c r="DJ701" t="s">
        <v>1296</v>
      </c>
      <c r="DK701" t="s">
        <v>668</v>
      </c>
      <c r="DL701">
        <v>15.38</v>
      </c>
      <c r="DM701" t="s">
        <v>669</v>
      </c>
      <c r="DN701" t="s">
        <v>670</v>
      </c>
      <c r="DO701">
        <v>1</v>
      </c>
      <c r="DP701">
        <v>697.55</v>
      </c>
      <c r="DQ701">
        <v>697.55</v>
      </c>
      <c r="DR701" t="s">
        <v>5454</v>
      </c>
      <c r="EB701" t="s">
        <v>5455</v>
      </c>
      <c r="EC701" t="s">
        <v>2434</v>
      </c>
      <c r="EE701" t="s">
        <v>278</v>
      </c>
    </row>
    <row r="702" ht="15" customHeight="1" spans="111:140" x14ac:dyDescent="0.25">
      <c r="DG702" t="s">
        <v>5456</v>
      </c>
      <c r="DH702" t="s">
        <v>87</v>
      </c>
      <c r="DI702" t="s">
        <v>1298</v>
      </c>
      <c r="DJ702" t="s">
        <v>1299</v>
      </c>
      <c r="DK702" t="s">
        <v>668</v>
      </c>
      <c r="DL702">
        <v>15.38</v>
      </c>
      <c r="DM702" t="s">
        <v>670</v>
      </c>
      <c r="DN702" t="s">
        <v>669</v>
      </c>
      <c r="DO702">
        <v>0</v>
      </c>
      <c r="DP702">
        <v>0</v>
      </c>
      <c r="DQ702">
        <v>56.25</v>
      </c>
      <c r="DR702" t="s">
        <v>5457</v>
      </c>
      <c r="EB702" t="s">
        <v>5458</v>
      </c>
      <c r="EC702" t="s">
        <v>2434</v>
      </c>
      <c r="ED702" t="s">
        <v>2435</v>
      </c>
      <c r="EE702" t="s">
        <v>240</v>
      </c>
      <c r="EF702" t="s">
        <v>238</v>
      </c>
      <c r="EG702">
        <v>3620</v>
      </c>
      <c r="EH702">
        <v>3620</v>
      </c>
      <c r="EI702">
        <v>3620</v>
      </c>
      <c r="EJ702">
        <v>3620</v>
      </c>
    </row>
    <row r="703" ht="15" customHeight="1" spans="111:140" x14ac:dyDescent="0.25">
      <c r="DG703" t="s">
        <v>5459</v>
      </c>
      <c r="DH703" t="s">
        <v>87</v>
      </c>
      <c r="DI703" t="s">
        <v>478</v>
      </c>
      <c r="DJ703" t="s">
        <v>479</v>
      </c>
      <c r="DK703" t="s">
        <v>1079</v>
      </c>
      <c r="DL703">
        <v>15.38</v>
      </c>
      <c r="DM703" t="s">
        <v>669</v>
      </c>
      <c r="DN703" t="s">
        <v>670</v>
      </c>
      <c r="DO703">
        <v>1</v>
      </c>
      <c r="DP703">
        <v>43628</v>
      </c>
      <c r="DQ703">
        <v>43628</v>
      </c>
      <c r="DR703" t="s">
        <v>5460</v>
      </c>
      <c r="EB703" t="s">
        <v>5461</v>
      </c>
      <c r="EC703" t="s">
        <v>2434</v>
      </c>
      <c r="ED703" t="s">
        <v>2435</v>
      </c>
      <c r="EE703" t="s">
        <v>252</v>
      </c>
      <c r="EF703" t="s">
        <v>250</v>
      </c>
      <c r="EG703">
        <v>370</v>
      </c>
      <c r="EH703">
        <v>370</v>
      </c>
      <c r="EI703">
        <v>370</v>
      </c>
      <c r="EJ703">
        <v>370</v>
      </c>
    </row>
    <row r="704" ht="15" customHeight="1" spans="111:140" x14ac:dyDescent="0.25">
      <c r="DG704" t="s">
        <v>5462</v>
      </c>
      <c r="DH704" t="s">
        <v>87</v>
      </c>
      <c r="DJ704" t="s">
        <v>851</v>
      </c>
      <c r="DK704" t="s">
        <v>692</v>
      </c>
      <c r="DL704">
        <v>15.38</v>
      </c>
      <c r="DM704" t="s">
        <v>669</v>
      </c>
      <c r="DN704" t="s">
        <v>669</v>
      </c>
      <c r="DO704">
        <v>0</v>
      </c>
      <c r="DP704">
        <v>0</v>
      </c>
      <c r="DQ704">
        <v>0</v>
      </c>
      <c r="DR704" t="s">
        <v>5052</v>
      </c>
      <c r="EB704" t="s">
        <v>5463</v>
      </c>
      <c r="EC704" t="s">
        <v>2434</v>
      </c>
      <c r="ED704" t="s">
        <v>2435</v>
      </c>
      <c r="EE704" t="s">
        <v>229</v>
      </c>
      <c r="EF704" t="s">
        <v>227</v>
      </c>
      <c r="EG704">
        <v>170</v>
      </c>
      <c r="EH704">
        <v>200</v>
      </c>
      <c r="EI704">
        <v>220</v>
      </c>
      <c r="EJ704">
        <v>240</v>
      </c>
    </row>
    <row r="705" ht="15" customHeight="1" spans="111:140" x14ac:dyDescent="0.25">
      <c r="DG705" t="s">
        <v>5464</v>
      </c>
      <c r="DH705" t="s">
        <v>87</v>
      </c>
      <c r="DJ705" t="s">
        <v>1172</v>
      </c>
      <c r="DK705" t="s">
        <v>692</v>
      </c>
      <c r="DL705">
        <v>15.38</v>
      </c>
      <c r="DM705" t="s">
        <v>669</v>
      </c>
      <c r="DN705" t="s">
        <v>669</v>
      </c>
      <c r="DO705">
        <v>0</v>
      </c>
      <c r="DP705">
        <v>0</v>
      </c>
      <c r="DQ705">
        <v>0</v>
      </c>
      <c r="DR705" t="s">
        <v>5345</v>
      </c>
      <c r="EB705" t="s">
        <v>5465</v>
      </c>
      <c r="EC705" t="s">
        <v>2434</v>
      </c>
      <c r="ED705" t="s">
        <v>2435</v>
      </c>
      <c r="EE705" t="s">
        <v>246</v>
      </c>
      <c r="EF705" t="s">
        <v>244</v>
      </c>
      <c r="EG705">
        <v>620</v>
      </c>
      <c r="EH705">
        <v>620</v>
      </c>
      <c r="EI705">
        <v>620</v>
      </c>
      <c r="EJ705">
        <v>620</v>
      </c>
    </row>
    <row r="706" ht="15" customHeight="1" spans="111:140" x14ac:dyDescent="0.25">
      <c r="DG706" t="s">
        <v>5466</v>
      </c>
      <c r="DH706" t="s">
        <v>87</v>
      </c>
      <c r="DI706" t="s">
        <v>1303</v>
      </c>
      <c r="DJ706" t="s">
        <v>1304</v>
      </c>
      <c r="DK706" t="s">
        <v>692</v>
      </c>
      <c r="DL706">
        <v>15.38</v>
      </c>
      <c r="DM706" t="s">
        <v>670</v>
      </c>
      <c r="DN706" t="s">
        <v>669</v>
      </c>
      <c r="DO706">
        <v>0</v>
      </c>
      <c r="DP706">
        <v>0</v>
      </c>
      <c r="DQ706">
        <v>436</v>
      </c>
      <c r="DR706" t="s">
        <v>5467</v>
      </c>
      <c r="EB706" t="s">
        <v>5468</v>
      </c>
      <c r="EC706" t="s">
        <v>2434</v>
      </c>
      <c r="ED706" t="s">
        <v>2435</v>
      </c>
      <c r="EE706" t="s">
        <v>255</v>
      </c>
      <c r="EF706" t="s">
        <v>253</v>
      </c>
      <c r="EG706">
        <v>430</v>
      </c>
      <c r="EH706">
        <v>500</v>
      </c>
      <c r="EI706">
        <v>560</v>
      </c>
      <c r="EJ706">
        <v>600</v>
      </c>
    </row>
    <row r="707" ht="15" customHeight="1" spans="111:135" x14ac:dyDescent="0.25">
      <c r="DG707" t="s">
        <v>5469</v>
      </c>
      <c r="DH707" t="s">
        <v>87</v>
      </c>
      <c r="DI707" t="s">
        <v>1308</v>
      </c>
      <c r="DJ707" t="s">
        <v>1309</v>
      </c>
      <c r="DK707" t="s">
        <v>692</v>
      </c>
      <c r="DL707">
        <v>15.38</v>
      </c>
      <c r="DM707" t="s">
        <v>670</v>
      </c>
      <c r="DN707" t="s">
        <v>669</v>
      </c>
      <c r="DO707">
        <v>0</v>
      </c>
      <c r="DP707">
        <v>0</v>
      </c>
      <c r="DQ707">
        <v>420</v>
      </c>
      <c r="DR707" t="s">
        <v>5470</v>
      </c>
      <c r="EB707" t="s">
        <v>5471</v>
      </c>
      <c r="EC707" t="s">
        <v>2434</v>
      </c>
      <c r="EE707" t="s">
        <v>243</v>
      </c>
    </row>
    <row r="708" ht="15" customHeight="1" spans="111:140" x14ac:dyDescent="0.25">
      <c r="DG708" t="s">
        <v>5472</v>
      </c>
      <c r="DH708" t="s">
        <v>87</v>
      </c>
      <c r="DI708" t="s">
        <v>1310</v>
      </c>
      <c r="DJ708" t="s">
        <v>1311</v>
      </c>
      <c r="DK708" t="s">
        <v>692</v>
      </c>
      <c r="DL708">
        <v>15.38</v>
      </c>
      <c r="DM708" t="s">
        <v>669</v>
      </c>
      <c r="DN708" t="s">
        <v>670</v>
      </c>
      <c r="DO708">
        <v>1</v>
      </c>
      <c r="DP708">
        <v>4500</v>
      </c>
      <c r="DQ708">
        <v>4500</v>
      </c>
      <c r="DR708" t="s">
        <v>5473</v>
      </c>
      <c r="EB708" t="s">
        <v>5474</v>
      </c>
      <c r="EC708" t="s">
        <v>2434</v>
      </c>
      <c r="ED708" t="s">
        <v>2435</v>
      </c>
      <c r="EE708" t="s">
        <v>261</v>
      </c>
      <c r="EF708" t="s">
        <v>259</v>
      </c>
      <c r="EG708">
        <v>1</v>
      </c>
      <c r="EH708">
        <v>1</v>
      </c>
      <c r="EI708">
        <v>1</v>
      </c>
      <c r="EJ708">
        <v>1</v>
      </c>
    </row>
    <row r="709" ht="15" customHeight="1" spans="111:135" x14ac:dyDescent="0.25">
      <c r="DG709" t="s">
        <v>5475</v>
      </c>
      <c r="DH709" t="s">
        <v>87</v>
      </c>
      <c r="DI709" t="s">
        <v>1313</v>
      </c>
      <c r="DJ709" t="s">
        <v>203</v>
      </c>
      <c r="DK709" t="s">
        <v>692</v>
      </c>
      <c r="DL709">
        <v>15.38</v>
      </c>
      <c r="DM709" t="s">
        <v>669</v>
      </c>
      <c r="DN709" t="s">
        <v>670</v>
      </c>
      <c r="DO709">
        <v>3</v>
      </c>
      <c r="DP709">
        <v>9999.99</v>
      </c>
      <c r="DQ709">
        <v>9999.99</v>
      </c>
      <c r="DR709" t="s">
        <v>5476</v>
      </c>
      <c r="EB709" t="s">
        <v>5477</v>
      </c>
      <c r="EC709" t="s">
        <v>2434</v>
      </c>
      <c r="EE709" t="s">
        <v>296</v>
      </c>
    </row>
    <row r="710" ht="15" customHeight="1" spans="111:135" x14ac:dyDescent="0.25">
      <c r="DG710" t="s">
        <v>5478</v>
      </c>
      <c r="DH710" t="s">
        <v>87</v>
      </c>
      <c r="DI710" t="s">
        <v>1316</v>
      </c>
      <c r="DJ710" t="s">
        <v>199</v>
      </c>
      <c r="DK710" t="s">
        <v>692</v>
      </c>
      <c r="DL710">
        <v>15.38</v>
      </c>
      <c r="DM710" t="s">
        <v>669</v>
      </c>
      <c r="DN710" t="s">
        <v>670</v>
      </c>
      <c r="DO710">
        <v>1</v>
      </c>
      <c r="DP710">
        <v>28040</v>
      </c>
      <c r="DQ710">
        <v>28040</v>
      </c>
      <c r="DR710" t="s">
        <v>5479</v>
      </c>
      <c r="EB710" t="s">
        <v>5480</v>
      </c>
      <c r="EC710" t="s">
        <v>2384</v>
      </c>
      <c r="EE710" t="s">
        <v>620</v>
      </c>
    </row>
    <row r="711" ht="15" customHeight="1" spans="111:135" x14ac:dyDescent="0.25">
      <c r="DG711" t="s">
        <v>5481</v>
      </c>
      <c r="DH711" t="s">
        <v>87</v>
      </c>
      <c r="DI711" t="s">
        <v>1317</v>
      </c>
      <c r="DJ711" t="s">
        <v>1318</v>
      </c>
      <c r="DK711" t="s">
        <v>692</v>
      </c>
      <c r="DL711">
        <v>15.38</v>
      </c>
      <c r="DM711" t="s">
        <v>669</v>
      </c>
      <c r="DN711" t="s">
        <v>670</v>
      </c>
      <c r="DO711">
        <v>2</v>
      </c>
      <c r="DP711">
        <v>1120</v>
      </c>
      <c r="DQ711">
        <v>1120</v>
      </c>
      <c r="DR711" t="s">
        <v>5482</v>
      </c>
      <c r="EB711" t="s">
        <v>5483</v>
      </c>
      <c r="EC711" t="s">
        <v>2384</v>
      </c>
      <c r="EE711" t="s">
        <v>618</v>
      </c>
    </row>
    <row r="712" ht="15" customHeight="1" spans="111:135" x14ac:dyDescent="0.25">
      <c r="DG712" t="s">
        <v>5484</v>
      </c>
      <c r="DH712" t="s">
        <v>87</v>
      </c>
      <c r="DI712" t="s">
        <v>1320</v>
      </c>
      <c r="DJ712" t="s">
        <v>1321</v>
      </c>
      <c r="DK712" t="s">
        <v>692</v>
      </c>
      <c r="DL712">
        <v>15.38</v>
      </c>
      <c r="DM712" t="s">
        <v>670</v>
      </c>
      <c r="DN712" t="s">
        <v>669</v>
      </c>
      <c r="DO712">
        <v>0</v>
      </c>
      <c r="DP712">
        <v>0</v>
      </c>
      <c r="DQ712">
        <v>79.43</v>
      </c>
      <c r="DR712" t="s">
        <v>5485</v>
      </c>
      <c r="EB712" t="s">
        <v>5486</v>
      </c>
      <c r="EC712" t="s">
        <v>2384</v>
      </c>
      <c r="EE712" t="s">
        <v>616</v>
      </c>
    </row>
    <row r="713" ht="15" customHeight="1" spans="111:135" x14ac:dyDescent="0.25">
      <c r="DG713" t="s">
        <v>5487</v>
      </c>
      <c r="DH713" t="s">
        <v>87</v>
      </c>
      <c r="DI713" t="s">
        <v>1324</v>
      </c>
      <c r="DJ713" t="s">
        <v>1325</v>
      </c>
      <c r="DK713" t="s">
        <v>692</v>
      </c>
      <c r="DL713">
        <v>15.38</v>
      </c>
      <c r="DM713" t="s">
        <v>670</v>
      </c>
      <c r="DN713" t="s">
        <v>670</v>
      </c>
      <c r="DO713">
        <v>0</v>
      </c>
      <c r="DP713">
        <v>0</v>
      </c>
      <c r="DQ713">
        <v>107.43</v>
      </c>
      <c r="DR713" t="s">
        <v>5488</v>
      </c>
      <c r="EB713" t="s">
        <v>5489</v>
      </c>
      <c r="EC713" t="s">
        <v>2384</v>
      </c>
      <c r="EE713" t="s">
        <v>614</v>
      </c>
    </row>
    <row r="714" ht="15" customHeight="1" spans="111:135" x14ac:dyDescent="0.25">
      <c r="DG714" t="s">
        <v>5490</v>
      </c>
      <c r="DH714" t="s">
        <v>87</v>
      </c>
      <c r="DJ714" t="s">
        <v>1027</v>
      </c>
      <c r="DK714" t="s">
        <v>668</v>
      </c>
      <c r="DL714">
        <v>11.54</v>
      </c>
      <c r="DM714" t="s">
        <v>669</v>
      </c>
      <c r="DN714" t="s">
        <v>669</v>
      </c>
      <c r="DO714">
        <v>0</v>
      </c>
      <c r="DP714">
        <v>0</v>
      </c>
      <c r="DQ714">
        <v>0</v>
      </c>
      <c r="DR714" t="s">
        <v>5198</v>
      </c>
      <c r="EB714" t="s">
        <v>5491</v>
      </c>
      <c r="EC714" t="s">
        <v>2384</v>
      </c>
      <c r="EE714" t="s">
        <v>612</v>
      </c>
    </row>
    <row r="715" ht="15" customHeight="1" spans="111:135" x14ac:dyDescent="0.25">
      <c r="DG715" t="s">
        <v>5492</v>
      </c>
      <c r="DH715" t="s">
        <v>87</v>
      </c>
      <c r="DJ715" t="s">
        <v>1030</v>
      </c>
      <c r="DK715" t="s">
        <v>668</v>
      </c>
      <c r="DL715">
        <v>11.54</v>
      </c>
      <c r="DM715" t="s">
        <v>669</v>
      </c>
      <c r="DN715" t="s">
        <v>669</v>
      </c>
      <c r="DO715">
        <v>0</v>
      </c>
      <c r="DP715">
        <v>0</v>
      </c>
      <c r="DQ715">
        <v>0</v>
      </c>
      <c r="DR715" t="s">
        <v>5201</v>
      </c>
      <c r="EB715" t="s">
        <v>5493</v>
      </c>
      <c r="EC715" t="s">
        <v>2384</v>
      </c>
      <c r="EE715" t="s">
        <v>610</v>
      </c>
    </row>
    <row r="716" ht="15" customHeight="1" spans="111:135" x14ac:dyDescent="0.25">
      <c r="DG716" t="s">
        <v>5494</v>
      </c>
      <c r="DH716" t="s">
        <v>87</v>
      </c>
      <c r="DI716" t="s">
        <v>1328</v>
      </c>
      <c r="DJ716" t="s">
        <v>1329</v>
      </c>
      <c r="DK716" t="s">
        <v>668</v>
      </c>
      <c r="DL716">
        <v>11.54</v>
      </c>
      <c r="DM716" t="s">
        <v>669</v>
      </c>
      <c r="DN716" t="s">
        <v>670</v>
      </c>
      <c r="DO716">
        <v>4</v>
      </c>
      <c r="DP716">
        <v>52.2</v>
      </c>
      <c r="DQ716">
        <v>52.2</v>
      </c>
      <c r="DR716" t="s">
        <v>5495</v>
      </c>
      <c r="EB716" t="s">
        <v>5496</v>
      </c>
      <c r="EC716" t="s">
        <v>2384</v>
      </c>
      <c r="EE716" t="s">
        <v>608</v>
      </c>
    </row>
    <row r="717" ht="15" customHeight="1" spans="111:135" x14ac:dyDescent="0.25">
      <c r="DG717" t="s">
        <v>5497</v>
      </c>
      <c r="DH717" t="s">
        <v>87</v>
      </c>
      <c r="DI717" t="s">
        <v>1331</v>
      </c>
      <c r="DJ717" t="s">
        <v>1332</v>
      </c>
      <c r="DK717" t="s">
        <v>668</v>
      </c>
      <c r="DL717">
        <v>11.54</v>
      </c>
      <c r="DM717" t="s">
        <v>670</v>
      </c>
      <c r="DN717" t="s">
        <v>669</v>
      </c>
      <c r="DO717">
        <v>0</v>
      </c>
      <c r="DP717">
        <v>0</v>
      </c>
      <c r="DQ717">
        <v>22.91</v>
      </c>
      <c r="DR717" t="s">
        <v>5498</v>
      </c>
      <c r="EB717" t="s">
        <v>5499</v>
      </c>
      <c r="EC717" t="s">
        <v>2384</v>
      </c>
      <c r="EE717" t="s">
        <v>606</v>
      </c>
    </row>
    <row r="718" ht="15" customHeight="1" spans="111:135" x14ac:dyDescent="0.25">
      <c r="DG718" t="s">
        <v>5500</v>
      </c>
      <c r="DH718" t="s">
        <v>87</v>
      </c>
      <c r="DI718" t="s">
        <v>1336</v>
      </c>
      <c r="DJ718" t="s">
        <v>1337</v>
      </c>
      <c r="DK718" t="s">
        <v>668</v>
      </c>
      <c r="DL718">
        <v>11.54</v>
      </c>
      <c r="DM718" t="s">
        <v>669</v>
      </c>
      <c r="DN718" t="s">
        <v>670</v>
      </c>
      <c r="DO718">
        <v>1</v>
      </c>
      <c r="DP718">
        <v>687</v>
      </c>
      <c r="DQ718">
        <v>687</v>
      </c>
      <c r="DR718" t="s">
        <v>5501</v>
      </c>
      <c r="EB718" t="s">
        <v>5502</v>
      </c>
      <c r="EC718" t="s">
        <v>2384</v>
      </c>
      <c r="EE718" t="s">
        <v>603</v>
      </c>
    </row>
    <row r="719" ht="15" customHeight="1" spans="111:140" x14ac:dyDescent="0.25">
      <c r="DG719" t="s">
        <v>5503</v>
      </c>
      <c r="DH719" t="s">
        <v>87</v>
      </c>
      <c r="DI719" t="s">
        <v>1341</v>
      </c>
      <c r="DJ719" t="s">
        <v>1342</v>
      </c>
      <c r="DK719" t="s">
        <v>668</v>
      </c>
      <c r="DL719">
        <v>11.54</v>
      </c>
      <c r="DM719" t="s">
        <v>669</v>
      </c>
      <c r="DN719" t="s">
        <v>670</v>
      </c>
      <c r="DO719">
        <v>1</v>
      </c>
      <c r="DP719">
        <v>14.5</v>
      </c>
      <c r="DQ719">
        <v>14.5</v>
      </c>
      <c r="DR719" t="s">
        <v>5504</v>
      </c>
      <c r="EB719" t="s">
        <v>5505</v>
      </c>
      <c r="EC719" t="s">
        <v>2384</v>
      </c>
      <c r="ED719" t="s">
        <v>2385</v>
      </c>
      <c r="EE719" t="s">
        <v>601</v>
      </c>
      <c r="EF719" t="s">
        <v>2404</v>
      </c>
      <c r="EG719">
        <v>1</v>
      </c>
      <c r="EH719">
        <v>1</v>
      </c>
      <c r="EI719">
        <v>1</v>
      </c>
      <c r="EJ719">
        <v>1</v>
      </c>
    </row>
    <row r="720" ht="15" customHeight="1" spans="111:135" x14ac:dyDescent="0.25">
      <c r="DG720" t="s">
        <v>5506</v>
      </c>
      <c r="DH720" t="s">
        <v>87</v>
      </c>
      <c r="DI720" t="s">
        <v>1284</v>
      </c>
      <c r="DJ720" t="s">
        <v>1344</v>
      </c>
      <c r="DK720" t="s">
        <v>668</v>
      </c>
      <c r="DL720">
        <v>11.54</v>
      </c>
      <c r="DM720" t="s">
        <v>670</v>
      </c>
      <c r="DN720" t="s">
        <v>669</v>
      </c>
      <c r="DO720">
        <v>0</v>
      </c>
      <c r="DP720">
        <v>0</v>
      </c>
      <c r="DQ720">
        <v>699</v>
      </c>
      <c r="DR720" t="s">
        <v>5507</v>
      </c>
      <c r="EB720" t="s">
        <v>5508</v>
      </c>
      <c r="EC720" t="s">
        <v>2384</v>
      </c>
      <c r="EE720" t="s">
        <v>599</v>
      </c>
    </row>
    <row r="721" ht="15" customHeight="1" spans="111:135" x14ac:dyDescent="0.25">
      <c r="DG721" t="s">
        <v>5509</v>
      </c>
      <c r="DH721" t="s">
        <v>87</v>
      </c>
      <c r="DI721" t="s">
        <v>1345</v>
      </c>
      <c r="DJ721" t="s">
        <v>1346</v>
      </c>
      <c r="DK721" t="s">
        <v>668</v>
      </c>
      <c r="DL721">
        <v>11.54</v>
      </c>
      <c r="DM721" t="s">
        <v>669</v>
      </c>
      <c r="DN721" t="s">
        <v>670</v>
      </c>
      <c r="DO721">
        <v>1</v>
      </c>
      <c r="DP721">
        <v>37.24</v>
      </c>
      <c r="DQ721">
        <v>37.24</v>
      </c>
      <c r="DR721" t="s">
        <v>5510</v>
      </c>
      <c r="EB721" t="s">
        <v>5511</v>
      </c>
      <c r="EC721" t="s">
        <v>2384</v>
      </c>
      <c r="EE721" t="s">
        <v>623</v>
      </c>
    </row>
    <row r="722" ht="15" customHeight="1" spans="111:135" x14ac:dyDescent="0.25">
      <c r="DG722" t="s">
        <v>5512</v>
      </c>
      <c r="DH722" t="s">
        <v>87</v>
      </c>
      <c r="DI722" t="s">
        <v>1348</v>
      </c>
      <c r="DJ722" t="s">
        <v>1349</v>
      </c>
      <c r="DK722" t="s">
        <v>668</v>
      </c>
      <c r="DL722">
        <v>11.54</v>
      </c>
      <c r="DM722" t="s">
        <v>669</v>
      </c>
      <c r="DN722" t="s">
        <v>670</v>
      </c>
      <c r="DO722">
        <v>1</v>
      </c>
      <c r="DP722">
        <v>37.25</v>
      </c>
      <c r="DQ722">
        <v>37.25</v>
      </c>
      <c r="DR722" t="s">
        <v>5513</v>
      </c>
      <c r="EB722" t="s">
        <v>5514</v>
      </c>
      <c r="EC722" t="s">
        <v>2384</v>
      </c>
      <c r="EE722" t="s">
        <v>596</v>
      </c>
    </row>
    <row r="723" ht="15" customHeight="1" spans="111:140" x14ac:dyDescent="0.25">
      <c r="DG723" t="s">
        <v>5515</v>
      </c>
      <c r="DH723" t="s">
        <v>87</v>
      </c>
      <c r="DI723" t="s">
        <v>1351</v>
      </c>
      <c r="DJ723" t="s">
        <v>1352</v>
      </c>
      <c r="DK723" t="s">
        <v>668</v>
      </c>
      <c r="DL723">
        <v>11.54</v>
      </c>
      <c r="DM723" t="s">
        <v>670</v>
      </c>
      <c r="DN723" t="s">
        <v>669</v>
      </c>
      <c r="DO723">
        <v>0</v>
      </c>
      <c r="DP723">
        <v>0</v>
      </c>
      <c r="DQ723">
        <v>60.35</v>
      </c>
      <c r="DR723" t="s">
        <v>5516</v>
      </c>
      <c r="EB723" t="s">
        <v>5517</v>
      </c>
      <c r="EC723" t="s">
        <v>2384</v>
      </c>
      <c r="ED723" t="s">
        <v>2385</v>
      </c>
      <c r="EE723" t="s">
        <v>593</v>
      </c>
      <c r="EF723" t="s">
        <v>2469</v>
      </c>
      <c r="EG723">
        <v>1</v>
      </c>
      <c r="EH723">
        <v>1</v>
      </c>
      <c r="EI723">
        <v>1</v>
      </c>
      <c r="EJ723">
        <v>1</v>
      </c>
    </row>
    <row r="724" ht="15" customHeight="1" spans="111:135" x14ac:dyDescent="0.25">
      <c r="DG724" t="s">
        <v>5518</v>
      </c>
      <c r="DH724" t="s">
        <v>87</v>
      </c>
      <c r="DI724" t="s">
        <v>1354</v>
      </c>
      <c r="DJ724" t="s">
        <v>1355</v>
      </c>
      <c r="DK724" t="s">
        <v>668</v>
      </c>
      <c r="DL724">
        <v>11.54</v>
      </c>
      <c r="DM724" t="s">
        <v>670</v>
      </c>
      <c r="DN724" t="s">
        <v>669</v>
      </c>
      <c r="DO724">
        <v>0</v>
      </c>
      <c r="DP724">
        <v>0</v>
      </c>
      <c r="DQ724">
        <v>24.28</v>
      </c>
      <c r="DR724" t="s">
        <v>5519</v>
      </c>
      <c r="EB724" t="s">
        <v>5520</v>
      </c>
      <c r="EC724" t="s">
        <v>2384</v>
      </c>
      <c r="EE724" t="s">
        <v>591</v>
      </c>
    </row>
    <row r="725" ht="15" customHeight="1" spans="111:135" x14ac:dyDescent="0.25">
      <c r="DG725" t="s">
        <v>5521</v>
      </c>
      <c r="DH725" t="s">
        <v>87</v>
      </c>
      <c r="DI725" t="s">
        <v>1359</v>
      </c>
      <c r="DJ725" t="s">
        <v>1360</v>
      </c>
      <c r="DK725" t="s">
        <v>668</v>
      </c>
      <c r="DL725">
        <v>11.54</v>
      </c>
      <c r="DM725" t="s">
        <v>670</v>
      </c>
      <c r="DN725" t="s">
        <v>669</v>
      </c>
      <c r="DO725">
        <v>0</v>
      </c>
      <c r="DP725">
        <v>0</v>
      </c>
      <c r="DQ725">
        <v>2.5</v>
      </c>
      <c r="DR725" t="s">
        <v>5522</v>
      </c>
      <c r="EB725" t="s">
        <v>5523</v>
      </c>
      <c r="EC725" t="s">
        <v>2384</v>
      </c>
      <c r="EE725" t="s">
        <v>2423</v>
      </c>
    </row>
    <row r="726" ht="15" customHeight="1" spans="111:135" x14ac:dyDescent="0.25">
      <c r="DG726" t="s">
        <v>5524</v>
      </c>
      <c r="DH726" t="s">
        <v>87</v>
      </c>
      <c r="DI726" t="s">
        <v>1364</v>
      </c>
      <c r="DJ726" t="s">
        <v>1365</v>
      </c>
      <c r="DK726" t="s">
        <v>668</v>
      </c>
      <c r="DL726">
        <v>11.54</v>
      </c>
      <c r="DM726" t="s">
        <v>670</v>
      </c>
      <c r="DN726" t="s">
        <v>669</v>
      </c>
      <c r="DO726">
        <v>0</v>
      </c>
      <c r="DP726">
        <v>0</v>
      </c>
      <c r="DQ726">
        <v>181.39</v>
      </c>
      <c r="DR726" t="s">
        <v>5525</v>
      </c>
      <c r="EB726" t="s">
        <v>5526</v>
      </c>
      <c r="EC726" t="s">
        <v>2384</v>
      </c>
      <c r="EE726" t="s">
        <v>584</v>
      </c>
    </row>
    <row r="727" ht="15" customHeight="1" spans="111:140" x14ac:dyDescent="0.25">
      <c r="DG727" t="s">
        <v>5527</v>
      </c>
      <c r="DH727" t="s">
        <v>87</v>
      </c>
      <c r="DI727" t="s">
        <v>462</v>
      </c>
      <c r="DJ727" t="s">
        <v>463</v>
      </c>
      <c r="DK727" t="s">
        <v>1079</v>
      </c>
      <c r="DL727">
        <v>11.54</v>
      </c>
      <c r="DM727" t="s">
        <v>669</v>
      </c>
      <c r="DN727" t="s">
        <v>670</v>
      </c>
      <c r="DO727">
        <v>1</v>
      </c>
      <c r="DP727">
        <v>13340.05</v>
      </c>
      <c r="DQ727">
        <v>13340.05</v>
      </c>
      <c r="DR727" t="s">
        <v>5528</v>
      </c>
      <c r="EB727" t="s">
        <v>5529</v>
      </c>
      <c r="EC727" t="s">
        <v>2384</v>
      </c>
      <c r="ED727" t="s">
        <v>2385</v>
      </c>
      <c r="EE727" t="s">
        <v>582</v>
      </c>
      <c r="EF727" t="s">
        <v>2525</v>
      </c>
      <c r="EG727">
        <v>1</v>
      </c>
      <c r="EH727">
        <v>1</v>
      </c>
      <c r="EI727">
        <v>1</v>
      </c>
      <c r="EJ727">
        <v>1</v>
      </c>
    </row>
    <row r="728" ht="15" customHeight="1" spans="111:140" x14ac:dyDescent="0.25">
      <c r="DG728" t="s">
        <v>5530</v>
      </c>
      <c r="DH728" t="s">
        <v>87</v>
      </c>
      <c r="DI728" t="s">
        <v>406</v>
      </c>
      <c r="DJ728" t="s">
        <v>407</v>
      </c>
      <c r="DK728" t="s">
        <v>1079</v>
      </c>
      <c r="DL728">
        <v>11.54</v>
      </c>
      <c r="DM728" t="s">
        <v>669</v>
      </c>
      <c r="DN728" t="s">
        <v>670</v>
      </c>
      <c r="DO728">
        <v>1</v>
      </c>
      <c r="DP728">
        <v>36130</v>
      </c>
      <c r="DQ728">
        <v>36130</v>
      </c>
      <c r="DR728" t="s">
        <v>5531</v>
      </c>
      <c r="EB728" t="s">
        <v>5532</v>
      </c>
      <c r="EC728" t="s">
        <v>2384</v>
      </c>
      <c r="ED728" t="s">
        <v>2385</v>
      </c>
      <c r="EE728" t="s">
        <v>580</v>
      </c>
      <c r="EF728" t="s">
        <v>2539</v>
      </c>
      <c r="EG728">
        <v>1</v>
      </c>
      <c r="EH728">
        <v>1</v>
      </c>
      <c r="EI728">
        <v>1</v>
      </c>
      <c r="EJ728">
        <v>1</v>
      </c>
    </row>
    <row r="729" ht="15" customHeight="1" spans="111:135" x14ac:dyDescent="0.25">
      <c r="DG729" t="s">
        <v>5533</v>
      </c>
      <c r="DH729" t="s">
        <v>87</v>
      </c>
      <c r="DI729" t="s">
        <v>494</v>
      </c>
      <c r="DJ729" t="s">
        <v>1370</v>
      </c>
      <c r="DK729" t="s">
        <v>1079</v>
      </c>
      <c r="DL729">
        <v>11.54</v>
      </c>
      <c r="DM729" t="s">
        <v>669</v>
      </c>
      <c r="DN729" t="s">
        <v>670</v>
      </c>
      <c r="DO729">
        <v>1</v>
      </c>
      <c r="DP729">
        <v>39660</v>
      </c>
      <c r="DQ729">
        <v>39660</v>
      </c>
      <c r="DR729" t="s">
        <v>5534</v>
      </c>
      <c r="EB729" t="s">
        <v>5535</v>
      </c>
      <c r="EC729" t="s">
        <v>2384</v>
      </c>
      <c r="EE729" t="s">
        <v>578</v>
      </c>
    </row>
    <row r="730" ht="15" customHeight="1" spans="111:135" x14ac:dyDescent="0.25">
      <c r="DG730" t="s">
        <v>5536</v>
      </c>
      <c r="DH730" t="s">
        <v>87</v>
      </c>
      <c r="DI730" t="s">
        <v>496</v>
      </c>
      <c r="DJ730" t="s">
        <v>497</v>
      </c>
      <c r="DK730" t="s">
        <v>1079</v>
      </c>
      <c r="DL730">
        <v>11.54</v>
      </c>
      <c r="DM730" t="s">
        <v>669</v>
      </c>
      <c r="DN730" t="s">
        <v>670</v>
      </c>
      <c r="DO730">
        <v>1</v>
      </c>
      <c r="DP730">
        <v>39660</v>
      </c>
      <c r="DQ730">
        <v>39660</v>
      </c>
      <c r="DR730" t="s">
        <v>5537</v>
      </c>
      <c r="EB730" t="s">
        <v>5538</v>
      </c>
      <c r="EC730" t="s">
        <v>2384</v>
      </c>
      <c r="EE730" t="s">
        <v>327</v>
      </c>
    </row>
    <row r="731" ht="15" customHeight="1" spans="111:135" x14ac:dyDescent="0.25">
      <c r="DG731" t="s">
        <v>5539</v>
      </c>
      <c r="DH731" t="s">
        <v>87</v>
      </c>
      <c r="DJ731" t="s">
        <v>1043</v>
      </c>
      <c r="DK731" t="s">
        <v>692</v>
      </c>
      <c r="DL731">
        <v>11.54</v>
      </c>
      <c r="DM731" t="s">
        <v>669</v>
      </c>
      <c r="DN731" t="s">
        <v>669</v>
      </c>
      <c r="DO731">
        <v>0</v>
      </c>
      <c r="DP731">
        <v>0</v>
      </c>
      <c r="DQ731">
        <v>0</v>
      </c>
      <c r="DR731" t="s">
        <v>5215</v>
      </c>
      <c r="EB731" t="s">
        <v>5540</v>
      </c>
      <c r="EC731" t="s">
        <v>2384</v>
      </c>
      <c r="EE731" t="s">
        <v>330</v>
      </c>
    </row>
    <row r="732" ht="15" customHeight="1" spans="111:135" x14ac:dyDescent="0.25">
      <c r="DG732" t="s">
        <v>5541</v>
      </c>
      <c r="DH732" t="s">
        <v>87</v>
      </c>
      <c r="DJ732" t="s">
        <v>983</v>
      </c>
      <c r="DK732" t="s">
        <v>692</v>
      </c>
      <c r="DL732">
        <v>11.54</v>
      </c>
      <c r="DM732" t="s">
        <v>669</v>
      </c>
      <c r="DN732" t="s">
        <v>669</v>
      </c>
      <c r="DO732">
        <v>0</v>
      </c>
      <c r="DP732">
        <v>0</v>
      </c>
      <c r="DQ732">
        <v>0</v>
      </c>
      <c r="DR732" t="s">
        <v>5159</v>
      </c>
      <c r="EB732" t="s">
        <v>5542</v>
      </c>
      <c r="EC732" t="s">
        <v>2384</v>
      </c>
      <c r="EE732" t="s">
        <v>576</v>
      </c>
    </row>
    <row r="733" ht="15" customHeight="1" spans="111:135" x14ac:dyDescent="0.25">
      <c r="DG733" t="s">
        <v>5543</v>
      </c>
      <c r="DH733" t="s">
        <v>87</v>
      </c>
      <c r="DI733" t="s">
        <v>1372</v>
      </c>
      <c r="DJ733" t="s">
        <v>1373</v>
      </c>
      <c r="DK733" t="s">
        <v>692</v>
      </c>
      <c r="DL733">
        <v>11.54</v>
      </c>
      <c r="DM733" t="s">
        <v>670</v>
      </c>
      <c r="DN733" t="s">
        <v>669</v>
      </c>
      <c r="DO733">
        <v>0</v>
      </c>
      <c r="DP733">
        <v>0</v>
      </c>
      <c r="DQ733">
        <v>971</v>
      </c>
      <c r="DR733" t="s">
        <v>5544</v>
      </c>
      <c r="EB733" t="s">
        <v>5545</v>
      </c>
      <c r="EC733" t="s">
        <v>2384</v>
      </c>
      <c r="EE733" t="s">
        <v>573</v>
      </c>
    </row>
    <row r="734" ht="15" customHeight="1" spans="111:140" x14ac:dyDescent="0.25">
      <c r="DG734" t="s">
        <v>5546</v>
      </c>
      <c r="DH734" t="s">
        <v>87</v>
      </c>
      <c r="DI734" t="s">
        <v>1375</v>
      </c>
      <c r="DJ734" t="s">
        <v>1376</v>
      </c>
      <c r="DK734" t="s">
        <v>692</v>
      </c>
      <c r="DL734">
        <v>11.54</v>
      </c>
      <c r="DM734" t="s">
        <v>669</v>
      </c>
      <c r="DN734" t="s">
        <v>670</v>
      </c>
      <c r="DO734">
        <v>1</v>
      </c>
      <c r="DP734">
        <v>1817.81</v>
      </c>
      <c r="DQ734">
        <v>1817.81</v>
      </c>
      <c r="DR734" t="s">
        <v>5547</v>
      </c>
      <c r="EB734" t="s">
        <v>5548</v>
      </c>
      <c r="EC734" t="s">
        <v>2384</v>
      </c>
      <c r="ED734" t="s">
        <v>2385</v>
      </c>
      <c r="EE734" t="s">
        <v>569</v>
      </c>
      <c r="EF734" t="s">
        <v>567</v>
      </c>
      <c r="EG734">
        <v>1</v>
      </c>
      <c r="EH734">
        <v>1</v>
      </c>
      <c r="EI734">
        <v>1</v>
      </c>
      <c r="EJ734">
        <v>1</v>
      </c>
    </row>
    <row r="735" ht="15" customHeight="1" spans="111:135" x14ac:dyDescent="0.25">
      <c r="DG735" t="s">
        <v>5549</v>
      </c>
      <c r="DH735" t="s">
        <v>87</v>
      </c>
      <c r="DI735" t="s">
        <v>1380</v>
      </c>
      <c r="DJ735" t="s">
        <v>1381</v>
      </c>
      <c r="DK735" t="s">
        <v>692</v>
      </c>
      <c r="DL735">
        <v>11.54</v>
      </c>
      <c r="DM735" t="s">
        <v>670</v>
      </c>
      <c r="DN735" t="s">
        <v>669</v>
      </c>
      <c r="DO735">
        <v>0</v>
      </c>
      <c r="DP735">
        <v>0</v>
      </c>
      <c r="DQ735">
        <v>617</v>
      </c>
      <c r="DR735" t="s">
        <v>5550</v>
      </c>
      <c r="EB735" t="s">
        <v>5551</v>
      </c>
      <c r="EC735" t="s">
        <v>2384</v>
      </c>
      <c r="EE735" t="s">
        <v>2641</v>
      </c>
    </row>
    <row r="736" ht="15" customHeight="1" spans="111:135" x14ac:dyDescent="0.25">
      <c r="DG736" t="s">
        <v>5552</v>
      </c>
      <c r="DH736" t="s">
        <v>87</v>
      </c>
      <c r="DI736" t="s">
        <v>1383</v>
      </c>
      <c r="DJ736" t="s">
        <v>1384</v>
      </c>
      <c r="DK736" t="s">
        <v>692</v>
      </c>
      <c r="DL736">
        <v>11.54</v>
      </c>
      <c r="DM736" t="s">
        <v>669</v>
      </c>
      <c r="DN736" t="s">
        <v>670</v>
      </c>
      <c r="DO736">
        <v>1</v>
      </c>
      <c r="DP736">
        <v>210</v>
      </c>
      <c r="DQ736">
        <v>210</v>
      </c>
      <c r="DR736" t="s">
        <v>5553</v>
      </c>
      <c r="EB736" t="s">
        <v>5554</v>
      </c>
      <c r="EC736" t="s">
        <v>2384</v>
      </c>
      <c r="EE736" t="s">
        <v>2656</v>
      </c>
    </row>
    <row r="737" ht="15" customHeight="1" spans="111:135" x14ac:dyDescent="0.25">
      <c r="DG737" t="s">
        <v>5555</v>
      </c>
      <c r="DH737" t="s">
        <v>87</v>
      </c>
      <c r="DI737" t="s">
        <v>1385</v>
      </c>
      <c r="DJ737" t="s">
        <v>1386</v>
      </c>
      <c r="DK737" t="s">
        <v>692</v>
      </c>
      <c r="DL737">
        <v>11.54</v>
      </c>
      <c r="DM737" t="s">
        <v>670</v>
      </c>
      <c r="DN737" t="s">
        <v>669</v>
      </c>
      <c r="DO737">
        <v>0</v>
      </c>
      <c r="DP737">
        <v>0</v>
      </c>
      <c r="DQ737">
        <v>768</v>
      </c>
      <c r="DR737" t="s">
        <v>5556</v>
      </c>
      <c r="EB737" t="s">
        <v>5557</v>
      </c>
      <c r="EC737" t="s">
        <v>2384</v>
      </c>
      <c r="EE737" t="s">
        <v>2670</v>
      </c>
    </row>
    <row r="738" ht="15" customHeight="1" spans="111:140" x14ac:dyDescent="0.25">
      <c r="DG738" t="s">
        <v>5558</v>
      </c>
      <c r="DH738" t="s">
        <v>87</v>
      </c>
      <c r="DI738" t="s">
        <v>1388</v>
      </c>
      <c r="DJ738" t="s">
        <v>200</v>
      </c>
      <c r="DK738" t="s">
        <v>692</v>
      </c>
      <c r="DL738">
        <v>11.54</v>
      </c>
      <c r="DM738" t="s">
        <v>669</v>
      </c>
      <c r="DN738" t="s">
        <v>670</v>
      </c>
      <c r="DO738">
        <v>1</v>
      </c>
      <c r="DP738">
        <v>30093</v>
      </c>
      <c r="DQ738">
        <v>30093</v>
      </c>
      <c r="DR738" t="s">
        <v>5559</v>
      </c>
      <c r="EB738" t="s">
        <v>5560</v>
      </c>
      <c r="EC738" t="s">
        <v>2384</v>
      </c>
      <c r="ED738" t="s">
        <v>2385</v>
      </c>
      <c r="EE738" t="s">
        <v>561</v>
      </c>
      <c r="EF738" t="s">
        <v>2684</v>
      </c>
      <c r="EG738">
        <v>1</v>
      </c>
      <c r="EH738">
        <v>1</v>
      </c>
      <c r="EI738">
        <v>1</v>
      </c>
      <c r="EJ738">
        <v>1</v>
      </c>
    </row>
    <row r="739" ht="15" customHeight="1" spans="111:135" x14ac:dyDescent="0.25">
      <c r="DG739" t="s">
        <v>5561</v>
      </c>
      <c r="DH739" t="s">
        <v>87</v>
      </c>
      <c r="DI739" t="s">
        <v>1390</v>
      </c>
      <c r="DJ739" t="s">
        <v>1391</v>
      </c>
      <c r="DK739" t="s">
        <v>692</v>
      </c>
      <c r="DL739">
        <v>11.54</v>
      </c>
      <c r="DM739" t="s">
        <v>669</v>
      </c>
      <c r="DN739" t="s">
        <v>670</v>
      </c>
      <c r="DO739">
        <v>1</v>
      </c>
      <c r="DP739">
        <v>460</v>
      </c>
      <c r="DQ739">
        <v>460</v>
      </c>
      <c r="DR739" t="s">
        <v>5562</v>
      </c>
      <c r="EB739" t="s">
        <v>5563</v>
      </c>
      <c r="EC739" t="s">
        <v>2384</v>
      </c>
      <c r="EE739" t="s">
        <v>563</v>
      </c>
    </row>
    <row r="740" ht="15" customHeight="1" spans="111:140" x14ac:dyDescent="0.25">
      <c r="DG740" t="s">
        <v>5564</v>
      </c>
      <c r="DH740" t="s">
        <v>87</v>
      </c>
      <c r="DI740" t="s">
        <v>1393</v>
      </c>
      <c r="DJ740" t="s">
        <v>1394</v>
      </c>
      <c r="DK740" t="s">
        <v>692</v>
      </c>
      <c r="DL740">
        <v>11.54</v>
      </c>
      <c r="DM740" t="s">
        <v>669</v>
      </c>
      <c r="DN740" t="s">
        <v>670</v>
      </c>
      <c r="DO740">
        <v>1</v>
      </c>
      <c r="DP740">
        <v>327</v>
      </c>
      <c r="DQ740">
        <v>327</v>
      </c>
      <c r="DR740" t="s">
        <v>5565</v>
      </c>
      <c r="EB740" t="s">
        <v>5566</v>
      </c>
      <c r="EC740" t="s">
        <v>2384</v>
      </c>
      <c r="ED740" t="s">
        <v>2385</v>
      </c>
      <c r="EE740" t="s">
        <v>556</v>
      </c>
      <c r="EF740" t="s">
        <v>2713</v>
      </c>
      <c r="EG740">
        <v>1</v>
      </c>
      <c r="EH740">
        <v>1</v>
      </c>
      <c r="EI740">
        <v>1</v>
      </c>
      <c r="EJ740">
        <v>1</v>
      </c>
    </row>
    <row r="741" ht="15" customHeight="1" spans="111:135" x14ac:dyDescent="0.25">
      <c r="DG741" t="s">
        <v>5567</v>
      </c>
      <c r="DH741" t="s">
        <v>87</v>
      </c>
      <c r="DI741" t="s">
        <v>1395</v>
      </c>
      <c r="DJ741" t="s">
        <v>1396</v>
      </c>
      <c r="DK741" t="s">
        <v>692</v>
      </c>
      <c r="DL741">
        <v>11.54</v>
      </c>
      <c r="DM741" t="s">
        <v>669</v>
      </c>
      <c r="DN741" t="s">
        <v>670</v>
      </c>
      <c r="DO741">
        <v>1</v>
      </c>
      <c r="DP741">
        <v>4285</v>
      </c>
      <c r="DQ741">
        <v>4285</v>
      </c>
      <c r="DR741" t="s">
        <v>5568</v>
      </c>
      <c r="EB741" t="s">
        <v>5569</v>
      </c>
      <c r="EC741" t="s">
        <v>2384</v>
      </c>
      <c r="EE741" t="s">
        <v>551</v>
      </c>
    </row>
    <row r="742" ht="15" customHeight="1" spans="111:135" x14ac:dyDescent="0.25">
      <c r="DG742" t="s">
        <v>5570</v>
      </c>
      <c r="DH742" t="s">
        <v>87</v>
      </c>
      <c r="DI742" t="s">
        <v>1398</v>
      </c>
      <c r="DJ742" t="s">
        <v>1399</v>
      </c>
      <c r="DK742" t="s">
        <v>692</v>
      </c>
      <c r="DL742">
        <v>11.54</v>
      </c>
      <c r="DM742" t="s">
        <v>670</v>
      </c>
      <c r="DN742" t="s">
        <v>670</v>
      </c>
      <c r="DO742">
        <v>1</v>
      </c>
      <c r="DP742">
        <v>2.58</v>
      </c>
      <c r="DQ742">
        <v>5.24</v>
      </c>
      <c r="DR742" t="s">
        <v>5571</v>
      </c>
      <c r="EB742" t="s">
        <v>5572</v>
      </c>
      <c r="EC742" t="s">
        <v>2384</v>
      </c>
      <c r="EE742" t="s">
        <v>290</v>
      </c>
    </row>
    <row r="743" ht="15" customHeight="1" spans="111:135" x14ac:dyDescent="0.25">
      <c r="DG743" t="s">
        <v>5573</v>
      </c>
      <c r="DH743" t="s">
        <v>87</v>
      </c>
      <c r="DI743" t="s">
        <v>1403</v>
      </c>
      <c r="DJ743" t="s">
        <v>1404</v>
      </c>
      <c r="DK743" t="s">
        <v>692</v>
      </c>
      <c r="DL743">
        <v>11.54</v>
      </c>
      <c r="DM743" t="s">
        <v>669</v>
      </c>
      <c r="DN743" t="s">
        <v>670</v>
      </c>
      <c r="DO743">
        <v>10</v>
      </c>
      <c r="DP743">
        <v>1020</v>
      </c>
      <c r="DQ743">
        <v>1020</v>
      </c>
      <c r="DR743" t="s">
        <v>5574</v>
      </c>
      <c r="EB743" t="s">
        <v>5575</v>
      </c>
      <c r="EC743" t="s">
        <v>2384</v>
      </c>
      <c r="EE743" t="s">
        <v>275</v>
      </c>
    </row>
    <row r="744" ht="15" customHeight="1" spans="111:135" x14ac:dyDescent="0.25">
      <c r="DG744" t="s">
        <v>5576</v>
      </c>
      <c r="DH744" t="s">
        <v>87</v>
      </c>
      <c r="DI744" t="s">
        <v>1405</v>
      </c>
      <c r="DJ744" t="s">
        <v>1406</v>
      </c>
      <c r="DK744" t="s">
        <v>692</v>
      </c>
      <c r="DL744">
        <v>11.54</v>
      </c>
      <c r="DM744" t="s">
        <v>669</v>
      </c>
      <c r="DN744" t="s">
        <v>670</v>
      </c>
      <c r="DO744">
        <v>4</v>
      </c>
      <c r="DP744">
        <v>2920</v>
      </c>
      <c r="DQ744">
        <v>2920</v>
      </c>
      <c r="DR744" t="s">
        <v>5577</v>
      </c>
      <c r="EB744" t="s">
        <v>5578</v>
      </c>
      <c r="EC744" t="s">
        <v>2384</v>
      </c>
      <c r="EE744" t="s">
        <v>298</v>
      </c>
    </row>
    <row r="745" ht="15" customHeight="1" spans="111:135" x14ac:dyDescent="0.25">
      <c r="DG745" t="s">
        <v>5579</v>
      </c>
      <c r="DH745" t="s">
        <v>87</v>
      </c>
      <c r="DI745" t="s">
        <v>1408</v>
      </c>
      <c r="DJ745" t="s">
        <v>1409</v>
      </c>
      <c r="DK745" t="s">
        <v>692</v>
      </c>
      <c r="DL745">
        <v>11.54</v>
      </c>
      <c r="DM745" t="s">
        <v>670</v>
      </c>
      <c r="DN745" t="s">
        <v>670</v>
      </c>
      <c r="DO745">
        <v>0</v>
      </c>
      <c r="DP745">
        <v>0</v>
      </c>
      <c r="DQ745">
        <v>264</v>
      </c>
      <c r="DR745" t="s">
        <v>5580</v>
      </c>
      <c r="EB745" t="s">
        <v>5581</v>
      </c>
      <c r="EC745" t="s">
        <v>2384</v>
      </c>
      <c r="EE745" t="s">
        <v>286</v>
      </c>
    </row>
    <row r="746" ht="15" customHeight="1" spans="111:135" x14ac:dyDescent="0.25">
      <c r="DG746" t="s">
        <v>5582</v>
      </c>
      <c r="DH746" t="s">
        <v>87</v>
      </c>
      <c r="DI746" t="s">
        <v>1411</v>
      </c>
      <c r="DJ746" t="s">
        <v>1412</v>
      </c>
      <c r="DK746" t="s">
        <v>692</v>
      </c>
      <c r="DL746">
        <v>11.54</v>
      </c>
      <c r="DM746" t="s">
        <v>670</v>
      </c>
      <c r="DN746" t="s">
        <v>669</v>
      </c>
      <c r="DO746">
        <v>0</v>
      </c>
      <c r="DP746">
        <v>0</v>
      </c>
      <c r="DQ746">
        <v>393.86</v>
      </c>
      <c r="DR746" t="s">
        <v>5583</v>
      </c>
      <c r="EB746" t="s">
        <v>5584</v>
      </c>
      <c r="EC746" t="s">
        <v>2384</v>
      </c>
      <c r="EE746" t="s">
        <v>272</v>
      </c>
    </row>
    <row r="747" ht="15" customHeight="1" spans="111:135" x14ac:dyDescent="0.25">
      <c r="DG747" t="s">
        <v>5585</v>
      </c>
      <c r="DH747" t="s">
        <v>87</v>
      </c>
      <c r="DI747" t="s">
        <v>1414</v>
      </c>
      <c r="DJ747" t="s">
        <v>1415</v>
      </c>
      <c r="DK747" t="s">
        <v>692</v>
      </c>
      <c r="DL747">
        <v>11.54</v>
      </c>
      <c r="DM747" t="s">
        <v>670</v>
      </c>
      <c r="DN747" t="s">
        <v>669</v>
      </c>
      <c r="DO747">
        <v>0</v>
      </c>
      <c r="DP747">
        <v>0</v>
      </c>
      <c r="DQ747">
        <v>292.03</v>
      </c>
      <c r="DR747" t="s">
        <v>5586</v>
      </c>
      <c r="EB747" t="s">
        <v>5587</v>
      </c>
      <c r="EC747" t="s">
        <v>2384</v>
      </c>
      <c r="EE747" t="s">
        <v>283</v>
      </c>
    </row>
    <row r="748" ht="15" customHeight="1" spans="111:135" x14ac:dyDescent="0.25">
      <c r="DG748" t="s">
        <v>5588</v>
      </c>
      <c r="DH748" t="s">
        <v>87</v>
      </c>
      <c r="DJ748" t="s">
        <v>1108</v>
      </c>
      <c r="DK748" t="s">
        <v>668</v>
      </c>
      <c r="DL748">
        <v>7.69</v>
      </c>
      <c r="DM748" t="s">
        <v>669</v>
      </c>
      <c r="DN748" t="s">
        <v>669</v>
      </c>
      <c r="DO748">
        <v>0</v>
      </c>
      <c r="DP748">
        <v>0</v>
      </c>
      <c r="DQ748">
        <v>0</v>
      </c>
      <c r="DR748" t="s">
        <v>5281</v>
      </c>
      <c r="EB748" t="s">
        <v>5589</v>
      </c>
      <c r="EC748" t="s">
        <v>2384</v>
      </c>
      <c r="EE748" t="s">
        <v>267</v>
      </c>
    </row>
    <row r="749" ht="15" customHeight="1" spans="111:135" x14ac:dyDescent="0.25">
      <c r="DG749" t="s">
        <v>5590</v>
      </c>
      <c r="DH749" t="s">
        <v>87</v>
      </c>
      <c r="DJ749" t="s">
        <v>1077</v>
      </c>
      <c r="DK749" t="s">
        <v>668</v>
      </c>
      <c r="DL749">
        <v>7.69</v>
      </c>
      <c r="DM749" t="s">
        <v>669</v>
      </c>
      <c r="DN749" t="s">
        <v>669</v>
      </c>
      <c r="DO749">
        <v>0</v>
      </c>
      <c r="DP749">
        <v>0</v>
      </c>
      <c r="DQ749">
        <v>0</v>
      </c>
      <c r="DR749" t="s">
        <v>5244</v>
      </c>
      <c r="EB749" t="s">
        <v>5591</v>
      </c>
      <c r="EC749" t="s">
        <v>2384</v>
      </c>
      <c r="EE749" t="s">
        <v>258</v>
      </c>
    </row>
    <row r="750" ht="15" customHeight="1" spans="111:135" x14ac:dyDescent="0.25">
      <c r="DG750" t="s">
        <v>5592</v>
      </c>
      <c r="DH750" t="s">
        <v>87</v>
      </c>
      <c r="DJ750" t="s">
        <v>1352</v>
      </c>
      <c r="DK750" t="s">
        <v>668</v>
      </c>
      <c r="DL750">
        <v>7.69</v>
      </c>
      <c r="DM750" t="s">
        <v>669</v>
      </c>
      <c r="DN750" t="s">
        <v>669</v>
      </c>
      <c r="DO750">
        <v>0</v>
      </c>
      <c r="DP750">
        <v>0</v>
      </c>
      <c r="DQ750">
        <v>0</v>
      </c>
      <c r="DR750" t="s">
        <v>5516</v>
      </c>
      <c r="EB750" t="s">
        <v>5593</v>
      </c>
      <c r="EC750" t="s">
        <v>2384</v>
      </c>
      <c r="EE750" t="s">
        <v>222</v>
      </c>
    </row>
    <row r="751" ht="15" customHeight="1" spans="111:135" x14ac:dyDescent="0.25">
      <c r="DG751" t="s">
        <v>5594</v>
      </c>
      <c r="DH751" t="s">
        <v>87</v>
      </c>
      <c r="DJ751" t="s">
        <v>1130</v>
      </c>
      <c r="DK751" t="s">
        <v>668</v>
      </c>
      <c r="DL751">
        <v>7.69</v>
      </c>
      <c r="DM751" t="s">
        <v>669</v>
      </c>
      <c r="DN751" t="s">
        <v>669</v>
      </c>
      <c r="DO751">
        <v>0</v>
      </c>
      <c r="DP751">
        <v>0</v>
      </c>
      <c r="DQ751">
        <v>0</v>
      </c>
      <c r="DR751" t="s">
        <v>5302</v>
      </c>
      <c r="EB751" t="s">
        <v>5595</v>
      </c>
      <c r="EC751" t="s">
        <v>2384</v>
      </c>
      <c r="EE751" t="s">
        <v>233</v>
      </c>
    </row>
    <row r="752" ht="15" customHeight="1" spans="111:135" x14ac:dyDescent="0.25">
      <c r="DG752" t="s">
        <v>5596</v>
      </c>
      <c r="DH752" t="s">
        <v>87</v>
      </c>
      <c r="DI752" t="s">
        <v>1419</v>
      </c>
      <c r="DJ752" t="s">
        <v>1420</v>
      </c>
      <c r="DK752" t="s">
        <v>668</v>
      </c>
      <c r="DL752">
        <v>7.69</v>
      </c>
      <c r="DM752" t="s">
        <v>669</v>
      </c>
      <c r="DN752" t="s">
        <v>670</v>
      </c>
      <c r="DO752">
        <v>2</v>
      </c>
      <c r="DP752">
        <v>118.3</v>
      </c>
      <c r="DQ752">
        <v>118.3</v>
      </c>
      <c r="DR752" t="s">
        <v>5597</v>
      </c>
      <c r="EB752" t="s">
        <v>5598</v>
      </c>
      <c r="EC752" t="s">
        <v>2384</v>
      </c>
      <c r="EE752" t="s">
        <v>225</v>
      </c>
    </row>
    <row r="753" ht="15" customHeight="1" spans="111:135" x14ac:dyDescent="0.25">
      <c r="DG753" t="s">
        <v>5599</v>
      </c>
      <c r="DH753" t="s">
        <v>87</v>
      </c>
      <c r="DI753" t="s">
        <v>1422</v>
      </c>
      <c r="DJ753" t="s">
        <v>1423</v>
      </c>
      <c r="DK753" t="s">
        <v>668</v>
      </c>
      <c r="DL753">
        <v>7.69</v>
      </c>
      <c r="DM753" t="s">
        <v>670</v>
      </c>
      <c r="DN753" t="s">
        <v>669</v>
      </c>
      <c r="DO753">
        <v>0</v>
      </c>
      <c r="DP753">
        <v>0</v>
      </c>
      <c r="DQ753">
        <v>1.35</v>
      </c>
      <c r="DR753" t="s">
        <v>5600</v>
      </c>
      <c r="EB753" t="s">
        <v>5601</v>
      </c>
      <c r="EC753" t="s">
        <v>2384</v>
      </c>
      <c r="EE753" t="s">
        <v>288</v>
      </c>
    </row>
    <row r="754" ht="15" customHeight="1" spans="111:135" x14ac:dyDescent="0.25">
      <c r="DG754" t="s">
        <v>5602</v>
      </c>
      <c r="DH754" t="s">
        <v>87</v>
      </c>
      <c r="DI754" t="s">
        <v>1425</v>
      </c>
      <c r="DJ754" t="s">
        <v>1426</v>
      </c>
      <c r="DK754" t="s">
        <v>668</v>
      </c>
      <c r="DL754">
        <v>7.69</v>
      </c>
      <c r="DM754" t="s">
        <v>670</v>
      </c>
      <c r="DN754" t="s">
        <v>669</v>
      </c>
      <c r="DO754">
        <v>0</v>
      </c>
      <c r="DP754">
        <v>0</v>
      </c>
      <c r="DQ754">
        <v>8</v>
      </c>
      <c r="DR754" t="s">
        <v>5603</v>
      </c>
      <c r="EB754" t="s">
        <v>5604</v>
      </c>
      <c r="EC754" t="s">
        <v>2384</v>
      </c>
      <c r="EE754" t="s">
        <v>269</v>
      </c>
    </row>
    <row r="755" ht="15" customHeight="1" spans="111:135" x14ac:dyDescent="0.25">
      <c r="DG755" t="s">
        <v>5605</v>
      </c>
      <c r="DH755" t="s">
        <v>87</v>
      </c>
      <c r="DI755" t="s">
        <v>1427</v>
      </c>
      <c r="DJ755" t="s">
        <v>1428</v>
      </c>
      <c r="DK755" t="s">
        <v>668</v>
      </c>
      <c r="DL755">
        <v>7.69</v>
      </c>
      <c r="DM755" t="s">
        <v>670</v>
      </c>
      <c r="DN755" t="s">
        <v>669</v>
      </c>
      <c r="DO755">
        <v>0</v>
      </c>
      <c r="DP755">
        <v>0</v>
      </c>
      <c r="DQ755">
        <v>13.6</v>
      </c>
      <c r="DR755" t="s">
        <v>5606</v>
      </c>
      <c r="EB755" t="s">
        <v>5607</v>
      </c>
      <c r="EC755" t="s">
        <v>2384</v>
      </c>
      <c r="EE755" t="s">
        <v>237</v>
      </c>
    </row>
    <row r="756" ht="15" customHeight="1" spans="111:135" x14ac:dyDescent="0.25">
      <c r="DG756" t="s">
        <v>5608</v>
      </c>
      <c r="DH756" t="s">
        <v>87</v>
      </c>
      <c r="DI756" t="s">
        <v>1432</v>
      </c>
      <c r="DJ756" t="s">
        <v>1433</v>
      </c>
      <c r="DK756" t="s">
        <v>668</v>
      </c>
      <c r="DL756">
        <v>7.69</v>
      </c>
      <c r="DM756" t="s">
        <v>669</v>
      </c>
      <c r="DN756" t="s">
        <v>670</v>
      </c>
      <c r="DO756">
        <v>1</v>
      </c>
      <c r="DP756">
        <v>53.88</v>
      </c>
      <c r="DQ756">
        <v>53.88</v>
      </c>
      <c r="DR756" t="s">
        <v>5609</v>
      </c>
      <c r="EB756" t="s">
        <v>5610</v>
      </c>
      <c r="EC756" t="s">
        <v>2384</v>
      </c>
      <c r="EE756" t="s">
        <v>249</v>
      </c>
    </row>
    <row r="757" ht="15" customHeight="1" spans="111:135" x14ac:dyDescent="0.25">
      <c r="DG757" t="s">
        <v>5611</v>
      </c>
      <c r="DH757" t="s">
        <v>87</v>
      </c>
      <c r="DI757" t="s">
        <v>1435</v>
      </c>
      <c r="DJ757" t="s">
        <v>1436</v>
      </c>
      <c r="DK757" t="s">
        <v>668</v>
      </c>
      <c r="DL757">
        <v>7.69</v>
      </c>
      <c r="DM757" t="s">
        <v>670</v>
      </c>
      <c r="DN757" t="s">
        <v>669</v>
      </c>
      <c r="DO757">
        <v>0</v>
      </c>
      <c r="DP757">
        <v>0</v>
      </c>
      <c r="DQ757">
        <v>1499</v>
      </c>
      <c r="DR757" t="s">
        <v>5612</v>
      </c>
      <c r="EB757" t="s">
        <v>5613</v>
      </c>
      <c r="EC757" t="s">
        <v>2384</v>
      </c>
      <c r="EE757" t="s">
        <v>293</v>
      </c>
    </row>
    <row r="758" ht="15" customHeight="1" spans="111:135" x14ac:dyDescent="0.25">
      <c r="DG758" t="s">
        <v>5614</v>
      </c>
      <c r="DH758" t="s">
        <v>87</v>
      </c>
      <c r="DI758" t="s">
        <v>1438</v>
      </c>
      <c r="DJ758" t="s">
        <v>1439</v>
      </c>
      <c r="DK758" t="s">
        <v>668</v>
      </c>
      <c r="DL758">
        <v>7.69</v>
      </c>
      <c r="DM758" t="s">
        <v>670</v>
      </c>
      <c r="DN758" t="s">
        <v>670</v>
      </c>
      <c r="DO758">
        <v>1</v>
      </c>
      <c r="DP758">
        <v>7.13</v>
      </c>
      <c r="DQ758">
        <v>10.7</v>
      </c>
      <c r="DR758" t="s">
        <v>5615</v>
      </c>
      <c r="EB758" t="s">
        <v>5616</v>
      </c>
      <c r="EC758" t="s">
        <v>2384</v>
      </c>
      <c r="EE758" t="s">
        <v>280</v>
      </c>
    </row>
    <row r="759" ht="15" customHeight="1" spans="111:135" x14ac:dyDescent="0.25">
      <c r="DG759" t="s">
        <v>5617</v>
      </c>
      <c r="DH759" t="s">
        <v>87</v>
      </c>
      <c r="DI759" t="s">
        <v>1441</v>
      </c>
      <c r="DJ759" t="s">
        <v>1442</v>
      </c>
      <c r="DK759" t="s">
        <v>668</v>
      </c>
      <c r="DL759">
        <v>7.69</v>
      </c>
      <c r="DM759" t="s">
        <v>670</v>
      </c>
      <c r="DN759" t="s">
        <v>670</v>
      </c>
      <c r="DO759">
        <v>1</v>
      </c>
      <c r="DP759">
        <v>47.7</v>
      </c>
      <c r="DQ759">
        <v>71.55</v>
      </c>
      <c r="DR759" t="s">
        <v>5618</v>
      </c>
      <c r="EB759" t="s">
        <v>5619</v>
      </c>
      <c r="EC759" t="s">
        <v>2384</v>
      </c>
      <c r="EE759" t="s">
        <v>264</v>
      </c>
    </row>
    <row r="760" ht="15" customHeight="1" spans="111:135" x14ac:dyDescent="0.25">
      <c r="DG760" t="s">
        <v>5620</v>
      </c>
      <c r="DH760" t="s">
        <v>87</v>
      </c>
      <c r="DI760" t="s">
        <v>1444</v>
      </c>
      <c r="DJ760" t="s">
        <v>1445</v>
      </c>
      <c r="DK760" t="s">
        <v>668</v>
      </c>
      <c r="DL760">
        <v>7.69</v>
      </c>
      <c r="DM760" t="s">
        <v>670</v>
      </c>
      <c r="DN760" t="s">
        <v>669</v>
      </c>
      <c r="DO760">
        <v>0</v>
      </c>
      <c r="DP760">
        <v>0</v>
      </c>
      <c r="DQ760">
        <v>261.6</v>
      </c>
      <c r="DR760" t="s">
        <v>5621</v>
      </c>
      <c r="EB760" t="s">
        <v>5622</v>
      </c>
      <c r="EC760" t="s">
        <v>2384</v>
      </c>
      <c r="EE760" t="s">
        <v>278</v>
      </c>
    </row>
    <row r="761" ht="15" customHeight="1" spans="111:135" x14ac:dyDescent="0.25">
      <c r="DG761" t="s">
        <v>5623</v>
      </c>
      <c r="DH761" t="s">
        <v>87</v>
      </c>
      <c r="DI761" t="s">
        <v>1447</v>
      </c>
      <c r="DJ761" t="s">
        <v>1448</v>
      </c>
      <c r="DK761" t="s">
        <v>668</v>
      </c>
      <c r="DL761">
        <v>7.69</v>
      </c>
      <c r="DM761" t="s">
        <v>670</v>
      </c>
      <c r="DN761" t="s">
        <v>669</v>
      </c>
      <c r="DO761">
        <v>0</v>
      </c>
      <c r="DP761">
        <v>0</v>
      </c>
      <c r="DQ761">
        <v>78.4</v>
      </c>
      <c r="DR761" t="s">
        <v>5624</v>
      </c>
      <c r="EB761" t="s">
        <v>5625</v>
      </c>
      <c r="EC761" t="s">
        <v>2384</v>
      </c>
      <c r="EE761" t="s">
        <v>240</v>
      </c>
    </row>
    <row r="762" ht="15" customHeight="1" spans="111:135" x14ac:dyDescent="0.25">
      <c r="DG762" t="s">
        <v>5626</v>
      </c>
      <c r="DH762" t="s">
        <v>87</v>
      </c>
      <c r="DI762" t="s">
        <v>1450</v>
      </c>
      <c r="DJ762" t="s">
        <v>1451</v>
      </c>
      <c r="DK762" t="s">
        <v>668</v>
      </c>
      <c r="DL762">
        <v>7.69</v>
      </c>
      <c r="DM762" t="s">
        <v>670</v>
      </c>
      <c r="DN762" t="s">
        <v>669</v>
      </c>
      <c r="DO762">
        <v>0</v>
      </c>
      <c r="DP762">
        <v>0</v>
      </c>
      <c r="DQ762">
        <v>277.93</v>
      </c>
      <c r="DR762" t="s">
        <v>5627</v>
      </c>
      <c r="EB762" t="s">
        <v>5628</v>
      </c>
      <c r="EC762" t="s">
        <v>2384</v>
      </c>
      <c r="EE762" t="s">
        <v>252</v>
      </c>
    </row>
    <row r="763" ht="15" customHeight="1" spans="111:135" x14ac:dyDescent="0.25">
      <c r="DG763" t="s">
        <v>5629</v>
      </c>
      <c r="DH763" t="s">
        <v>87</v>
      </c>
      <c r="DI763" t="s">
        <v>1455</v>
      </c>
      <c r="DJ763" t="s">
        <v>1456</v>
      </c>
      <c r="DK763" t="s">
        <v>668</v>
      </c>
      <c r="DL763">
        <v>7.69</v>
      </c>
      <c r="DM763" t="s">
        <v>670</v>
      </c>
      <c r="DN763" t="s">
        <v>669</v>
      </c>
      <c r="DO763">
        <v>0</v>
      </c>
      <c r="DP763">
        <v>0</v>
      </c>
      <c r="DQ763">
        <v>11.19</v>
      </c>
      <c r="DR763" t="s">
        <v>5630</v>
      </c>
      <c r="EB763" t="s">
        <v>5631</v>
      </c>
      <c r="EC763" t="s">
        <v>2384</v>
      </c>
      <c r="EE763" t="s">
        <v>229</v>
      </c>
    </row>
    <row r="764" ht="15" customHeight="1" spans="111:135" x14ac:dyDescent="0.25">
      <c r="DG764" t="s">
        <v>5632</v>
      </c>
      <c r="DH764" t="s">
        <v>87</v>
      </c>
      <c r="DI764" t="s">
        <v>1458</v>
      </c>
      <c r="DJ764" t="s">
        <v>1459</v>
      </c>
      <c r="DK764" t="s">
        <v>668</v>
      </c>
      <c r="DL764">
        <v>7.69</v>
      </c>
      <c r="DM764" t="s">
        <v>670</v>
      </c>
      <c r="DN764" t="s">
        <v>669</v>
      </c>
      <c r="DO764">
        <v>0</v>
      </c>
      <c r="DP764">
        <v>0</v>
      </c>
      <c r="DQ764">
        <v>47.81</v>
      </c>
      <c r="DR764" t="s">
        <v>5633</v>
      </c>
      <c r="EB764" t="s">
        <v>5634</v>
      </c>
      <c r="EC764" t="s">
        <v>2384</v>
      </c>
      <c r="EE764" t="s">
        <v>246</v>
      </c>
    </row>
    <row r="765" ht="15" customHeight="1" spans="111:135" x14ac:dyDescent="0.25">
      <c r="DG765" t="s">
        <v>5635</v>
      </c>
      <c r="DH765" t="s">
        <v>87</v>
      </c>
      <c r="DI765" t="s">
        <v>1461</v>
      </c>
      <c r="DJ765" t="s">
        <v>1462</v>
      </c>
      <c r="DK765" t="s">
        <v>668</v>
      </c>
      <c r="DL765">
        <v>7.69</v>
      </c>
      <c r="DM765" t="s">
        <v>669</v>
      </c>
      <c r="DN765" t="s">
        <v>670</v>
      </c>
      <c r="DO765">
        <v>1</v>
      </c>
      <c r="DP765">
        <v>32.8</v>
      </c>
      <c r="DQ765">
        <v>32.8</v>
      </c>
      <c r="DR765" t="s">
        <v>5636</v>
      </c>
      <c r="EB765" t="s">
        <v>5637</v>
      </c>
      <c r="EC765" t="s">
        <v>2384</v>
      </c>
      <c r="EE765" t="s">
        <v>255</v>
      </c>
    </row>
    <row r="766" ht="15" customHeight="1" spans="111:135" x14ac:dyDescent="0.25">
      <c r="DG766" t="s">
        <v>5638</v>
      </c>
      <c r="DH766" t="s">
        <v>87</v>
      </c>
      <c r="DI766" t="s">
        <v>1463</v>
      </c>
      <c r="DJ766" t="s">
        <v>1464</v>
      </c>
      <c r="DK766" t="s">
        <v>668</v>
      </c>
      <c r="DL766">
        <v>7.69</v>
      </c>
      <c r="DM766" t="s">
        <v>669</v>
      </c>
      <c r="DN766" t="s">
        <v>670</v>
      </c>
      <c r="DO766">
        <v>2</v>
      </c>
      <c r="DP766">
        <v>67.2</v>
      </c>
      <c r="DQ766">
        <v>67.2</v>
      </c>
      <c r="DR766" t="s">
        <v>5639</v>
      </c>
      <c r="EB766" t="s">
        <v>5640</v>
      </c>
      <c r="EC766" t="s">
        <v>2384</v>
      </c>
      <c r="EE766" t="s">
        <v>243</v>
      </c>
    </row>
    <row r="767" ht="15" customHeight="1" spans="111:140" x14ac:dyDescent="0.25">
      <c r="DG767" t="s">
        <v>5641</v>
      </c>
      <c r="DH767" t="s">
        <v>87</v>
      </c>
      <c r="DI767" t="s">
        <v>1466</v>
      </c>
      <c r="DJ767" t="s">
        <v>1467</v>
      </c>
      <c r="DK767" t="s">
        <v>668</v>
      </c>
      <c r="DL767">
        <v>7.69</v>
      </c>
      <c r="DM767" t="s">
        <v>670</v>
      </c>
      <c r="DN767" t="s">
        <v>669</v>
      </c>
      <c r="DO767">
        <v>0</v>
      </c>
      <c r="DP767">
        <v>0</v>
      </c>
      <c r="DQ767">
        <v>47.65</v>
      </c>
      <c r="DR767" t="s">
        <v>5642</v>
      </c>
      <c r="EB767" t="s">
        <v>5643</v>
      </c>
      <c r="EC767" t="s">
        <v>2384</v>
      </c>
      <c r="ED767" t="s">
        <v>2385</v>
      </c>
      <c r="EE767" t="s">
        <v>261</v>
      </c>
      <c r="EF767" t="s">
        <v>259</v>
      </c>
      <c r="EG767">
        <v>1</v>
      </c>
      <c r="EH767">
        <v>1</v>
      </c>
      <c r="EI767">
        <v>1</v>
      </c>
      <c r="EJ767">
        <v>1</v>
      </c>
    </row>
    <row r="768" ht="15" customHeight="1" spans="111:135" x14ac:dyDescent="0.25">
      <c r="DG768" t="s">
        <v>5644</v>
      </c>
      <c r="DH768" t="s">
        <v>87</v>
      </c>
      <c r="DI768" t="s">
        <v>1469</v>
      </c>
      <c r="DJ768" t="s">
        <v>1470</v>
      </c>
      <c r="DK768" t="s">
        <v>668</v>
      </c>
      <c r="DL768">
        <v>7.69</v>
      </c>
      <c r="DM768" t="s">
        <v>669</v>
      </c>
      <c r="DN768" t="s">
        <v>670</v>
      </c>
      <c r="DO768">
        <v>3.5</v>
      </c>
      <c r="DP768">
        <v>36.33</v>
      </c>
      <c r="DQ768">
        <v>36.33</v>
      </c>
      <c r="DR768" t="s">
        <v>5645</v>
      </c>
      <c r="EB768" t="s">
        <v>5646</v>
      </c>
      <c r="EC768" t="s">
        <v>2384</v>
      </c>
      <c r="EE768" t="s">
        <v>296</v>
      </c>
    </row>
    <row r="769" ht="15" customHeight="1" spans="111:135" x14ac:dyDescent="0.25">
      <c r="DG769" t="s">
        <v>5647</v>
      </c>
      <c r="DH769" t="s">
        <v>87</v>
      </c>
      <c r="DI769" t="s">
        <v>1472</v>
      </c>
      <c r="DJ769" t="s">
        <v>1473</v>
      </c>
      <c r="DK769" t="s">
        <v>668</v>
      </c>
      <c r="DL769">
        <v>7.69</v>
      </c>
      <c r="DM769" t="s">
        <v>670</v>
      </c>
      <c r="DN769" t="s">
        <v>669</v>
      </c>
      <c r="DO769">
        <v>0</v>
      </c>
      <c r="DP769">
        <v>0</v>
      </c>
      <c r="DQ769">
        <v>41.34</v>
      </c>
      <c r="DR769" t="s">
        <v>5648</v>
      </c>
      <c r="EB769" t="s">
        <v>5649</v>
      </c>
      <c r="EC769" t="s">
        <v>2246</v>
      </c>
      <c r="EE769" t="s">
        <v>620</v>
      </c>
    </row>
    <row r="770" ht="15" customHeight="1" spans="111:135" x14ac:dyDescent="0.25">
      <c r="DG770" t="s">
        <v>5650</v>
      </c>
      <c r="DH770" t="s">
        <v>87</v>
      </c>
      <c r="DI770" t="s">
        <v>1477</v>
      </c>
      <c r="DJ770" t="s">
        <v>1478</v>
      </c>
      <c r="DK770" t="s">
        <v>668</v>
      </c>
      <c r="DL770">
        <v>7.69</v>
      </c>
      <c r="DM770" t="s">
        <v>670</v>
      </c>
      <c r="DN770" t="s">
        <v>669</v>
      </c>
      <c r="DO770">
        <v>0</v>
      </c>
      <c r="DP770">
        <v>0</v>
      </c>
      <c r="DQ770">
        <v>4.54</v>
      </c>
      <c r="DR770" t="s">
        <v>5651</v>
      </c>
      <c r="EB770" t="s">
        <v>5652</v>
      </c>
      <c r="EC770" t="s">
        <v>2246</v>
      </c>
      <c r="EE770" t="s">
        <v>618</v>
      </c>
    </row>
    <row r="771" ht="15" customHeight="1" spans="111:135" x14ac:dyDescent="0.25">
      <c r="DG771" t="s">
        <v>5653</v>
      </c>
      <c r="DH771" t="s">
        <v>87</v>
      </c>
      <c r="DI771" t="s">
        <v>1482</v>
      </c>
      <c r="DJ771" t="s">
        <v>1483</v>
      </c>
      <c r="DK771" t="s">
        <v>668</v>
      </c>
      <c r="DL771">
        <v>7.69</v>
      </c>
      <c r="DM771" t="s">
        <v>670</v>
      </c>
      <c r="DN771" t="s">
        <v>669</v>
      </c>
      <c r="DO771">
        <v>0</v>
      </c>
      <c r="DP771">
        <v>0</v>
      </c>
      <c r="DQ771">
        <v>30.18</v>
      </c>
      <c r="DR771" t="s">
        <v>5654</v>
      </c>
      <c r="EB771" t="s">
        <v>5655</v>
      </c>
      <c r="EC771" t="s">
        <v>2246</v>
      </c>
      <c r="EE771" t="s">
        <v>616</v>
      </c>
    </row>
    <row r="772" ht="15" customHeight="1" spans="111:135" x14ac:dyDescent="0.25">
      <c r="DG772" t="s">
        <v>5656</v>
      </c>
      <c r="DH772" t="s">
        <v>87</v>
      </c>
      <c r="DI772" t="s">
        <v>1484</v>
      </c>
      <c r="DJ772" t="s">
        <v>1485</v>
      </c>
      <c r="DK772" t="s">
        <v>668</v>
      </c>
      <c r="DL772">
        <v>7.69</v>
      </c>
      <c r="DM772" t="s">
        <v>669</v>
      </c>
      <c r="DN772" t="s">
        <v>670</v>
      </c>
      <c r="DO772">
        <v>3.5</v>
      </c>
      <c r="DP772">
        <v>286.86</v>
      </c>
      <c r="DQ772">
        <v>286.86</v>
      </c>
      <c r="DR772" t="s">
        <v>5657</v>
      </c>
      <c r="EB772" t="s">
        <v>5658</v>
      </c>
      <c r="EC772" t="s">
        <v>2246</v>
      </c>
      <c r="EE772" t="s">
        <v>614</v>
      </c>
    </row>
    <row r="773" ht="15" customHeight="1" spans="111:135" x14ac:dyDescent="0.25">
      <c r="DG773" t="s">
        <v>5659</v>
      </c>
      <c r="DH773" t="s">
        <v>87</v>
      </c>
      <c r="DI773" t="s">
        <v>1487</v>
      </c>
      <c r="DJ773" t="s">
        <v>1488</v>
      </c>
      <c r="DK773" t="s">
        <v>668</v>
      </c>
      <c r="DL773">
        <v>7.69</v>
      </c>
      <c r="DM773" t="s">
        <v>669</v>
      </c>
      <c r="DN773" t="s">
        <v>670</v>
      </c>
      <c r="DO773">
        <v>1.5</v>
      </c>
      <c r="DP773">
        <v>469.68</v>
      </c>
      <c r="DQ773">
        <v>469.68</v>
      </c>
      <c r="DR773" t="s">
        <v>5660</v>
      </c>
      <c r="EB773" t="s">
        <v>5661</v>
      </c>
      <c r="EC773" t="s">
        <v>2246</v>
      </c>
      <c r="EE773" t="s">
        <v>612</v>
      </c>
    </row>
    <row r="774" ht="15" customHeight="1" spans="111:140" x14ac:dyDescent="0.25">
      <c r="DG774" t="s">
        <v>5662</v>
      </c>
      <c r="DH774" t="s">
        <v>87</v>
      </c>
      <c r="DI774" t="s">
        <v>1489</v>
      </c>
      <c r="DJ774" t="s">
        <v>1490</v>
      </c>
      <c r="DK774" t="s">
        <v>668</v>
      </c>
      <c r="DL774">
        <v>7.69</v>
      </c>
      <c r="DM774" t="s">
        <v>670</v>
      </c>
      <c r="DN774" t="s">
        <v>669</v>
      </c>
      <c r="DO774">
        <v>0</v>
      </c>
      <c r="DP774">
        <v>0</v>
      </c>
      <c r="DQ774">
        <v>23.88</v>
      </c>
      <c r="DR774" t="s">
        <v>5663</v>
      </c>
      <c r="EB774" t="s">
        <v>5664</v>
      </c>
      <c r="EC774" t="s">
        <v>2246</v>
      </c>
      <c r="ED774" t="s">
        <v>2247</v>
      </c>
      <c r="EE774" t="s">
        <v>610</v>
      </c>
      <c r="EF774" t="s">
        <v>2336</v>
      </c>
      <c r="EG774">
        <v>460</v>
      </c>
      <c r="EH774">
        <v>500</v>
      </c>
      <c r="EI774">
        <v>550</v>
      </c>
      <c r="EJ774">
        <v>570</v>
      </c>
    </row>
    <row r="775" ht="15" customHeight="1" spans="111:140" x14ac:dyDescent="0.25">
      <c r="DG775" t="s">
        <v>5665</v>
      </c>
      <c r="DH775" t="s">
        <v>87</v>
      </c>
      <c r="DI775" t="s">
        <v>1492</v>
      </c>
      <c r="DJ775" t="s">
        <v>1493</v>
      </c>
      <c r="DK775" t="s">
        <v>668</v>
      </c>
      <c r="DL775">
        <v>7.69</v>
      </c>
      <c r="DM775" t="s">
        <v>670</v>
      </c>
      <c r="DN775" t="s">
        <v>669</v>
      </c>
      <c r="DO775">
        <v>0</v>
      </c>
      <c r="DP775">
        <v>0</v>
      </c>
      <c r="DQ775">
        <v>5.32</v>
      </c>
      <c r="DR775" t="s">
        <v>5666</v>
      </c>
      <c r="EB775" t="s">
        <v>5667</v>
      </c>
      <c r="EC775" t="s">
        <v>2246</v>
      </c>
      <c r="ED775" t="s">
        <v>2247</v>
      </c>
      <c r="EE775" t="s">
        <v>608</v>
      </c>
      <c r="EF775" t="s">
        <v>2352</v>
      </c>
      <c r="EG775">
        <v>980</v>
      </c>
      <c r="EH775">
        <v>1080</v>
      </c>
      <c r="EI775">
        <v>1170</v>
      </c>
      <c r="EJ775">
        <v>1170</v>
      </c>
    </row>
    <row r="776" ht="15" customHeight="1" spans="111:140" x14ac:dyDescent="0.25">
      <c r="DG776" t="s">
        <v>5668</v>
      </c>
      <c r="DH776" t="s">
        <v>87</v>
      </c>
      <c r="DI776" t="s">
        <v>1495</v>
      </c>
      <c r="DJ776" t="s">
        <v>1496</v>
      </c>
      <c r="DK776" t="s">
        <v>668</v>
      </c>
      <c r="DL776">
        <v>7.69</v>
      </c>
      <c r="DM776" t="s">
        <v>669</v>
      </c>
      <c r="DN776" t="s">
        <v>670</v>
      </c>
      <c r="DO776">
        <v>2</v>
      </c>
      <c r="DP776">
        <v>280</v>
      </c>
      <c r="DQ776">
        <v>280</v>
      </c>
      <c r="DR776" t="s">
        <v>5669</v>
      </c>
      <c r="EB776" t="s">
        <v>5670</v>
      </c>
      <c r="EC776" t="s">
        <v>2246</v>
      </c>
      <c r="ED776" t="s">
        <v>2247</v>
      </c>
      <c r="EE776" t="s">
        <v>606</v>
      </c>
      <c r="EF776" t="s">
        <v>2371</v>
      </c>
      <c r="EG776">
        <v>740</v>
      </c>
      <c r="EH776">
        <v>740</v>
      </c>
      <c r="EI776">
        <v>740</v>
      </c>
      <c r="EJ776">
        <v>740</v>
      </c>
    </row>
    <row r="777" ht="15" customHeight="1" spans="111:140" x14ac:dyDescent="0.25">
      <c r="DG777" t="s">
        <v>5671</v>
      </c>
      <c r="DH777" t="s">
        <v>87</v>
      </c>
      <c r="DI777" t="s">
        <v>1497</v>
      </c>
      <c r="DJ777" t="s">
        <v>1498</v>
      </c>
      <c r="DK777" t="s">
        <v>668</v>
      </c>
      <c r="DL777">
        <v>7.69</v>
      </c>
      <c r="DM777" t="s">
        <v>670</v>
      </c>
      <c r="DN777" t="s">
        <v>669</v>
      </c>
      <c r="DO777">
        <v>0</v>
      </c>
      <c r="DP777">
        <v>0</v>
      </c>
      <c r="DQ777">
        <v>4.26</v>
      </c>
      <c r="DR777" t="s">
        <v>5672</v>
      </c>
      <c r="EB777" t="s">
        <v>5673</v>
      </c>
      <c r="EC777" t="s">
        <v>2246</v>
      </c>
      <c r="ED777" t="s">
        <v>2247</v>
      </c>
      <c r="EE777" t="s">
        <v>603</v>
      </c>
      <c r="EF777" t="s">
        <v>2387</v>
      </c>
      <c r="EG777">
        <v>280</v>
      </c>
      <c r="EH777">
        <v>280</v>
      </c>
      <c r="EI777">
        <v>280</v>
      </c>
      <c r="EJ777">
        <v>280</v>
      </c>
    </row>
    <row r="778" ht="15" customHeight="1" spans="111:140" x14ac:dyDescent="0.25">
      <c r="DG778" t="s">
        <v>5674</v>
      </c>
      <c r="DH778" t="s">
        <v>87</v>
      </c>
      <c r="DI778" t="s">
        <v>1500</v>
      </c>
      <c r="DJ778" t="s">
        <v>1501</v>
      </c>
      <c r="DK778" t="s">
        <v>668</v>
      </c>
      <c r="DL778">
        <v>7.69</v>
      </c>
      <c r="DM778" t="s">
        <v>670</v>
      </c>
      <c r="DN778" t="s">
        <v>669</v>
      </c>
      <c r="DO778">
        <v>0</v>
      </c>
      <c r="DP778">
        <v>0</v>
      </c>
      <c r="DQ778">
        <v>2.2</v>
      </c>
      <c r="DR778" t="s">
        <v>5675</v>
      </c>
      <c r="EB778" t="s">
        <v>5676</v>
      </c>
      <c r="EC778" t="s">
        <v>2246</v>
      </c>
      <c r="ED778" t="s">
        <v>2247</v>
      </c>
      <c r="EE778" t="s">
        <v>601</v>
      </c>
      <c r="EF778" t="s">
        <v>2404</v>
      </c>
      <c r="EG778">
        <v>1</v>
      </c>
      <c r="EH778">
        <v>1</v>
      </c>
      <c r="EI778">
        <v>1</v>
      </c>
      <c r="EJ778">
        <v>1</v>
      </c>
    </row>
    <row r="779" ht="15" customHeight="1" spans="111:140" x14ac:dyDescent="0.25">
      <c r="DG779" t="s">
        <v>5677</v>
      </c>
      <c r="DH779" t="s">
        <v>87</v>
      </c>
      <c r="DI779" t="s">
        <v>1503</v>
      </c>
      <c r="DJ779" t="s">
        <v>1504</v>
      </c>
      <c r="DK779" t="s">
        <v>668</v>
      </c>
      <c r="DL779">
        <v>7.69</v>
      </c>
      <c r="DM779" t="s">
        <v>670</v>
      </c>
      <c r="DN779" t="s">
        <v>669</v>
      </c>
      <c r="DO779">
        <v>0</v>
      </c>
      <c r="DP779">
        <v>0</v>
      </c>
      <c r="DQ779">
        <v>7.02</v>
      </c>
      <c r="DR779" t="s">
        <v>5678</v>
      </c>
      <c r="EB779" t="s">
        <v>5679</v>
      </c>
      <c r="EC779" t="s">
        <v>2246</v>
      </c>
      <c r="ED779" t="s">
        <v>2247</v>
      </c>
      <c r="EE779" t="s">
        <v>599</v>
      </c>
      <c r="EF779" t="s">
        <v>2421</v>
      </c>
      <c r="EG779">
        <v>930</v>
      </c>
      <c r="EH779">
        <v>930</v>
      </c>
      <c r="EI779">
        <v>930</v>
      </c>
      <c r="EJ779">
        <v>930</v>
      </c>
    </row>
    <row r="780" ht="15" customHeight="1" spans="111:140" x14ac:dyDescent="0.25">
      <c r="DG780" t="s">
        <v>5680</v>
      </c>
      <c r="DH780" t="s">
        <v>87</v>
      </c>
      <c r="DI780" t="s">
        <v>1508</v>
      </c>
      <c r="DJ780" t="s">
        <v>1509</v>
      </c>
      <c r="DK780" t="s">
        <v>668</v>
      </c>
      <c r="DL780">
        <v>7.69</v>
      </c>
      <c r="DM780" t="s">
        <v>670</v>
      </c>
      <c r="DN780" t="s">
        <v>669</v>
      </c>
      <c r="DO780">
        <v>0</v>
      </c>
      <c r="DP780">
        <v>0</v>
      </c>
      <c r="DQ780">
        <v>1729.7</v>
      </c>
      <c r="DR780" t="s">
        <v>5681</v>
      </c>
      <c r="EB780" t="s">
        <v>5682</v>
      </c>
      <c r="EC780" t="s">
        <v>2246</v>
      </c>
      <c r="ED780" t="s">
        <v>2247</v>
      </c>
      <c r="EE780" t="s">
        <v>623</v>
      </c>
      <c r="EF780" t="s">
        <v>2437</v>
      </c>
      <c r="EG780">
        <v>1200</v>
      </c>
      <c r="EH780">
        <v>1200</v>
      </c>
      <c r="EI780">
        <v>1200</v>
      </c>
      <c r="EJ780">
        <v>1200</v>
      </c>
    </row>
    <row r="781" ht="15" customHeight="1" spans="111:135" x14ac:dyDescent="0.25">
      <c r="DG781" t="s">
        <v>5683</v>
      </c>
      <c r="DH781" t="s">
        <v>87</v>
      </c>
      <c r="DI781" t="s">
        <v>350</v>
      </c>
      <c r="DJ781" t="s">
        <v>1511</v>
      </c>
      <c r="DK781" t="s">
        <v>1079</v>
      </c>
      <c r="DL781">
        <v>7.69</v>
      </c>
      <c r="DM781" t="s">
        <v>669</v>
      </c>
      <c r="DN781" t="s">
        <v>670</v>
      </c>
      <c r="DO781">
        <v>1</v>
      </c>
      <c r="DP781">
        <v>36136</v>
      </c>
      <c r="DQ781">
        <v>36136</v>
      </c>
      <c r="DR781" t="s">
        <v>5684</v>
      </c>
      <c r="EB781" t="s">
        <v>5685</v>
      </c>
      <c r="EC781" t="s">
        <v>2246</v>
      </c>
      <c r="EE781" t="s">
        <v>596</v>
      </c>
    </row>
    <row r="782" ht="15" customHeight="1" spans="111:140" x14ac:dyDescent="0.25">
      <c r="DG782" t="s">
        <v>5686</v>
      </c>
      <c r="DH782" t="s">
        <v>87</v>
      </c>
      <c r="DI782" t="s">
        <v>370</v>
      </c>
      <c r="DJ782" t="s">
        <v>371</v>
      </c>
      <c r="DK782" t="s">
        <v>1079</v>
      </c>
      <c r="DL782">
        <v>7.69</v>
      </c>
      <c r="DM782" t="s">
        <v>669</v>
      </c>
      <c r="DN782" t="s">
        <v>670</v>
      </c>
      <c r="DO782">
        <v>1</v>
      </c>
      <c r="DP782">
        <v>36136</v>
      </c>
      <c r="DQ782">
        <v>36136</v>
      </c>
      <c r="DR782" t="s">
        <v>5687</v>
      </c>
      <c r="EB782" t="s">
        <v>5688</v>
      </c>
      <c r="EC782" t="s">
        <v>2246</v>
      </c>
      <c r="ED782" t="s">
        <v>2247</v>
      </c>
      <c r="EE782" t="s">
        <v>593</v>
      </c>
      <c r="EF782" t="s">
        <v>2469</v>
      </c>
      <c r="EG782">
        <v>1</v>
      </c>
      <c r="EH782">
        <v>1</v>
      </c>
      <c r="EI782">
        <v>1</v>
      </c>
      <c r="EJ782">
        <v>1</v>
      </c>
    </row>
    <row r="783" ht="15" customHeight="1" spans="111:140" x14ac:dyDescent="0.25">
      <c r="DG783" t="s">
        <v>5689</v>
      </c>
      <c r="DH783" t="s">
        <v>87</v>
      </c>
      <c r="DI783" t="s">
        <v>376</v>
      </c>
      <c r="DJ783" t="s">
        <v>377</v>
      </c>
      <c r="DK783" t="s">
        <v>1079</v>
      </c>
      <c r="DL783">
        <v>7.69</v>
      </c>
      <c r="DM783" t="s">
        <v>669</v>
      </c>
      <c r="DN783" t="s">
        <v>670</v>
      </c>
      <c r="DO783">
        <v>1</v>
      </c>
      <c r="DP783">
        <v>36136</v>
      </c>
      <c r="DQ783">
        <v>36136</v>
      </c>
      <c r="DR783" t="s">
        <v>5690</v>
      </c>
      <c r="EB783" t="s">
        <v>5691</v>
      </c>
      <c r="EC783" t="s">
        <v>2246</v>
      </c>
      <c r="ED783" t="s">
        <v>2247</v>
      </c>
      <c r="EE783" t="s">
        <v>591</v>
      </c>
      <c r="EF783" t="s">
        <v>3058</v>
      </c>
      <c r="EG783">
        <v>3500</v>
      </c>
      <c r="EH783">
        <v>3500</v>
      </c>
      <c r="EI783">
        <v>3500</v>
      </c>
      <c r="EJ783">
        <v>3500</v>
      </c>
    </row>
    <row r="784" ht="15" customHeight="1" spans="111:140" x14ac:dyDescent="0.25">
      <c r="DG784" t="s">
        <v>5692</v>
      </c>
      <c r="DH784" t="s">
        <v>87</v>
      </c>
      <c r="DI784" t="s">
        <v>415</v>
      </c>
      <c r="DJ784" t="s">
        <v>416</v>
      </c>
      <c r="DK784" t="s">
        <v>1079</v>
      </c>
      <c r="DL784">
        <v>7.69</v>
      </c>
      <c r="DM784" t="s">
        <v>669</v>
      </c>
      <c r="DN784" t="s">
        <v>670</v>
      </c>
      <c r="DO784">
        <v>1</v>
      </c>
      <c r="DP784">
        <v>36130</v>
      </c>
      <c r="DQ784">
        <v>36130</v>
      </c>
      <c r="DR784" t="s">
        <v>5693</v>
      </c>
      <c r="EB784" t="s">
        <v>5694</v>
      </c>
      <c r="EC784" t="s">
        <v>2246</v>
      </c>
      <c r="ED784" t="s">
        <v>2247</v>
      </c>
      <c r="EE784" t="s">
        <v>2423</v>
      </c>
      <c r="EF784" t="s">
        <v>2424</v>
      </c>
      <c r="EG784">
        <v>30000</v>
      </c>
      <c r="EH784">
        <v>30000</v>
      </c>
      <c r="EI784">
        <v>30000</v>
      </c>
      <c r="EJ784">
        <v>30000</v>
      </c>
    </row>
    <row r="785" ht="15" customHeight="1" spans="111:135" x14ac:dyDescent="0.25">
      <c r="DG785" t="s">
        <v>5695</v>
      </c>
      <c r="DH785" t="s">
        <v>87</v>
      </c>
      <c r="DI785" t="s">
        <v>403</v>
      </c>
      <c r="DJ785" t="s">
        <v>404</v>
      </c>
      <c r="DK785" t="s">
        <v>1079</v>
      </c>
      <c r="DL785">
        <v>7.69</v>
      </c>
      <c r="DM785" t="s">
        <v>669</v>
      </c>
      <c r="DN785" t="s">
        <v>670</v>
      </c>
      <c r="DO785">
        <v>1</v>
      </c>
      <c r="DP785">
        <v>36130</v>
      </c>
      <c r="DQ785">
        <v>36130</v>
      </c>
      <c r="DR785" t="s">
        <v>5696</v>
      </c>
      <c r="EB785" t="s">
        <v>5697</v>
      </c>
      <c r="EC785" t="s">
        <v>2246</v>
      </c>
      <c r="EE785" t="s">
        <v>584</v>
      </c>
    </row>
    <row r="786" ht="15" customHeight="1" spans="111:140" x14ac:dyDescent="0.25">
      <c r="DG786" t="s">
        <v>5698</v>
      </c>
      <c r="DH786" t="s">
        <v>87</v>
      </c>
      <c r="DI786" t="s">
        <v>403</v>
      </c>
      <c r="DJ786" t="s">
        <v>1513</v>
      </c>
      <c r="DK786" t="s">
        <v>1079</v>
      </c>
      <c r="DL786">
        <v>7.69</v>
      </c>
      <c r="DM786" t="s">
        <v>669</v>
      </c>
      <c r="DN786" t="s">
        <v>670</v>
      </c>
      <c r="DO786">
        <v>1</v>
      </c>
      <c r="DP786">
        <v>36130</v>
      </c>
      <c r="DQ786">
        <v>36130</v>
      </c>
      <c r="DR786" t="s">
        <v>5699</v>
      </c>
      <c r="EB786" t="s">
        <v>5700</v>
      </c>
      <c r="EC786" t="s">
        <v>2246</v>
      </c>
      <c r="ED786" t="s">
        <v>2247</v>
      </c>
      <c r="EE786" t="s">
        <v>582</v>
      </c>
      <c r="EF786" t="s">
        <v>2525</v>
      </c>
      <c r="EG786">
        <v>1</v>
      </c>
      <c r="EH786">
        <v>1</v>
      </c>
      <c r="EI786">
        <v>1</v>
      </c>
      <c r="EJ786">
        <v>1</v>
      </c>
    </row>
    <row r="787" ht="15" customHeight="1" spans="111:140" x14ac:dyDescent="0.25">
      <c r="DG787" t="s">
        <v>5701</v>
      </c>
      <c r="DH787" t="s">
        <v>87</v>
      </c>
      <c r="DI787" t="s">
        <v>450</v>
      </c>
      <c r="DJ787" t="s">
        <v>1514</v>
      </c>
      <c r="DK787" t="s">
        <v>1079</v>
      </c>
      <c r="DL787">
        <v>7.69</v>
      </c>
      <c r="DM787" t="s">
        <v>669</v>
      </c>
      <c r="DN787" t="s">
        <v>670</v>
      </c>
      <c r="DO787">
        <v>1</v>
      </c>
      <c r="DP787">
        <v>13340.05</v>
      </c>
      <c r="DQ787">
        <v>13340.05</v>
      </c>
      <c r="DR787" t="s">
        <v>5702</v>
      </c>
      <c r="EB787" t="s">
        <v>5703</v>
      </c>
      <c r="EC787" t="s">
        <v>2246</v>
      </c>
      <c r="ED787" t="s">
        <v>2247</v>
      </c>
      <c r="EE787" t="s">
        <v>580</v>
      </c>
      <c r="EF787" t="s">
        <v>2539</v>
      </c>
      <c r="EG787">
        <v>1</v>
      </c>
      <c r="EH787">
        <v>1</v>
      </c>
      <c r="EI787">
        <v>1</v>
      </c>
      <c r="EJ787">
        <v>1</v>
      </c>
    </row>
    <row r="788" ht="15" customHeight="1" spans="111:140" x14ac:dyDescent="0.25">
      <c r="DG788" t="s">
        <v>5704</v>
      </c>
      <c r="DH788" t="s">
        <v>87</v>
      </c>
      <c r="DI788" t="s">
        <v>504</v>
      </c>
      <c r="DJ788" t="s">
        <v>505</v>
      </c>
      <c r="DK788" t="s">
        <v>1079</v>
      </c>
      <c r="DL788">
        <v>7.69</v>
      </c>
      <c r="DM788" t="s">
        <v>669</v>
      </c>
      <c r="DN788" t="s">
        <v>670</v>
      </c>
      <c r="DO788">
        <v>1</v>
      </c>
      <c r="DP788">
        <v>0.06</v>
      </c>
      <c r="DQ788">
        <v>0.06</v>
      </c>
      <c r="DR788" t="s">
        <v>5705</v>
      </c>
      <c r="EB788" t="s">
        <v>5706</v>
      </c>
      <c r="EC788" t="s">
        <v>2246</v>
      </c>
      <c r="ED788" t="s">
        <v>2247</v>
      </c>
      <c r="EE788" t="s">
        <v>578</v>
      </c>
      <c r="EF788" t="s">
        <v>577</v>
      </c>
      <c r="EG788">
        <v>120000</v>
      </c>
      <c r="EH788">
        <v>120000</v>
      </c>
      <c r="EI788">
        <v>120000</v>
      </c>
      <c r="EJ788">
        <v>120000</v>
      </c>
    </row>
    <row r="789" ht="15" customHeight="1" spans="111:135" x14ac:dyDescent="0.25">
      <c r="DG789" t="s">
        <v>5707</v>
      </c>
      <c r="DH789" t="s">
        <v>87</v>
      </c>
      <c r="DJ789" t="s">
        <v>970</v>
      </c>
      <c r="DK789" t="s">
        <v>692</v>
      </c>
      <c r="DL789">
        <v>7.69</v>
      </c>
      <c r="DM789" t="s">
        <v>669</v>
      </c>
      <c r="DN789" t="s">
        <v>669</v>
      </c>
      <c r="DO789">
        <v>0</v>
      </c>
      <c r="DP789">
        <v>0</v>
      </c>
      <c r="DQ789">
        <v>0</v>
      </c>
      <c r="DR789" t="s">
        <v>5147</v>
      </c>
      <c r="EB789" t="s">
        <v>5708</v>
      </c>
      <c r="EC789" t="s">
        <v>2246</v>
      </c>
      <c r="EE789" t="s">
        <v>327</v>
      </c>
    </row>
    <row r="790" ht="15" customHeight="1" spans="111:135" x14ac:dyDescent="0.25">
      <c r="DG790" t="s">
        <v>5709</v>
      </c>
      <c r="DH790" t="s">
        <v>87</v>
      </c>
      <c r="DJ790" t="s">
        <v>1062</v>
      </c>
      <c r="DK790" t="s">
        <v>692</v>
      </c>
      <c r="DL790">
        <v>7.69</v>
      </c>
      <c r="DM790" t="s">
        <v>669</v>
      </c>
      <c r="DN790" t="s">
        <v>669</v>
      </c>
      <c r="DO790">
        <v>0</v>
      </c>
      <c r="DP790">
        <v>0</v>
      </c>
      <c r="DQ790">
        <v>0</v>
      </c>
      <c r="DR790" t="s">
        <v>5233</v>
      </c>
      <c r="EB790" t="s">
        <v>5710</v>
      </c>
      <c r="EC790" t="s">
        <v>2246</v>
      </c>
      <c r="EE790" t="s">
        <v>330</v>
      </c>
    </row>
    <row r="791" ht="15" customHeight="1" spans="111:140" x14ac:dyDescent="0.25">
      <c r="DG791" t="s">
        <v>5711</v>
      </c>
      <c r="DH791" t="s">
        <v>87</v>
      </c>
      <c r="DJ791" t="s">
        <v>1515</v>
      </c>
      <c r="DK791" t="s">
        <v>692</v>
      </c>
      <c r="DL791">
        <v>7.69</v>
      </c>
      <c r="DM791" t="s">
        <v>669</v>
      </c>
      <c r="DN791" t="s">
        <v>669</v>
      </c>
      <c r="DO791">
        <v>0</v>
      </c>
      <c r="DP791">
        <v>0</v>
      </c>
      <c r="DQ791">
        <v>0</v>
      </c>
      <c r="DR791" t="s">
        <v>5712</v>
      </c>
      <c r="EB791" t="s">
        <v>5713</v>
      </c>
      <c r="EC791" t="s">
        <v>2246</v>
      </c>
      <c r="ED791" t="s">
        <v>2247</v>
      </c>
      <c r="EE791" t="s">
        <v>576</v>
      </c>
      <c r="EF791" t="s">
        <v>574</v>
      </c>
      <c r="EG791">
        <v>2030</v>
      </c>
      <c r="EH791">
        <v>2210</v>
      </c>
      <c r="EI791">
        <v>2380</v>
      </c>
      <c r="EJ791">
        <v>2560</v>
      </c>
    </row>
    <row r="792" ht="15" customHeight="1" spans="111:140" x14ac:dyDescent="0.25">
      <c r="DG792" t="s">
        <v>5714</v>
      </c>
      <c r="DH792" t="s">
        <v>87</v>
      </c>
      <c r="DJ792" t="s">
        <v>1409</v>
      </c>
      <c r="DK792" t="s">
        <v>692</v>
      </c>
      <c r="DL792">
        <v>7.69</v>
      </c>
      <c r="DM792" t="s">
        <v>669</v>
      </c>
      <c r="DN792" t="s">
        <v>669</v>
      </c>
      <c r="DO792">
        <v>0</v>
      </c>
      <c r="DP792">
        <v>0</v>
      </c>
      <c r="DQ792">
        <v>0</v>
      </c>
      <c r="DR792" t="s">
        <v>5580</v>
      </c>
      <c r="EB792" t="s">
        <v>5715</v>
      </c>
      <c r="EC792" t="s">
        <v>2246</v>
      </c>
      <c r="ED792" t="s">
        <v>2247</v>
      </c>
      <c r="EE792" t="s">
        <v>573</v>
      </c>
      <c r="EF792" t="s">
        <v>2613</v>
      </c>
      <c r="EG792">
        <v>1300</v>
      </c>
      <c r="EH792">
        <v>1300</v>
      </c>
      <c r="EI792">
        <v>1300</v>
      </c>
      <c r="EJ792">
        <v>1300</v>
      </c>
    </row>
    <row r="793" ht="15" customHeight="1" spans="111:140" x14ac:dyDescent="0.25">
      <c r="DG793" t="s">
        <v>5716</v>
      </c>
      <c r="DH793" t="s">
        <v>87</v>
      </c>
      <c r="DJ793" t="s">
        <v>1243</v>
      </c>
      <c r="DK793" t="s">
        <v>692</v>
      </c>
      <c r="DL793">
        <v>7.69</v>
      </c>
      <c r="DM793" t="s">
        <v>669</v>
      </c>
      <c r="DN793" t="s">
        <v>669</v>
      </c>
      <c r="DO793">
        <v>0</v>
      </c>
      <c r="DP793">
        <v>0</v>
      </c>
      <c r="DQ793">
        <v>0</v>
      </c>
      <c r="DR793" t="s">
        <v>5404</v>
      </c>
      <c r="EB793" t="s">
        <v>5717</v>
      </c>
      <c r="EC793" t="s">
        <v>2246</v>
      </c>
      <c r="ED793" t="s">
        <v>2247</v>
      </c>
      <c r="EE793" t="s">
        <v>569</v>
      </c>
      <c r="EF793" t="s">
        <v>567</v>
      </c>
      <c r="EG793">
        <v>1</v>
      </c>
      <c r="EH793">
        <v>1</v>
      </c>
      <c r="EI793">
        <v>1</v>
      </c>
      <c r="EJ793">
        <v>1</v>
      </c>
    </row>
    <row r="794" ht="15" customHeight="1" spans="111:140" x14ac:dyDescent="0.25">
      <c r="DG794" t="s">
        <v>5718</v>
      </c>
      <c r="DH794" t="s">
        <v>87</v>
      </c>
      <c r="DJ794" t="s">
        <v>1516</v>
      </c>
      <c r="DK794" t="s">
        <v>692</v>
      </c>
      <c r="DL794">
        <v>7.69</v>
      </c>
      <c r="DM794" t="s">
        <v>669</v>
      </c>
      <c r="DN794" t="s">
        <v>669</v>
      </c>
      <c r="DO794">
        <v>0</v>
      </c>
      <c r="DP794">
        <v>0</v>
      </c>
      <c r="DQ794">
        <v>0</v>
      </c>
      <c r="DR794" t="s">
        <v>5719</v>
      </c>
      <c r="EB794" t="s">
        <v>5720</v>
      </c>
      <c r="EC794" t="s">
        <v>2246</v>
      </c>
      <c r="ED794" t="s">
        <v>2247</v>
      </c>
      <c r="EE794" t="s">
        <v>2641</v>
      </c>
      <c r="EF794" t="s">
        <v>3125</v>
      </c>
      <c r="EG794">
        <v>3000</v>
      </c>
      <c r="EH794">
        <v>3000</v>
      </c>
      <c r="EI794">
        <v>3000</v>
      </c>
      <c r="EJ794">
        <v>3000</v>
      </c>
    </row>
    <row r="795" ht="15" customHeight="1" spans="111:140" x14ac:dyDescent="0.25">
      <c r="DG795" t="s">
        <v>5721</v>
      </c>
      <c r="DH795" t="s">
        <v>87</v>
      </c>
      <c r="DJ795" t="s">
        <v>1325</v>
      </c>
      <c r="DK795" t="s">
        <v>692</v>
      </c>
      <c r="DL795">
        <v>7.69</v>
      </c>
      <c r="DM795" t="s">
        <v>669</v>
      </c>
      <c r="DN795" t="s">
        <v>669</v>
      </c>
      <c r="DO795">
        <v>0</v>
      </c>
      <c r="DP795">
        <v>0</v>
      </c>
      <c r="DQ795">
        <v>0</v>
      </c>
      <c r="DR795" t="s">
        <v>5488</v>
      </c>
      <c r="EB795" t="s">
        <v>5722</v>
      </c>
      <c r="EC795" t="s">
        <v>2246</v>
      </c>
      <c r="ED795" t="s">
        <v>2247</v>
      </c>
      <c r="EE795" t="s">
        <v>2656</v>
      </c>
      <c r="EF795" t="s">
        <v>3133</v>
      </c>
      <c r="EG795">
        <v>6000</v>
      </c>
      <c r="EH795">
        <v>6000</v>
      </c>
      <c r="EI795">
        <v>6000</v>
      </c>
      <c r="EJ795">
        <v>6000</v>
      </c>
    </row>
    <row r="796" ht="15" customHeight="1" spans="111:140" x14ac:dyDescent="0.25">
      <c r="DG796" t="s">
        <v>5723</v>
      </c>
      <c r="DH796" t="s">
        <v>87</v>
      </c>
      <c r="DJ796" t="s">
        <v>1282</v>
      </c>
      <c r="DK796" t="s">
        <v>692</v>
      </c>
      <c r="DL796">
        <v>7.69</v>
      </c>
      <c r="DM796" t="s">
        <v>669</v>
      </c>
      <c r="DN796" t="s">
        <v>669</v>
      </c>
      <c r="DO796">
        <v>0</v>
      </c>
      <c r="DP796">
        <v>0</v>
      </c>
      <c r="DQ796">
        <v>0</v>
      </c>
      <c r="DR796" t="s">
        <v>5439</v>
      </c>
      <c r="EB796" t="s">
        <v>5724</v>
      </c>
      <c r="EC796" t="s">
        <v>2246</v>
      </c>
      <c r="ED796" t="s">
        <v>2247</v>
      </c>
      <c r="EE796" t="s">
        <v>2670</v>
      </c>
      <c r="EF796" t="s">
        <v>3139</v>
      </c>
      <c r="EG796">
        <v>8500</v>
      </c>
      <c r="EH796">
        <v>8500</v>
      </c>
      <c r="EI796">
        <v>8500</v>
      </c>
      <c r="EJ796">
        <v>8500</v>
      </c>
    </row>
    <row r="797" ht="15" customHeight="1" spans="111:140" x14ac:dyDescent="0.25">
      <c r="DG797" t="s">
        <v>5725</v>
      </c>
      <c r="DH797" t="s">
        <v>87</v>
      </c>
      <c r="DI797" t="s">
        <v>1517</v>
      </c>
      <c r="DJ797" t="s">
        <v>1518</v>
      </c>
      <c r="DK797" t="s">
        <v>692</v>
      </c>
      <c r="DL797">
        <v>7.69</v>
      </c>
      <c r="DM797" t="s">
        <v>669</v>
      </c>
      <c r="DN797" t="s">
        <v>670</v>
      </c>
      <c r="DO797">
        <v>1</v>
      </c>
      <c r="DP797">
        <v>12985.31</v>
      </c>
      <c r="DQ797">
        <v>12985.31</v>
      </c>
      <c r="DR797" t="s">
        <v>5726</v>
      </c>
      <c r="EB797" t="s">
        <v>5727</v>
      </c>
      <c r="EC797" t="s">
        <v>2246</v>
      </c>
      <c r="ED797" t="s">
        <v>2247</v>
      </c>
      <c r="EE797" t="s">
        <v>561</v>
      </c>
      <c r="EF797" t="s">
        <v>2684</v>
      </c>
      <c r="EG797">
        <v>1</v>
      </c>
      <c r="EH797">
        <v>1</v>
      </c>
      <c r="EI797">
        <v>1</v>
      </c>
      <c r="EJ797">
        <v>1</v>
      </c>
    </row>
    <row r="798" ht="15" customHeight="1" spans="111:140" x14ac:dyDescent="0.25">
      <c r="DG798" t="s">
        <v>5728</v>
      </c>
      <c r="DH798" t="s">
        <v>87</v>
      </c>
      <c r="DI798" t="s">
        <v>1520</v>
      </c>
      <c r="DJ798" t="s">
        <v>1521</v>
      </c>
      <c r="DK798" t="s">
        <v>692</v>
      </c>
      <c r="DL798">
        <v>7.69</v>
      </c>
      <c r="DM798" t="s">
        <v>669</v>
      </c>
      <c r="DN798" t="s">
        <v>670</v>
      </c>
      <c r="DO798">
        <v>5</v>
      </c>
      <c r="DP798">
        <v>93.75</v>
      </c>
      <c r="DQ798">
        <v>93.75</v>
      </c>
      <c r="DR798" t="s">
        <v>5729</v>
      </c>
      <c r="EB798" t="s">
        <v>5730</v>
      </c>
      <c r="EC798" t="s">
        <v>2246</v>
      </c>
      <c r="ED798" t="s">
        <v>2247</v>
      </c>
      <c r="EE798" t="s">
        <v>563</v>
      </c>
      <c r="EF798" t="s">
        <v>2699</v>
      </c>
      <c r="EG798">
        <v>13000</v>
      </c>
      <c r="EH798">
        <v>13000</v>
      </c>
      <c r="EI798">
        <v>13000</v>
      </c>
      <c r="EJ798">
        <v>13000</v>
      </c>
    </row>
    <row r="799" ht="15" customHeight="1" spans="111:140" x14ac:dyDescent="0.25">
      <c r="DG799" t="s">
        <v>5731</v>
      </c>
      <c r="DH799" t="s">
        <v>87</v>
      </c>
      <c r="DI799" t="s">
        <v>1523</v>
      </c>
      <c r="DJ799" t="s">
        <v>1524</v>
      </c>
      <c r="DK799" t="s">
        <v>692</v>
      </c>
      <c r="DL799">
        <v>7.69</v>
      </c>
      <c r="DM799" t="s">
        <v>670</v>
      </c>
      <c r="DN799" t="s">
        <v>669</v>
      </c>
      <c r="DO799">
        <v>0</v>
      </c>
      <c r="DP799">
        <v>0</v>
      </c>
      <c r="DQ799">
        <v>270.94</v>
      </c>
      <c r="DR799" t="s">
        <v>5732</v>
      </c>
      <c r="EB799" t="s">
        <v>5733</v>
      </c>
      <c r="EC799" t="s">
        <v>2246</v>
      </c>
      <c r="ED799" t="s">
        <v>2247</v>
      </c>
      <c r="EE799" t="s">
        <v>556</v>
      </c>
      <c r="EF799" t="s">
        <v>2713</v>
      </c>
      <c r="EG799">
        <v>1</v>
      </c>
      <c r="EH799">
        <v>1</v>
      </c>
      <c r="EI799">
        <v>1</v>
      </c>
      <c r="EJ799">
        <v>1</v>
      </c>
    </row>
    <row r="800" ht="15" customHeight="1" spans="111:135" x14ac:dyDescent="0.25">
      <c r="DG800" t="s">
        <v>5734</v>
      </c>
      <c r="DH800" t="s">
        <v>87</v>
      </c>
      <c r="DI800" t="s">
        <v>1527</v>
      </c>
      <c r="DJ800" t="s">
        <v>1528</v>
      </c>
      <c r="DK800" t="s">
        <v>692</v>
      </c>
      <c r="DL800">
        <v>7.69</v>
      </c>
      <c r="DM800" t="s">
        <v>669</v>
      </c>
      <c r="DN800" t="s">
        <v>670</v>
      </c>
      <c r="DO800">
        <v>1</v>
      </c>
      <c r="DP800">
        <v>12946.87</v>
      </c>
      <c r="DQ800">
        <v>12946.87</v>
      </c>
      <c r="DR800" t="s">
        <v>5735</v>
      </c>
      <c r="EB800" t="s">
        <v>5736</v>
      </c>
      <c r="EC800" t="s">
        <v>2246</v>
      </c>
      <c r="EE800" t="s">
        <v>551</v>
      </c>
    </row>
    <row r="801" ht="15" customHeight="1" spans="111:135" x14ac:dyDescent="0.25">
      <c r="DG801" t="s">
        <v>5737</v>
      </c>
      <c r="DH801" t="s">
        <v>87</v>
      </c>
      <c r="DI801" t="s">
        <v>1530</v>
      </c>
      <c r="DJ801" t="s">
        <v>1531</v>
      </c>
      <c r="DK801" t="s">
        <v>692</v>
      </c>
      <c r="DL801">
        <v>7.69</v>
      </c>
      <c r="DM801" t="s">
        <v>669</v>
      </c>
      <c r="DN801" t="s">
        <v>670</v>
      </c>
      <c r="DO801">
        <v>2.5</v>
      </c>
      <c r="DP801">
        <v>1427.32</v>
      </c>
      <c r="DQ801">
        <v>1427.32</v>
      </c>
      <c r="DR801" t="s">
        <v>5738</v>
      </c>
      <c r="EB801" t="s">
        <v>5739</v>
      </c>
      <c r="EC801" t="s">
        <v>2246</v>
      </c>
      <c r="EE801" t="s">
        <v>290</v>
      </c>
    </row>
    <row r="802" ht="15" customHeight="1" spans="111:135" x14ac:dyDescent="0.25">
      <c r="DG802" t="s">
        <v>5740</v>
      </c>
      <c r="DH802" t="s">
        <v>87</v>
      </c>
      <c r="DI802" t="s">
        <v>1535</v>
      </c>
      <c r="DJ802" t="s">
        <v>1536</v>
      </c>
      <c r="DK802" t="s">
        <v>692</v>
      </c>
      <c r="DL802">
        <v>7.69</v>
      </c>
      <c r="DM802" t="s">
        <v>670</v>
      </c>
      <c r="DN802" t="s">
        <v>669</v>
      </c>
      <c r="DO802">
        <v>0</v>
      </c>
      <c r="DP802">
        <v>0</v>
      </c>
      <c r="DQ802">
        <v>246.38</v>
      </c>
      <c r="DR802" t="s">
        <v>5741</v>
      </c>
      <c r="EB802" t="s">
        <v>5742</v>
      </c>
      <c r="EC802" t="s">
        <v>2246</v>
      </c>
      <c r="EE802" t="s">
        <v>275</v>
      </c>
    </row>
    <row r="803" ht="15" customHeight="1" spans="111:135" x14ac:dyDescent="0.25">
      <c r="DG803" t="s">
        <v>5743</v>
      </c>
      <c r="DH803" t="s">
        <v>87</v>
      </c>
      <c r="DI803" t="s">
        <v>1540</v>
      </c>
      <c r="DJ803" t="s">
        <v>1541</v>
      </c>
      <c r="DK803" t="s">
        <v>692</v>
      </c>
      <c r="DL803">
        <v>7.69</v>
      </c>
      <c r="DM803" t="s">
        <v>669</v>
      </c>
      <c r="DN803" t="s">
        <v>670</v>
      </c>
      <c r="DO803">
        <v>6.5</v>
      </c>
      <c r="DP803">
        <v>1045</v>
      </c>
      <c r="DQ803">
        <v>1045</v>
      </c>
      <c r="DR803" t="s">
        <v>5744</v>
      </c>
      <c r="EB803" t="s">
        <v>5745</v>
      </c>
      <c r="EC803" t="s">
        <v>2246</v>
      </c>
      <c r="EE803" t="s">
        <v>298</v>
      </c>
    </row>
    <row r="804" ht="15" customHeight="1" spans="111:135" x14ac:dyDescent="0.25">
      <c r="DG804" t="s">
        <v>5746</v>
      </c>
      <c r="DH804" t="s">
        <v>87</v>
      </c>
      <c r="DI804" t="s">
        <v>1545</v>
      </c>
      <c r="DJ804" t="s">
        <v>1546</v>
      </c>
      <c r="DK804" t="s">
        <v>692</v>
      </c>
      <c r="DL804">
        <v>7.69</v>
      </c>
      <c r="DM804" t="s">
        <v>670</v>
      </c>
      <c r="DN804" t="s">
        <v>669</v>
      </c>
      <c r="DO804">
        <v>0</v>
      </c>
      <c r="DP804">
        <v>0</v>
      </c>
      <c r="DQ804">
        <v>63</v>
      </c>
      <c r="DR804" t="s">
        <v>5747</v>
      </c>
      <c r="EB804" t="s">
        <v>5748</v>
      </c>
      <c r="EC804" t="s">
        <v>2246</v>
      </c>
      <c r="EE804" t="s">
        <v>286</v>
      </c>
    </row>
    <row r="805" ht="15" customHeight="1" spans="111:135" x14ac:dyDescent="0.25">
      <c r="DG805" t="s">
        <v>5749</v>
      </c>
      <c r="DH805" t="s">
        <v>87</v>
      </c>
      <c r="DI805" t="s">
        <v>1547</v>
      </c>
      <c r="DJ805" t="s">
        <v>1548</v>
      </c>
      <c r="DK805" t="s">
        <v>692</v>
      </c>
      <c r="DL805">
        <v>7.69</v>
      </c>
      <c r="DM805" t="s">
        <v>669</v>
      </c>
      <c r="DN805" t="s">
        <v>670</v>
      </c>
      <c r="DO805">
        <v>1</v>
      </c>
      <c r="DP805">
        <v>164</v>
      </c>
      <c r="DQ805">
        <v>164</v>
      </c>
      <c r="DR805" t="s">
        <v>5750</v>
      </c>
      <c r="EB805" t="s">
        <v>5751</v>
      </c>
      <c r="EC805" t="s">
        <v>2246</v>
      </c>
      <c r="EE805" t="s">
        <v>272</v>
      </c>
    </row>
    <row r="806" ht="15" customHeight="1" spans="111:135" x14ac:dyDescent="0.25">
      <c r="DG806" t="s">
        <v>5752</v>
      </c>
      <c r="DH806" t="s">
        <v>87</v>
      </c>
      <c r="DI806" t="s">
        <v>1550</v>
      </c>
      <c r="DJ806" t="s">
        <v>1551</v>
      </c>
      <c r="DK806" t="s">
        <v>692</v>
      </c>
      <c r="DL806">
        <v>7.69</v>
      </c>
      <c r="DM806" t="s">
        <v>669</v>
      </c>
      <c r="DN806" t="s">
        <v>670</v>
      </c>
      <c r="DO806">
        <v>1</v>
      </c>
      <c r="DP806">
        <v>210</v>
      </c>
      <c r="DQ806">
        <v>210</v>
      </c>
      <c r="DR806" t="s">
        <v>5753</v>
      </c>
      <c r="EB806" t="s">
        <v>5754</v>
      </c>
      <c r="EC806" t="s">
        <v>2246</v>
      </c>
      <c r="EE806" t="s">
        <v>283</v>
      </c>
    </row>
    <row r="807" ht="15" customHeight="1" spans="111:135" x14ac:dyDescent="0.25">
      <c r="DG807" t="s">
        <v>5755</v>
      </c>
      <c r="DH807" t="s">
        <v>87</v>
      </c>
      <c r="DI807" t="s">
        <v>1552</v>
      </c>
      <c r="DJ807" t="s">
        <v>1553</v>
      </c>
      <c r="DK807" t="s">
        <v>692</v>
      </c>
      <c r="DL807">
        <v>7.69</v>
      </c>
      <c r="DM807" t="s">
        <v>670</v>
      </c>
      <c r="DN807" t="s">
        <v>670</v>
      </c>
      <c r="DO807">
        <v>0.5</v>
      </c>
      <c r="DP807">
        <v>235</v>
      </c>
      <c r="DQ807">
        <v>470</v>
      </c>
      <c r="DR807" t="s">
        <v>5756</v>
      </c>
      <c r="EB807" t="s">
        <v>5757</v>
      </c>
      <c r="EC807" t="s">
        <v>2246</v>
      </c>
      <c r="EE807" t="s">
        <v>267</v>
      </c>
    </row>
    <row r="808" ht="15" customHeight="1" spans="111:135" x14ac:dyDescent="0.25">
      <c r="DG808" t="s">
        <v>5758</v>
      </c>
      <c r="DH808" t="s">
        <v>87</v>
      </c>
      <c r="DI808" t="s">
        <v>1555</v>
      </c>
      <c r="DJ808" t="s">
        <v>1556</v>
      </c>
      <c r="DK808" t="s">
        <v>692</v>
      </c>
      <c r="DL808">
        <v>7.69</v>
      </c>
      <c r="DM808" t="s">
        <v>670</v>
      </c>
      <c r="DN808" t="s">
        <v>669</v>
      </c>
      <c r="DO808">
        <v>0</v>
      </c>
      <c r="DP808">
        <v>0</v>
      </c>
      <c r="DQ808">
        <v>113.19</v>
      </c>
      <c r="DR808" t="s">
        <v>5759</v>
      </c>
      <c r="EB808" t="s">
        <v>5760</v>
      </c>
      <c r="EC808" t="s">
        <v>2246</v>
      </c>
      <c r="EE808" t="s">
        <v>258</v>
      </c>
    </row>
    <row r="809" ht="15" customHeight="1" spans="111:135" x14ac:dyDescent="0.25">
      <c r="DG809" t="s">
        <v>5761</v>
      </c>
      <c r="DH809" t="s">
        <v>87</v>
      </c>
      <c r="DI809" t="s">
        <v>1560</v>
      </c>
      <c r="DJ809" t="s">
        <v>1561</v>
      </c>
      <c r="DK809" t="s">
        <v>692</v>
      </c>
      <c r="DL809">
        <v>7.69</v>
      </c>
      <c r="DM809" t="s">
        <v>669</v>
      </c>
      <c r="DN809" t="s">
        <v>670</v>
      </c>
      <c r="DO809">
        <v>1</v>
      </c>
      <c r="DP809">
        <v>7734.18</v>
      </c>
      <c r="DQ809">
        <v>7734.18</v>
      </c>
      <c r="DR809" t="s">
        <v>5762</v>
      </c>
      <c r="EB809" t="s">
        <v>5763</v>
      </c>
      <c r="EC809" t="s">
        <v>2246</v>
      </c>
      <c r="EE809" t="s">
        <v>222</v>
      </c>
    </row>
    <row r="810" ht="15" customHeight="1" spans="111:135" x14ac:dyDescent="0.25">
      <c r="DG810" t="s">
        <v>5764</v>
      </c>
      <c r="DH810" t="s">
        <v>87</v>
      </c>
      <c r="DI810" t="s">
        <v>1565</v>
      </c>
      <c r="DJ810" t="s">
        <v>1566</v>
      </c>
      <c r="DK810" t="s">
        <v>692</v>
      </c>
      <c r="DL810">
        <v>7.69</v>
      </c>
      <c r="DM810" t="s">
        <v>670</v>
      </c>
      <c r="DN810" t="s">
        <v>669</v>
      </c>
      <c r="DO810">
        <v>0</v>
      </c>
      <c r="DP810">
        <v>0</v>
      </c>
      <c r="DQ810">
        <v>936.5</v>
      </c>
      <c r="DR810" t="s">
        <v>5765</v>
      </c>
      <c r="EB810" t="s">
        <v>5766</v>
      </c>
      <c r="EC810" t="s">
        <v>2246</v>
      </c>
      <c r="EE810" t="s">
        <v>233</v>
      </c>
    </row>
    <row r="811" ht="15" customHeight="1" spans="111:135" x14ac:dyDescent="0.25">
      <c r="DG811" t="s">
        <v>5767</v>
      </c>
      <c r="DH811" t="s">
        <v>87</v>
      </c>
      <c r="DI811" t="s">
        <v>1568</v>
      </c>
      <c r="DJ811" t="s">
        <v>1569</v>
      </c>
      <c r="DK811" t="s">
        <v>692</v>
      </c>
      <c r="DL811">
        <v>7.69</v>
      </c>
      <c r="DM811" t="s">
        <v>669</v>
      </c>
      <c r="DN811" t="s">
        <v>670</v>
      </c>
      <c r="DO811">
        <v>9</v>
      </c>
      <c r="DP811">
        <v>918</v>
      </c>
      <c r="DQ811">
        <v>918</v>
      </c>
      <c r="DR811" t="s">
        <v>5768</v>
      </c>
      <c r="EB811" t="s">
        <v>5769</v>
      </c>
      <c r="EC811" t="s">
        <v>2246</v>
      </c>
      <c r="EE811" t="s">
        <v>225</v>
      </c>
    </row>
    <row r="812" ht="15" customHeight="1" spans="111:135" x14ac:dyDescent="0.25">
      <c r="DG812" t="s">
        <v>5770</v>
      </c>
      <c r="DH812" t="s">
        <v>87</v>
      </c>
      <c r="DI812" t="s">
        <v>1570</v>
      </c>
      <c r="DJ812" t="s">
        <v>1516</v>
      </c>
      <c r="DK812" t="s">
        <v>692</v>
      </c>
      <c r="DL812">
        <v>7.69</v>
      </c>
      <c r="DM812" t="s">
        <v>670</v>
      </c>
      <c r="DN812" t="s">
        <v>670</v>
      </c>
      <c r="DO812">
        <v>1</v>
      </c>
      <c r="DP812">
        <v>30.2</v>
      </c>
      <c r="DQ812">
        <v>181.2</v>
      </c>
      <c r="DR812" t="s">
        <v>5719</v>
      </c>
      <c r="EB812" t="s">
        <v>5771</v>
      </c>
      <c r="EC812" t="s">
        <v>2246</v>
      </c>
      <c r="EE812" t="s">
        <v>288</v>
      </c>
    </row>
    <row r="813" ht="15" customHeight="1" spans="111:140" x14ac:dyDescent="0.25">
      <c r="DG813" t="s">
        <v>5772</v>
      </c>
      <c r="DH813" t="s">
        <v>87</v>
      </c>
      <c r="DI813" t="s">
        <v>1572</v>
      </c>
      <c r="DJ813" t="s">
        <v>1515</v>
      </c>
      <c r="DK813" t="s">
        <v>692</v>
      </c>
      <c r="DL813">
        <v>7.69</v>
      </c>
      <c r="DM813" t="s">
        <v>670</v>
      </c>
      <c r="DN813" t="s">
        <v>669</v>
      </c>
      <c r="DO813">
        <v>0</v>
      </c>
      <c r="DP813">
        <v>0</v>
      </c>
      <c r="DQ813">
        <v>313.3</v>
      </c>
      <c r="DR813" t="s">
        <v>5712</v>
      </c>
      <c r="EB813" t="s">
        <v>5773</v>
      </c>
      <c r="EC813" t="s">
        <v>2246</v>
      </c>
      <c r="ED813" t="s">
        <v>2247</v>
      </c>
      <c r="EE813" t="s">
        <v>269</v>
      </c>
      <c r="EF813" t="s">
        <v>268</v>
      </c>
      <c r="EG813">
        <v>280</v>
      </c>
      <c r="EH813">
        <v>280</v>
      </c>
      <c r="EI813">
        <v>280</v>
      </c>
      <c r="EJ813">
        <v>280</v>
      </c>
    </row>
    <row r="814" ht="15" customHeight="1" spans="111:140" x14ac:dyDescent="0.25">
      <c r="DG814" t="s">
        <v>5774</v>
      </c>
      <c r="DH814" t="s">
        <v>87</v>
      </c>
      <c r="DI814" t="s">
        <v>1574</v>
      </c>
      <c r="DJ814" t="s">
        <v>1575</v>
      </c>
      <c r="DK814" t="s">
        <v>692</v>
      </c>
      <c r="DL814">
        <v>7.69</v>
      </c>
      <c r="DM814" t="s">
        <v>669</v>
      </c>
      <c r="DN814" t="s">
        <v>670</v>
      </c>
      <c r="DO814">
        <v>1</v>
      </c>
      <c r="DP814">
        <v>1066</v>
      </c>
      <c r="DQ814">
        <v>1066</v>
      </c>
      <c r="DR814" t="s">
        <v>5775</v>
      </c>
      <c r="EB814" t="s">
        <v>5776</v>
      </c>
      <c r="EC814" t="s">
        <v>2246</v>
      </c>
      <c r="ED814" t="s">
        <v>2247</v>
      </c>
      <c r="EE814" t="s">
        <v>237</v>
      </c>
      <c r="EF814" t="s">
        <v>235</v>
      </c>
      <c r="EG814">
        <v>2650</v>
      </c>
      <c r="EH814">
        <v>2650</v>
      </c>
      <c r="EI814">
        <v>2650</v>
      </c>
      <c r="EJ814">
        <v>2650</v>
      </c>
    </row>
    <row r="815" ht="15" customHeight="1" spans="111:135" x14ac:dyDescent="0.25">
      <c r="DG815" t="s">
        <v>5777</v>
      </c>
      <c r="DH815" t="s">
        <v>87</v>
      </c>
      <c r="DI815" t="s">
        <v>1260</v>
      </c>
      <c r="DJ815" t="s">
        <v>1577</v>
      </c>
      <c r="DK815" t="s">
        <v>692</v>
      </c>
      <c r="DL815">
        <v>7.69</v>
      </c>
      <c r="DM815" t="s">
        <v>670</v>
      </c>
      <c r="DN815" t="s">
        <v>669</v>
      </c>
      <c r="DO815">
        <v>0</v>
      </c>
      <c r="DP815">
        <v>0</v>
      </c>
      <c r="DQ815">
        <v>245</v>
      </c>
      <c r="DR815" t="s">
        <v>5778</v>
      </c>
      <c r="EB815" t="s">
        <v>5779</v>
      </c>
      <c r="EC815" t="s">
        <v>2246</v>
      </c>
      <c r="EE815" t="s">
        <v>249</v>
      </c>
    </row>
    <row r="816" ht="15" customHeight="1" spans="111:135" x14ac:dyDescent="0.25">
      <c r="DG816" t="s">
        <v>5780</v>
      </c>
      <c r="DH816" t="s">
        <v>87</v>
      </c>
      <c r="DJ816" t="s">
        <v>1022</v>
      </c>
      <c r="DK816" t="s">
        <v>668</v>
      </c>
      <c r="DL816">
        <v>3.85</v>
      </c>
      <c r="DM816" t="s">
        <v>669</v>
      </c>
      <c r="DN816" t="s">
        <v>669</v>
      </c>
      <c r="DO816">
        <v>0</v>
      </c>
      <c r="DP816">
        <v>0</v>
      </c>
      <c r="DQ816">
        <v>0</v>
      </c>
      <c r="DR816" t="s">
        <v>5195</v>
      </c>
      <c r="EB816" t="s">
        <v>5781</v>
      </c>
      <c r="EC816" t="s">
        <v>2246</v>
      </c>
      <c r="EE816" t="s">
        <v>293</v>
      </c>
    </row>
    <row r="817" ht="15" customHeight="1" spans="111:135" x14ac:dyDescent="0.25">
      <c r="DG817" t="s">
        <v>5782</v>
      </c>
      <c r="DH817" t="s">
        <v>87</v>
      </c>
      <c r="DJ817" t="s">
        <v>1147</v>
      </c>
      <c r="DK817" t="s">
        <v>668</v>
      </c>
      <c r="DL817">
        <v>3.85</v>
      </c>
      <c r="DM817" t="s">
        <v>669</v>
      </c>
      <c r="DN817" t="s">
        <v>669</v>
      </c>
      <c r="DO817">
        <v>0</v>
      </c>
      <c r="DP817">
        <v>0</v>
      </c>
      <c r="DQ817">
        <v>0</v>
      </c>
      <c r="DR817" t="s">
        <v>5321</v>
      </c>
      <c r="EB817" t="s">
        <v>5783</v>
      </c>
      <c r="EC817" t="s">
        <v>2246</v>
      </c>
      <c r="EE817" t="s">
        <v>280</v>
      </c>
    </row>
    <row r="818" ht="15" customHeight="1" spans="111:140" x14ac:dyDescent="0.25">
      <c r="DG818" t="s">
        <v>5784</v>
      </c>
      <c r="DH818" t="s">
        <v>87</v>
      </c>
      <c r="DJ818" t="s">
        <v>825</v>
      </c>
      <c r="DK818" t="s">
        <v>668</v>
      </c>
      <c r="DL818">
        <v>3.85</v>
      </c>
      <c r="DM818" t="s">
        <v>669</v>
      </c>
      <c r="DN818" t="s">
        <v>669</v>
      </c>
      <c r="DO818">
        <v>0</v>
      </c>
      <c r="DP818">
        <v>0</v>
      </c>
      <c r="DQ818">
        <v>0</v>
      </c>
      <c r="DR818" t="s">
        <v>5034</v>
      </c>
      <c r="EB818" t="s">
        <v>5785</v>
      </c>
      <c r="EC818" t="s">
        <v>2246</v>
      </c>
      <c r="ED818" t="s">
        <v>2247</v>
      </c>
      <c r="EE818" t="s">
        <v>264</v>
      </c>
      <c r="EF818" t="s">
        <v>262</v>
      </c>
      <c r="EG818">
        <v>680</v>
      </c>
      <c r="EH818">
        <v>750</v>
      </c>
      <c r="EI818">
        <v>810</v>
      </c>
      <c r="EJ818">
        <v>810</v>
      </c>
    </row>
    <row r="819" ht="15" customHeight="1" spans="111:140" x14ac:dyDescent="0.25">
      <c r="DG819" t="s">
        <v>5786</v>
      </c>
      <c r="DH819" t="s">
        <v>87</v>
      </c>
      <c r="DJ819" t="s">
        <v>1285</v>
      </c>
      <c r="DK819" t="s">
        <v>668</v>
      </c>
      <c r="DL819">
        <v>3.85</v>
      </c>
      <c r="DM819" t="s">
        <v>669</v>
      </c>
      <c r="DN819" t="s">
        <v>669</v>
      </c>
      <c r="DO819">
        <v>0</v>
      </c>
      <c r="DP819">
        <v>0</v>
      </c>
      <c r="DQ819">
        <v>0</v>
      </c>
      <c r="DR819" t="s">
        <v>5442</v>
      </c>
      <c r="EB819" t="s">
        <v>5787</v>
      </c>
      <c r="EC819" t="s">
        <v>2246</v>
      </c>
      <c r="ED819" t="s">
        <v>2247</v>
      </c>
      <c r="EE819" t="s">
        <v>278</v>
      </c>
      <c r="EF819" t="s">
        <v>5788</v>
      </c>
      <c r="EG819">
        <v>1000</v>
      </c>
      <c r="EH819">
        <v>1000</v>
      </c>
      <c r="EI819">
        <v>1000</v>
      </c>
      <c r="EJ819">
        <v>1000</v>
      </c>
    </row>
    <row r="820" ht="15" customHeight="1" spans="111:140" x14ac:dyDescent="0.25">
      <c r="DG820" t="s">
        <v>5789</v>
      </c>
      <c r="DH820" t="s">
        <v>87</v>
      </c>
      <c r="DJ820" t="s">
        <v>1113</v>
      </c>
      <c r="DK820" t="s">
        <v>668</v>
      </c>
      <c r="DL820">
        <v>3.85</v>
      </c>
      <c r="DM820" t="s">
        <v>669</v>
      </c>
      <c r="DN820" t="s">
        <v>669</v>
      </c>
      <c r="DO820">
        <v>0</v>
      </c>
      <c r="DP820">
        <v>0</v>
      </c>
      <c r="DQ820">
        <v>0</v>
      </c>
      <c r="DR820" t="s">
        <v>5284</v>
      </c>
      <c r="EB820" t="s">
        <v>5790</v>
      </c>
      <c r="EC820" t="s">
        <v>2246</v>
      </c>
      <c r="ED820" t="s">
        <v>2247</v>
      </c>
      <c r="EE820" t="s">
        <v>240</v>
      </c>
      <c r="EF820" t="s">
        <v>238</v>
      </c>
      <c r="EG820">
        <v>3710</v>
      </c>
      <c r="EH820">
        <v>3710</v>
      </c>
      <c r="EI820">
        <v>3710</v>
      </c>
      <c r="EJ820">
        <v>3710</v>
      </c>
    </row>
    <row r="821" ht="15" customHeight="1" spans="111:140" x14ac:dyDescent="0.25">
      <c r="DG821" t="s">
        <v>5791</v>
      </c>
      <c r="DH821" t="s">
        <v>87</v>
      </c>
      <c r="DJ821" t="s">
        <v>1186</v>
      </c>
      <c r="DK821" t="s">
        <v>668</v>
      </c>
      <c r="DL821">
        <v>3.85</v>
      </c>
      <c r="DM821" t="s">
        <v>669</v>
      </c>
      <c r="DN821" t="s">
        <v>669</v>
      </c>
      <c r="DO821">
        <v>0</v>
      </c>
      <c r="DP821">
        <v>0</v>
      </c>
      <c r="DQ821">
        <v>0</v>
      </c>
      <c r="DR821" t="s">
        <v>5354</v>
      </c>
      <c r="EB821" t="s">
        <v>5792</v>
      </c>
      <c r="EC821" t="s">
        <v>2246</v>
      </c>
      <c r="ED821" t="s">
        <v>2247</v>
      </c>
      <c r="EE821" t="s">
        <v>252</v>
      </c>
      <c r="EF821" t="s">
        <v>250</v>
      </c>
      <c r="EG821">
        <v>370</v>
      </c>
      <c r="EH821">
        <v>370</v>
      </c>
      <c r="EI821">
        <v>370</v>
      </c>
      <c r="EJ821">
        <v>370</v>
      </c>
    </row>
    <row r="822" ht="15" customHeight="1" spans="111:140" x14ac:dyDescent="0.25">
      <c r="DG822" t="s">
        <v>5793</v>
      </c>
      <c r="DH822" t="s">
        <v>87</v>
      </c>
      <c r="DJ822" t="s">
        <v>1579</v>
      </c>
      <c r="DK822" t="s">
        <v>668</v>
      </c>
      <c r="DL822">
        <v>3.85</v>
      </c>
      <c r="DM822" t="s">
        <v>669</v>
      </c>
      <c r="DN822" t="s">
        <v>669</v>
      </c>
      <c r="DO822">
        <v>0</v>
      </c>
      <c r="DP822">
        <v>0</v>
      </c>
      <c r="DQ822">
        <v>0</v>
      </c>
      <c r="DR822" t="s">
        <v>5794</v>
      </c>
      <c r="EB822" t="s">
        <v>5795</v>
      </c>
      <c r="EC822" t="s">
        <v>2246</v>
      </c>
      <c r="ED822" t="s">
        <v>2247</v>
      </c>
      <c r="EE822" t="s">
        <v>229</v>
      </c>
      <c r="EF822" t="s">
        <v>227</v>
      </c>
      <c r="EG822">
        <v>170</v>
      </c>
      <c r="EH822">
        <v>200</v>
      </c>
      <c r="EI822">
        <v>220</v>
      </c>
      <c r="EJ822">
        <v>240</v>
      </c>
    </row>
    <row r="823" ht="15" customHeight="1" spans="111:140" x14ac:dyDescent="0.25">
      <c r="DG823" t="s">
        <v>5796</v>
      </c>
      <c r="DH823" t="s">
        <v>87</v>
      </c>
      <c r="DJ823" t="s">
        <v>1119</v>
      </c>
      <c r="DK823" t="s">
        <v>668</v>
      </c>
      <c r="DL823">
        <v>3.85</v>
      </c>
      <c r="DM823" t="s">
        <v>669</v>
      </c>
      <c r="DN823" t="s">
        <v>669</v>
      </c>
      <c r="DO823">
        <v>0</v>
      </c>
      <c r="DP823">
        <v>0</v>
      </c>
      <c r="DQ823">
        <v>0</v>
      </c>
      <c r="DR823" t="s">
        <v>5290</v>
      </c>
      <c r="EB823" t="s">
        <v>5797</v>
      </c>
      <c r="EC823" t="s">
        <v>2246</v>
      </c>
      <c r="ED823" t="s">
        <v>2247</v>
      </c>
      <c r="EE823" t="s">
        <v>246</v>
      </c>
      <c r="EF823" t="s">
        <v>244</v>
      </c>
      <c r="EG823">
        <v>620</v>
      </c>
      <c r="EH823">
        <v>620</v>
      </c>
      <c r="EI823">
        <v>620</v>
      </c>
      <c r="EJ823">
        <v>620</v>
      </c>
    </row>
    <row r="824" ht="15" customHeight="1" spans="111:140" x14ac:dyDescent="0.25">
      <c r="DG824" t="s">
        <v>5798</v>
      </c>
      <c r="DH824" t="s">
        <v>87</v>
      </c>
      <c r="DJ824" t="s">
        <v>810</v>
      </c>
      <c r="DK824" t="s">
        <v>668</v>
      </c>
      <c r="DL824">
        <v>3.85</v>
      </c>
      <c r="DM824" t="s">
        <v>669</v>
      </c>
      <c r="DN824" t="s">
        <v>669</v>
      </c>
      <c r="DO824">
        <v>0</v>
      </c>
      <c r="DP824">
        <v>0</v>
      </c>
      <c r="DQ824">
        <v>0</v>
      </c>
      <c r="DR824" t="s">
        <v>5025</v>
      </c>
      <c r="EB824" t="s">
        <v>5799</v>
      </c>
      <c r="EC824" t="s">
        <v>2246</v>
      </c>
      <c r="ED824" t="s">
        <v>2247</v>
      </c>
      <c r="EE824" t="s">
        <v>255</v>
      </c>
      <c r="EF824" t="s">
        <v>253</v>
      </c>
      <c r="EG824">
        <v>430</v>
      </c>
      <c r="EH824">
        <v>500</v>
      </c>
      <c r="EI824">
        <v>560</v>
      </c>
      <c r="EJ824">
        <v>600</v>
      </c>
    </row>
    <row r="825" ht="15" customHeight="1" spans="111:135" x14ac:dyDescent="0.25">
      <c r="DG825" t="s">
        <v>5800</v>
      </c>
      <c r="DH825" t="s">
        <v>87</v>
      </c>
      <c r="DJ825" t="s">
        <v>680</v>
      </c>
      <c r="DK825" t="s">
        <v>668</v>
      </c>
      <c r="DL825">
        <v>3.85</v>
      </c>
      <c r="DM825" t="s">
        <v>669</v>
      </c>
      <c r="DN825" t="s">
        <v>669</v>
      </c>
      <c r="DO825">
        <v>0</v>
      </c>
      <c r="DP825">
        <v>0</v>
      </c>
      <c r="DQ825">
        <v>0</v>
      </c>
      <c r="DR825" t="s">
        <v>4929</v>
      </c>
      <c r="EB825" t="s">
        <v>5801</v>
      </c>
      <c r="EC825" t="s">
        <v>2246</v>
      </c>
      <c r="EE825" t="s">
        <v>243</v>
      </c>
    </row>
    <row r="826" ht="15" customHeight="1" spans="111:140" x14ac:dyDescent="0.25">
      <c r="DG826" t="s">
        <v>5802</v>
      </c>
      <c r="DH826" t="s">
        <v>87</v>
      </c>
      <c r="DJ826" t="s">
        <v>889</v>
      </c>
      <c r="DK826" t="s">
        <v>668</v>
      </c>
      <c r="DL826">
        <v>3.85</v>
      </c>
      <c r="DM826" t="s">
        <v>669</v>
      </c>
      <c r="DN826" t="s">
        <v>669</v>
      </c>
      <c r="DO826">
        <v>0</v>
      </c>
      <c r="DP826">
        <v>0</v>
      </c>
      <c r="DQ826">
        <v>0</v>
      </c>
      <c r="DR826" t="s">
        <v>5082</v>
      </c>
      <c r="EB826" t="s">
        <v>5803</v>
      </c>
      <c r="EC826" t="s">
        <v>2246</v>
      </c>
      <c r="ED826" t="s">
        <v>2247</v>
      </c>
      <c r="EE826" t="s">
        <v>261</v>
      </c>
      <c r="EF826" t="s">
        <v>259</v>
      </c>
      <c r="EG826">
        <v>1</v>
      </c>
      <c r="EH826">
        <v>1</v>
      </c>
      <c r="EI826">
        <v>1</v>
      </c>
      <c r="EJ826">
        <v>1</v>
      </c>
    </row>
    <row r="827" ht="15" customHeight="1" spans="111:135" x14ac:dyDescent="0.25">
      <c r="DG827" t="s">
        <v>5804</v>
      </c>
      <c r="DH827" t="s">
        <v>87</v>
      </c>
      <c r="DJ827" t="s">
        <v>1299</v>
      </c>
      <c r="DK827" t="s">
        <v>668</v>
      </c>
      <c r="DL827">
        <v>3.85</v>
      </c>
      <c r="DM827" t="s">
        <v>669</v>
      </c>
      <c r="DN827" t="s">
        <v>669</v>
      </c>
      <c r="DO827">
        <v>0</v>
      </c>
      <c r="DP827">
        <v>0</v>
      </c>
      <c r="DQ827">
        <v>0</v>
      </c>
      <c r="DR827" t="s">
        <v>5457</v>
      </c>
      <c r="EB827" t="s">
        <v>5805</v>
      </c>
      <c r="EC827" t="s">
        <v>2246</v>
      </c>
      <c r="EE827" t="s">
        <v>296</v>
      </c>
    </row>
    <row r="828" ht="15" customHeight="1" spans="111:140" x14ac:dyDescent="0.25">
      <c r="DG828" t="s">
        <v>5806</v>
      </c>
      <c r="DH828" t="s">
        <v>87</v>
      </c>
      <c r="DJ828" t="s">
        <v>1580</v>
      </c>
      <c r="DK828" t="s">
        <v>668</v>
      </c>
      <c r="DL828">
        <v>3.85</v>
      </c>
      <c r="DM828" t="s">
        <v>669</v>
      </c>
      <c r="DN828" t="s">
        <v>669</v>
      </c>
      <c r="DO828">
        <v>0</v>
      </c>
      <c r="DP828">
        <v>0</v>
      </c>
      <c r="DQ828">
        <v>0</v>
      </c>
      <c r="DR828" t="s">
        <v>5807</v>
      </c>
      <c r="EB828" t="s">
        <v>5808</v>
      </c>
      <c r="EC828" t="s">
        <v>2779</v>
      </c>
      <c r="ED828" t="s">
        <v>2780</v>
      </c>
      <c r="EE828" t="s">
        <v>620</v>
      </c>
      <c r="EF828" t="s">
        <v>2250</v>
      </c>
      <c r="EG828">
        <v>360</v>
      </c>
      <c r="EH828">
        <v>400</v>
      </c>
      <c r="EI828">
        <v>430</v>
      </c>
      <c r="EJ828">
        <v>430</v>
      </c>
    </row>
    <row r="829" ht="15" customHeight="1" spans="111:140" x14ac:dyDescent="0.25">
      <c r="DG829" t="s">
        <v>5809</v>
      </c>
      <c r="DH829" t="s">
        <v>87</v>
      </c>
      <c r="DJ829" t="s">
        <v>1038</v>
      </c>
      <c r="DK829" t="s">
        <v>668</v>
      </c>
      <c r="DL829">
        <v>3.85</v>
      </c>
      <c r="DM829" t="s">
        <v>669</v>
      </c>
      <c r="DN829" t="s">
        <v>669</v>
      </c>
      <c r="DO829">
        <v>0</v>
      </c>
      <c r="DP829">
        <v>0</v>
      </c>
      <c r="DQ829">
        <v>0</v>
      </c>
      <c r="DR829" t="s">
        <v>5207</v>
      </c>
      <c r="EB829" t="s">
        <v>5810</v>
      </c>
      <c r="EC829" t="s">
        <v>2779</v>
      </c>
      <c r="ED829" t="s">
        <v>2780</v>
      </c>
      <c r="EE829" t="s">
        <v>618</v>
      </c>
      <c r="EF829" t="s">
        <v>2274</v>
      </c>
      <c r="EG829">
        <v>360</v>
      </c>
      <c r="EH829">
        <v>400</v>
      </c>
      <c r="EI829">
        <v>430</v>
      </c>
      <c r="EJ829">
        <v>430</v>
      </c>
    </row>
    <row r="830" ht="15" customHeight="1" spans="111:140" x14ac:dyDescent="0.25">
      <c r="DG830" t="s">
        <v>5811</v>
      </c>
      <c r="DH830" t="s">
        <v>87</v>
      </c>
      <c r="DI830" t="s">
        <v>1581</v>
      </c>
      <c r="DJ830" t="s">
        <v>1582</v>
      </c>
      <c r="DK830" t="s">
        <v>668</v>
      </c>
      <c r="DL830">
        <v>3.85</v>
      </c>
      <c r="DM830" t="s">
        <v>670</v>
      </c>
      <c r="DN830" t="s">
        <v>669</v>
      </c>
      <c r="DO830">
        <v>0</v>
      </c>
      <c r="DP830">
        <v>0</v>
      </c>
      <c r="DQ830">
        <v>2.66</v>
      </c>
      <c r="DR830" t="s">
        <v>5812</v>
      </c>
      <c r="EB830" t="s">
        <v>5813</v>
      </c>
      <c r="EC830" t="s">
        <v>2779</v>
      </c>
      <c r="ED830" t="s">
        <v>2780</v>
      </c>
      <c r="EE830" t="s">
        <v>616</v>
      </c>
      <c r="EF830" t="s">
        <v>2291</v>
      </c>
      <c r="EG830">
        <v>1920</v>
      </c>
      <c r="EH830">
        <v>2090</v>
      </c>
      <c r="EI830">
        <v>2370</v>
      </c>
      <c r="EJ830">
        <v>2550</v>
      </c>
    </row>
    <row r="831" ht="15" customHeight="1" spans="111:140" x14ac:dyDescent="0.25">
      <c r="DG831" t="s">
        <v>5814</v>
      </c>
      <c r="DH831" t="s">
        <v>87</v>
      </c>
      <c r="DI831" t="s">
        <v>1583</v>
      </c>
      <c r="DJ831" t="s">
        <v>1584</v>
      </c>
      <c r="DK831" t="s">
        <v>668</v>
      </c>
      <c r="DL831">
        <v>3.85</v>
      </c>
      <c r="DM831" t="s">
        <v>670</v>
      </c>
      <c r="DN831" t="s">
        <v>669</v>
      </c>
      <c r="DO831">
        <v>0</v>
      </c>
      <c r="DP831">
        <v>0</v>
      </c>
      <c r="DQ831">
        <v>1.57</v>
      </c>
      <c r="DR831" t="s">
        <v>5815</v>
      </c>
      <c r="EB831" t="s">
        <v>5816</v>
      </c>
      <c r="EC831" t="s">
        <v>2779</v>
      </c>
      <c r="ED831" t="s">
        <v>2780</v>
      </c>
      <c r="EE831" t="s">
        <v>614</v>
      </c>
      <c r="EF831" t="s">
        <v>2304</v>
      </c>
      <c r="EG831">
        <v>730</v>
      </c>
      <c r="EH831">
        <v>800</v>
      </c>
      <c r="EI831">
        <v>870</v>
      </c>
      <c r="EJ831">
        <v>870</v>
      </c>
    </row>
    <row r="832" ht="15" customHeight="1" spans="111:140" x14ac:dyDescent="0.25">
      <c r="DG832" t="s">
        <v>5817</v>
      </c>
      <c r="DH832" t="s">
        <v>87</v>
      </c>
      <c r="DI832" t="s">
        <v>1586</v>
      </c>
      <c r="DJ832" t="s">
        <v>1587</v>
      </c>
      <c r="DK832" t="s">
        <v>668</v>
      </c>
      <c r="DL832">
        <v>3.85</v>
      </c>
      <c r="DM832" t="s">
        <v>669</v>
      </c>
      <c r="DN832" t="s">
        <v>670</v>
      </c>
      <c r="DO832">
        <v>5</v>
      </c>
      <c r="DP832">
        <v>5445</v>
      </c>
      <c r="DQ832">
        <v>5445</v>
      </c>
      <c r="DR832" t="s">
        <v>5818</v>
      </c>
      <c r="EB832" t="s">
        <v>5819</v>
      </c>
      <c r="EC832" t="s">
        <v>2779</v>
      </c>
      <c r="ED832" t="s">
        <v>2780</v>
      </c>
      <c r="EE832" t="s">
        <v>612</v>
      </c>
      <c r="EF832" t="s">
        <v>2320</v>
      </c>
      <c r="EG832">
        <v>360</v>
      </c>
      <c r="EH832">
        <v>400</v>
      </c>
      <c r="EI832">
        <v>430</v>
      </c>
      <c r="EJ832">
        <v>430</v>
      </c>
    </row>
    <row r="833" ht="15" customHeight="1" spans="111:140" x14ac:dyDescent="0.25">
      <c r="DG833" t="s">
        <v>5820</v>
      </c>
      <c r="DH833" t="s">
        <v>87</v>
      </c>
      <c r="DI833" t="s">
        <v>1589</v>
      </c>
      <c r="DJ833" t="s">
        <v>1590</v>
      </c>
      <c r="DK833" t="s">
        <v>668</v>
      </c>
      <c r="DL833">
        <v>3.85</v>
      </c>
      <c r="DM833" t="s">
        <v>670</v>
      </c>
      <c r="DN833" t="s">
        <v>669</v>
      </c>
      <c r="DO833">
        <v>0</v>
      </c>
      <c r="DP833">
        <v>0</v>
      </c>
      <c r="DQ833">
        <v>20.6</v>
      </c>
      <c r="DR833" t="s">
        <v>5821</v>
      </c>
      <c r="EB833" t="s">
        <v>5822</v>
      </c>
      <c r="EC833" t="s">
        <v>2779</v>
      </c>
      <c r="ED833" t="s">
        <v>2780</v>
      </c>
      <c r="EE833" t="s">
        <v>610</v>
      </c>
      <c r="EF833" t="s">
        <v>2336</v>
      </c>
      <c r="EG833">
        <v>460</v>
      </c>
      <c r="EH833">
        <v>500</v>
      </c>
      <c r="EI833">
        <v>550</v>
      </c>
      <c r="EJ833">
        <v>570</v>
      </c>
    </row>
    <row r="834" ht="15" customHeight="1" spans="111:140" x14ac:dyDescent="0.25">
      <c r="DG834" t="s">
        <v>5823</v>
      </c>
      <c r="DH834" t="s">
        <v>87</v>
      </c>
      <c r="DI834" t="s">
        <v>1592</v>
      </c>
      <c r="DJ834" t="s">
        <v>1593</v>
      </c>
      <c r="DK834" t="s">
        <v>668</v>
      </c>
      <c r="DL834">
        <v>3.85</v>
      </c>
      <c r="DM834" t="s">
        <v>670</v>
      </c>
      <c r="DN834" t="s">
        <v>669</v>
      </c>
      <c r="DO834">
        <v>0</v>
      </c>
      <c r="DP834">
        <v>0</v>
      </c>
      <c r="DQ834">
        <v>113.29</v>
      </c>
      <c r="DR834" t="s">
        <v>5824</v>
      </c>
      <c r="EB834" t="s">
        <v>5825</v>
      </c>
      <c r="EC834" t="s">
        <v>2779</v>
      </c>
      <c r="ED834" t="s">
        <v>2780</v>
      </c>
      <c r="EE834" t="s">
        <v>608</v>
      </c>
      <c r="EF834" t="s">
        <v>2352</v>
      </c>
      <c r="EG834">
        <v>980</v>
      </c>
      <c r="EH834">
        <v>1080</v>
      </c>
      <c r="EI834">
        <v>1170</v>
      </c>
      <c r="EJ834">
        <v>1170</v>
      </c>
    </row>
    <row r="835" ht="15" customHeight="1" spans="111:140" x14ac:dyDescent="0.25">
      <c r="DG835" t="s">
        <v>5826</v>
      </c>
      <c r="DH835" t="s">
        <v>87</v>
      </c>
      <c r="DI835" t="s">
        <v>1595</v>
      </c>
      <c r="DJ835" t="s">
        <v>1596</v>
      </c>
      <c r="DK835" t="s">
        <v>668</v>
      </c>
      <c r="DL835">
        <v>3.85</v>
      </c>
      <c r="DM835" t="s">
        <v>670</v>
      </c>
      <c r="DN835" t="s">
        <v>669</v>
      </c>
      <c r="DO835">
        <v>0</v>
      </c>
      <c r="DP835">
        <v>0</v>
      </c>
      <c r="DQ835">
        <v>102.9</v>
      </c>
      <c r="DR835" t="s">
        <v>5827</v>
      </c>
      <c r="EB835" t="s">
        <v>5828</v>
      </c>
      <c r="EC835" t="s">
        <v>2779</v>
      </c>
      <c r="ED835" t="s">
        <v>2780</v>
      </c>
      <c r="EE835" t="s">
        <v>606</v>
      </c>
      <c r="EF835" t="s">
        <v>2371</v>
      </c>
      <c r="EG835">
        <v>740</v>
      </c>
      <c r="EH835">
        <v>740</v>
      </c>
      <c r="EI835">
        <v>740</v>
      </c>
      <c r="EJ835">
        <v>740</v>
      </c>
    </row>
    <row r="836" ht="15" customHeight="1" spans="111:140" x14ac:dyDescent="0.25">
      <c r="DG836" t="s">
        <v>5829</v>
      </c>
      <c r="DH836" t="s">
        <v>87</v>
      </c>
      <c r="DI836" t="s">
        <v>1598</v>
      </c>
      <c r="DJ836" t="s">
        <v>1599</v>
      </c>
      <c r="DK836" t="s">
        <v>668</v>
      </c>
      <c r="DL836">
        <v>3.85</v>
      </c>
      <c r="DM836" t="s">
        <v>670</v>
      </c>
      <c r="DN836" t="s">
        <v>669</v>
      </c>
      <c r="DO836">
        <v>0</v>
      </c>
      <c r="DP836">
        <v>0</v>
      </c>
      <c r="DQ836">
        <v>56.22</v>
      </c>
      <c r="DR836" t="s">
        <v>5830</v>
      </c>
      <c r="EB836" t="s">
        <v>5831</v>
      </c>
      <c r="EC836" t="s">
        <v>2779</v>
      </c>
      <c r="ED836" t="s">
        <v>2780</v>
      </c>
      <c r="EE836" t="s">
        <v>603</v>
      </c>
      <c r="EF836" t="s">
        <v>2387</v>
      </c>
      <c r="EG836">
        <v>350</v>
      </c>
      <c r="EH836">
        <v>350</v>
      </c>
      <c r="EI836">
        <v>350</v>
      </c>
      <c r="EJ836">
        <v>350</v>
      </c>
    </row>
    <row r="837" ht="15" customHeight="1" spans="111:140" x14ac:dyDescent="0.25">
      <c r="DG837" t="s">
        <v>5832</v>
      </c>
      <c r="DH837" t="s">
        <v>87</v>
      </c>
      <c r="DI837" t="s">
        <v>1601</v>
      </c>
      <c r="DJ837" t="s">
        <v>1602</v>
      </c>
      <c r="DK837" t="s">
        <v>668</v>
      </c>
      <c r="DL837">
        <v>3.85</v>
      </c>
      <c r="DM837" t="s">
        <v>670</v>
      </c>
      <c r="DN837" t="s">
        <v>669</v>
      </c>
      <c r="DO837">
        <v>0</v>
      </c>
      <c r="DP837">
        <v>0</v>
      </c>
      <c r="DQ837">
        <v>10.61</v>
      </c>
      <c r="DR837" t="s">
        <v>5833</v>
      </c>
      <c r="EB837" t="s">
        <v>5834</v>
      </c>
      <c r="EC837" t="s">
        <v>2779</v>
      </c>
      <c r="ED837" t="s">
        <v>2780</v>
      </c>
      <c r="EE837" t="s">
        <v>601</v>
      </c>
      <c r="EF837" t="s">
        <v>2404</v>
      </c>
      <c r="EG837">
        <v>1</v>
      </c>
      <c r="EH837">
        <v>1</v>
      </c>
      <c r="EI837">
        <v>1</v>
      </c>
      <c r="EJ837">
        <v>1</v>
      </c>
    </row>
    <row r="838" ht="15" customHeight="1" spans="111:135" x14ac:dyDescent="0.25">
      <c r="DG838" t="s">
        <v>5835</v>
      </c>
      <c r="DH838" t="s">
        <v>87</v>
      </c>
      <c r="DI838" t="s">
        <v>1604</v>
      </c>
      <c r="DJ838" t="s">
        <v>1605</v>
      </c>
      <c r="DK838" t="s">
        <v>668</v>
      </c>
      <c r="DL838">
        <v>3.85</v>
      </c>
      <c r="DM838" t="s">
        <v>670</v>
      </c>
      <c r="DN838" t="s">
        <v>669</v>
      </c>
      <c r="DO838">
        <v>0</v>
      </c>
      <c r="DP838">
        <v>0</v>
      </c>
      <c r="DQ838">
        <v>6.94</v>
      </c>
      <c r="DR838" t="s">
        <v>5836</v>
      </c>
      <c r="EB838" t="s">
        <v>5837</v>
      </c>
      <c r="EC838" t="s">
        <v>2779</v>
      </c>
      <c r="EE838" t="s">
        <v>599</v>
      </c>
    </row>
    <row r="839" ht="15" customHeight="1" spans="111:140" x14ac:dyDescent="0.25">
      <c r="DG839" t="s">
        <v>5838</v>
      </c>
      <c r="DH839" t="s">
        <v>87</v>
      </c>
      <c r="DI839" t="s">
        <v>1607</v>
      </c>
      <c r="DJ839" t="s">
        <v>1608</v>
      </c>
      <c r="DK839" t="s">
        <v>668</v>
      </c>
      <c r="DL839">
        <v>3.85</v>
      </c>
      <c r="DM839" t="s">
        <v>670</v>
      </c>
      <c r="DN839" t="s">
        <v>669</v>
      </c>
      <c r="DO839">
        <v>0</v>
      </c>
      <c r="DP839">
        <v>0</v>
      </c>
      <c r="DQ839">
        <v>272.24</v>
      </c>
      <c r="DR839" t="s">
        <v>5839</v>
      </c>
      <c r="EB839" t="s">
        <v>5840</v>
      </c>
      <c r="EC839" t="s">
        <v>2779</v>
      </c>
      <c r="ED839" t="s">
        <v>2780</v>
      </c>
      <c r="EE839" t="s">
        <v>623</v>
      </c>
      <c r="EF839" t="s">
        <v>2437</v>
      </c>
      <c r="EG839">
        <v>1200</v>
      </c>
      <c r="EH839">
        <v>1200</v>
      </c>
      <c r="EI839">
        <v>1200</v>
      </c>
      <c r="EJ839">
        <v>1200</v>
      </c>
    </row>
    <row r="840" ht="15" customHeight="1" spans="111:135" x14ac:dyDescent="0.25">
      <c r="DG840" t="s">
        <v>5841</v>
      </c>
      <c r="DH840" t="s">
        <v>87</v>
      </c>
      <c r="DI840" t="s">
        <v>1610</v>
      </c>
      <c r="DJ840" t="s">
        <v>1611</v>
      </c>
      <c r="DK840" t="s">
        <v>668</v>
      </c>
      <c r="DL840">
        <v>3.85</v>
      </c>
      <c r="DM840" t="s">
        <v>670</v>
      </c>
      <c r="DN840" t="s">
        <v>669</v>
      </c>
      <c r="DO840">
        <v>0</v>
      </c>
      <c r="DP840">
        <v>0</v>
      </c>
      <c r="DQ840">
        <v>781.4</v>
      </c>
      <c r="DR840" t="s">
        <v>5842</v>
      </c>
      <c r="EB840" t="s">
        <v>5843</v>
      </c>
      <c r="EC840" t="s">
        <v>2779</v>
      </c>
      <c r="EE840" t="s">
        <v>596</v>
      </c>
    </row>
    <row r="841" ht="15" customHeight="1" spans="111:140" x14ac:dyDescent="0.25">
      <c r="DG841" t="s">
        <v>5844</v>
      </c>
      <c r="DH841" t="s">
        <v>87</v>
      </c>
      <c r="DI841" t="s">
        <v>1613</v>
      </c>
      <c r="DJ841" t="s">
        <v>1614</v>
      </c>
      <c r="DK841" t="s">
        <v>668</v>
      </c>
      <c r="DL841">
        <v>3.85</v>
      </c>
      <c r="DM841" t="s">
        <v>670</v>
      </c>
      <c r="DN841" t="s">
        <v>669</v>
      </c>
      <c r="DO841">
        <v>0</v>
      </c>
      <c r="DP841">
        <v>0</v>
      </c>
      <c r="DQ841">
        <v>24</v>
      </c>
      <c r="DR841" t="s">
        <v>5845</v>
      </c>
      <c r="EB841" t="s">
        <v>5846</v>
      </c>
      <c r="EC841" t="s">
        <v>2779</v>
      </c>
      <c r="ED841" t="s">
        <v>2780</v>
      </c>
      <c r="EE841" t="s">
        <v>593</v>
      </c>
      <c r="EF841" t="s">
        <v>2469</v>
      </c>
      <c r="EG841">
        <v>1</v>
      </c>
      <c r="EH841">
        <v>1</v>
      </c>
      <c r="EI841">
        <v>1</v>
      </c>
      <c r="EJ841">
        <v>1</v>
      </c>
    </row>
    <row r="842" ht="15" customHeight="1" spans="111:140" x14ac:dyDescent="0.25">
      <c r="DG842" t="s">
        <v>5847</v>
      </c>
      <c r="DH842" t="s">
        <v>87</v>
      </c>
      <c r="DI842" t="s">
        <v>1616</v>
      </c>
      <c r="DJ842" t="s">
        <v>1617</v>
      </c>
      <c r="DK842" t="s">
        <v>668</v>
      </c>
      <c r="DL842">
        <v>3.85</v>
      </c>
      <c r="DM842" t="s">
        <v>669</v>
      </c>
      <c r="DN842" t="s">
        <v>670</v>
      </c>
      <c r="DO842">
        <v>2</v>
      </c>
      <c r="DP842">
        <v>997.34</v>
      </c>
      <c r="DQ842">
        <v>997.34</v>
      </c>
      <c r="DR842" t="s">
        <v>5848</v>
      </c>
      <c r="EB842" t="s">
        <v>5849</v>
      </c>
      <c r="EC842" t="s">
        <v>2779</v>
      </c>
      <c r="ED842" t="s">
        <v>2780</v>
      </c>
      <c r="EE842" t="s">
        <v>591</v>
      </c>
      <c r="EF842" t="s">
        <v>3058</v>
      </c>
      <c r="EG842">
        <v>3000</v>
      </c>
      <c r="EH842">
        <v>3000</v>
      </c>
      <c r="EI842">
        <v>3000</v>
      </c>
      <c r="EJ842">
        <v>3000</v>
      </c>
    </row>
    <row r="843" ht="15" customHeight="1" spans="111:140" x14ac:dyDescent="0.25">
      <c r="DG843" t="s">
        <v>5850</v>
      </c>
      <c r="DH843" t="s">
        <v>87</v>
      </c>
      <c r="DI843" t="s">
        <v>1619</v>
      </c>
      <c r="DJ843" t="s">
        <v>1620</v>
      </c>
      <c r="DK843" t="s">
        <v>668</v>
      </c>
      <c r="DL843">
        <v>3.85</v>
      </c>
      <c r="DM843" t="s">
        <v>670</v>
      </c>
      <c r="DN843" t="s">
        <v>669</v>
      </c>
      <c r="DO843">
        <v>0</v>
      </c>
      <c r="DP843">
        <v>0</v>
      </c>
      <c r="DQ843">
        <v>1629</v>
      </c>
      <c r="DR843" t="s">
        <v>5851</v>
      </c>
      <c r="EB843" t="s">
        <v>5852</v>
      </c>
      <c r="EC843" t="s">
        <v>2779</v>
      </c>
      <c r="ED843" t="s">
        <v>2780</v>
      </c>
      <c r="EE843" t="s">
        <v>2423</v>
      </c>
      <c r="EF843" t="s">
        <v>2424</v>
      </c>
      <c r="EG843">
        <v>30000</v>
      </c>
      <c r="EH843">
        <v>30000</v>
      </c>
      <c r="EI843">
        <v>30000</v>
      </c>
      <c r="EJ843">
        <v>30000</v>
      </c>
    </row>
    <row r="844" ht="15" customHeight="1" spans="111:135" x14ac:dyDescent="0.25">
      <c r="DG844" t="s">
        <v>5853</v>
      </c>
      <c r="DH844" t="s">
        <v>87</v>
      </c>
      <c r="DI844" t="s">
        <v>1622</v>
      </c>
      <c r="DJ844" t="s">
        <v>1623</v>
      </c>
      <c r="DK844" t="s">
        <v>668</v>
      </c>
      <c r="DL844">
        <v>3.85</v>
      </c>
      <c r="DM844" t="s">
        <v>670</v>
      </c>
      <c r="DN844" t="s">
        <v>669</v>
      </c>
      <c r="DO844">
        <v>0</v>
      </c>
      <c r="DP844">
        <v>0</v>
      </c>
      <c r="DQ844">
        <v>1068</v>
      </c>
      <c r="DR844" t="s">
        <v>5854</v>
      </c>
      <c r="EB844" t="s">
        <v>5855</v>
      </c>
      <c r="EC844" t="s">
        <v>2779</v>
      </c>
      <c r="EE844" t="s">
        <v>584</v>
      </c>
    </row>
    <row r="845" ht="15" customHeight="1" spans="111:140" x14ac:dyDescent="0.25">
      <c r="DG845" t="s">
        <v>5856</v>
      </c>
      <c r="DH845" t="s">
        <v>87</v>
      </c>
      <c r="DI845" t="s">
        <v>1625</v>
      </c>
      <c r="DJ845" t="s">
        <v>1626</v>
      </c>
      <c r="DK845" t="s">
        <v>668</v>
      </c>
      <c r="DL845">
        <v>3.85</v>
      </c>
      <c r="DM845" t="s">
        <v>670</v>
      </c>
      <c r="DN845" t="s">
        <v>669</v>
      </c>
      <c r="DO845">
        <v>0</v>
      </c>
      <c r="DP845">
        <v>0</v>
      </c>
      <c r="DQ845">
        <v>94.48</v>
      </c>
      <c r="DR845" t="s">
        <v>5857</v>
      </c>
      <c r="EB845" t="s">
        <v>5858</v>
      </c>
      <c r="EC845" t="s">
        <v>2779</v>
      </c>
      <c r="ED845" t="s">
        <v>2780</v>
      </c>
      <c r="EE845" t="s">
        <v>582</v>
      </c>
      <c r="EF845" t="s">
        <v>2525</v>
      </c>
      <c r="EG845">
        <v>1</v>
      </c>
      <c r="EH845">
        <v>1</v>
      </c>
      <c r="EI845">
        <v>1</v>
      </c>
      <c r="EJ845">
        <v>1</v>
      </c>
    </row>
    <row r="846" ht="15" customHeight="1" spans="111:140" x14ac:dyDescent="0.25">
      <c r="DG846" t="s">
        <v>5859</v>
      </c>
      <c r="DH846" t="s">
        <v>87</v>
      </c>
      <c r="DI846" t="s">
        <v>1628</v>
      </c>
      <c r="DJ846" t="s">
        <v>1629</v>
      </c>
      <c r="DK846" t="s">
        <v>668</v>
      </c>
      <c r="DL846">
        <v>3.85</v>
      </c>
      <c r="DM846" t="s">
        <v>670</v>
      </c>
      <c r="DN846" t="s">
        <v>669</v>
      </c>
      <c r="DO846">
        <v>0</v>
      </c>
      <c r="DP846">
        <v>0</v>
      </c>
      <c r="DQ846">
        <v>39</v>
      </c>
      <c r="DR846" t="s">
        <v>5860</v>
      </c>
      <c r="EB846" t="s">
        <v>5861</v>
      </c>
      <c r="EC846" t="s">
        <v>2779</v>
      </c>
      <c r="ED846" t="s">
        <v>2780</v>
      </c>
      <c r="EE846" t="s">
        <v>580</v>
      </c>
      <c r="EF846" t="s">
        <v>2539</v>
      </c>
      <c r="EG846">
        <v>1</v>
      </c>
      <c r="EH846">
        <v>1</v>
      </c>
      <c r="EI846">
        <v>1</v>
      </c>
      <c r="EJ846">
        <v>1</v>
      </c>
    </row>
    <row r="847" ht="15" customHeight="1" spans="111:140" x14ac:dyDescent="0.25">
      <c r="DG847" t="s">
        <v>5862</v>
      </c>
      <c r="DH847" t="s">
        <v>87</v>
      </c>
      <c r="DI847" t="s">
        <v>1631</v>
      </c>
      <c r="DJ847" t="s">
        <v>1632</v>
      </c>
      <c r="DK847" t="s">
        <v>668</v>
      </c>
      <c r="DL847">
        <v>3.85</v>
      </c>
      <c r="DM847" t="s">
        <v>670</v>
      </c>
      <c r="DN847" t="s">
        <v>669</v>
      </c>
      <c r="DO847">
        <v>0</v>
      </c>
      <c r="DP847">
        <v>0</v>
      </c>
      <c r="DQ847">
        <v>37.56</v>
      </c>
      <c r="DR847" t="s">
        <v>5863</v>
      </c>
      <c r="EB847" t="s">
        <v>5864</v>
      </c>
      <c r="EC847" t="s">
        <v>2779</v>
      </c>
      <c r="ED847" t="s">
        <v>2780</v>
      </c>
      <c r="EE847" t="s">
        <v>578</v>
      </c>
      <c r="EF847" t="s">
        <v>577</v>
      </c>
      <c r="EG847">
        <v>120000</v>
      </c>
      <c r="EH847">
        <v>120000</v>
      </c>
      <c r="EI847">
        <v>120000</v>
      </c>
      <c r="EJ847">
        <v>120000</v>
      </c>
    </row>
    <row r="848" ht="15" customHeight="1" spans="111:140" x14ac:dyDescent="0.25">
      <c r="DG848" t="s">
        <v>5865</v>
      </c>
      <c r="DH848" t="s">
        <v>87</v>
      </c>
      <c r="DI848" t="s">
        <v>1634</v>
      </c>
      <c r="DJ848" t="s">
        <v>1635</v>
      </c>
      <c r="DK848" t="s">
        <v>668</v>
      </c>
      <c r="DL848">
        <v>3.85</v>
      </c>
      <c r="DM848" t="s">
        <v>670</v>
      </c>
      <c r="DN848" t="s">
        <v>669</v>
      </c>
      <c r="DO848">
        <v>0</v>
      </c>
      <c r="DP848">
        <v>0</v>
      </c>
      <c r="DQ848">
        <v>133.5</v>
      </c>
      <c r="DR848" t="s">
        <v>5866</v>
      </c>
      <c r="EB848" t="s">
        <v>5867</v>
      </c>
      <c r="EC848" t="s">
        <v>2779</v>
      </c>
      <c r="ED848" t="s">
        <v>2780</v>
      </c>
      <c r="EE848" t="s">
        <v>327</v>
      </c>
      <c r="EF848" t="s">
        <v>328</v>
      </c>
      <c r="EG848">
        <v>1030</v>
      </c>
      <c r="EH848">
        <v>1160</v>
      </c>
      <c r="EI848">
        <v>1250</v>
      </c>
      <c r="EJ848">
        <v>1250</v>
      </c>
    </row>
    <row r="849" ht="15" customHeight="1" spans="111:140" x14ac:dyDescent="0.25">
      <c r="DG849" t="s">
        <v>5868</v>
      </c>
      <c r="DH849" t="s">
        <v>87</v>
      </c>
      <c r="DI849" t="s">
        <v>1637</v>
      </c>
      <c r="DJ849" t="s">
        <v>1638</v>
      </c>
      <c r="DK849" t="s">
        <v>668</v>
      </c>
      <c r="DL849">
        <v>3.85</v>
      </c>
      <c r="DM849" t="s">
        <v>670</v>
      </c>
      <c r="DN849" t="s">
        <v>669</v>
      </c>
      <c r="DO849">
        <v>0</v>
      </c>
      <c r="DP849">
        <v>0</v>
      </c>
      <c r="DQ849">
        <v>34</v>
      </c>
      <c r="DR849" t="s">
        <v>5869</v>
      </c>
      <c r="EB849" t="s">
        <v>5870</v>
      </c>
      <c r="EC849" t="s">
        <v>2779</v>
      </c>
      <c r="ED849" t="s">
        <v>2780</v>
      </c>
      <c r="EE849" t="s">
        <v>330</v>
      </c>
      <c r="EF849" t="s">
        <v>331</v>
      </c>
      <c r="EG849">
        <v>380</v>
      </c>
      <c r="EH849">
        <v>420</v>
      </c>
      <c r="EI849">
        <v>460</v>
      </c>
      <c r="EJ849">
        <v>460</v>
      </c>
    </row>
    <row r="850" ht="15" customHeight="1" spans="111:135" x14ac:dyDescent="0.25">
      <c r="DG850" t="s">
        <v>5871</v>
      </c>
      <c r="DH850" t="s">
        <v>87</v>
      </c>
      <c r="DI850" t="s">
        <v>1639</v>
      </c>
      <c r="DJ850" t="s">
        <v>1640</v>
      </c>
      <c r="DK850" t="s">
        <v>668</v>
      </c>
      <c r="DL850">
        <v>3.85</v>
      </c>
      <c r="DM850" t="s">
        <v>670</v>
      </c>
      <c r="DN850" t="s">
        <v>669</v>
      </c>
      <c r="DO850">
        <v>0</v>
      </c>
      <c r="DP850">
        <v>0</v>
      </c>
      <c r="DQ850">
        <v>8</v>
      </c>
      <c r="DR850" t="s">
        <v>5872</v>
      </c>
      <c r="EB850" t="s">
        <v>5873</v>
      </c>
      <c r="EC850" t="s">
        <v>2779</v>
      </c>
      <c r="EE850" t="s">
        <v>576</v>
      </c>
    </row>
    <row r="851" ht="15" customHeight="1" spans="111:140" x14ac:dyDescent="0.25">
      <c r="DG851" t="s">
        <v>5874</v>
      </c>
      <c r="DH851" t="s">
        <v>87</v>
      </c>
      <c r="DI851" t="s">
        <v>1641</v>
      </c>
      <c r="DJ851" t="s">
        <v>1642</v>
      </c>
      <c r="DK851" t="s">
        <v>668</v>
      </c>
      <c r="DL851">
        <v>3.85</v>
      </c>
      <c r="DM851" t="s">
        <v>670</v>
      </c>
      <c r="DN851" t="s">
        <v>669</v>
      </c>
      <c r="DO851">
        <v>0</v>
      </c>
      <c r="DP851">
        <v>0</v>
      </c>
      <c r="DQ851">
        <v>13.22</v>
      </c>
      <c r="DR851" t="s">
        <v>5875</v>
      </c>
      <c r="EB851" t="s">
        <v>5876</v>
      </c>
      <c r="EC851" t="s">
        <v>2779</v>
      </c>
      <c r="ED851" t="s">
        <v>2780</v>
      </c>
      <c r="EE851" t="s">
        <v>573</v>
      </c>
      <c r="EF851" t="s">
        <v>2613</v>
      </c>
      <c r="EG851">
        <v>1300</v>
      </c>
      <c r="EH851">
        <v>1300</v>
      </c>
      <c r="EI851">
        <v>1300</v>
      </c>
      <c r="EJ851">
        <v>1300</v>
      </c>
    </row>
    <row r="852" ht="15" customHeight="1" spans="111:140" x14ac:dyDescent="0.25">
      <c r="DG852" t="s">
        <v>5877</v>
      </c>
      <c r="DH852" t="s">
        <v>87</v>
      </c>
      <c r="DI852" t="s">
        <v>1644</v>
      </c>
      <c r="DJ852" t="s">
        <v>1645</v>
      </c>
      <c r="DK852" t="s">
        <v>668</v>
      </c>
      <c r="DL852">
        <v>3.85</v>
      </c>
      <c r="DM852" t="s">
        <v>669</v>
      </c>
      <c r="DN852" t="s">
        <v>670</v>
      </c>
      <c r="DO852">
        <v>1</v>
      </c>
      <c r="DP852">
        <v>543.75</v>
      </c>
      <c r="DQ852">
        <v>543.75</v>
      </c>
      <c r="DR852" t="s">
        <v>5878</v>
      </c>
      <c r="EB852" t="s">
        <v>5879</v>
      </c>
      <c r="EC852" t="s">
        <v>2779</v>
      </c>
      <c r="ED852" t="s">
        <v>2780</v>
      </c>
      <c r="EE852" t="s">
        <v>569</v>
      </c>
      <c r="EF852" t="s">
        <v>567</v>
      </c>
      <c r="EG852">
        <v>1</v>
      </c>
      <c r="EH852">
        <v>1</v>
      </c>
      <c r="EI852">
        <v>1</v>
      </c>
      <c r="EJ852">
        <v>1</v>
      </c>
    </row>
    <row r="853" ht="15" customHeight="1" spans="111:140" x14ac:dyDescent="0.25">
      <c r="DG853" t="s">
        <v>5880</v>
      </c>
      <c r="DH853" t="s">
        <v>87</v>
      </c>
      <c r="DI853" t="s">
        <v>1647</v>
      </c>
      <c r="DJ853" t="s">
        <v>1648</v>
      </c>
      <c r="DK853" t="s">
        <v>668</v>
      </c>
      <c r="DL853">
        <v>3.85</v>
      </c>
      <c r="DM853" t="s">
        <v>670</v>
      </c>
      <c r="DN853" t="s">
        <v>669</v>
      </c>
      <c r="DO853">
        <v>0</v>
      </c>
      <c r="DP853">
        <v>0</v>
      </c>
      <c r="DQ853">
        <v>2.46</v>
      </c>
      <c r="DR853" t="s">
        <v>5881</v>
      </c>
      <c r="EB853" t="s">
        <v>5882</v>
      </c>
      <c r="EC853" t="s">
        <v>2779</v>
      </c>
      <c r="ED853" t="s">
        <v>2780</v>
      </c>
      <c r="EE853" t="s">
        <v>2641</v>
      </c>
      <c r="EF853" t="s">
        <v>3125</v>
      </c>
      <c r="EG853">
        <v>3000</v>
      </c>
      <c r="EH853">
        <v>3000</v>
      </c>
      <c r="EI853">
        <v>3000</v>
      </c>
      <c r="EJ853">
        <v>3000</v>
      </c>
    </row>
    <row r="854" ht="15" customHeight="1" spans="111:140" x14ac:dyDescent="0.25">
      <c r="DG854" t="s">
        <v>5883</v>
      </c>
      <c r="DH854" t="s">
        <v>87</v>
      </c>
      <c r="DI854" t="s">
        <v>1650</v>
      </c>
      <c r="DJ854" t="s">
        <v>1651</v>
      </c>
      <c r="DK854" t="s">
        <v>668</v>
      </c>
      <c r="DL854">
        <v>3.85</v>
      </c>
      <c r="DM854" t="s">
        <v>670</v>
      </c>
      <c r="DN854" t="s">
        <v>669</v>
      </c>
      <c r="DO854">
        <v>0</v>
      </c>
      <c r="DP854">
        <v>0</v>
      </c>
      <c r="DQ854">
        <v>10</v>
      </c>
      <c r="DR854" t="s">
        <v>5884</v>
      </c>
      <c r="EB854" t="s">
        <v>5885</v>
      </c>
      <c r="EC854" t="s">
        <v>2779</v>
      </c>
      <c r="ED854" t="s">
        <v>2780</v>
      </c>
      <c r="EE854" t="s">
        <v>2656</v>
      </c>
      <c r="EF854" t="s">
        <v>3133</v>
      </c>
      <c r="EG854">
        <v>6000</v>
      </c>
      <c r="EH854">
        <v>6000</v>
      </c>
      <c r="EI854">
        <v>6000</v>
      </c>
      <c r="EJ854">
        <v>6000</v>
      </c>
    </row>
    <row r="855" ht="15" customHeight="1" spans="111:140" x14ac:dyDescent="0.25">
      <c r="DG855" t="s">
        <v>5886</v>
      </c>
      <c r="DH855" t="s">
        <v>87</v>
      </c>
      <c r="DI855" t="s">
        <v>1652</v>
      </c>
      <c r="DJ855" t="s">
        <v>1653</v>
      </c>
      <c r="DK855" t="s">
        <v>668</v>
      </c>
      <c r="DL855">
        <v>3.85</v>
      </c>
      <c r="DM855" t="s">
        <v>670</v>
      </c>
      <c r="DN855" t="s">
        <v>669</v>
      </c>
      <c r="DO855">
        <v>0</v>
      </c>
      <c r="DP855">
        <v>0</v>
      </c>
      <c r="DQ855">
        <v>0.74</v>
      </c>
      <c r="DR855" t="s">
        <v>5887</v>
      </c>
      <c r="EB855" t="s">
        <v>5888</v>
      </c>
      <c r="EC855" t="s">
        <v>2779</v>
      </c>
      <c r="ED855" t="s">
        <v>2780</v>
      </c>
      <c r="EE855" t="s">
        <v>2670</v>
      </c>
      <c r="EF855" t="s">
        <v>3139</v>
      </c>
      <c r="EG855">
        <v>8500</v>
      </c>
      <c r="EH855">
        <v>8500</v>
      </c>
      <c r="EI855">
        <v>8500</v>
      </c>
      <c r="EJ855">
        <v>8500</v>
      </c>
    </row>
    <row r="856" ht="15" customHeight="1" spans="111:140" x14ac:dyDescent="0.25">
      <c r="DG856" t="s">
        <v>5889</v>
      </c>
      <c r="DH856" t="s">
        <v>87</v>
      </c>
      <c r="DI856" t="s">
        <v>1655</v>
      </c>
      <c r="DJ856" t="s">
        <v>1656</v>
      </c>
      <c r="DK856" t="s">
        <v>668</v>
      </c>
      <c r="DL856">
        <v>3.85</v>
      </c>
      <c r="DM856" t="s">
        <v>670</v>
      </c>
      <c r="DN856" t="s">
        <v>669</v>
      </c>
      <c r="DO856">
        <v>0</v>
      </c>
      <c r="DP856">
        <v>0</v>
      </c>
      <c r="DQ856">
        <v>48</v>
      </c>
      <c r="DR856" t="s">
        <v>5890</v>
      </c>
      <c r="EB856" t="s">
        <v>5891</v>
      </c>
      <c r="EC856" t="s">
        <v>2779</v>
      </c>
      <c r="ED856" t="s">
        <v>2780</v>
      </c>
      <c r="EE856" t="s">
        <v>561</v>
      </c>
      <c r="EF856" t="s">
        <v>2684</v>
      </c>
      <c r="EG856">
        <v>1</v>
      </c>
      <c r="EH856">
        <v>1</v>
      </c>
      <c r="EI856">
        <v>1</v>
      </c>
      <c r="EJ856">
        <v>1</v>
      </c>
    </row>
    <row r="857" ht="15" customHeight="1" spans="111:140" x14ac:dyDescent="0.25">
      <c r="DG857" t="s">
        <v>5892</v>
      </c>
      <c r="DH857" t="s">
        <v>87</v>
      </c>
      <c r="DI857" t="s">
        <v>1658</v>
      </c>
      <c r="DJ857" t="s">
        <v>1659</v>
      </c>
      <c r="DK857" t="s">
        <v>668</v>
      </c>
      <c r="DL857">
        <v>3.85</v>
      </c>
      <c r="DM857" t="s">
        <v>669</v>
      </c>
      <c r="DN857" t="s">
        <v>670</v>
      </c>
      <c r="DO857">
        <v>1</v>
      </c>
      <c r="DP857">
        <v>138.75</v>
      </c>
      <c r="DQ857">
        <v>138.75</v>
      </c>
      <c r="DR857" t="s">
        <v>5893</v>
      </c>
      <c r="EB857" t="s">
        <v>5894</v>
      </c>
      <c r="EC857" t="s">
        <v>2779</v>
      </c>
      <c r="ED857" t="s">
        <v>2780</v>
      </c>
      <c r="EE857" t="s">
        <v>563</v>
      </c>
      <c r="EF857" t="s">
        <v>2699</v>
      </c>
      <c r="EG857">
        <v>13000</v>
      </c>
      <c r="EH857">
        <v>13000</v>
      </c>
      <c r="EI857">
        <v>13000</v>
      </c>
      <c r="EJ857">
        <v>13000</v>
      </c>
    </row>
    <row r="858" ht="15" customHeight="1" spans="111:140" x14ac:dyDescent="0.25">
      <c r="DG858" t="s">
        <v>5895</v>
      </c>
      <c r="DH858" t="s">
        <v>87</v>
      </c>
      <c r="DI858" t="s">
        <v>1661</v>
      </c>
      <c r="DJ858" t="s">
        <v>1662</v>
      </c>
      <c r="DK858" t="s">
        <v>668</v>
      </c>
      <c r="DL858">
        <v>3.85</v>
      </c>
      <c r="DM858" t="s">
        <v>670</v>
      </c>
      <c r="DN858" t="s">
        <v>669</v>
      </c>
      <c r="DO858">
        <v>0</v>
      </c>
      <c r="DP858">
        <v>0</v>
      </c>
      <c r="DQ858">
        <v>12.42</v>
      </c>
      <c r="DR858" t="s">
        <v>5896</v>
      </c>
      <c r="EB858" t="s">
        <v>5897</v>
      </c>
      <c r="EC858" t="s">
        <v>2779</v>
      </c>
      <c r="ED858" t="s">
        <v>2780</v>
      </c>
      <c r="EE858" t="s">
        <v>556</v>
      </c>
      <c r="EF858" t="s">
        <v>2713</v>
      </c>
      <c r="EG858">
        <v>1</v>
      </c>
      <c r="EH858">
        <v>1</v>
      </c>
      <c r="EI858">
        <v>1</v>
      </c>
      <c r="EJ858">
        <v>1</v>
      </c>
    </row>
    <row r="859" ht="15" customHeight="1" spans="111:140" x14ac:dyDescent="0.25">
      <c r="DG859" t="s">
        <v>5898</v>
      </c>
      <c r="DH859" t="s">
        <v>87</v>
      </c>
      <c r="DI859" t="s">
        <v>1664</v>
      </c>
      <c r="DJ859" t="s">
        <v>1665</v>
      </c>
      <c r="DK859" t="s">
        <v>668</v>
      </c>
      <c r="DL859">
        <v>3.85</v>
      </c>
      <c r="DM859" t="s">
        <v>670</v>
      </c>
      <c r="DN859" t="s">
        <v>669</v>
      </c>
      <c r="DO859">
        <v>0</v>
      </c>
      <c r="DP859">
        <v>0</v>
      </c>
      <c r="DQ859">
        <v>701</v>
      </c>
      <c r="DR859" t="s">
        <v>5899</v>
      </c>
      <c r="EB859" t="s">
        <v>5900</v>
      </c>
      <c r="EC859" t="s">
        <v>2779</v>
      </c>
      <c r="ED859" t="s">
        <v>2780</v>
      </c>
      <c r="EE859" t="s">
        <v>551</v>
      </c>
      <c r="EF859" t="s">
        <v>548</v>
      </c>
      <c r="EG859">
        <v>1440</v>
      </c>
      <c r="EH859">
        <v>1440</v>
      </c>
      <c r="EI859">
        <v>1440</v>
      </c>
      <c r="EJ859">
        <v>1440</v>
      </c>
    </row>
    <row r="860" ht="15" customHeight="1" spans="111:140" x14ac:dyDescent="0.25">
      <c r="DG860" t="s">
        <v>5901</v>
      </c>
      <c r="DH860" t="s">
        <v>87</v>
      </c>
      <c r="DI860" t="s">
        <v>1667</v>
      </c>
      <c r="DJ860" t="s">
        <v>1668</v>
      </c>
      <c r="DK860" t="s">
        <v>668</v>
      </c>
      <c r="DL860">
        <v>3.85</v>
      </c>
      <c r="DM860" t="s">
        <v>670</v>
      </c>
      <c r="DN860" t="s">
        <v>669</v>
      </c>
      <c r="DO860">
        <v>0</v>
      </c>
      <c r="DP860">
        <v>0</v>
      </c>
      <c r="DQ860">
        <v>5.12</v>
      </c>
      <c r="DR860" t="s">
        <v>5902</v>
      </c>
      <c r="EB860" t="s">
        <v>5903</v>
      </c>
      <c r="EC860" t="s">
        <v>2779</v>
      </c>
      <c r="ED860" t="s">
        <v>2780</v>
      </c>
      <c r="EE860" t="s">
        <v>290</v>
      </c>
      <c r="EF860" t="s">
        <v>289</v>
      </c>
      <c r="EG860">
        <v>390</v>
      </c>
      <c r="EH860">
        <v>440</v>
      </c>
      <c r="EI860">
        <v>500</v>
      </c>
      <c r="EJ860">
        <v>500</v>
      </c>
    </row>
    <row r="861" ht="15" customHeight="1" spans="111:140" x14ac:dyDescent="0.25">
      <c r="DG861" t="s">
        <v>5904</v>
      </c>
      <c r="DH861" t="s">
        <v>87</v>
      </c>
      <c r="DI861" t="s">
        <v>1670</v>
      </c>
      <c r="DJ861" t="s">
        <v>1671</v>
      </c>
      <c r="DK861" t="s">
        <v>668</v>
      </c>
      <c r="DL861">
        <v>3.85</v>
      </c>
      <c r="DM861" t="s">
        <v>670</v>
      </c>
      <c r="DN861" t="s">
        <v>669</v>
      </c>
      <c r="DO861">
        <v>0</v>
      </c>
      <c r="DP861">
        <v>0</v>
      </c>
      <c r="DQ861">
        <v>6.56</v>
      </c>
      <c r="DR861" t="s">
        <v>5905</v>
      </c>
      <c r="EB861" t="s">
        <v>5906</v>
      </c>
      <c r="EC861" t="s">
        <v>2779</v>
      </c>
      <c r="ED861" t="s">
        <v>2780</v>
      </c>
      <c r="EE861" t="s">
        <v>275</v>
      </c>
      <c r="EF861" t="s">
        <v>273</v>
      </c>
      <c r="EG861">
        <v>1320</v>
      </c>
      <c r="EH861">
        <v>1520</v>
      </c>
      <c r="EI861">
        <v>1720</v>
      </c>
      <c r="EJ861">
        <v>1850</v>
      </c>
    </row>
    <row r="862" ht="15" customHeight="1" spans="111:135" x14ac:dyDescent="0.25">
      <c r="DG862" t="s">
        <v>5907</v>
      </c>
      <c r="DH862" t="s">
        <v>87</v>
      </c>
      <c r="DI862" t="s">
        <v>1673</v>
      </c>
      <c r="DJ862" t="s">
        <v>1674</v>
      </c>
      <c r="DK862" t="s">
        <v>668</v>
      </c>
      <c r="DL862">
        <v>3.85</v>
      </c>
      <c r="DM862" t="s">
        <v>670</v>
      </c>
      <c r="DN862" t="s">
        <v>669</v>
      </c>
      <c r="DO862">
        <v>0</v>
      </c>
      <c r="DP862">
        <v>0</v>
      </c>
      <c r="DQ862">
        <v>149.6</v>
      </c>
      <c r="DR862" t="s">
        <v>5908</v>
      </c>
      <c r="EB862" t="s">
        <v>5909</v>
      </c>
      <c r="EC862" t="s">
        <v>2779</v>
      </c>
      <c r="EE862" t="s">
        <v>298</v>
      </c>
    </row>
    <row r="863" ht="15" customHeight="1" spans="111:140" x14ac:dyDescent="0.25">
      <c r="DG863" t="s">
        <v>5910</v>
      </c>
      <c r="DH863" t="s">
        <v>87</v>
      </c>
      <c r="DI863" t="s">
        <v>1676</v>
      </c>
      <c r="DJ863" t="s">
        <v>1677</v>
      </c>
      <c r="DK863" t="s">
        <v>668</v>
      </c>
      <c r="DL863">
        <v>3.85</v>
      </c>
      <c r="DM863" t="s">
        <v>670</v>
      </c>
      <c r="DN863" t="s">
        <v>669</v>
      </c>
      <c r="DO863">
        <v>0</v>
      </c>
      <c r="DP863">
        <v>0</v>
      </c>
      <c r="DQ863">
        <v>33.25</v>
      </c>
      <c r="DR863" t="s">
        <v>5911</v>
      </c>
      <c r="EB863" t="s">
        <v>5912</v>
      </c>
      <c r="EC863" t="s">
        <v>2779</v>
      </c>
      <c r="ED863" t="s">
        <v>2780</v>
      </c>
      <c r="EE863" t="s">
        <v>286</v>
      </c>
      <c r="EF863" t="s">
        <v>284</v>
      </c>
      <c r="EG863">
        <v>680</v>
      </c>
      <c r="EH863">
        <v>750</v>
      </c>
      <c r="EI863">
        <v>810</v>
      </c>
      <c r="EJ863">
        <v>810</v>
      </c>
    </row>
    <row r="864" ht="15" customHeight="1" spans="111:140" x14ac:dyDescent="0.25">
      <c r="DG864" t="s">
        <v>5913</v>
      </c>
      <c r="DH864" t="s">
        <v>87</v>
      </c>
      <c r="DI864" t="s">
        <v>1679</v>
      </c>
      <c r="DJ864" t="s">
        <v>1680</v>
      </c>
      <c r="DK864" t="s">
        <v>668</v>
      </c>
      <c r="DL864">
        <v>3.85</v>
      </c>
      <c r="DM864" t="s">
        <v>670</v>
      </c>
      <c r="DN864" t="s">
        <v>669</v>
      </c>
      <c r="DO864">
        <v>0</v>
      </c>
      <c r="DP864">
        <v>0</v>
      </c>
      <c r="DQ864">
        <v>327.42</v>
      </c>
      <c r="DR864" t="s">
        <v>5914</v>
      </c>
      <c r="EB864" t="s">
        <v>5915</v>
      </c>
      <c r="EC864" t="s">
        <v>2779</v>
      </c>
      <c r="ED864" t="s">
        <v>2780</v>
      </c>
      <c r="EE864" t="s">
        <v>272</v>
      </c>
      <c r="EF864" t="s">
        <v>270</v>
      </c>
      <c r="EG864">
        <v>2110</v>
      </c>
      <c r="EH864">
        <v>2300</v>
      </c>
      <c r="EI864">
        <v>2600</v>
      </c>
      <c r="EJ864">
        <v>2800</v>
      </c>
    </row>
    <row r="865" ht="15" customHeight="1" spans="111:140" x14ac:dyDescent="0.25">
      <c r="DG865" t="s">
        <v>5916</v>
      </c>
      <c r="DH865" t="s">
        <v>87</v>
      </c>
      <c r="DI865" t="s">
        <v>1682</v>
      </c>
      <c r="DJ865" t="s">
        <v>1683</v>
      </c>
      <c r="DK865" t="s">
        <v>668</v>
      </c>
      <c r="DL865">
        <v>3.85</v>
      </c>
      <c r="DM865" t="s">
        <v>669</v>
      </c>
      <c r="DN865" t="s">
        <v>670</v>
      </c>
      <c r="DO865">
        <v>2</v>
      </c>
      <c r="DP865">
        <v>36.3</v>
      </c>
      <c r="DQ865">
        <v>36.3</v>
      </c>
      <c r="DR865" t="s">
        <v>5917</v>
      </c>
      <c r="EB865" t="s">
        <v>5918</v>
      </c>
      <c r="EC865" t="s">
        <v>2779</v>
      </c>
      <c r="ED865" t="s">
        <v>2780</v>
      </c>
      <c r="EE865" t="s">
        <v>283</v>
      </c>
      <c r="EF865" t="s">
        <v>281</v>
      </c>
      <c r="EG865">
        <v>360</v>
      </c>
      <c r="EH865">
        <v>400</v>
      </c>
      <c r="EI865">
        <v>430</v>
      </c>
      <c r="EJ865">
        <v>430</v>
      </c>
    </row>
    <row r="866" ht="15" customHeight="1" spans="111:140" x14ac:dyDescent="0.25">
      <c r="DG866" t="s">
        <v>5919</v>
      </c>
      <c r="DH866" t="s">
        <v>87</v>
      </c>
      <c r="DI866" t="s">
        <v>1685</v>
      </c>
      <c r="DJ866" t="s">
        <v>1686</v>
      </c>
      <c r="DK866" t="s">
        <v>668</v>
      </c>
      <c r="DL866">
        <v>3.85</v>
      </c>
      <c r="DM866" t="s">
        <v>670</v>
      </c>
      <c r="DN866" t="s">
        <v>669</v>
      </c>
      <c r="DO866">
        <v>0</v>
      </c>
      <c r="DP866">
        <v>0</v>
      </c>
      <c r="DQ866">
        <v>6.65</v>
      </c>
      <c r="DR866" t="s">
        <v>5920</v>
      </c>
      <c r="EB866" t="s">
        <v>5921</v>
      </c>
      <c r="EC866" t="s">
        <v>2779</v>
      </c>
      <c r="ED866" t="s">
        <v>2780</v>
      </c>
      <c r="EE866" t="s">
        <v>267</v>
      </c>
      <c r="EF866" t="s">
        <v>265</v>
      </c>
      <c r="EG866">
        <v>1920</v>
      </c>
      <c r="EH866">
        <v>2120</v>
      </c>
      <c r="EI866">
        <v>2290</v>
      </c>
      <c r="EJ866">
        <v>2290</v>
      </c>
    </row>
    <row r="867" ht="15" customHeight="1" spans="111:140" x14ac:dyDescent="0.25">
      <c r="DG867" t="s">
        <v>5922</v>
      </c>
      <c r="DH867" t="s">
        <v>87</v>
      </c>
      <c r="DI867" t="s">
        <v>1688</v>
      </c>
      <c r="DJ867" t="s">
        <v>1689</v>
      </c>
      <c r="DK867" t="s">
        <v>668</v>
      </c>
      <c r="DL867">
        <v>3.85</v>
      </c>
      <c r="DM867" t="s">
        <v>670</v>
      </c>
      <c r="DN867" t="s">
        <v>669</v>
      </c>
      <c r="DO867">
        <v>0</v>
      </c>
      <c r="DP867">
        <v>0</v>
      </c>
      <c r="DQ867">
        <v>4.53</v>
      </c>
      <c r="DR867" t="s">
        <v>5923</v>
      </c>
      <c r="EB867" t="s">
        <v>5924</v>
      </c>
      <c r="EC867" t="s">
        <v>2779</v>
      </c>
      <c r="ED867" t="s">
        <v>2780</v>
      </c>
      <c r="EE867" t="s">
        <v>258</v>
      </c>
      <c r="EF867" t="s">
        <v>256</v>
      </c>
      <c r="EG867">
        <v>2910</v>
      </c>
      <c r="EH867">
        <v>3220</v>
      </c>
      <c r="EI867">
        <v>3470</v>
      </c>
      <c r="EJ867">
        <v>3470</v>
      </c>
    </row>
    <row r="868" ht="15" customHeight="1" spans="111:140" x14ac:dyDescent="0.25">
      <c r="DG868" t="s">
        <v>5925</v>
      </c>
      <c r="DH868" t="s">
        <v>87</v>
      </c>
      <c r="DI868" t="s">
        <v>1691</v>
      </c>
      <c r="DJ868" t="s">
        <v>1692</v>
      </c>
      <c r="DK868" t="s">
        <v>668</v>
      </c>
      <c r="DL868">
        <v>3.85</v>
      </c>
      <c r="DM868" t="s">
        <v>670</v>
      </c>
      <c r="DN868" t="s">
        <v>669</v>
      </c>
      <c r="DO868">
        <v>0</v>
      </c>
      <c r="DP868">
        <v>0</v>
      </c>
      <c r="DQ868">
        <v>45.99</v>
      </c>
      <c r="DR868" t="s">
        <v>5926</v>
      </c>
      <c r="EB868" t="s">
        <v>5927</v>
      </c>
      <c r="EC868" t="s">
        <v>2779</v>
      </c>
      <c r="ED868" t="s">
        <v>2780</v>
      </c>
      <c r="EE868" t="s">
        <v>222</v>
      </c>
      <c r="EF868" t="s">
        <v>220</v>
      </c>
      <c r="EG868">
        <v>2430</v>
      </c>
      <c r="EH868">
        <v>2690</v>
      </c>
      <c r="EI868">
        <v>2900</v>
      </c>
      <c r="EJ868">
        <v>2900</v>
      </c>
    </row>
    <row r="869" ht="15" customHeight="1" spans="111:140" x14ac:dyDescent="0.25">
      <c r="DG869" t="s">
        <v>5928</v>
      </c>
      <c r="DH869" t="s">
        <v>87</v>
      </c>
      <c r="DI869" t="s">
        <v>1694</v>
      </c>
      <c r="DJ869" t="s">
        <v>1695</v>
      </c>
      <c r="DK869" t="s">
        <v>668</v>
      </c>
      <c r="DL869">
        <v>3.85</v>
      </c>
      <c r="DM869" t="s">
        <v>669</v>
      </c>
      <c r="DN869" t="s">
        <v>670</v>
      </c>
      <c r="DO869">
        <v>1</v>
      </c>
      <c r="DP869">
        <v>63.17</v>
      </c>
      <c r="DQ869">
        <v>63.17</v>
      </c>
      <c r="DR869" t="s">
        <v>5929</v>
      </c>
      <c r="EB869" t="s">
        <v>5930</v>
      </c>
      <c r="EC869" t="s">
        <v>2779</v>
      </c>
      <c r="ED869" t="s">
        <v>2780</v>
      </c>
      <c r="EE869" t="s">
        <v>233</v>
      </c>
      <c r="EF869" t="s">
        <v>231</v>
      </c>
      <c r="EG869">
        <v>1910</v>
      </c>
      <c r="EH869">
        <v>2200</v>
      </c>
      <c r="EI869">
        <v>2480</v>
      </c>
      <c r="EJ869">
        <v>2670</v>
      </c>
    </row>
    <row r="870" ht="15" customHeight="1" spans="111:140" x14ac:dyDescent="0.25">
      <c r="DG870" t="s">
        <v>5931</v>
      </c>
      <c r="DH870" t="s">
        <v>87</v>
      </c>
      <c r="DI870" t="s">
        <v>1697</v>
      </c>
      <c r="DJ870" t="s">
        <v>1698</v>
      </c>
      <c r="DK870" t="s">
        <v>668</v>
      </c>
      <c r="DL870">
        <v>3.85</v>
      </c>
      <c r="DM870" t="s">
        <v>670</v>
      </c>
      <c r="DN870" t="s">
        <v>669</v>
      </c>
      <c r="DO870">
        <v>0</v>
      </c>
      <c r="DP870">
        <v>0</v>
      </c>
      <c r="DQ870">
        <v>24.56</v>
      </c>
      <c r="DR870" t="s">
        <v>5932</v>
      </c>
      <c r="EB870" t="s">
        <v>5933</v>
      </c>
      <c r="EC870" t="s">
        <v>2779</v>
      </c>
      <c r="ED870" t="s">
        <v>2780</v>
      </c>
      <c r="EE870" t="s">
        <v>225</v>
      </c>
      <c r="EF870" t="s">
        <v>223</v>
      </c>
      <c r="EG870">
        <v>2730</v>
      </c>
      <c r="EH870">
        <v>3020</v>
      </c>
      <c r="EI870">
        <v>3260</v>
      </c>
      <c r="EJ870">
        <v>3260</v>
      </c>
    </row>
    <row r="871" ht="15" customHeight="1" spans="111:140" x14ac:dyDescent="0.25">
      <c r="DG871" t="s">
        <v>5934</v>
      </c>
      <c r="DH871" t="s">
        <v>87</v>
      </c>
      <c r="DI871" t="s">
        <v>1700</v>
      </c>
      <c r="DJ871" t="s">
        <v>1701</v>
      </c>
      <c r="DK871" t="s">
        <v>668</v>
      </c>
      <c r="DL871">
        <v>3.85</v>
      </c>
      <c r="DM871" t="s">
        <v>670</v>
      </c>
      <c r="DN871" t="s">
        <v>669</v>
      </c>
      <c r="DO871">
        <v>0</v>
      </c>
      <c r="DP871">
        <v>0</v>
      </c>
      <c r="DQ871">
        <v>31.7</v>
      </c>
      <c r="DR871" t="s">
        <v>5935</v>
      </c>
      <c r="EB871" t="s">
        <v>5936</v>
      </c>
      <c r="EC871" t="s">
        <v>2779</v>
      </c>
      <c r="ED871" t="s">
        <v>2780</v>
      </c>
      <c r="EE871" t="s">
        <v>288</v>
      </c>
      <c r="EF871" t="s">
        <v>287</v>
      </c>
      <c r="EG871">
        <v>450</v>
      </c>
      <c r="EH871">
        <v>530</v>
      </c>
      <c r="EI871">
        <v>580</v>
      </c>
      <c r="EJ871">
        <v>580</v>
      </c>
    </row>
    <row r="872" ht="15" customHeight="1" spans="111:140" x14ac:dyDescent="0.25">
      <c r="DG872" t="s">
        <v>5937</v>
      </c>
      <c r="DH872" t="s">
        <v>87</v>
      </c>
      <c r="DI872" t="s">
        <v>1703</v>
      </c>
      <c r="DJ872" t="s">
        <v>1579</v>
      </c>
      <c r="DK872" t="s">
        <v>668</v>
      </c>
      <c r="DL872">
        <v>3.85</v>
      </c>
      <c r="DM872" t="s">
        <v>670</v>
      </c>
      <c r="DN872" t="s">
        <v>669</v>
      </c>
      <c r="DO872">
        <v>0</v>
      </c>
      <c r="DP872">
        <v>0</v>
      </c>
      <c r="DQ872">
        <v>0</v>
      </c>
      <c r="DR872" t="s">
        <v>5794</v>
      </c>
      <c r="EB872" t="s">
        <v>5938</v>
      </c>
      <c r="EC872" t="s">
        <v>2779</v>
      </c>
      <c r="ED872" t="s">
        <v>2780</v>
      </c>
      <c r="EE872" t="s">
        <v>269</v>
      </c>
      <c r="EF872" t="s">
        <v>268</v>
      </c>
      <c r="EG872">
        <v>280</v>
      </c>
      <c r="EH872">
        <v>280</v>
      </c>
      <c r="EI872">
        <v>280</v>
      </c>
      <c r="EJ872">
        <v>280</v>
      </c>
    </row>
    <row r="873" ht="15" customHeight="1" spans="111:140" x14ac:dyDescent="0.25">
      <c r="DG873" t="s">
        <v>5939</v>
      </c>
      <c r="DH873" t="s">
        <v>87</v>
      </c>
      <c r="DI873" t="s">
        <v>1705</v>
      </c>
      <c r="DJ873" t="s">
        <v>1706</v>
      </c>
      <c r="DK873" t="s">
        <v>668</v>
      </c>
      <c r="DL873">
        <v>3.85</v>
      </c>
      <c r="DM873" t="s">
        <v>670</v>
      </c>
      <c r="DN873" t="s">
        <v>669</v>
      </c>
      <c r="DO873">
        <v>0</v>
      </c>
      <c r="DP873">
        <v>0</v>
      </c>
      <c r="DQ873">
        <v>152</v>
      </c>
      <c r="DR873" t="s">
        <v>5940</v>
      </c>
      <c r="EB873" t="s">
        <v>5941</v>
      </c>
      <c r="EC873" t="s">
        <v>2779</v>
      </c>
      <c r="ED873" t="s">
        <v>2780</v>
      </c>
      <c r="EE873" t="s">
        <v>237</v>
      </c>
      <c r="EF873" t="s">
        <v>235</v>
      </c>
      <c r="EG873">
        <v>2650</v>
      </c>
      <c r="EH873">
        <v>2650</v>
      </c>
      <c r="EI873">
        <v>2650</v>
      </c>
      <c r="EJ873">
        <v>2650</v>
      </c>
    </row>
    <row r="874" ht="15" customHeight="1" spans="111:140" x14ac:dyDescent="0.25">
      <c r="DG874" t="s">
        <v>5942</v>
      </c>
      <c r="DH874" t="s">
        <v>87</v>
      </c>
      <c r="DI874" t="s">
        <v>1708</v>
      </c>
      <c r="DJ874" t="s">
        <v>1709</v>
      </c>
      <c r="DK874" t="s">
        <v>668</v>
      </c>
      <c r="DL874">
        <v>3.85</v>
      </c>
      <c r="DM874" t="s">
        <v>670</v>
      </c>
      <c r="DN874" t="s">
        <v>669</v>
      </c>
      <c r="DO874">
        <v>0</v>
      </c>
      <c r="DP874">
        <v>0</v>
      </c>
      <c r="DQ874">
        <v>66.36</v>
      </c>
      <c r="DR874" t="s">
        <v>5943</v>
      </c>
      <c r="EB874" t="s">
        <v>5944</v>
      </c>
      <c r="EC874" t="s">
        <v>2779</v>
      </c>
      <c r="ED874" t="s">
        <v>2780</v>
      </c>
      <c r="EE874" t="s">
        <v>249</v>
      </c>
      <c r="EF874" t="s">
        <v>247</v>
      </c>
      <c r="EG874">
        <v>310</v>
      </c>
      <c r="EH874">
        <v>340</v>
      </c>
      <c r="EI874">
        <v>370</v>
      </c>
      <c r="EJ874">
        <v>370</v>
      </c>
    </row>
    <row r="875" ht="15" customHeight="1" spans="111:140" x14ac:dyDescent="0.25">
      <c r="DG875" t="s">
        <v>5945</v>
      </c>
      <c r="DH875" t="s">
        <v>87</v>
      </c>
      <c r="DI875" t="s">
        <v>1711</v>
      </c>
      <c r="DJ875" t="s">
        <v>1712</v>
      </c>
      <c r="DK875" t="s">
        <v>668</v>
      </c>
      <c r="DL875">
        <v>3.85</v>
      </c>
      <c r="DM875" t="s">
        <v>670</v>
      </c>
      <c r="DN875" t="s">
        <v>669</v>
      </c>
      <c r="DO875">
        <v>0</v>
      </c>
      <c r="DP875">
        <v>0</v>
      </c>
      <c r="DQ875">
        <v>19.9</v>
      </c>
      <c r="DR875" t="s">
        <v>5946</v>
      </c>
      <c r="EB875" t="s">
        <v>5947</v>
      </c>
      <c r="EC875" t="s">
        <v>2779</v>
      </c>
      <c r="ED875" t="s">
        <v>2780</v>
      </c>
      <c r="EE875" t="s">
        <v>293</v>
      </c>
      <c r="EF875" t="s">
        <v>291</v>
      </c>
      <c r="EG875">
        <v>730</v>
      </c>
      <c r="EH875">
        <v>840</v>
      </c>
      <c r="EI875">
        <v>950</v>
      </c>
      <c r="EJ875">
        <v>1020</v>
      </c>
    </row>
    <row r="876" ht="15" customHeight="1" spans="111:140" x14ac:dyDescent="0.25">
      <c r="DG876" t="s">
        <v>5948</v>
      </c>
      <c r="DH876" t="s">
        <v>87</v>
      </c>
      <c r="DI876" t="s">
        <v>1714</v>
      </c>
      <c r="DJ876" t="s">
        <v>1715</v>
      </c>
      <c r="DK876" t="s">
        <v>668</v>
      </c>
      <c r="DL876">
        <v>3.85</v>
      </c>
      <c r="DM876" t="s">
        <v>670</v>
      </c>
      <c r="DN876" t="s">
        <v>669</v>
      </c>
      <c r="DO876">
        <v>0</v>
      </c>
      <c r="DP876">
        <v>0</v>
      </c>
      <c r="DQ876">
        <v>9.66</v>
      </c>
      <c r="DR876" t="s">
        <v>5949</v>
      </c>
      <c r="EB876" t="s">
        <v>5950</v>
      </c>
      <c r="EC876" t="s">
        <v>2779</v>
      </c>
      <c r="ED876" t="s">
        <v>2780</v>
      </c>
      <c r="EE876" t="s">
        <v>280</v>
      </c>
      <c r="EF876" t="s">
        <v>279</v>
      </c>
      <c r="EG876">
        <v>860</v>
      </c>
      <c r="EH876">
        <v>950</v>
      </c>
      <c r="EI876">
        <v>1020</v>
      </c>
      <c r="EJ876">
        <v>1020</v>
      </c>
    </row>
    <row r="877" ht="15" customHeight="1" spans="111:140" x14ac:dyDescent="0.25">
      <c r="DG877" t="s">
        <v>5951</v>
      </c>
      <c r="DH877" t="s">
        <v>87</v>
      </c>
      <c r="DI877" t="s">
        <v>1717</v>
      </c>
      <c r="DJ877" t="s">
        <v>1718</v>
      </c>
      <c r="DK877" t="s">
        <v>668</v>
      </c>
      <c r="DL877">
        <v>3.85</v>
      </c>
      <c r="DM877" t="s">
        <v>669</v>
      </c>
      <c r="DN877" t="s">
        <v>670</v>
      </c>
      <c r="DO877">
        <v>13</v>
      </c>
      <c r="DP877">
        <v>156</v>
      </c>
      <c r="DQ877">
        <v>156</v>
      </c>
      <c r="DR877" t="s">
        <v>5952</v>
      </c>
      <c r="EB877" t="s">
        <v>5953</v>
      </c>
      <c r="EC877" t="s">
        <v>2779</v>
      </c>
      <c r="ED877" t="s">
        <v>2780</v>
      </c>
      <c r="EE877" t="s">
        <v>264</v>
      </c>
      <c r="EF877" t="s">
        <v>262</v>
      </c>
      <c r="EG877">
        <v>1650</v>
      </c>
      <c r="EH877">
        <v>1900</v>
      </c>
      <c r="EI877">
        <v>2150</v>
      </c>
      <c r="EJ877">
        <v>2310</v>
      </c>
    </row>
    <row r="878" ht="15" customHeight="1" spans="111:135" x14ac:dyDescent="0.25">
      <c r="DG878" t="s">
        <v>5954</v>
      </c>
      <c r="DH878" t="s">
        <v>87</v>
      </c>
      <c r="DI878" t="s">
        <v>1719</v>
      </c>
      <c r="DJ878" t="s">
        <v>1720</v>
      </c>
      <c r="DK878" t="s">
        <v>668</v>
      </c>
      <c r="DL878">
        <v>3.85</v>
      </c>
      <c r="DM878" t="s">
        <v>669</v>
      </c>
      <c r="DN878" t="s">
        <v>670</v>
      </c>
      <c r="DO878">
        <v>1</v>
      </c>
      <c r="DP878">
        <v>407.8</v>
      </c>
      <c r="DQ878">
        <v>407.8</v>
      </c>
      <c r="DR878" t="s">
        <v>5955</v>
      </c>
      <c r="EB878" t="s">
        <v>5956</v>
      </c>
      <c r="EC878" t="s">
        <v>2779</v>
      </c>
      <c r="EE878" t="s">
        <v>278</v>
      </c>
    </row>
    <row r="879" ht="15" customHeight="1" spans="111:140" x14ac:dyDescent="0.25">
      <c r="DG879" t="s">
        <v>5957</v>
      </c>
      <c r="DH879" t="s">
        <v>87</v>
      </c>
      <c r="DI879" t="s">
        <v>1722</v>
      </c>
      <c r="DJ879" t="s">
        <v>1723</v>
      </c>
      <c r="DK879" t="s">
        <v>668</v>
      </c>
      <c r="DL879">
        <v>3.85</v>
      </c>
      <c r="DM879" t="s">
        <v>670</v>
      </c>
      <c r="DN879" t="s">
        <v>669</v>
      </c>
      <c r="DO879">
        <v>0</v>
      </c>
      <c r="DP879">
        <v>0</v>
      </c>
      <c r="DQ879">
        <v>0</v>
      </c>
      <c r="DR879" t="s">
        <v>5958</v>
      </c>
      <c r="EB879" t="s">
        <v>5959</v>
      </c>
      <c r="EC879" t="s">
        <v>2779</v>
      </c>
      <c r="ED879" t="s">
        <v>2780</v>
      </c>
      <c r="EE879" t="s">
        <v>240</v>
      </c>
      <c r="EF879" t="s">
        <v>238</v>
      </c>
      <c r="EG879">
        <v>3620</v>
      </c>
      <c r="EH879">
        <v>3620</v>
      </c>
      <c r="EI879">
        <v>3620</v>
      </c>
      <c r="EJ879">
        <v>3620</v>
      </c>
    </row>
    <row r="880" ht="15" customHeight="1" spans="111:140" x14ac:dyDescent="0.25">
      <c r="DG880" t="s">
        <v>5960</v>
      </c>
      <c r="DH880" t="s">
        <v>87</v>
      </c>
      <c r="DI880" t="s">
        <v>1725</v>
      </c>
      <c r="DJ880" t="s">
        <v>1726</v>
      </c>
      <c r="DK880" t="s">
        <v>668</v>
      </c>
      <c r="DL880">
        <v>3.85</v>
      </c>
      <c r="DM880" t="s">
        <v>669</v>
      </c>
      <c r="DN880" t="s">
        <v>670</v>
      </c>
      <c r="DO880">
        <v>5</v>
      </c>
      <c r="DP880">
        <v>127.55</v>
      </c>
      <c r="DQ880">
        <v>127.55</v>
      </c>
      <c r="DR880" t="s">
        <v>5961</v>
      </c>
      <c r="EB880" t="s">
        <v>5962</v>
      </c>
      <c r="EC880" t="s">
        <v>2779</v>
      </c>
      <c r="ED880" t="s">
        <v>2780</v>
      </c>
      <c r="EE880" t="s">
        <v>252</v>
      </c>
      <c r="EF880" t="s">
        <v>250</v>
      </c>
      <c r="EG880">
        <v>370</v>
      </c>
      <c r="EH880">
        <v>370</v>
      </c>
      <c r="EI880">
        <v>370</v>
      </c>
      <c r="EJ880">
        <v>370</v>
      </c>
    </row>
    <row r="881" ht="15" customHeight="1" spans="111:140" x14ac:dyDescent="0.25">
      <c r="DG881" t="s">
        <v>5963</v>
      </c>
      <c r="DH881" t="s">
        <v>87</v>
      </c>
      <c r="DI881" t="s">
        <v>1728</v>
      </c>
      <c r="DJ881" t="s">
        <v>1729</v>
      </c>
      <c r="DK881" t="s">
        <v>668</v>
      </c>
      <c r="DL881">
        <v>3.85</v>
      </c>
      <c r="DM881" t="s">
        <v>669</v>
      </c>
      <c r="DN881" t="s">
        <v>670</v>
      </c>
      <c r="DO881">
        <v>5</v>
      </c>
      <c r="DP881">
        <v>1031.25</v>
      </c>
      <c r="DQ881">
        <v>1031.25</v>
      </c>
      <c r="DR881" t="s">
        <v>5964</v>
      </c>
      <c r="EB881" t="s">
        <v>5965</v>
      </c>
      <c r="EC881" t="s">
        <v>2779</v>
      </c>
      <c r="ED881" t="s">
        <v>2780</v>
      </c>
      <c r="EE881" t="s">
        <v>229</v>
      </c>
      <c r="EF881" t="s">
        <v>227</v>
      </c>
      <c r="EG881">
        <v>170</v>
      </c>
      <c r="EH881">
        <v>200</v>
      </c>
      <c r="EI881">
        <v>220</v>
      </c>
      <c r="EJ881">
        <v>240</v>
      </c>
    </row>
    <row r="882" ht="15" customHeight="1" spans="111:140" x14ac:dyDescent="0.25">
      <c r="DG882" t="s">
        <v>5966</v>
      </c>
      <c r="DH882" t="s">
        <v>87</v>
      </c>
      <c r="DI882" t="s">
        <v>1731</v>
      </c>
      <c r="DJ882" t="s">
        <v>1732</v>
      </c>
      <c r="DK882" t="s">
        <v>668</v>
      </c>
      <c r="DL882">
        <v>3.85</v>
      </c>
      <c r="DM882" t="s">
        <v>670</v>
      </c>
      <c r="DN882" t="s">
        <v>669</v>
      </c>
      <c r="DO882">
        <v>0</v>
      </c>
      <c r="DP882">
        <v>0</v>
      </c>
      <c r="DQ882">
        <v>15.74</v>
      </c>
      <c r="DR882" t="s">
        <v>5967</v>
      </c>
      <c r="EB882" t="s">
        <v>5968</v>
      </c>
      <c r="EC882" t="s">
        <v>2779</v>
      </c>
      <c r="ED882" t="s">
        <v>2780</v>
      </c>
      <c r="EE882" t="s">
        <v>246</v>
      </c>
      <c r="EF882" t="s">
        <v>244</v>
      </c>
      <c r="EG882">
        <v>620</v>
      </c>
      <c r="EH882">
        <v>620</v>
      </c>
      <c r="EI882">
        <v>620</v>
      </c>
      <c r="EJ882">
        <v>620</v>
      </c>
    </row>
    <row r="883" ht="15" customHeight="1" spans="111:140" x14ac:dyDescent="0.25">
      <c r="DG883" t="s">
        <v>5969</v>
      </c>
      <c r="DH883" t="s">
        <v>87</v>
      </c>
      <c r="DI883" t="s">
        <v>1734</v>
      </c>
      <c r="DJ883" t="s">
        <v>1735</v>
      </c>
      <c r="DK883" t="s">
        <v>668</v>
      </c>
      <c r="DL883">
        <v>3.85</v>
      </c>
      <c r="DM883" t="s">
        <v>670</v>
      </c>
      <c r="DN883" t="s">
        <v>669</v>
      </c>
      <c r="DO883">
        <v>0</v>
      </c>
      <c r="DP883">
        <v>0</v>
      </c>
      <c r="DQ883">
        <v>378.6</v>
      </c>
      <c r="DR883" t="s">
        <v>5970</v>
      </c>
      <c r="EB883" t="s">
        <v>5971</v>
      </c>
      <c r="EC883" t="s">
        <v>2779</v>
      </c>
      <c r="ED883" t="s">
        <v>2780</v>
      </c>
      <c r="EE883" t="s">
        <v>255</v>
      </c>
      <c r="EF883" t="s">
        <v>253</v>
      </c>
      <c r="EG883">
        <v>430</v>
      </c>
      <c r="EH883">
        <v>500</v>
      </c>
      <c r="EI883">
        <v>560</v>
      </c>
      <c r="EJ883">
        <v>600</v>
      </c>
    </row>
    <row r="884" ht="15" customHeight="1" spans="111:135" x14ac:dyDescent="0.25">
      <c r="DG884" t="s">
        <v>5972</v>
      </c>
      <c r="DH884" t="s">
        <v>87</v>
      </c>
      <c r="DI884" t="s">
        <v>1737</v>
      </c>
      <c r="DJ884" t="s">
        <v>1738</v>
      </c>
      <c r="DK884" t="s">
        <v>668</v>
      </c>
      <c r="DL884">
        <v>3.85</v>
      </c>
      <c r="DM884" t="s">
        <v>670</v>
      </c>
      <c r="DN884" t="s">
        <v>669</v>
      </c>
      <c r="DO884">
        <v>0</v>
      </c>
      <c r="DP884">
        <v>0</v>
      </c>
      <c r="DQ884">
        <v>69.18</v>
      </c>
      <c r="DR884" t="s">
        <v>5973</v>
      </c>
      <c r="EB884" t="s">
        <v>5974</v>
      </c>
      <c r="EC884" t="s">
        <v>2779</v>
      </c>
      <c r="EE884" t="s">
        <v>243</v>
      </c>
    </row>
    <row r="885" ht="15" customHeight="1" spans="111:140" x14ac:dyDescent="0.25">
      <c r="DG885" t="s">
        <v>5975</v>
      </c>
      <c r="DH885" t="s">
        <v>87</v>
      </c>
      <c r="DI885" t="s">
        <v>1740</v>
      </c>
      <c r="DJ885" t="s">
        <v>1741</v>
      </c>
      <c r="DK885" t="s">
        <v>668</v>
      </c>
      <c r="DL885">
        <v>3.85</v>
      </c>
      <c r="DM885" t="s">
        <v>670</v>
      </c>
      <c r="DN885" t="s">
        <v>669</v>
      </c>
      <c r="DO885">
        <v>0</v>
      </c>
      <c r="DP885">
        <v>0</v>
      </c>
      <c r="DQ885">
        <v>33.92</v>
      </c>
      <c r="DR885" t="s">
        <v>5976</v>
      </c>
      <c r="EB885" t="s">
        <v>5977</v>
      </c>
      <c r="EC885" t="s">
        <v>2779</v>
      </c>
      <c r="ED885" t="s">
        <v>2780</v>
      </c>
      <c r="EE885" t="s">
        <v>261</v>
      </c>
      <c r="EF885" t="s">
        <v>259</v>
      </c>
      <c r="EG885">
        <v>1</v>
      </c>
      <c r="EH885">
        <v>1</v>
      </c>
      <c r="EI885">
        <v>1</v>
      </c>
      <c r="EJ885">
        <v>1</v>
      </c>
    </row>
    <row r="886" ht="15" customHeight="1" spans="111:135" x14ac:dyDescent="0.25">
      <c r="DG886" t="s">
        <v>5978</v>
      </c>
      <c r="DH886" t="s">
        <v>87</v>
      </c>
      <c r="DI886" t="s">
        <v>1743</v>
      </c>
      <c r="DJ886" t="s">
        <v>1744</v>
      </c>
      <c r="DK886" t="s">
        <v>668</v>
      </c>
      <c r="DL886">
        <v>3.85</v>
      </c>
      <c r="DM886" t="s">
        <v>670</v>
      </c>
      <c r="DN886" t="s">
        <v>669</v>
      </c>
      <c r="DO886">
        <v>0</v>
      </c>
      <c r="DP886">
        <v>0</v>
      </c>
      <c r="DQ886">
        <v>832</v>
      </c>
      <c r="DR886" t="s">
        <v>5979</v>
      </c>
      <c r="EB886" t="s">
        <v>5980</v>
      </c>
      <c r="EC886" t="s">
        <v>2779</v>
      </c>
      <c r="EE886" t="s">
        <v>296</v>
      </c>
    </row>
    <row r="887" ht="15" customHeight="1" spans="111:135" x14ac:dyDescent="0.25">
      <c r="DG887" t="s">
        <v>5981</v>
      </c>
      <c r="DH887" t="s">
        <v>87</v>
      </c>
      <c r="DI887" t="s">
        <v>1746</v>
      </c>
      <c r="DJ887" t="s">
        <v>1747</v>
      </c>
      <c r="DK887" t="s">
        <v>668</v>
      </c>
      <c r="DL887">
        <v>3.85</v>
      </c>
      <c r="DM887" t="s">
        <v>670</v>
      </c>
      <c r="DN887" t="s">
        <v>669</v>
      </c>
      <c r="DO887">
        <v>0</v>
      </c>
      <c r="DP887">
        <v>0</v>
      </c>
      <c r="DQ887">
        <v>84.4</v>
      </c>
      <c r="DR887" t="s">
        <v>5982</v>
      </c>
      <c r="EB887" t="s">
        <v>5983</v>
      </c>
      <c r="EC887" t="s">
        <v>2418</v>
      </c>
      <c r="EE887" t="s">
        <v>620</v>
      </c>
    </row>
    <row r="888" ht="15" customHeight="1" spans="111:135" x14ac:dyDescent="0.25">
      <c r="DG888" t="s">
        <v>5984</v>
      </c>
      <c r="DH888" t="s">
        <v>87</v>
      </c>
      <c r="DI888" t="s">
        <v>1749</v>
      </c>
      <c r="DJ888" t="s">
        <v>1750</v>
      </c>
      <c r="DK888" t="s">
        <v>668</v>
      </c>
      <c r="DL888">
        <v>3.85</v>
      </c>
      <c r="DM888" t="s">
        <v>670</v>
      </c>
      <c r="DN888" t="s">
        <v>669</v>
      </c>
      <c r="DO888">
        <v>0</v>
      </c>
      <c r="DP888">
        <v>0</v>
      </c>
      <c r="DQ888">
        <v>53.62</v>
      </c>
      <c r="DR888" t="s">
        <v>5985</v>
      </c>
      <c r="EB888" t="s">
        <v>5986</v>
      </c>
      <c r="EC888" t="s">
        <v>2418</v>
      </c>
      <c r="EE888" t="s">
        <v>618</v>
      </c>
    </row>
    <row r="889" ht="15" customHeight="1" spans="111:135" x14ac:dyDescent="0.25">
      <c r="DG889" t="s">
        <v>5987</v>
      </c>
      <c r="DH889" t="s">
        <v>87</v>
      </c>
      <c r="DI889" t="s">
        <v>1752</v>
      </c>
      <c r="DJ889" t="s">
        <v>1753</v>
      </c>
      <c r="DK889" t="s">
        <v>668</v>
      </c>
      <c r="DL889">
        <v>3.85</v>
      </c>
      <c r="DM889" t="s">
        <v>670</v>
      </c>
      <c r="DN889" t="s">
        <v>669</v>
      </c>
      <c r="DO889">
        <v>0</v>
      </c>
      <c r="DP889">
        <v>0</v>
      </c>
      <c r="DQ889">
        <v>30.25</v>
      </c>
      <c r="DR889" t="s">
        <v>5988</v>
      </c>
      <c r="EB889" t="s">
        <v>5989</v>
      </c>
      <c r="EC889" t="s">
        <v>2418</v>
      </c>
      <c r="EE889" t="s">
        <v>616</v>
      </c>
    </row>
    <row r="890" ht="15" customHeight="1" spans="111:135" x14ac:dyDescent="0.25">
      <c r="DG890" t="s">
        <v>5990</v>
      </c>
      <c r="DH890" t="s">
        <v>87</v>
      </c>
      <c r="DI890" t="s">
        <v>1755</v>
      </c>
      <c r="DJ890" t="s">
        <v>1756</v>
      </c>
      <c r="DK890" t="s">
        <v>668</v>
      </c>
      <c r="DL890">
        <v>3.85</v>
      </c>
      <c r="DM890" t="s">
        <v>670</v>
      </c>
      <c r="DN890" t="s">
        <v>669</v>
      </c>
      <c r="DO890">
        <v>0</v>
      </c>
      <c r="DP890">
        <v>0</v>
      </c>
      <c r="DQ890">
        <v>7.53</v>
      </c>
      <c r="DR890" t="s">
        <v>5991</v>
      </c>
      <c r="EB890" t="s">
        <v>5992</v>
      </c>
      <c r="EC890" t="s">
        <v>2418</v>
      </c>
      <c r="EE890" t="s">
        <v>614</v>
      </c>
    </row>
    <row r="891" ht="15" customHeight="1" spans="111:135" x14ac:dyDescent="0.25">
      <c r="DG891" t="s">
        <v>5993</v>
      </c>
      <c r="DH891" t="s">
        <v>87</v>
      </c>
      <c r="DI891" t="s">
        <v>1758</v>
      </c>
      <c r="DJ891" t="s">
        <v>1759</v>
      </c>
      <c r="DK891" t="s">
        <v>668</v>
      </c>
      <c r="DL891">
        <v>3.85</v>
      </c>
      <c r="DM891" t="s">
        <v>670</v>
      </c>
      <c r="DN891" t="s">
        <v>669</v>
      </c>
      <c r="DO891">
        <v>0</v>
      </c>
      <c r="DP891">
        <v>0</v>
      </c>
      <c r="DQ891">
        <v>14.2</v>
      </c>
      <c r="DR891" t="s">
        <v>5994</v>
      </c>
      <c r="EB891" t="s">
        <v>5995</v>
      </c>
      <c r="EC891" t="s">
        <v>2418</v>
      </c>
      <c r="EE891" t="s">
        <v>612</v>
      </c>
    </row>
    <row r="892" ht="15" customHeight="1" spans="111:135" x14ac:dyDescent="0.25">
      <c r="DG892" t="s">
        <v>5996</v>
      </c>
      <c r="DH892" t="s">
        <v>87</v>
      </c>
      <c r="DI892" t="s">
        <v>1761</v>
      </c>
      <c r="DJ892" t="s">
        <v>1762</v>
      </c>
      <c r="DK892" t="s">
        <v>668</v>
      </c>
      <c r="DL892">
        <v>3.85</v>
      </c>
      <c r="DM892" t="s">
        <v>670</v>
      </c>
      <c r="DN892" t="s">
        <v>669</v>
      </c>
      <c r="DO892">
        <v>0</v>
      </c>
      <c r="DP892">
        <v>0</v>
      </c>
      <c r="DQ892">
        <v>18</v>
      </c>
      <c r="DR892" t="s">
        <v>5997</v>
      </c>
      <c r="EB892" t="s">
        <v>5998</v>
      </c>
      <c r="EC892" t="s">
        <v>2418</v>
      </c>
      <c r="EE892" t="s">
        <v>610</v>
      </c>
    </row>
    <row r="893" ht="15" customHeight="1" spans="111:135" x14ac:dyDescent="0.25">
      <c r="DG893" t="s">
        <v>5999</v>
      </c>
      <c r="DH893" t="s">
        <v>87</v>
      </c>
      <c r="DI893" t="s">
        <v>1763</v>
      </c>
      <c r="DJ893" t="s">
        <v>1764</v>
      </c>
      <c r="DK893" t="s">
        <v>668</v>
      </c>
      <c r="DL893">
        <v>3.85</v>
      </c>
      <c r="DM893" t="s">
        <v>670</v>
      </c>
      <c r="DN893" t="s">
        <v>669</v>
      </c>
      <c r="DO893">
        <v>0</v>
      </c>
      <c r="DP893">
        <v>0</v>
      </c>
      <c r="DQ893">
        <v>14.39</v>
      </c>
      <c r="DR893" t="s">
        <v>6000</v>
      </c>
      <c r="EB893" t="s">
        <v>6001</v>
      </c>
      <c r="EC893" t="s">
        <v>2418</v>
      </c>
      <c r="EE893" t="s">
        <v>608</v>
      </c>
    </row>
    <row r="894" ht="15" customHeight="1" spans="111:135" x14ac:dyDescent="0.25">
      <c r="DG894" t="s">
        <v>6002</v>
      </c>
      <c r="DH894" t="s">
        <v>87</v>
      </c>
      <c r="DI894" t="s">
        <v>1766</v>
      </c>
      <c r="DJ894" t="s">
        <v>1767</v>
      </c>
      <c r="DK894" t="s">
        <v>668</v>
      </c>
      <c r="DL894">
        <v>3.85</v>
      </c>
      <c r="DM894" t="s">
        <v>670</v>
      </c>
      <c r="DN894" t="s">
        <v>669</v>
      </c>
      <c r="DO894">
        <v>0</v>
      </c>
      <c r="DP894">
        <v>0</v>
      </c>
      <c r="DQ894">
        <v>31.8</v>
      </c>
      <c r="DR894" t="s">
        <v>6003</v>
      </c>
      <c r="EB894" t="s">
        <v>6004</v>
      </c>
      <c r="EC894" t="s">
        <v>2418</v>
      </c>
      <c r="EE894" t="s">
        <v>606</v>
      </c>
    </row>
    <row r="895" ht="15" customHeight="1" spans="111:135" x14ac:dyDescent="0.25">
      <c r="DG895" t="s">
        <v>6005</v>
      </c>
      <c r="DH895" t="s">
        <v>87</v>
      </c>
      <c r="DI895" t="s">
        <v>1769</v>
      </c>
      <c r="DJ895" t="s">
        <v>1770</v>
      </c>
      <c r="DK895" t="s">
        <v>668</v>
      </c>
      <c r="DL895">
        <v>3.85</v>
      </c>
      <c r="DM895" t="s">
        <v>670</v>
      </c>
      <c r="DN895" t="s">
        <v>669</v>
      </c>
      <c r="DO895">
        <v>0</v>
      </c>
      <c r="DP895">
        <v>0</v>
      </c>
      <c r="DQ895">
        <v>896.15</v>
      </c>
      <c r="DR895" t="s">
        <v>6006</v>
      </c>
      <c r="EB895" t="s">
        <v>6007</v>
      </c>
      <c r="EC895" t="s">
        <v>2418</v>
      </c>
      <c r="EE895" t="s">
        <v>603</v>
      </c>
    </row>
    <row r="896" ht="15" customHeight="1" spans="111:135" x14ac:dyDescent="0.25">
      <c r="DG896" t="s">
        <v>6008</v>
      </c>
      <c r="DH896" t="s">
        <v>87</v>
      </c>
      <c r="DI896" t="s">
        <v>1772</v>
      </c>
      <c r="DJ896" t="s">
        <v>1773</v>
      </c>
      <c r="DK896" t="s">
        <v>668</v>
      </c>
      <c r="DL896">
        <v>3.85</v>
      </c>
      <c r="DM896" t="s">
        <v>670</v>
      </c>
      <c r="DN896" t="s">
        <v>669</v>
      </c>
      <c r="DO896">
        <v>0</v>
      </c>
      <c r="DP896">
        <v>0</v>
      </c>
      <c r="DQ896">
        <v>4.2</v>
      </c>
      <c r="DR896" t="s">
        <v>6009</v>
      </c>
      <c r="EB896" t="s">
        <v>6010</v>
      </c>
      <c r="EC896" t="s">
        <v>2418</v>
      </c>
      <c r="EE896" t="s">
        <v>601</v>
      </c>
    </row>
    <row r="897" ht="15" customHeight="1" spans="111:135" x14ac:dyDescent="0.25">
      <c r="DG897" t="s">
        <v>6011</v>
      </c>
      <c r="DH897" t="s">
        <v>87</v>
      </c>
      <c r="DI897" t="s">
        <v>1775</v>
      </c>
      <c r="DJ897" t="s">
        <v>1776</v>
      </c>
      <c r="DK897" t="s">
        <v>668</v>
      </c>
      <c r="DL897">
        <v>3.85</v>
      </c>
      <c r="DM897" t="s">
        <v>670</v>
      </c>
      <c r="DN897" t="s">
        <v>669</v>
      </c>
      <c r="DO897">
        <v>0</v>
      </c>
      <c r="DP897">
        <v>0</v>
      </c>
      <c r="DQ897">
        <v>3.06</v>
      </c>
      <c r="DR897" t="s">
        <v>6012</v>
      </c>
      <c r="EB897" t="s">
        <v>6013</v>
      </c>
      <c r="EC897" t="s">
        <v>2418</v>
      </c>
      <c r="EE897" t="s">
        <v>599</v>
      </c>
    </row>
    <row r="898" ht="15" customHeight="1" spans="111:135" x14ac:dyDescent="0.25">
      <c r="DG898" t="s">
        <v>6014</v>
      </c>
      <c r="DH898" t="s">
        <v>87</v>
      </c>
      <c r="DI898" t="s">
        <v>1778</v>
      </c>
      <c r="DJ898" t="s">
        <v>1580</v>
      </c>
      <c r="DK898" t="s">
        <v>668</v>
      </c>
      <c r="DL898">
        <v>3.85</v>
      </c>
      <c r="DM898" t="s">
        <v>670</v>
      </c>
      <c r="DN898" t="s">
        <v>669</v>
      </c>
      <c r="DO898">
        <v>0</v>
      </c>
      <c r="DP898">
        <v>0</v>
      </c>
      <c r="DQ898">
        <v>512.47</v>
      </c>
      <c r="DR898" t="s">
        <v>5807</v>
      </c>
      <c r="EB898" t="s">
        <v>6015</v>
      </c>
      <c r="EC898" t="s">
        <v>2418</v>
      </c>
      <c r="EE898" t="s">
        <v>623</v>
      </c>
    </row>
    <row r="899" ht="15" customHeight="1" spans="111:135" x14ac:dyDescent="0.25">
      <c r="DG899" t="s">
        <v>6016</v>
      </c>
      <c r="DH899" t="s">
        <v>87</v>
      </c>
      <c r="DI899" t="s">
        <v>1780</v>
      </c>
      <c r="DJ899" t="s">
        <v>1781</v>
      </c>
      <c r="DK899" t="s">
        <v>668</v>
      </c>
      <c r="DL899">
        <v>3.85</v>
      </c>
      <c r="DM899" t="s">
        <v>670</v>
      </c>
      <c r="DN899" t="s">
        <v>669</v>
      </c>
      <c r="DO899">
        <v>0</v>
      </c>
      <c r="DP899">
        <v>0</v>
      </c>
      <c r="DQ899">
        <v>39.6</v>
      </c>
      <c r="DR899" t="s">
        <v>6017</v>
      </c>
      <c r="EB899" t="s">
        <v>6018</v>
      </c>
      <c r="EC899" t="s">
        <v>2418</v>
      </c>
      <c r="EE899" t="s">
        <v>596</v>
      </c>
    </row>
    <row r="900" ht="15" customHeight="1" spans="111:135" x14ac:dyDescent="0.25">
      <c r="DG900" t="s">
        <v>6019</v>
      </c>
      <c r="DH900" t="s">
        <v>87</v>
      </c>
      <c r="DI900" t="s">
        <v>1783</v>
      </c>
      <c r="DJ900" t="s">
        <v>1784</v>
      </c>
      <c r="DK900" t="s">
        <v>668</v>
      </c>
      <c r="DL900">
        <v>3.85</v>
      </c>
      <c r="DM900" t="s">
        <v>670</v>
      </c>
      <c r="DN900" t="s">
        <v>669</v>
      </c>
      <c r="DO900">
        <v>0</v>
      </c>
      <c r="DP900">
        <v>0</v>
      </c>
      <c r="DQ900">
        <v>26.81</v>
      </c>
      <c r="DR900" t="s">
        <v>6020</v>
      </c>
      <c r="EB900" t="s">
        <v>6021</v>
      </c>
      <c r="EC900" t="s">
        <v>2418</v>
      </c>
      <c r="EE900" t="s">
        <v>593</v>
      </c>
    </row>
    <row r="901" ht="15" customHeight="1" spans="111:135" x14ac:dyDescent="0.25">
      <c r="DG901" t="s">
        <v>6022</v>
      </c>
      <c r="DH901" t="s">
        <v>87</v>
      </c>
      <c r="DI901" t="s">
        <v>1785</v>
      </c>
      <c r="DJ901" t="s">
        <v>1786</v>
      </c>
      <c r="DK901" t="s">
        <v>668</v>
      </c>
      <c r="DL901">
        <v>3.85</v>
      </c>
      <c r="DM901" t="s">
        <v>670</v>
      </c>
      <c r="DN901" t="s">
        <v>669</v>
      </c>
      <c r="DO901">
        <v>0</v>
      </c>
      <c r="DP901">
        <v>0</v>
      </c>
      <c r="DQ901">
        <v>223.85</v>
      </c>
      <c r="DR901" t="s">
        <v>6023</v>
      </c>
      <c r="EB901" t="s">
        <v>6024</v>
      </c>
      <c r="EC901" t="s">
        <v>2418</v>
      </c>
      <c r="EE901" t="s">
        <v>591</v>
      </c>
    </row>
    <row r="902" ht="15" customHeight="1" spans="111:135" x14ac:dyDescent="0.25">
      <c r="DG902" t="s">
        <v>6025</v>
      </c>
      <c r="DH902" t="s">
        <v>87</v>
      </c>
      <c r="DI902" t="s">
        <v>1788</v>
      </c>
      <c r="DJ902" t="s">
        <v>1789</v>
      </c>
      <c r="DK902" t="s">
        <v>668</v>
      </c>
      <c r="DL902">
        <v>3.85</v>
      </c>
      <c r="DM902" t="s">
        <v>670</v>
      </c>
      <c r="DN902" t="s">
        <v>669</v>
      </c>
      <c r="DO902">
        <v>0</v>
      </c>
      <c r="DP902">
        <v>0</v>
      </c>
      <c r="DQ902">
        <v>0</v>
      </c>
      <c r="DR902" t="s">
        <v>6026</v>
      </c>
      <c r="EB902" t="s">
        <v>6027</v>
      </c>
      <c r="EC902" t="s">
        <v>2418</v>
      </c>
      <c r="EE902" t="s">
        <v>2423</v>
      </c>
    </row>
    <row r="903" ht="15" customHeight="1" spans="111:135" x14ac:dyDescent="0.25">
      <c r="DG903" t="s">
        <v>6028</v>
      </c>
      <c r="DH903" t="s">
        <v>87</v>
      </c>
      <c r="DI903" t="s">
        <v>1791</v>
      </c>
      <c r="DJ903" t="s">
        <v>1792</v>
      </c>
      <c r="DK903" t="s">
        <v>668</v>
      </c>
      <c r="DL903">
        <v>3.85</v>
      </c>
      <c r="DM903" t="s">
        <v>670</v>
      </c>
      <c r="DN903" t="s">
        <v>669</v>
      </c>
      <c r="DO903">
        <v>0</v>
      </c>
      <c r="DP903">
        <v>0</v>
      </c>
      <c r="DQ903">
        <v>23.74</v>
      </c>
      <c r="DR903" t="s">
        <v>6029</v>
      </c>
      <c r="EB903" t="s">
        <v>6030</v>
      </c>
      <c r="EC903" t="s">
        <v>2418</v>
      </c>
      <c r="EE903" t="s">
        <v>584</v>
      </c>
    </row>
    <row r="904" ht="15" customHeight="1" spans="111:135" x14ac:dyDescent="0.25">
      <c r="DG904" t="s">
        <v>6031</v>
      </c>
      <c r="DH904" t="s">
        <v>87</v>
      </c>
      <c r="DI904" t="s">
        <v>1794</v>
      </c>
      <c r="DJ904" t="s">
        <v>1795</v>
      </c>
      <c r="DK904" t="s">
        <v>668</v>
      </c>
      <c r="DL904">
        <v>3.85</v>
      </c>
      <c r="DM904" t="s">
        <v>670</v>
      </c>
      <c r="DN904" t="s">
        <v>669</v>
      </c>
      <c r="DO904">
        <v>0</v>
      </c>
      <c r="DP904">
        <v>0</v>
      </c>
      <c r="DQ904">
        <v>102.53</v>
      </c>
      <c r="DR904" t="s">
        <v>6032</v>
      </c>
      <c r="EB904" t="s">
        <v>6033</v>
      </c>
      <c r="EC904" t="s">
        <v>2418</v>
      </c>
      <c r="EE904" t="s">
        <v>582</v>
      </c>
    </row>
    <row r="905" ht="15" customHeight="1" spans="111:135" x14ac:dyDescent="0.25">
      <c r="DG905" t="s">
        <v>6034</v>
      </c>
      <c r="DH905" t="s">
        <v>87</v>
      </c>
      <c r="DI905" t="s">
        <v>1797</v>
      </c>
      <c r="DJ905" t="s">
        <v>1798</v>
      </c>
      <c r="DK905" t="s">
        <v>668</v>
      </c>
      <c r="DL905">
        <v>3.85</v>
      </c>
      <c r="DM905" t="s">
        <v>670</v>
      </c>
      <c r="DN905" t="s">
        <v>669</v>
      </c>
      <c r="DO905">
        <v>0</v>
      </c>
      <c r="DP905">
        <v>0</v>
      </c>
      <c r="DQ905">
        <v>12</v>
      </c>
      <c r="DR905" t="s">
        <v>6035</v>
      </c>
      <c r="EB905" t="s">
        <v>6036</v>
      </c>
      <c r="EC905" t="s">
        <v>2418</v>
      </c>
      <c r="EE905" t="s">
        <v>580</v>
      </c>
    </row>
    <row r="906" ht="15" customHeight="1" spans="111:135" x14ac:dyDescent="0.25">
      <c r="DG906" t="s">
        <v>6037</v>
      </c>
      <c r="DH906" t="s">
        <v>87</v>
      </c>
      <c r="DI906" t="s">
        <v>1799</v>
      </c>
      <c r="DJ906" t="s">
        <v>1800</v>
      </c>
      <c r="DK906" t="s">
        <v>668</v>
      </c>
      <c r="DL906">
        <v>3.85</v>
      </c>
      <c r="DM906" t="s">
        <v>670</v>
      </c>
      <c r="DN906" t="s">
        <v>669</v>
      </c>
      <c r="DO906">
        <v>0</v>
      </c>
      <c r="DP906">
        <v>0</v>
      </c>
      <c r="DQ906">
        <v>19.89</v>
      </c>
      <c r="DR906" t="s">
        <v>6038</v>
      </c>
      <c r="EB906" t="s">
        <v>6039</v>
      </c>
      <c r="EC906" t="s">
        <v>2418</v>
      </c>
      <c r="EE906" t="s">
        <v>578</v>
      </c>
    </row>
    <row r="907" ht="15" customHeight="1" spans="111:135" x14ac:dyDescent="0.25">
      <c r="DG907" t="s">
        <v>6040</v>
      </c>
      <c r="DH907" t="s">
        <v>87</v>
      </c>
      <c r="DI907" t="s">
        <v>1802</v>
      </c>
      <c r="DJ907" t="s">
        <v>1803</v>
      </c>
      <c r="DK907" t="s">
        <v>668</v>
      </c>
      <c r="DL907">
        <v>3.85</v>
      </c>
      <c r="DM907" t="s">
        <v>670</v>
      </c>
      <c r="DN907" t="s">
        <v>669</v>
      </c>
      <c r="DO907">
        <v>0</v>
      </c>
      <c r="DP907">
        <v>0</v>
      </c>
      <c r="DQ907">
        <v>21.51</v>
      </c>
      <c r="DR907" t="s">
        <v>6041</v>
      </c>
      <c r="EB907" t="s">
        <v>6042</v>
      </c>
      <c r="EC907" t="s">
        <v>2418</v>
      </c>
      <c r="EE907" t="s">
        <v>327</v>
      </c>
    </row>
    <row r="908" ht="15" customHeight="1" spans="111:135" x14ac:dyDescent="0.25">
      <c r="DG908" t="s">
        <v>6043</v>
      </c>
      <c r="DH908" t="s">
        <v>87</v>
      </c>
      <c r="DI908" t="s">
        <v>1805</v>
      </c>
      <c r="DJ908" t="s">
        <v>1806</v>
      </c>
      <c r="DK908" t="s">
        <v>668</v>
      </c>
      <c r="DL908">
        <v>3.85</v>
      </c>
      <c r="DM908" t="s">
        <v>670</v>
      </c>
      <c r="DN908" t="s">
        <v>669</v>
      </c>
      <c r="DO908">
        <v>0</v>
      </c>
      <c r="DP908">
        <v>0</v>
      </c>
      <c r="DQ908">
        <v>92.88</v>
      </c>
      <c r="DR908" t="s">
        <v>6044</v>
      </c>
      <c r="EB908" t="s">
        <v>6045</v>
      </c>
      <c r="EC908" t="s">
        <v>2418</v>
      </c>
      <c r="EE908" t="s">
        <v>330</v>
      </c>
    </row>
    <row r="909" ht="15" customHeight="1" spans="111:135" x14ac:dyDescent="0.25">
      <c r="DG909" t="s">
        <v>6046</v>
      </c>
      <c r="DH909" t="s">
        <v>87</v>
      </c>
      <c r="DI909" t="s">
        <v>1808</v>
      </c>
      <c r="DJ909" t="s">
        <v>1809</v>
      </c>
      <c r="DK909" t="s">
        <v>668</v>
      </c>
      <c r="DL909">
        <v>3.85</v>
      </c>
      <c r="DM909" t="s">
        <v>670</v>
      </c>
      <c r="DN909" t="s">
        <v>669</v>
      </c>
      <c r="DO909">
        <v>0</v>
      </c>
      <c r="DP909">
        <v>0</v>
      </c>
      <c r="DQ909">
        <v>120.94</v>
      </c>
      <c r="DR909" t="s">
        <v>6047</v>
      </c>
      <c r="EB909" t="s">
        <v>6048</v>
      </c>
      <c r="EC909" t="s">
        <v>2418</v>
      </c>
      <c r="EE909" t="s">
        <v>576</v>
      </c>
    </row>
    <row r="910" ht="15" customHeight="1" spans="111:135" x14ac:dyDescent="0.25">
      <c r="DG910" t="s">
        <v>6049</v>
      </c>
      <c r="DH910" t="s">
        <v>87</v>
      </c>
      <c r="DI910" t="s">
        <v>512</v>
      </c>
      <c r="DJ910" t="s">
        <v>513</v>
      </c>
      <c r="DK910" t="s">
        <v>1079</v>
      </c>
      <c r="DL910">
        <v>3.85</v>
      </c>
      <c r="DM910" t="s">
        <v>669</v>
      </c>
      <c r="DN910" t="s">
        <v>670</v>
      </c>
      <c r="DO910">
        <v>1</v>
      </c>
      <c r="DP910">
        <v>1500</v>
      </c>
      <c r="DQ910">
        <v>1500</v>
      </c>
      <c r="DR910" t="s">
        <v>6050</v>
      </c>
      <c r="EB910" t="s">
        <v>6051</v>
      </c>
      <c r="EC910" t="s">
        <v>2418</v>
      </c>
      <c r="EE910" t="s">
        <v>573</v>
      </c>
    </row>
    <row r="911" ht="15" customHeight="1" spans="111:135" x14ac:dyDescent="0.25">
      <c r="DG911" t="s">
        <v>6052</v>
      </c>
      <c r="DH911" t="s">
        <v>87</v>
      </c>
      <c r="DI911" t="s">
        <v>428</v>
      </c>
      <c r="DJ911" t="s">
        <v>429</v>
      </c>
      <c r="DK911" t="s">
        <v>1079</v>
      </c>
      <c r="DL911">
        <v>3.85</v>
      </c>
      <c r="DM911" t="s">
        <v>669</v>
      </c>
      <c r="DN911" t="s">
        <v>670</v>
      </c>
      <c r="DO911">
        <v>1</v>
      </c>
      <c r="DP911">
        <v>13344.05</v>
      </c>
      <c r="DQ911">
        <v>13344.05</v>
      </c>
      <c r="DR911" t="s">
        <v>6053</v>
      </c>
      <c r="EB911" t="s">
        <v>6054</v>
      </c>
      <c r="EC911" t="s">
        <v>2418</v>
      </c>
      <c r="EE911" t="s">
        <v>569</v>
      </c>
    </row>
    <row r="912" ht="15" customHeight="1" spans="111:135" x14ac:dyDescent="0.25">
      <c r="DG912" t="s">
        <v>6055</v>
      </c>
      <c r="DH912" t="s">
        <v>87</v>
      </c>
      <c r="DI912" t="s">
        <v>426</v>
      </c>
      <c r="DJ912" t="s">
        <v>427</v>
      </c>
      <c r="DK912" t="s">
        <v>1079</v>
      </c>
      <c r="DL912">
        <v>3.85</v>
      </c>
      <c r="DM912" t="s">
        <v>669</v>
      </c>
      <c r="DN912" t="s">
        <v>670</v>
      </c>
      <c r="DO912">
        <v>1</v>
      </c>
      <c r="DP912">
        <v>13344</v>
      </c>
      <c r="DQ912">
        <v>13344</v>
      </c>
      <c r="DR912" t="s">
        <v>6056</v>
      </c>
      <c r="EB912" t="s">
        <v>6057</v>
      </c>
      <c r="EC912" t="s">
        <v>2418</v>
      </c>
      <c r="EE912" t="s">
        <v>2641</v>
      </c>
    </row>
    <row r="913" ht="15" customHeight="1" spans="111:135" x14ac:dyDescent="0.25">
      <c r="DG913" t="s">
        <v>6058</v>
      </c>
      <c r="DH913" t="s">
        <v>87</v>
      </c>
      <c r="DI913" t="s">
        <v>430</v>
      </c>
      <c r="DJ913" t="s">
        <v>431</v>
      </c>
      <c r="DK913" t="s">
        <v>1079</v>
      </c>
      <c r="DL913">
        <v>3.85</v>
      </c>
      <c r="DM913" t="s">
        <v>669</v>
      </c>
      <c r="DN913" t="s">
        <v>670</v>
      </c>
      <c r="DO913">
        <v>1</v>
      </c>
      <c r="DP913">
        <v>13344</v>
      </c>
      <c r="DQ913">
        <v>13344</v>
      </c>
      <c r="DR913" t="s">
        <v>6059</v>
      </c>
      <c r="EB913" t="s">
        <v>6060</v>
      </c>
      <c r="EC913" t="s">
        <v>2418</v>
      </c>
      <c r="EE913" t="s">
        <v>2656</v>
      </c>
    </row>
    <row r="914" ht="15" customHeight="1" spans="111:135" x14ac:dyDescent="0.25">
      <c r="DG914" t="s">
        <v>6061</v>
      </c>
      <c r="DH914" t="s">
        <v>87</v>
      </c>
      <c r="DI914" t="s">
        <v>432</v>
      </c>
      <c r="DJ914" t="s">
        <v>433</v>
      </c>
      <c r="DK914" t="s">
        <v>1079</v>
      </c>
      <c r="DL914">
        <v>3.85</v>
      </c>
      <c r="DM914" t="s">
        <v>669</v>
      </c>
      <c r="DN914" t="s">
        <v>670</v>
      </c>
      <c r="DO914">
        <v>1</v>
      </c>
      <c r="DP914">
        <v>13344.01</v>
      </c>
      <c r="DQ914">
        <v>13344.01</v>
      </c>
      <c r="DR914" t="s">
        <v>6062</v>
      </c>
      <c r="EB914" t="s">
        <v>6063</v>
      </c>
      <c r="EC914" t="s">
        <v>2418</v>
      </c>
      <c r="EE914" t="s">
        <v>2670</v>
      </c>
    </row>
    <row r="915" ht="15" customHeight="1" spans="111:135" x14ac:dyDescent="0.25">
      <c r="DG915" t="s">
        <v>6064</v>
      </c>
      <c r="DH915" t="s">
        <v>87</v>
      </c>
      <c r="DI915" t="s">
        <v>434</v>
      </c>
      <c r="DJ915" t="s">
        <v>435</v>
      </c>
      <c r="DK915" t="s">
        <v>1079</v>
      </c>
      <c r="DL915">
        <v>3.85</v>
      </c>
      <c r="DM915" t="s">
        <v>669</v>
      </c>
      <c r="DN915" t="s">
        <v>670</v>
      </c>
      <c r="DO915">
        <v>1</v>
      </c>
      <c r="DP915">
        <v>13344.01</v>
      </c>
      <c r="DQ915">
        <v>13344.01</v>
      </c>
      <c r="DR915" t="s">
        <v>6065</v>
      </c>
      <c r="EB915" t="s">
        <v>6066</v>
      </c>
      <c r="EC915" t="s">
        <v>2418</v>
      </c>
      <c r="EE915" t="s">
        <v>561</v>
      </c>
    </row>
    <row r="916" ht="15" customHeight="1" spans="111:135" x14ac:dyDescent="0.25">
      <c r="DG916" t="s">
        <v>6067</v>
      </c>
      <c r="DH916" t="s">
        <v>87</v>
      </c>
      <c r="DI916" t="s">
        <v>437</v>
      </c>
      <c r="DJ916" t="s">
        <v>438</v>
      </c>
      <c r="DK916" t="s">
        <v>1079</v>
      </c>
      <c r="DL916">
        <v>3.85</v>
      </c>
      <c r="DM916" t="s">
        <v>669</v>
      </c>
      <c r="DN916" t="s">
        <v>670</v>
      </c>
      <c r="DO916">
        <v>1</v>
      </c>
      <c r="DP916">
        <v>13344</v>
      </c>
      <c r="DQ916">
        <v>13344</v>
      </c>
      <c r="DR916" t="s">
        <v>6068</v>
      </c>
      <c r="EB916" t="s">
        <v>6069</v>
      </c>
      <c r="EC916" t="s">
        <v>2418</v>
      </c>
      <c r="EE916" t="s">
        <v>563</v>
      </c>
    </row>
    <row r="917" ht="15" customHeight="1" spans="111:135" x14ac:dyDescent="0.25">
      <c r="DG917" t="s">
        <v>6070</v>
      </c>
      <c r="DH917" t="s">
        <v>87</v>
      </c>
      <c r="DI917" t="s">
        <v>474</v>
      </c>
      <c r="DJ917" t="s">
        <v>475</v>
      </c>
      <c r="DK917" t="s">
        <v>1079</v>
      </c>
      <c r="DL917">
        <v>3.85</v>
      </c>
      <c r="DM917" t="s">
        <v>669</v>
      </c>
      <c r="DN917" t="s">
        <v>670</v>
      </c>
      <c r="DO917">
        <v>1</v>
      </c>
      <c r="DP917">
        <v>23742</v>
      </c>
      <c r="DQ917">
        <v>23742</v>
      </c>
      <c r="DR917" t="s">
        <v>6071</v>
      </c>
      <c r="EB917" t="s">
        <v>6072</v>
      </c>
      <c r="EC917" t="s">
        <v>2418</v>
      </c>
      <c r="EE917" t="s">
        <v>556</v>
      </c>
    </row>
    <row r="918" ht="15" customHeight="1" spans="111:135" x14ac:dyDescent="0.25">
      <c r="DG918" t="s">
        <v>6073</v>
      </c>
      <c r="DH918" t="s">
        <v>87</v>
      </c>
      <c r="DI918" t="s">
        <v>356</v>
      </c>
      <c r="DJ918" t="s">
        <v>357</v>
      </c>
      <c r="DK918" t="s">
        <v>1079</v>
      </c>
      <c r="DL918">
        <v>3.85</v>
      </c>
      <c r="DM918" t="s">
        <v>669</v>
      </c>
      <c r="DN918" t="s">
        <v>670</v>
      </c>
      <c r="DO918">
        <v>1</v>
      </c>
      <c r="DP918">
        <v>36136</v>
      </c>
      <c r="DQ918">
        <v>36136</v>
      </c>
      <c r="DR918" t="s">
        <v>6074</v>
      </c>
      <c r="EB918" t="s">
        <v>6075</v>
      </c>
      <c r="EC918" t="s">
        <v>2418</v>
      </c>
      <c r="EE918" t="s">
        <v>551</v>
      </c>
    </row>
    <row r="919" ht="15" customHeight="1" spans="111:135" x14ac:dyDescent="0.25">
      <c r="DG919" t="s">
        <v>6076</v>
      </c>
      <c r="DH919" t="s">
        <v>87</v>
      </c>
      <c r="DI919" t="s">
        <v>502</v>
      </c>
      <c r="DJ919" t="s">
        <v>503</v>
      </c>
      <c r="DK919" t="s">
        <v>1079</v>
      </c>
      <c r="DL919">
        <v>3.85</v>
      </c>
      <c r="DM919" t="s">
        <v>669</v>
      </c>
      <c r="DN919" t="s">
        <v>670</v>
      </c>
      <c r="DO919">
        <v>1</v>
      </c>
      <c r="DP919">
        <v>43628</v>
      </c>
      <c r="DQ919">
        <v>43628</v>
      </c>
      <c r="DR919" t="s">
        <v>6077</v>
      </c>
      <c r="EB919" t="s">
        <v>6078</v>
      </c>
      <c r="EC919" t="s">
        <v>2418</v>
      </c>
      <c r="EE919" t="s">
        <v>290</v>
      </c>
    </row>
    <row r="920" ht="15" customHeight="1" spans="111:135" x14ac:dyDescent="0.25">
      <c r="DG920" t="s">
        <v>6079</v>
      </c>
      <c r="DH920" t="s">
        <v>87</v>
      </c>
      <c r="DI920" t="s">
        <v>472</v>
      </c>
      <c r="DJ920" t="s">
        <v>473</v>
      </c>
      <c r="DK920" t="s">
        <v>1079</v>
      </c>
      <c r="DL920">
        <v>3.85</v>
      </c>
      <c r="DM920" t="s">
        <v>669</v>
      </c>
      <c r="DN920" t="s">
        <v>670</v>
      </c>
      <c r="DO920">
        <v>1</v>
      </c>
      <c r="DP920">
        <v>43628</v>
      </c>
      <c r="DQ920">
        <v>43628</v>
      </c>
      <c r="DR920" t="s">
        <v>6080</v>
      </c>
      <c r="EB920" t="s">
        <v>6081</v>
      </c>
      <c r="EC920" t="s">
        <v>2418</v>
      </c>
      <c r="EE920" t="s">
        <v>275</v>
      </c>
    </row>
    <row r="921" ht="15" customHeight="1" spans="111:135" x14ac:dyDescent="0.25">
      <c r="DG921" t="s">
        <v>6082</v>
      </c>
      <c r="DH921" t="s">
        <v>87</v>
      </c>
      <c r="DI921" t="s">
        <v>472</v>
      </c>
      <c r="DJ921" t="s">
        <v>1815</v>
      </c>
      <c r="DK921" t="s">
        <v>1079</v>
      </c>
      <c r="DL921">
        <v>3.85</v>
      </c>
      <c r="DM921" t="s">
        <v>669</v>
      </c>
      <c r="DN921" t="s">
        <v>670</v>
      </c>
      <c r="DO921">
        <v>1</v>
      </c>
      <c r="DP921">
        <v>43628</v>
      </c>
      <c r="DQ921">
        <v>43628</v>
      </c>
      <c r="DR921" t="s">
        <v>6083</v>
      </c>
      <c r="EB921" t="s">
        <v>6084</v>
      </c>
      <c r="EC921" t="s">
        <v>2418</v>
      </c>
      <c r="EE921" t="s">
        <v>298</v>
      </c>
    </row>
    <row r="922" ht="15" customHeight="1" spans="111:135" x14ac:dyDescent="0.25">
      <c r="DG922" t="s">
        <v>6085</v>
      </c>
      <c r="DH922" t="s">
        <v>87</v>
      </c>
      <c r="DI922" t="s">
        <v>480</v>
      </c>
      <c r="DJ922" t="s">
        <v>481</v>
      </c>
      <c r="DK922" t="s">
        <v>1079</v>
      </c>
      <c r="DL922">
        <v>3.85</v>
      </c>
      <c r="DM922" t="s">
        <v>669</v>
      </c>
      <c r="DN922" t="s">
        <v>670</v>
      </c>
      <c r="DO922">
        <v>1</v>
      </c>
      <c r="DP922">
        <v>43628</v>
      </c>
      <c r="DQ922">
        <v>43628</v>
      </c>
      <c r="DR922" t="s">
        <v>6086</v>
      </c>
      <c r="EB922" t="s">
        <v>6087</v>
      </c>
      <c r="EC922" t="s">
        <v>2418</v>
      </c>
      <c r="EE922" t="s">
        <v>286</v>
      </c>
    </row>
    <row r="923" ht="15" customHeight="1" spans="111:135" x14ac:dyDescent="0.25">
      <c r="DG923" t="s">
        <v>6088</v>
      </c>
      <c r="DH923" t="s">
        <v>87</v>
      </c>
      <c r="DI923" t="s">
        <v>420</v>
      </c>
      <c r="DJ923" t="s">
        <v>421</v>
      </c>
      <c r="DK923" t="s">
        <v>1079</v>
      </c>
      <c r="DL923">
        <v>3.85</v>
      </c>
      <c r="DM923" t="s">
        <v>669</v>
      </c>
      <c r="DN923" t="s">
        <v>670</v>
      </c>
      <c r="DO923">
        <v>1</v>
      </c>
      <c r="DP923">
        <v>13344.01</v>
      </c>
      <c r="DQ923">
        <v>13344.01</v>
      </c>
      <c r="DR923" t="s">
        <v>6089</v>
      </c>
      <c r="EB923" t="s">
        <v>6090</v>
      </c>
      <c r="EC923" t="s">
        <v>2418</v>
      </c>
      <c r="EE923" t="s">
        <v>272</v>
      </c>
    </row>
    <row r="924" ht="15" customHeight="1" spans="111:135" x14ac:dyDescent="0.25">
      <c r="DG924" t="s">
        <v>6091</v>
      </c>
      <c r="DH924" t="s">
        <v>87</v>
      </c>
      <c r="DI924" t="s">
        <v>424</v>
      </c>
      <c r="DJ924" t="s">
        <v>425</v>
      </c>
      <c r="DK924" t="s">
        <v>1079</v>
      </c>
      <c r="DL924">
        <v>3.85</v>
      </c>
      <c r="DM924" t="s">
        <v>669</v>
      </c>
      <c r="DN924" t="s">
        <v>670</v>
      </c>
      <c r="DO924">
        <v>1</v>
      </c>
      <c r="DP924">
        <v>13344.09</v>
      </c>
      <c r="DQ924">
        <v>13344.09</v>
      </c>
      <c r="DR924" t="s">
        <v>6092</v>
      </c>
      <c r="EB924" t="s">
        <v>6093</v>
      </c>
      <c r="EC924" t="s">
        <v>2418</v>
      </c>
      <c r="EE924" t="s">
        <v>283</v>
      </c>
    </row>
    <row r="925" ht="15" customHeight="1" spans="111:135" x14ac:dyDescent="0.25">
      <c r="DG925" t="s">
        <v>6094</v>
      </c>
      <c r="DH925" t="s">
        <v>87</v>
      </c>
      <c r="DI925" t="s">
        <v>418</v>
      </c>
      <c r="DJ925" t="s">
        <v>419</v>
      </c>
      <c r="DK925" t="s">
        <v>1079</v>
      </c>
      <c r="DL925">
        <v>3.85</v>
      </c>
      <c r="DM925" t="s">
        <v>669</v>
      </c>
      <c r="DN925" t="s">
        <v>670</v>
      </c>
      <c r="DO925">
        <v>1</v>
      </c>
      <c r="DP925">
        <v>13344.05</v>
      </c>
      <c r="DQ925">
        <v>13344.05</v>
      </c>
      <c r="DR925" t="s">
        <v>6095</v>
      </c>
      <c r="EB925" t="s">
        <v>6096</v>
      </c>
      <c r="EC925" t="s">
        <v>2418</v>
      </c>
      <c r="EE925" t="s">
        <v>267</v>
      </c>
    </row>
    <row r="926" ht="15" customHeight="1" spans="111:135" x14ac:dyDescent="0.25">
      <c r="DG926" t="s">
        <v>6097</v>
      </c>
      <c r="DH926" t="s">
        <v>87</v>
      </c>
      <c r="DI926" t="s">
        <v>422</v>
      </c>
      <c r="DJ926" t="s">
        <v>423</v>
      </c>
      <c r="DK926" t="s">
        <v>1079</v>
      </c>
      <c r="DL926">
        <v>3.85</v>
      </c>
      <c r="DM926" t="s">
        <v>669</v>
      </c>
      <c r="DN926" t="s">
        <v>670</v>
      </c>
      <c r="DO926">
        <v>1</v>
      </c>
      <c r="DP926">
        <v>13344.05</v>
      </c>
      <c r="DQ926">
        <v>13344.05</v>
      </c>
      <c r="DR926" t="s">
        <v>6098</v>
      </c>
      <c r="EB926" t="s">
        <v>6099</v>
      </c>
      <c r="EC926" t="s">
        <v>2418</v>
      </c>
      <c r="EE926" t="s">
        <v>258</v>
      </c>
    </row>
    <row r="927" ht="15" customHeight="1" spans="111:135" x14ac:dyDescent="0.25">
      <c r="DG927" t="s">
        <v>6100</v>
      </c>
      <c r="DH927" t="s">
        <v>87</v>
      </c>
      <c r="DI927" t="s">
        <v>476</v>
      </c>
      <c r="DJ927" t="s">
        <v>477</v>
      </c>
      <c r="DK927" t="s">
        <v>1079</v>
      </c>
      <c r="DL927">
        <v>3.85</v>
      </c>
      <c r="DM927" t="s">
        <v>669</v>
      </c>
      <c r="DN927" t="s">
        <v>670</v>
      </c>
      <c r="DO927">
        <v>1</v>
      </c>
      <c r="DP927">
        <v>23742</v>
      </c>
      <c r="DQ927">
        <v>23742</v>
      </c>
      <c r="DR927" t="s">
        <v>6101</v>
      </c>
      <c r="EB927" t="s">
        <v>6102</v>
      </c>
      <c r="EC927" t="s">
        <v>2418</v>
      </c>
      <c r="EE927" t="s">
        <v>222</v>
      </c>
    </row>
    <row r="928" ht="15" customHeight="1" spans="111:135" x14ac:dyDescent="0.25">
      <c r="DG928" t="s">
        <v>6103</v>
      </c>
      <c r="DH928" t="s">
        <v>87</v>
      </c>
      <c r="DI928" t="s">
        <v>350</v>
      </c>
      <c r="DJ928" t="s">
        <v>351</v>
      </c>
      <c r="DK928" t="s">
        <v>1079</v>
      </c>
      <c r="DL928">
        <v>3.85</v>
      </c>
      <c r="DM928" t="s">
        <v>669</v>
      </c>
      <c r="DN928" t="s">
        <v>670</v>
      </c>
      <c r="DO928">
        <v>1</v>
      </c>
      <c r="DP928">
        <v>36136</v>
      </c>
      <c r="DQ928">
        <v>36136</v>
      </c>
      <c r="DR928" t="s">
        <v>6104</v>
      </c>
      <c r="EB928" t="s">
        <v>6105</v>
      </c>
      <c r="EC928" t="s">
        <v>2418</v>
      </c>
      <c r="EE928" t="s">
        <v>233</v>
      </c>
    </row>
    <row r="929" ht="15" customHeight="1" spans="111:135" x14ac:dyDescent="0.25">
      <c r="DG929" t="s">
        <v>6106</v>
      </c>
      <c r="DH929" t="s">
        <v>87</v>
      </c>
      <c r="DI929" t="s">
        <v>382</v>
      </c>
      <c r="DJ929" t="s">
        <v>383</v>
      </c>
      <c r="DK929" t="s">
        <v>1079</v>
      </c>
      <c r="DL929">
        <v>3.85</v>
      </c>
      <c r="DM929" t="s">
        <v>669</v>
      </c>
      <c r="DN929" t="s">
        <v>670</v>
      </c>
      <c r="DO929">
        <v>1</v>
      </c>
      <c r="DP929">
        <v>36136</v>
      </c>
      <c r="DQ929">
        <v>36136</v>
      </c>
      <c r="DR929" t="s">
        <v>6107</v>
      </c>
      <c r="EB929" t="s">
        <v>6108</v>
      </c>
      <c r="EC929" t="s">
        <v>2418</v>
      </c>
      <c r="EE929" t="s">
        <v>225</v>
      </c>
    </row>
    <row r="930" ht="15" customHeight="1" spans="111:135" x14ac:dyDescent="0.25">
      <c r="DG930" t="s">
        <v>6109</v>
      </c>
      <c r="DH930" t="s">
        <v>87</v>
      </c>
      <c r="DI930" t="s">
        <v>364</v>
      </c>
      <c r="DJ930" t="s">
        <v>365</v>
      </c>
      <c r="DK930" t="s">
        <v>1079</v>
      </c>
      <c r="DL930">
        <v>3.85</v>
      </c>
      <c r="DM930" t="s">
        <v>669</v>
      </c>
      <c r="DN930" t="s">
        <v>670</v>
      </c>
      <c r="DO930">
        <v>1</v>
      </c>
      <c r="DP930">
        <v>36136</v>
      </c>
      <c r="DQ930">
        <v>36136</v>
      </c>
      <c r="DR930" t="s">
        <v>6110</v>
      </c>
      <c r="EB930" t="s">
        <v>6111</v>
      </c>
      <c r="EC930" t="s">
        <v>2418</v>
      </c>
      <c r="EE930" t="s">
        <v>288</v>
      </c>
    </row>
    <row r="931" ht="15" customHeight="1" spans="111:135" x14ac:dyDescent="0.25">
      <c r="DG931" t="s">
        <v>6112</v>
      </c>
      <c r="DH931" t="s">
        <v>87</v>
      </c>
      <c r="DI931" t="s">
        <v>514</v>
      </c>
      <c r="DJ931" t="s">
        <v>515</v>
      </c>
      <c r="DK931" t="s">
        <v>1079</v>
      </c>
      <c r="DL931">
        <v>3.85</v>
      </c>
      <c r="DM931" t="s">
        <v>669</v>
      </c>
      <c r="DN931" t="s">
        <v>670</v>
      </c>
      <c r="DO931">
        <v>1</v>
      </c>
      <c r="DP931">
        <v>30768.75</v>
      </c>
      <c r="DQ931">
        <v>30768.75</v>
      </c>
      <c r="DR931" t="s">
        <v>6113</v>
      </c>
      <c r="EB931" t="s">
        <v>6114</v>
      </c>
      <c r="EC931" t="s">
        <v>2418</v>
      </c>
      <c r="EE931" t="s">
        <v>269</v>
      </c>
    </row>
    <row r="932" ht="15" customHeight="1" spans="111:135" x14ac:dyDescent="0.25">
      <c r="DG932" t="s">
        <v>6115</v>
      </c>
      <c r="DH932" t="s">
        <v>87</v>
      </c>
      <c r="DI932" t="s">
        <v>508</v>
      </c>
      <c r="DJ932" t="s">
        <v>509</v>
      </c>
      <c r="DK932" t="s">
        <v>1079</v>
      </c>
      <c r="DL932">
        <v>3.85</v>
      </c>
      <c r="DM932" t="s">
        <v>669</v>
      </c>
      <c r="DN932" t="s">
        <v>670</v>
      </c>
      <c r="DO932">
        <v>1</v>
      </c>
      <c r="DP932">
        <v>227.9</v>
      </c>
      <c r="DQ932">
        <v>227.9</v>
      </c>
      <c r="DR932" t="s">
        <v>6116</v>
      </c>
      <c r="EB932" t="s">
        <v>6117</v>
      </c>
      <c r="EC932" t="s">
        <v>2418</v>
      </c>
      <c r="EE932" t="s">
        <v>237</v>
      </c>
    </row>
    <row r="933" ht="15" customHeight="1" spans="111:135" x14ac:dyDescent="0.25">
      <c r="DG933" t="s">
        <v>6118</v>
      </c>
      <c r="DH933" t="s">
        <v>87</v>
      </c>
      <c r="DI933" t="s">
        <v>510</v>
      </c>
      <c r="DJ933" t="s">
        <v>511</v>
      </c>
      <c r="DK933" t="s">
        <v>1079</v>
      </c>
      <c r="DL933">
        <v>3.85</v>
      </c>
      <c r="DM933" t="s">
        <v>669</v>
      </c>
      <c r="DN933" t="s">
        <v>670</v>
      </c>
      <c r="DO933">
        <v>1</v>
      </c>
      <c r="DP933">
        <v>565.35</v>
      </c>
      <c r="DQ933">
        <v>565.35</v>
      </c>
      <c r="DR933" t="s">
        <v>6119</v>
      </c>
      <c r="EB933" t="s">
        <v>6120</v>
      </c>
      <c r="EC933" t="s">
        <v>2418</v>
      </c>
      <c r="EE933" t="s">
        <v>249</v>
      </c>
    </row>
    <row r="934" ht="15" customHeight="1" spans="111:135" x14ac:dyDescent="0.25">
      <c r="DG934" t="s">
        <v>6121</v>
      </c>
      <c r="DH934" t="s">
        <v>87</v>
      </c>
      <c r="DI934" t="s">
        <v>442</v>
      </c>
      <c r="DJ934" t="s">
        <v>443</v>
      </c>
      <c r="DK934" t="s">
        <v>1079</v>
      </c>
      <c r="DL934">
        <v>3.85</v>
      </c>
      <c r="DM934" t="s">
        <v>669</v>
      </c>
      <c r="DN934" t="s">
        <v>670</v>
      </c>
      <c r="DO934">
        <v>1</v>
      </c>
      <c r="DP934">
        <v>13340.05</v>
      </c>
      <c r="DQ934">
        <v>13340.05</v>
      </c>
      <c r="DR934" t="s">
        <v>6122</v>
      </c>
      <c r="EB934" t="s">
        <v>6123</v>
      </c>
      <c r="EC934" t="s">
        <v>2418</v>
      </c>
      <c r="EE934" t="s">
        <v>293</v>
      </c>
    </row>
    <row r="935" ht="15" customHeight="1" spans="111:135" x14ac:dyDescent="0.25">
      <c r="DG935" t="s">
        <v>6124</v>
      </c>
      <c r="DH935" t="s">
        <v>87</v>
      </c>
      <c r="DI935" t="s">
        <v>444</v>
      </c>
      <c r="DJ935" t="s">
        <v>445</v>
      </c>
      <c r="DK935" t="s">
        <v>1079</v>
      </c>
      <c r="DL935">
        <v>3.85</v>
      </c>
      <c r="DM935" t="s">
        <v>669</v>
      </c>
      <c r="DN935" t="s">
        <v>670</v>
      </c>
      <c r="DO935">
        <v>1</v>
      </c>
      <c r="DP935">
        <v>13340.05</v>
      </c>
      <c r="DQ935">
        <v>13340.05</v>
      </c>
      <c r="DR935" t="s">
        <v>6125</v>
      </c>
      <c r="EB935" t="s">
        <v>6126</v>
      </c>
      <c r="EC935" t="s">
        <v>2418</v>
      </c>
      <c r="EE935" t="s">
        <v>280</v>
      </c>
    </row>
    <row r="936" ht="15" customHeight="1" spans="111:135" x14ac:dyDescent="0.25">
      <c r="DG936" t="s">
        <v>6127</v>
      </c>
      <c r="DH936" t="s">
        <v>87</v>
      </c>
      <c r="DI936" t="s">
        <v>390</v>
      </c>
      <c r="DJ936" t="s">
        <v>391</v>
      </c>
      <c r="DK936" t="s">
        <v>1079</v>
      </c>
      <c r="DL936">
        <v>3.85</v>
      </c>
      <c r="DM936" t="s">
        <v>669</v>
      </c>
      <c r="DN936" t="s">
        <v>670</v>
      </c>
      <c r="DO936">
        <v>1</v>
      </c>
      <c r="DP936">
        <v>36130</v>
      </c>
      <c r="DQ936">
        <v>36130</v>
      </c>
      <c r="DR936" t="s">
        <v>6128</v>
      </c>
      <c r="EB936" t="s">
        <v>6129</v>
      </c>
      <c r="EC936" t="s">
        <v>2418</v>
      </c>
      <c r="EE936" t="s">
        <v>264</v>
      </c>
    </row>
    <row r="937" ht="15" customHeight="1" spans="111:135" x14ac:dyDescent="0.25">
      <c r="DG937" t="s">
        <v>6130</v>
      </c>
      <c r="DH937" t="s">
        <v>87</v>
      </c>
      <c r="DI937" t="s">
        <v>395</v>
      </c>
      <c r="DJ937" t="s">
        <v>396</v>
      </c>
      <c r="DK937" t="s">
        <v>1079</v>
      </c>
      <c r="DL937">
        <v>3.85</v>
      </c>
      <c r="DM937" t="s">
        <v>669</v>
      </c>
      <c r="DN937" t="s">
        <v>670</v>
      </c>
      <c r="DO937">
        <v>1</v>
      </c>
      <c r="DP937">
        <v>36130</v>
      </c>
      <c r="DQ937">
        <v>36130</v>
      </c>
      <c r="DR937" t="s">
        <v>6131</v>
      </c>
      <c r="EB937" t="s">
        <v>6132</v>
      </c>
      <c r="EC937" t="s">
        <v>2418</v>
      </c>
      <c r="EE937" t="s">
        <v>278</v>
      </c>
    </row>
    <row r="938" ht="15" customHeight="1" spans="111:135" x14ac:dyDescent="0.25">
      <c r="DG938" t="s">
        <v>6133</v>
      </c>
      <c r="DH938" t="s">
        <v>87</v>
      </c>
      <c r="DI938" t="s">
        <v>400</v>
      </c>
      <c r="DJ938" t="s">
        <v>401</v>
      </c>
      <c r="DK938" t="s">
        <v>1079</v>
      </c>
      <c r="DL938">
        <v>3.85</v>
      </c>
      <c r="DM938" t="s">
        <v>669</v>
      </c>
      <c r="DN938" t="s">
        <v>670</v>
      </c>
      <c r="DO938">
        <v>1</v>
      </c>
      <c r="DP938">
        <v>36130</v>
      </c>
      <c r="DQ938">
        <v>36130</v>
      </c>
      <c r="DR938" t="s">
        <v>6134</v>
      </c>
      <c r="EB938" t="s">
        <v>6135</v>
      </c>
      <c r="EC938" t="s">
        <v>2418</v>
      </c>
      <c r="EE938" t="s">
        <v>240</v>
      </c>
    </row>
    <row r="939" ht="15" customHeight="1" spans="111:135" x14ac:dyDescent="0.25">
      <c r="DG939" t="s">
        <v>6136</v>
      </c>
      <c r="DH939" t="s">
        <v>87</v>
      </c>
      <c r="DI939" t="s">
        <v>387</v>
      </c>
      <c r="DJ939" t="s">
        <v>388</v>
      </c>
      <c r="DK939" t="s">
        <v>1079</v>
      </c>
      <c r="DL939">
        <v>3.85</v>
      </c>
      <c r="DM939" t="s">
        <v>669</v>
      </c>
      <c r="DN939" t="s">
        <v>670</v>
      </c>
      <c r="DO939">
        <v>1</v>
      </c>
      <c r="DP939">
        <v>36130</v>
      </c>
      <c r="DQ939">
        <v>36130</v>
      </c>
      <c r="DR939" t="s">
        <v>6137</v>
      </c>
      <c r="EB939" t="s">
        <v>6138</v>
      </c>
      <c r="EC939" t="s">
        <v>2418</v>
      </c>
      <c r="EE939" t="s">
        <v>252</v>
      </c>
    </row>
    <row r="940" ht="15" customHeight="1" spans="111:135" x14ac:dyDescent="0.25">
      <c r="DG940" t="s">
        <v>6139</v>
      </c>
      <c r="DH940" t="s">
        <v>87</v>
      </c>
      <c r="DI940" t="s">
        <v>482</v>
      </c>
      <c r="DJ940" t="s">
        <v>483</v>
      </c>
      <c r="DK940" t="s">
        <v>1079</v>
      </c>
      <c r="DL940">
        <v>3.85</v>
      </c>
      <c r="DM940" t="s">
        <v>669</v>
      </c>
      <c r="DN940" t="s">
        <v>670</v>
      </c>
      <c r="DO940">
        <v>1</v>
      </c>
      <c r="DP940">
        <v>33924.98</v>
      </c>
      <c r="DQ940">
        <v>33924.98</v>
      </c>
      <c r="DR940" t="s">
        <v>6140</v>
      </c>
      <c r="EB940" t="s">
        <v>6141</v>
      </c>
      <c r="EC940" t="s">
        <v>2418</v>
      </c>
      <c r="EE940" t="s">
        <v>229</v>
      </c>
    </row>
    <row r="941" ht="15" customHeight="1" spans="111:135" x14ac:dyDescent="0.25">
      <c r="DG941" t="s">
        <v>6142</v>
      </c>
      <c r="DH941" t="s">
        <v>87</v>
      </c>
      <c r="DI941" t="s">
        <v>484</v>
      </c>
      <c r="DJ941" t="s">
        <v>485</v>
      </c>
      <c r="DK941" t="s">
        <v>1079</v>
      </c>
      <c r="DL941">
        <v>3.85</v>
      </c>
      <c r="DM941" t="s">
        <v>669</v>
      </c>
      <c r="DN941" t="s">
        <v>670</v>
      </c>
      <c r="DO941">
        <v>1</v>
      </c>
      <c r="DP941">
        <v>33925</v>
      </c>
      <c r="DQ941">
        <v>33925</v>
      </c>
      <c r="DR941" t="s">
        <v>6143</v>
      </c>
      <c r="EB941" t="s">
        <v>6144</v>
      </c>
      <c r="EC941" t="s">
        <v>2418</v>
      </c>
      <c r="EE941" t="s">
        <v>246</v>
      </c>
    </row>
    <row r="942" ht="15" customHeight="1" spans="111:135" x14ac:dyDescent="0.25">
      <c r="DG942" t="s">
        <v>6145</v>
      </c>
      <c r="DH942" t="s">
        <v>87</v>
      </c>
      <c r="DI942" t="s">
        <v>486</v>
      </c>
      <c r="DJ942" t="s">
        <v>487</v>
      </c>
      <c r="DK942" t="s">
        <v>1079</v>
      </c>
      <c r="DL942">
        <v>3.85</v>
      </c>
      <c r="DM942" t="s">
        <v>669</v>
      </c>
      <c r="DN942" t="s">
        <v>670</v>
      </c>
      <c r="DO942">
        <v>1</v>
      </c>
      <c r="DP942">
        <v>33925</v>
      </c>
      <c r="DQ942">
        <v>33925</v>
      </c>
      <c r="DR942" t="s">
        <v>6146</v>
      </c>
      <c r="EB942" t="s">
        <v>6147</v>
      </c>
      <c r="EC942" t="s">
        <v>2418</v>
      </c>
      <c r="EE942" t="s">
        <v>255</v>
      </c>
    </row>
    <row r="943" ht="15" customHeight="1" spans="111:135" x14ac:dyDescent="0.25">
      <c r="DG943" t="s">
        <v>6148</v>
      </c>
      <c r="DH943" t="s">
        <v>87</v>
      </c>
      <c r="DI943" t="s">
        <v>488</v>
      </c>
      <c r="DJ943" t="s">
        <v>489</v>
      </c>
      <c r="DK943" t="s">
        <v>1079</v>
      </c>
      <c r="DL943">
        <v>3.85</v>
      </c>
      <c r="DM943" t="s">
        <v>669</v>
      </c>
      <c r="DN943" t="s">
        <v>670</v>
      </c>
      <c r="DO943">
        <v>1</v>
      </c>
      <c r="DP943">
        <v>33925</v>
      </c>
      <c r="DQ943">
        <v>33925</v>
      </c>
      <c r="DR943" t="s">
        <v>6149</v>
      </c>
      <c r="EB943" t="s">
        <v>6150</v>
      </c>
      <c r="EC943" t="s">
        <v>2418</v>
      </c>
      <c r="EE943" t="s">
        <v>243</v>
      </c>
    </row>
    <row r="944" ht="15" customHeight="1" spans="111:135" x14ac:dyDescent="0.25">
      <c r="DG944" t="s">
        <v>6151</v>
      </c>
      <c r="DH944" t="s">
        <v>87</v>
      </c>
      <c r="DI944" t="s">
        <v>440</v>
      </c>
      <c r="DJ944" t="s">
        <v>441</v>
      </c>
      <c r="DK944" t="s">
        <v>1079</v>
      </c>
      <c r="DL944">
        <v>3.85</v>
      </c>
      <c r="DM944" t="s">
        <v>669</v>
      </c>
      <c r="DN944" t="s">
        <v>670</v>
      </c>
      <c r="DO944">
        <v>2</v>
      </c>
      <c r="DP944">
        <v>26680.1</v>
      </c>
      <c r="DQ944">
        <v>26680.1</v>
      </c>
      <c r="DR944" t="s">
        <v>6152</v>
      </c>
      <c r="EB944" t="s">
        <v>6153</v>
      </c>
      <c r="EC944" t="s">
        <v>2418</v>
      </c>
      <c r="EE944" t="s">
        <v>261</v>
      </c>
    </row>
    <row r="945" ht="15" customHeight="1" spans="111:135" x14ac:dyDescent="0.25">
      <c r="DG945" t="s">
        <v>6154</v>
      </c>
      <c r="DH945" t="s">
        <v>87</v>
      </c>
      <c r="DI945" t="s">
        <v>446</v>
      </c>
      <c r="DJ945" t="s">
        <v>447</v>
      </c>
      <c r="DK945" t="s">
        <v>1079</v>
      </c>
      <c r="DL945">
        <v>3.85</v>
      </c>
      <c r="DM945" t="s">
        <v>669</v>
      </c>
      <c r="DN945" t="s">
        <v>670</v>
      </c>
      <c r="DO945">
        <v>1</v>
      </c>
      <c r="DP945">
        <v>13339.5</v>
      </c>
      <c r="DQ945">
        <v>13339.5</v>
      </c>
      <c r="DR945" t="s">
        <v>6155</v>
      </c>
      <c r="EB945" t="s">
        <v>6156</v>
      </c>
      <c r="EC945" t="s">
        <v>2418</v>
      </c>
      <c r="EE945" t="s">
        <v>296</v>
      </c>
    </row>
    <row r="946" ht="15" customHeight="1" spans="111:140" x14ac:dyDescent="0.25">
      <c r="DG946" t="s">
        <v>6157</v>
      </c>
      <c r="DH946" t="s">
        <v>87</v>
      </c>
      <c r="DI946" t="s">
        <v>464</v>
      </c>
      <c r="DJ946" t="s">
        <v>465</v>
      </c>
      <c r="DK946" t="s">
        <v>1079</v>
      </c>
      <c r="DL946">
        <v>3.85</v>
      </c>
      <c r="DM946" t="s">
        <v>669</v>
      </c>
      <c r="DN946" t="s">
        <v>670</v>
      </c>
      <c r="DO946">
        <v>1</v>
      </c>
      <c r="DP946">
        <v>0.02</v>
      </c>
      <c r="DQ946">
        <v>0.02</v>
      </c>
      <c r="DR946" t="s">
        <v>6158</v>
      </c>
      <c r="EB946" t="s">
        <v>6159</v>
      </c>
      <c r="EC946" t="s">
        <v>2522</v>
      </c>
      <c r="ED946" t="s">
        <v>2523</v>
      </c>
      <c r="EE946" t="s">
        <v>620</v>
      </c>
      <c r="EF946" t="s">
        <v>2250</v>
      </c>
      <c r="EG946">
        <v>550</v>
      </c>
      <c r="EH946">
        <v>590</v>
      </c>
      <c r="EI946">
        <v>660</v>
      </c>
      <c r="EJ946">
        <v>710</v>
      </c>
    </row>
    <row r="947" ht="15" customHeight="1" spans="111:140" x14ac:dyDescent="0.25">
      <c r="DG947" t="s">
        <v>6160</v>
      </c>
      <c r="DH947" t="s">
        <v>87</v>
      </c>
      <c r="DI947" t="s">
        <v>468</v>
      </c>
      <c r="DJ947" t="s">
        <v>467</v>
      </c>
      <c r="DK947" t="s">
        <v>1079</v>
      </c>
      <c r="DL947">
        <v>3.85</v>
      </c>
      <c r="DM947" t="s">
        <v>669</v>
      </c>
      <c r="DN947" t="s">
        <v>670</v>
      </c>
      <c r="DO947">
        <v>1</v>
      </c>
      <c r="DP947">
        <v>0.1</v>
      </c>
      <c r="DQ947">
        <v>0.1</v>
      </c>
      <c r="DR947" t="s">
        <v>5375</v>
      </c>
      <c r="EB947" t="s">
        <v>6161</v>
      </c>
      <c r="EC947" t="s">
        <v>2522</v>
      </c>
      <c r="ED947" t="s">
        <v>2523</v>
      </c>
      <c r="EE947" t="s">
        <v>618</v>
      </c>
      <c r="EF947" t="s">
        <v>2274</v>
      </c>
      <c r="EG947">
        <v>550</v>
      </c>
      <c r="EH947">
        <v>600</v>
      </c>
      <c r="EI947">
        <v>680</v>
      </c>
      <c r="EJ947">
        <v>730</v>
      </c>
    </row>
    <row r="948" ht="15" customHeight="1" spans="111:140" x14ac:dyDescent="0.25">
      <c r="DG948" t="s">
        <v>6162</v>
      </c>
      <c r="DH948" t="s">
        <v>87</v>
      </c>
      <c r="DI948" t="s">
        <v>470</v>
      </c>
      <c r="DJ948" t="s">
        <v>471</v>
      </c>
      <c r="DK948" t="s">
        <v>1079</v>
      </c>
      <c r="DL948">
        <v>3.85</v>
      </c>
      <c r="DM948" t="s">
        <v>669</v>
      </c>
      <c r="DN948" t="s">
        <v>670</v>
      </c>
      <c r="DO948">
        <v>1</v>
      </c>
      <c r="DP948">
        <v>5730</v>
      </c>
      <c r="DQ948">
        <v>5730</v>
      </c>
      <c r="DR948" t="s">
        <v>6163</v>
      </c>
      <c r="EB948" t="s">
        <v>6164</v>
      </c>
      <c r="EC948" t="s">
        <v>2522</v>
      </c>
      <c r="ED948" t="s">
        <v>2523</v>
      </c>
      <c r="EE948" t="s">
        <v>616</v>
      </c>
      <c r="EF948" t="s">
        <v>2291</v>
      </c>
      <c r="EG948">
        <v>1920</v>
      </c>
      <c r="EH948">
        <v>2090</v>
      </c>
      <c r="EI948">
        <v>2370</v>
      </c>
      <c r="EJ948">
        <v>2550</v>
      </c>
    </row>
    <row r="949" ht="15" customHeight="1" spans="111:140" x14ac:dyDescent="0.25">
      <c r="DG949" t="s">
        <v>6165</v>
      </c>
      <c r="DH949" t="s">
        <v>87</v>
      </c>
      <c r="DI949" t="s">
        <v>458</v>
      </c>
      <c r="DJ949" t="s">
        <v>459</v>
      </c>
      <c r="DK949" t="s">
        <v>1079</v>
      </c>
      <c r="DL949">
        <v>3.85</v>
      </c>
      <c r="DM949" t="s">
        <v>669</v>
      </c>
      <c r="DN949" t="s">
        <v>670</v>
      </c>
      <c r="DO949">
        <v>1</v>
      </c>
      <c r="DP949">
        <v>13340.05</v>
      </c>
      <c r="DQ949">
        <v>13340.05</v>
      </c>
      <c r="DR949" t="s">
        <v>6166</v>
      </c>
      <c r="EB949" t="s">
        <v>6167</v>
      </c>
      <c r="EC949" t="s">
        <v>2522</v>
      </c>
      <c r="ED949" t="s">
        <v>2523</v>
      </c>
      <c r="EE949" t="s">
        <v>614</v>
      </c>
      <c r="EF949" t="s">
        <v>2304</v>
      </c>
      <c r="EG949">
        <v>730</v>
      </c>
      <c r="EH949">
        <v>840</v>
      </c>
      <c r="EI949">
        <v>950</v>
      </c>
      <c r="EJ949">
        <v>1020</v>
      </c>
    </row>
    <row r="950" ht="15" customHeight="1" spans="111:140" x14ac:dyDescent="0.25">
      <c r="DG950" t="s">
        <v>6168</v>
      </c>
      <c r="DH950" t="s">
        <v>87</v>
      </c>
      <c r="DI950" t="s">
        <v>409</v>
      </c>
      <c r="DJ950" t="s">
        <v>410</v>
      </c>
      <c r="DK950" t="s">
        <v>1079</v>
      </c>
      <c r="DL950">
        <v>3.85</v>
      </c>
      <c r="DM950" t="s">
        <v>669</v>
      </c>
      <c r="DN950" t="s">
        <v>670</v>
      </c>
      <c r="DO950">
        <v>1</v>
      </c>
      <c r="DP950">
        <v>36130</v>
      </c>
      <c r="DQ950">
        <v>36130</v>
      </c>
      <c r="DR950" t="s">
        <v>6169</v>
      </c>
      <c r="EB950" t="s">
        <v>6170</v>
      </c>
      <c r="EC950" t="s">
        <v>2522</v>
      </c>
      <c r="ED950" t="s">
        <v>2523</v>
      </c>
      <c r="EE950" t="s">
        <v>612</v>
      </c>
      <c r="EF950" t="s">
        <v>2320</v>
      </c>
      <c r="EG950">
        <v>430</v>
      </c>
      <c r="EH950">
        <v>490</v>
      </c>
      <c r="EI950">
        <v>560</v>
      </c>
      <c r="EJ950">
        <v>600</v>
      </c>
    </row>
    <row r="951" ht="15" customHeight="1" spans="111:140" x14ac:dyDescent="0.25">
      <c r="DG951" t="s">
        <v>6171</v>
      </c>
      <c r="DH951" t="s">
        <v>87</v>
      </c>
      <c r="DI951" t="s">
        <v>406</v>
      </c>
      <c r="DJ951" t="s">
        <v>1824</v>
      </c>
      <c r="DK951" t="s">
        <v>1079</v>
      </c>
      <c r="DL951">
        <v>3.85</v>
      </c>
      <c r="DM951" t="s">
        <v>669</v>
      </c>
      <c r="DN951" t="s">
        <v>670</v>
      </c>
      <c r="DO951">
        <v>1</v>
      </c>
      <c r="DP951">
        <v>36130</v>
      </c>
      <c r="DQ951">
        <v>36130</v>
      </c>
      <c r="DR951" t="s">
        <v>6172</v>
      </c>
      <c r="EB951" t="s">
        <v>6173</v>
      </c>
      <c r="EC951" t="s">
        <v>2522</v>
      </c>
      <c r="ED951" t="s">
        <v>2523</v>
      </c>
      <c r="EE951" t="s">
        <v>610</v>
      </c>
      <c r="EF951" t="s">
        <v>2336</v>
      </c>
      <c r="EG951">
        <v>460</v>
      </c>
      <c r="EH951">
        <v>500</v>
      </c>
      <c r="EI951">
        <v>550</v>
      </c>
      <c r="EJ951">
        <v>590</v>
      </c>
    </row>
    <row r="952" ht="15" customHeight="1" spans="111:140" x14ac:dyDescent="0.25">
      <c r="DG952" t="s">
        <v>6174</v>
      </c>
      <c r="DH952" t="s">
        <v>87</v>
      </c>
      <c r="DI952" t="s">
        <v>412</v>
      </c>
      <c r="DJ952" t="s">
        <v>413</v>
      </c>
      <c r="DK952" t="s">
        <v>1079</v>
      </c>
      <c r="DL952">
        <v>3.85</v>
      </c>
      <c r="DM952" t="s">
        <v>669</v>
      </c>
      <c r="DN952" t="s">
        <v>670</v>
      </c>
      <c r="DO952">
        <v>1</v>
      </c>
      <c r="DP952">
        <v>36130</v>
      </c>
      <c r="DQ952">
        <v>36130</v>
      </c>
      <c r="DR952" t="s">
        <v>6175</v>
      </c>
      <c r="EB952" t="s">
        <v>6176</v>
      </c>
      <c r="EC952" t="s">
        <v>2522</v>
      </c>
      <c r="ED952" t="s">
        <v>2523</v>
      </c>
      <c r="EE952" t="s">
        <v>608</v>
      </c>
      <c r="EF952" t="s">
        <v>2352</v>
      </c>
      <c r="EG952">
        <v>1080</v>
      </c>
      <c r="EH952">
        <v>1180</v>
      </c>
      <c r="EI952">
        <v>1270</v>
      </c>
      <c r="EJ952">
        <v>1370</v>
      </c>
    </row>
    <row r="953" ht="15" customHeight="1" spans="111:140" x14ac:dyDescent="0.25">
      <c r="DG953" t="s">
        <v>6177</v>
      </c>
      <c r="DH953" t="s">
        <v>87</v>
      </c>
      <c r="DI953" t="s">
        <v>452</v>
      </c>
      <c r="DJ953" t="s">
        <v>453</v>
      </c>
      <c r="DK953" t="s">
        <v>1079</v>
      </c>
      <c r="DL953">
        <v>3.85</v>
      </c>
      <c r="DM953" t="s">
        <v>669</v>
      </c>
      <c r="DN953" t="s">
        <v>670</v>
      </c>
      <c r="DO953">
        <v>1</v>
      </c>
      <c r="DP953">
        <v>13340.05</v>
      </c>
      <c r="DQ953">
        <v>13340.05</v>
      </c>
      <c r="DR953" t="s">
        <v>6178</v>
      </c>
      <c r="EB953" t="s">
        <v>6179</v>
      </c>
      <c r="EC953" t="s">
        <v>2522</v>
      </c>
      <c r="ED953" t="s">
        <v>2523</v>
      </c>
      <c r="EE953" t="s">
        <v>606</v>
      </c>
      <c r="EF953" t="s">
        <v>2371</v>
      </c>
      <c r="EG953">
        <v>740</v>
      </c>
      <c r="EH953">
        <v>740</v>
      </c>
      <c r="EI953">
        <v>740</v>
      </c>
      <c r="EJ953">
        <v>770</v>
      </c>
    </row>
    <row r="954" ht="15" customHeight="1" spans="111:140" x14ac:dyDescent="0.25">
      <c r="DG954" t="s">
        <v>6180</v>
      </c>
      <c r="DH954" t="s">
        <v>87</v>
      </c>
      <c r="DI954" t="s">
        <v>450</v>
      </c>
      <c r="DJ954" t="s">
        <v>451</v>
      </c>
      <c r="DK954" t="s">
        <v>1079</v>
      </c>
      <c r="DL954">
        <v>3.85</v>
      </c>
      <c r="DM954" t="s">
        <v>669</v>
      </c>
      <c r="DN954" t="s">
        <v>670</v>
      </c>
      <c r="DO954">
        <v>1</v>
      </c>
      <c r="DP954">
        <v>13340</v>
      </c>
      <c r="DQ954">
        <v>13340</v>
      </c>
      <c r="DR954" t="s">
        <v>6181</v>
      </c>
      <c r="EB954" t="s">
        <v>6182</v>
      </c>
      <c r="EC954" t="s">
        <v>2522</v>
      </c>
      <c r="ED954" t="s">
        <v>2523</v>
      </c>
      <c r="EE954" t="s">
        <v>603</v>
      </c>
      <c r="EF954" t="s">
        <v>2387</v>
      </c>
      <c r="EG954">
        <v>280</v>
      </c>
      <c r="EH954">
        <v>280</v>
      </c>
      <c r="EI954">
        <v>280</v>
      </c>
      <c r="EJ954">
        <v>280</v>
      </c>
    </row>
    <row r="955" ht="15" customHeight="1" spans="111:140" x14ac:dyDescent="0.25">
      <c r="DG955" t="s">
        <v>6183</v>
      </c>
      <c r="DH955" t="s">
        <v>87</v>
      </c>
      <c r="DI955" t="s">
        <v>448</v>
      </c>
      <c r="DJ955" t="s">
        <v>449</v>
      </c>
      <c r="DK955" t="s">
        <v>1079</v>
      </c>
      <c r="DL955">
        <v>3.85</v>
      </c>
      <c r="DM955" t="s">
        <v>669</v>
      </c>
      <c r="DN955" t="s">
        <v>670</v>
      </c>
      <c r="DO955">
        <v>1</v>
      </c>
      <c r="DP955">
        <v>13340.05</v>
      </c>
      <c r="DQ955">
        <v>13340.05</v>
      </c>
      <c r="DR955" t="s">
        <v>6184</v>
      </c>
      <c r="EB955" t="s">
        <v>6185</v>
      </c>
      <c r="EC955" t="s">
        <v>2522</v>
      </c>
      <c r="ED955" t="s">
        <v>2523</v>
      </c>
      <c r="EE955" t="s">
        <v>601</v>
      </c>
      <c r="EF955" t="s">
        <v>2404</v>
      </c>
      <c r="EG955">
        <v>800</v>
      </c>
      <c r="EH955">
        <v>820</v>
      </c>
      <c r="EI955">
        <v>920</v>
      </c>
      <c r="EJ955">
        <v>990</v>
      </c>
    </row>
    <row r="956" ht="15" customHeight="1" spans="111:135" x14ac:dyDescent="0.25">
      <c r="DG956" t="s">
        <v>6186</v>
      </c>
      <c r="DH956" t="s">
        <v>87</v>
      </c>
      <c r="DI956" t="s">
        <v>460</v>
      </c>
      <c r="DJ956" t="s">
        <v>461</v>
      </c>
      <c r="DK956" t="s">
        <v>1079</v>
      </c>
      <c r="DL956">
        <v>3.85</v>
      </c>
      <c r="DM956" t="s">
        <v>669</v>
      </c>
      <c r="DN956" t="s">
        <v>670</v>
      </c>
      <c r="DO956">
        <v>1</v>
      </c>
      <c r="DP956">
        <v>13340.05</v>
      </c>
      <c r="DQ956">
        <v>13340.05</v>
      </c>
      <c r="DR956" t="s">
        <v>6187</v>
      </c>
      <c r="EB956" t="s">
        <v>6188</v>
      </c>
      <c r="EC956" t="s">
        <v>2522</v>
      </c>
      <c r="EE956" t="s">
        <v>599</v>
      </c>
    </row>
    <row r="957" ht="15" customHeight="1" spans="111:140" x14ac:dyDescent="0.25">
      <c r="DG957" t="s">
        <v>6189</v>
      </c>
      <c r="DH957" t="s">
        <v>87</v>
      </c>
      <c r="DI957" t="s">
        <v>490</v>
      </c>
      <c r="DJ957" t="s">
        <v>491</v>
      </c>
      <c r="DK957" t="s">
        <v>1079</v>
      </c>
      <c r="DL957">
        <v>3.85</v>
      </c>
      <c r="DM957" t="s">
        <v>669</v>
      </c>
      <c r="DN957" t="s">
        <v>670</v>
      </c>
      <c r="DO957">
        <v>1</v>
      </c>
      <c r="DP957">
        <v>23735.05</v>
      </c>
      <c r="DQ957">
        <v>23735.05</v>
      </c>
      <c r="DR957" t="s">
        <v>6190</v>
      </c>
      <c r="EB957" t="s">
        <v>6191</v>
      </c>
      <c r="EC957" t="s">
        <v>2522</v>
      </c>
      <c r="ED957" t="s">
        <v>2523</v>
      </c>
      <c r="EE957" t="s">
        <v>623</v>
      </c>
      <c r="EF957" t="s">
        <v>2437</v>
      </c>
      <c r="EG957">
        <v>1480</v>
      </c>
      <c r="EH957">
        <v>1480</v>
      </c>
      <c r="EI957">
        <v>1480</v>
      </c>
      <c r="EJ957">
        <v>1480</v>
      </c>
    </row>
    <row r="958" ht="15" customHeight="1" spans="111:135" x14ac:dyDescent="0.25">
      <c r="DG958" t="s">
        <v>6192</v>
      </c>
      <c r="DH958" t="s">
        <v>87</v>
      </c>
      <c r="DI958" t="s">
        <v>492</v>
      </c>
      <c r="DJ958" t="s">
        <v>493</v>
      </c>
      <c r="DK958" t="s">
        <v>1079</v>
      </c>
      <c r="DL958">
        <v>3.85</v>
      </c>
      <c r="DM958" t="s">
        <v>669</v>
      </c>
      <c r="DN958" t="s">
        <v>670</v>
      </c>
      <c r="DO958">
        <v>1</v>
      </c>
      <c r="DP958">
        <v>39660</v>
      </c>
      <c r="DQ958">
        <v>39660</v>
      </c>
      <c r="DR958" t="s">
        <v>6193</v>
      </c>
      <c r="EB958" t="s">
        <v>6194</v>
      </c>
      <c r="EC958" t="s">
        <v>2522</v>
      </c>
      <c r="EE958" t="s">
        <v>596</v>
      </c>
    </row>
    <row r="959" ht="15" customHeight="1" spans="111:135" x14ac:dyDescent="0.25">
      <c r="DG959" t="s">
        <v>6195</v>
      </c>
      <c r="DH959" t="s">
        <v>87</v>
      </c>
      <c r="DI959" t="s">
        <v>494</v>
      </c>
      <c r="DJ959" t="s">
        <v>495</v>
      </c>
      <c r="DK959" t="s">
        <v>1079</v>
      </c>
      <c r="DL959">
        <v>3.85</v>
      </c>
      <c r="DM959" t="s">
        <v>669</v>
      </c>
      <c r="DN959" t="s">
        <v>670</v>
      </c>
      <c r="DO959">
        <v>1</v>
      </c>
      <c r="DP959">
        <v>39660</v>
      </c>
      <c r="DQ959">
        <v>39660</v>
      </c>
      <c r="DR959" t="s">
        <v>6196</v>
      </c>
      <c r="EB959" t="s">
        <v>6197</v>
      </c>
      <c r="EC959" t="s">
        <v>2522</v>
      </c>
      <c r="EE959" t="s">
        <v>593</v>
      </c>
    </row>
    <row r="960" ht="15" customHeight="1" spans="111:135" x14ac:dyDescent="0.25">
      <c r="DG960" t="s">
        <v>6198</v>
      </c>
      <c r="DH960" t="s">
        <v>87</v>
      </c>
      <c r="DI960" t="s">
        <v>496</v>
      </c>
      <c r="DJ960" t="s">
        <v>1827</v>
      </c>
      <c r="DK960" t="s">
        <v>1079</v>
      </c>
      <c r="DL960">
        <v>3.85</v>
      </c>
      <c r="DM960" t="s">
        <v>669</v>
      </c>
      <c r="DN960" t="s">
        <v>670</v>
      </c>
      <c r="DO960">
        <v>1</v>
      </c>
      <c r="DP960">
        <v>39660</v>
      </c>
      <c r="DQ960">
        <v>39660</v>
      </c>
      <c r="DR960" t="s">
        <v>6199</v>
      </c>
      <c r="EB960" t="s">
        <v>6200</v>
      </c>
      <c r="EC960" t="s">
        <v>2522</v>
      </c>
      <c r="EE960" t="s">
        <v>591</v>
      </c>
    </row>
    <row r="961" ht="15" customHeight="1" spans="111:140" x14ac:dyDescent="0.25">
      <c r="DG961" t="s">
        <v>6201</v>
      </c>
      <c r="DH961" t="s">
        <v>87</v>
      </c>
      <c r="DI961" t="s">
        <v>498</v>
      </c>
      <c r="DJ961" t="s">
        <v>499</v>
      </c>
      <c r="DK961" t="s">
        <v>1079</v>
      </c>
      <c r="DL961">
        <v>3.85</v>
      </c>
      <c r="DM961" t="s">
        <v>669</v>
      </c>
      <c r="DN961" t="s">
        <v>670</v>
      </c>
      <c r="DO961">
        <v>1</v>
      </c>
      <c r="DP961">
        <v>39660</v>
      </c>
      <c r="DQ961">
        <v>39660</v>
      </c>
      <c r="DR961" t="s">
        <v>6202</v>
      </c>
      <c r="EB961" t="s">
        <v>6203</v>
      </c>
      <c r="EC961" t="s">
        <v>2522</v>
      </c>
      <c r="ED961" t="s">
        <v>2523</v>
      </c>
      <c r="EE961" t="s">
        <v>2423</v>
      </c>
      <c r="EF961" t="s">
        <v>2424</v>
      </c>
      <c r="EG961">
        <v>45900</v>
      </c>
      <c r="EH961">
        <v>45900</v>
      </c>
      <c r="EI961">
        <v>45900</v>
      </c>
      <c r="EJ961">
        <v>45900</v>
      </c>
    </row>
    <row r="962" ht="15" customHeight="1" spans="111:135" x14ac:dyDescent="0.25">
      <c r="DG962" t="s">
        <v>6204</v>
      </c>
      <c r="DH962" t="s">
        <v>87</v>
      </c>
      <c r="DI962" t="s">
        <v>500</v>
      </c>
      <c r="DJ962" t="s">
        <v>501</v>
      </c>
      <c r="DK962" t="s">
        <v>1079</v>
      </c>
      <c r="DL962">
        <v>3.85</v>
      </c>
      <c r="DM962" t="s">
        <v>669</v>
      </c>
      <c r="DN962" t="s">
        <v>670</v>
      </c>
      <c r="DO962">
        <v>1</v>
      </c>
      <c r="DP962">
        <v>23735</v>
      </c>
      <c r="DQ962">
        <v>23735</v>
      </c>
      <c r="DR962" t="s">
        <v>6205</v>
      </c>
      <c r="EB962" t="s">
        <v>6206</v>
      </c>
      <c r="EC962" t="s">
        <v>2522</v>
      </c>
      <c r="EE962" t="s">
        <v>584</v>
      </c>
    </row>
    <row r="963" ht="15" customHeight="1" spans="111:140" x14ac:dyDescent="0.25">
      <c r="DG963" t="s">
        <v>6207</v>
      </c>
      <c r="DH963" t="s">
        <v>87</v>
      </c>
      <c r="DI963" t="s">
        <v>506</v>
      </c>
      <c r="DJ963" t="s">
        <v>507</v>
      </c>
      <c r="DK963" t="s">
        <v>1079</v>
      </c>
      <c r="DL963">
        <v>3.85</v>
      </c>
      <c r="DM963" t="s">
        <v>669</v>
      </c>
      <c r="DN963" t="s">
        <v>670</v>
      </c>
      <c r="DO963">
        <v>1</v>
      </c>
      <c r="DP963">
        <v>0.1</v>
      </c>
      <c r="DQ963">
        <v>0.1</v>
      </c>
      <c r="DR963" t="s">
        <v>6208</v>
      </c>
      <c r="EB963" t="s">
        <v>6209</v>
      </c>
      <c r="EC963" t="s">
        <v>2522</v>
      </c>
      <c r="ED963" t="s">
        <v>2523</v>
      </c>
      <c r="EE963" t="s">
        <v>582</v>
      </c>
      <c r="EF963" t="s">
        <v>2525</v>
      </c>
      <c r="EG963">
        <v>500</v>
      </c>
      <c r="EH963">
        <v>570</v>
      </c>
      <c r="EI963">
        <v>640</v>
      </c>
      <c r="EJ963">
        <v>690</v>
      </c>
    </row>
    <row r="964" ht="15" customHeight="1" spans="111:140" x14ac:dyDescent="0.25">
      <c r="DG964" t="s">
        <v>6210</v>
      </c>
      <c r="DH964" t="s">
        <v>87</v>
      </c>
      <c r="DI964" t="s">
        <v>504</v>
      </c>
      <c r="DJ964" t="s">
        <v>1829</v>
      </c>
      <c r="DK964" t="s">
        <v>1079</v>
      </c>
      <c r="DL964">
        <v>3.85</v>
      </c>
      <c r="DM964" t="s">
        <v>669</v>
      </c>
      <c r="DN964" t="s">
        <v>670</v>
      </c>
      <c r="DO964">
        <v>1</v>
      </c>
      <c r="DP964">
        <v>0.02</v>
      </c>
      <c r="DQ964">
        <v>0.02</v>
      </c>
      <c r="DR964" t="s">
        <v>6211</v>
      </c>
      <c r="EB964" t="s">
        <v>6212</v>
      </c>
      <c r="EC964" t="s">
        <v>2522</v>
      </c>
      <c r="ED964" t="s">
        <v>2523</v>
      </c>
      <c r="EE964" t="s">
        <v>580</v>
      </c>
      <c r="EF964" t="s">
        <v>2539</v>
      </c>
      <c r="EG964">
        <v>8850</v>
      </c>
      <c r="EH964">
        <v>10180</v>
      </c>
      <c r="EI964">
        <v>11500</v>
      </c>
      <c r="EJ964">
        <v>12390</v>
      </c>
    </row>
    <row r="965" ht="15" customHeight="1" spans="111:135" x14ac:dyDescent="0.25">
      <c r="DG965" t="s">
        <v>6213</v>
      </c>
      <c r="DH965" t="s">
        <v>87</v>
      </c>
      <c r="DI965" t="s">
        <v>454</v>
      </c>
      <c r="DJ965" t="s">
        <v>455</v>
      </c>
      <c r="DK965" t="s">
        <v>1079</v>
      </c>
      <c r="DL965">
        <v>3.85</v>
      </c>
      <c r="DM965" t="s">
        <v>669</v>
      </c>
      <c r="DN965" t="s">
        <v>670</v>
      </c>
      <c r="DO965">
        <v>1</v>
      </c>
      <c r="DP965">
        <v>13340</v>
      </c>
      <c r="DQ965">
        <v>13340</v>
      </c>
      <c r="DR965" t="s">
        <v>6214</v>
      </c>
      <c r="EB965" t="s">
        <v>6215</v>
      </c>
      <c r="EC965" t="s">
        <v>2522</v>
      </c>
      <c r="EE965" t="s">
        <v>578</v>
      </c>
    </row>
    <row r="966" ht="15" customHeight="1" spans="111:140" x14ac:dyDescent="0.25">
      <c r="DG966" t="s">
        <v>6216</v>
      </c>
      <c r="DH966" t="s">
        <v>87</v>
      </c>
      <c r="DI966" t="s">
        <v>456</v>
      </c>
      <c r="DJ966" t="s">
        <v>457</v>
      </c>
      <c r="DK966" t="s">
        <v>1079</v>
      </c>
      <c r="DL966">
        <v>3.85</v>
      </c>
      <c r="DM966" t="s">
        <v>669</v>
      </c>
      <c r="DN966" t="s">
        <v>670</v>
      </c>
      <c r="DO966">
        <v>1</v>
      </c>
      <c r="DP966">
        <v>13340.05</v>
      </c>
      <c r="DQ966">
        <v>13340.05</v>
      </c>
      <c r="DR966" t="s">
        <v>6217</v>
      </c>
      <c r="EB966" t="s">
        <v>6218</v>
      </c>
      <c r="EC966" t="s">
        <v>2522</v>
      </c>
      <c r="ED966" t="s">
        <v>2523</v>
      </c>
      <c r="EE966" t="s">
        <v>327</v>
      </c>
      <c r="EF966" t="s">
        <v>328</v>
      </c>
      <c r="EG966">
        <v>1030</v>
      </c>
      <c r="EH966">
        <v>1180</v>
      </c>
      <c r="EI966">
        <v>1340</v>
      </c>
      <c r="EJ966">
        <v>1440</v>
      </c>
    </row>
    <row r="967" ht="15" customHeight="1" spans="111:140" x14ac:dyDescent="0.25">
      <c r="DG967" t="s">
        <v>6219</v>
      </c>
      <c r="DH967" t="s">
        <v>87</v>
      </c>
      <c r="DJ967" t="s">
        <v>1150</v>
      </c>
      <c r="DK967" t="s">
        <v>692</v>
      </c>
      <c r="DL967">
        <v>3.85</v>
      </c>
      <c r="DM967" t="s">
        <v>669</v>
      </c>
      <c r="DN967" t="s">
        <v>669</v>
      </c>
      <c r="DO967">
        <v>0</v>
      </c>
      <c r="DP967">
        <v>0</v>
      </c>
      <c r="DQ967">
        <v>0</v>
      </c>
      <c r="DR967" t="s">
        <v>5324</v>
      </c>
      <c r="EB967" t="s">
        <v>6220</v>
      </c>
      <c r="EC967" t="s">
        <v>2522</v>
      </c>
      <c r="ED967" t="s">
        <v>2523</v>
      </c>
      <c r="EE967" t="s">
        <v>330</v>
      </c>
      <c r="EF967" t="s">
        <v>331</v>
      </c>
      <c r="EG967">
        <v>550</v>
      </c>
      <c r="EH967">
        <v>630</v>
      </c>
      <c r="EI967">
        <v>720</v>
      </c>
      <c r="EJ967">
        <v>770</v>
      </c>
    </row>
    <row r="968" ht="15" customHeight="1" spans="111:135" x14ac:dyDescent="0.25">
      <c r="DG968" t="s">
        <v>6221</v>
      </c>
      <c r="DH968" t="s">
        <v>87</v>
      </c>
      <c r="DJ968" t="s">
        <v>1830</v>
      </c>
      <c r="DK968" t="s">
        <v>692</v>
      </c>
      <c r="DL968">
        <v>3.85</v>
      </c>
      <c r="DM968" t="s">
        <v>669</v>
      </c>
      <c r="DN968" t="s">
        <v>669</v>
      </c>
      <c r="DO968">
        <v>0</v>
      </c>
      <c r="DP968">
        <v>0</v>
      </c>
      <c r="DQ968">
        <v>0</v>
      </c>
      <c r="DR968" t="s">
        <v>6222</v>
      </c>
      <c r="EB968" t="s">
        <v>6223</v>
      </c>
      <c r="EC968" t="s">
        <v>2522</v>
      </c>
      <c r="EE968" t="s">
        <v>576</v>
      </c>
    </row>
    <row r="969" ht="15" customHeight="1" spans="111:140" x14ac:dyDescent="0.25">
      <c r="DG969" t="s">
        <v>6224</v>
      </c>
      <c r="DH969" t="s">
        <v>87</v>
      </c>
      <c r="DJ969" t="s">
        <v>941</v>
      </c>
      <c r="DK969" t="s">
        <v>692</v>
      </c>
      <c r="DL969">
        <v>3.85</v>
      </c>
      <c r="DM969" t="s">
        <v>669</v>
      </c>
      <c r="DN969" t="s">
        <v>669</v>
      </c>
      <c r="DO969">
        <v>0</v>
      </c>
      <c r="DP969">
        <v>0</v>
      </c>
      <c r="DQ969">
        <v>0</v>
      </c>
      <c r="DR969" t="s">
        <v>5126</v>
      </c>
      <c r="EB969" t="s">
        <v>6225</v>
      </c>
      <c r="EC969" t="s">
        <v>2522</v>
      </c>
      <c r="ED969" t="s">
        <v>2523</v>
      </c>
      <c r="EE969" t="s">
        <v>573</v>
      </c>
      <c r="EF969" t="s">
        <v>2613</v>
      </c>
      <c r="EG969">
        <v>1510</v>
      </c>
      <c r="EH969">
        <v>1510</v>
      </c>
      <c r="EI969">
        <v>1510</v>
      </c>
      <c r="EJ969">
        <v>1510</v>
      </c>
    </row>
    <row r="970" ht="15" customHeight="1" spans="111:140" x14ac:dyDescent="0.25">
      <c r="DG970" t="s">
        <v>6226</v>
      </c>
      <c r="DH970" t="s">
        <v>87</v>
      </c>
      <c r="DJ970" t="s">
        <v>700</v>
      </c>
      <c r="DK970" t="s">
        <v>692</v>
      </c>
      <c r="DL970">
        <v>3.85</v>
      </c>
      <c r="DM970" t="s">
        <v>669</v>
      </c>
      <c r="DN970" t="s">
        <v>669</v>
      </c>
      <c r="DO970">
        <v>0</v>
      </c>
      <c r="DP970">
        <v>0</v>
      </c>
      <c r="DQ970">
        <v>0</v>
      </c>
      <c r="DR970" t="s">
        <v>4941</v>
      </c>
      <c r="EB970" t="s">
        <v>6227</v>
      </c>
      <c r="EC970" t="s">
        <v>2522</v>
      </c>
      <c r="ED970" t="s">
        <v>2523</v>
      </c>
      <c r="EE970" t="s">
        <v>569</v>
      </c>
      <c r="EF970" t="s">
        <v>567</v>
      </c>
      <c r="EG970">
        <v>1400</v>
      </c>
      <c r="EH970">
        <v>1440</v>
      </c>
      <c r="EI970">
        <v>1630</v>
      </c>
      <c r="EJ970">
        <v>1750</v>
      </c>
    </row>
    <row r="971" ht="15" customHeight="1" spans="111:140" x14ac:dyDescent="0.25">
      <c r="DG971" t="s">
        <v>6228</v>
      </c>
      <c r="DH971" t="s">
        <v>87</v>
      </c>
      <c r="DJ971" t="s">
        <v>1386</v>
      </c>
      <c r="DK971" t="s">
        <v>692</v>
      </c>
      <c r="DL971">
        <v>3.85</v>
      </c>
      <c r="DM971" t="s">
        <v>669</v>
      </c>
      <c r="DN971" t="s">
        <v>669</v>
      </c>
      <c r="DO971">
        <v>0</v>
      </c>
      <c r="DP971">
        <v>0</v>
      </c>
      <c r="DQ971">
        <v>0</v>
      </c>
      <c r="DR971" t="s">
        <v>5556</v>
      </c>
      <c r="EB971" t="s">
        <v>6229</v>
      </c>
      <c r="EC971" t="s">
        <v>2522</v>
      </c>
      <c r="ED971" t="s">
        <v>2523</v>
      </c>
      <c r="EE971" t="s">
        <v>2641</v>
      </c>
      <c r="EF971" t="s">
        <v>4512</v>
      </c>
      <c r="EG971">
        <v>2950</v>
      </c>
      <c r="EH971">
        <v>2950</v>
      </c>
      <c r="EI971">
        <v>2950</v>
      </c>
      <c r="EJ971">
        <v>2950</v>
      </c>
    </row>
    <row r="972" ht="15" customHeight="1" spans="111:140" x14ac:dyDescent="0.25">
      <c r="DG972" t="s">
        <v>6230</v>
      </c>
      <c r="DH972" t="s">
        <v>87</v>
      </c>
      <c r="DJ972" t="s">
        <v>1057</v>
      </c>
      <c r="DK972" t="s">
        <v>692</v>
      </c>
      <c r="DL972">
        <v>3.85</v>
      </c>
      <c r="DM972" t="s">
        <v>669</v>
      </c>
      <c r="DN972" t="s">
        <v>669</v>
      </c>
      <c r="DO972">
        <v>0</v>
      </c>
      <c r="DP972">
        <v>0</v>
      </c>
      <c r="DQ972">
        <v>0</v>
      </c>
      <c r="DR972" t="s">
        <v>5227</v>
      </c>
      <c r="EB972" t="s">
        <v>6231</v>
      </c>
      <c r="EC972" t="s">
        <v>2522</v>
      </c>
      <c r="ED972" t="s">
        <v>2523</v>
      </c>
      <c r="EE972" t="s">
        <v>2656</v>
      </c>
      <c r="EF972" t="s">
        <v>3133</v>
      </c>
      <c r="EG972">
        <v>5950</v>
      </c>
      <c r="EH972">
        <v>5950</v>
      </c>
      <c r="EI972">
        <v>5950</v>
      </c>
      <c r="EJ972">
        <v>5950</v>
      </c>
    </row>
    <row r="973" ht="15" customHeight="1" spans="111:140" x14ac:dyDescent="0.25">
      <c r="DG973" t="s">
        <v>6232</v>
      </c>
      <c r="DH973" t="s">
        <v>87</v>
      </c>
      <c r="DJ973" t="s">
        <v>1556</v>
      </c>
      <c r="DK973" t="s">
        <v>692</v>
      </c>
      <c r="DL973">
        <v>3.85</v>
      </c>
      <c r="DM973" t="s">
        <v>669</v>
      </c>
      <c r="DN973" t="s">
        <v>669</v>
      </c>
      <c r="DO973">
        <v>0</v>
      </c>
      <c r="DP973">
        <v>0</v>
      </c>
      <c r="DQ973">
        <v>0</v>
      </c>
      <c r="DR973" t="s">
        <v>5759</v>
      </c>
      <c r="EB973" t="s">
        <v>6233</v>
      </c>
      <c r="EC973" t="s">
        <v>2522</v>
      </c>
      <c r="ED973" t="s">
        <v>2523</v>
      </c>
      <c r="EE973" t="s">
        <v>2670</v>
      </c>
      <c r="EF973" t="s">
        <v>4519</v>
      </c>
      <c r="EG973">
        <v>9000</v>
      </c>
      <c r="EH973">
        <v>9000</v>
      </c>
      <c r="EI973">
        <v>9000</v>
      </c>
      <c r="EJ973">
        <v>9000</v>
      </c>
    </row>
    <row r="974" ht="15" customHeight="1" spans="111:135" x14ac:dyDescent="0.25">
      <c r="DG974" t="s">
        <v>6234</v>
      </c>
      <c r="DH974" t="s">
        <v>87</v>
      </c>
      <c r="DJ974" t="s">
        <v>1831</v>
      </c>
      <c r="DK974" t="s">
        <v>692</v>
      </c>
      <c r="DL974">
        <v>3.85</v>
      </c>
      <c r="DM974" t="s">
        <v>669</v>
      </c>
      <c r="DN974" t="s">
        <v>669</v>
      </c>
      <c r="DO974">
        <v>0</v>
      </c>
      <c r="DP974">
        <v>0</v>
      </c>
      <c r="DQ974">
        <v>0</v>
      </c>
      <c r="DR974" t="s">
        <v>6235</v>
      </c>
      <c r="EB974" t="s">
        <v>6236</v>
      </c>
      <c r="EC974" t="s">
        <v>2522</v>
      </c>
      <c r="EE974" t="s">
        <v>561</v>
      </c>
    </row>
    <row r="975" ht="15" customHeight="1" spans="111:140" x14ac:dyDescent="0.25">
      <c r="DG975" t="s">
        <v>6237</v>
      </c>
      <c r="DH975" t="s">
        <v>87</v>
      </c>
      <c r="DJ975" t="s">
        <v>711</v>
      </c>
      <c r="DK975" t="s">
        <v>692</v>
      </c>
      <c r="DL975">
        <v>3.85</v>
      </c>
      <c r="DM975" t="s">
        <v>669</v>
      </c>
      <c r="DN975" t="s">
        <v>669</v>
      </c>
      <c r="DO975">
        <v>0</v>
      </c>
      <c r="DP975">
        <v>0</v>
      </c>
      <c r="DQ975">
        <v>0</v>
      </c>
      <c r="DR975" t="s">
        <v>4950</v>
      </c>
      <c r="EB975" t="s">
        <v>6238</v>
      </c>
      <c r="EC975" t="s">
        <v>2522</v>
      </c>
      <c r="ED975" t="s">
        <v>2523</v>
      </c>
      <c r="EE975" t="s">
        <v>563</v>
      </c>
      <c r="EF975" t="s">
        <v>4526</v>
      </c>
      <c r="EG975">
        <v>17000</v>
      </c>
      <c r="EH975">
        <v>17000</v>
      </c>
      <c r="EI975">
        <v>17000</v>
      </c>
      <c r="EJ975">
        <v>17000</v>
      </c>
    </row>
    <row r="976" ht="15" customHeight="1" spans="111:140" x14ac:dyDescent="0.25">
      <c r="DG976" t="s">
        <v>6239</v>
      </c>
      <c r="DH976" t="s">
        <v>87</v>
      </c>
      <c r="DJ976" t="s">
        <v>815</v>
      </c>
      <c r="DK976" t="s">
        <v>692</v>
      </c>
      <c r="DL976">
        <v>3.85</v>
      </c>
      <c r="DM976" t="s">
        <v>669</v>
      </c>
      <c r="DN976" t="s">
        <v>669</v>
      </c>
      <c r="DO976">
        <v>0</v>
      </c>
      <c r="DP976">
        <v>0</v>
      </c>
      <c r="DQ976">
        <v>0</v>
      </c>
      <c r="DR976" t="s">
        <v>5028</v>
      </c>
      <c r="EB976" t="s">
        <v>6240</v>
      </c>
      <c r="EC976" t="s">
        <v>2522</v>
      </c>
      <c r="ED976" t="s">
        <v>2523</v>
      </c>
      <c r="EE976" t="s">
        <v>556</v>
      </c>
      <c r="EF976" t="s">
        <v>2713</v>
      </c>
      <c r="EG976">
        <v>1</v>
      </c>
      <c r="EH976">
        <v>1</v>
      </c>
      <c r="EI976">
        <v>1</v>
      </c>
      <c r="EJ976">
        <v>1</v>
      </c>
    </row>
    <row r="977" ht="15" customHeight="1" spans="111:140" x14ac:dyDescent="0.25">
      <c r="DG977" t="s">
        <v>6241</v>
      </c>
      <c r="DH977" t="s">
        <v>87</v>
      </c>
      <c r="DJ977" t="s">
        <v>1321</v>
      </c>
      <c r="DK977" t="s">
        <v>692</v>
      </c>
      <c r="DL977">
        <v>3.85</v>
      </c>
      <c r="DM977" t="s">
        <v>669</v>
      </c>
      <c r="DN977" t="s">
        <v>669</v>
      </c>
      <c r="DO977">
        <v>0</v>
      </c>
      <c r="DP977">
        <v>0</v>
      </c>
      <c r="DQ977">
        <v>0</v>
      </c>
      <c r="DR977" t="s">
        <v>5485</v>
      </c>
      <c r="EB977" t="s">
        <v>6242</v>
      </c>
      <c r="EC977" t="s">
        <v>2522</v>
      </c>
      <c r="ED977" t="s">
        <v>2523</v>
      </c>
      <c r="EE977" t="s">
        <v>551</v>
      </c>
      <c r="EF977" t="s">
        <v>4533</v>
      </c>
      <c r="EG977">
        <v>1440</v>
      </c>
      <c r="EH977">
        <v>1440</v>
      </c>
      <c r="EI977">
        <v>1440</v>
      </c>
      <c r="EJ977">
        <v>1440</v>
      </c>
    </row>
    <row r="978" ht="15" customHeight="1" spans="111:140" x14ac:dyDescent="0.25">
      <c r="DG978" t="s">
        <v>6243</v>
      </c>
      <c r="DH978" t="s">
        <v>87</v>
      </c>
      <c r="DI978" t="s">
        <v>1832</v>
      </c>
      <c r="DJ978" t="s">
        <v>1833</v>
      </c>
      <c r="DK978" t="s">
        <v>692</v>
      </c>
      <c r="DL978">
        <v>3.85</v>
      </c>
      <c r="DM978" t="s">
        <v>669</v>
      </c>
      <c r="DN978" t="s">
        <v>670</v>
      </c>
      <c r="DO978">
        <v>1</v>
      </c>
      <c r="DP978">
        <v>818</v>
      </c>
      <c r="DQ978">
        <v>818</v>
      </c>
      <c r="DR978" t="s">
        <v>6244</v>
      </c>
      <c r="EB978" t="s">
        <v>6245</v>
      </c>
      <c r="EC978" t="s">
        <v>2522</v>
      </c>
      <c r="ED978" t="s">
        <v>2523</v>
      </c>
      <c r="EE978" t="s">
        <v>290</v>
      </c>
      <c r="EF978" t="s">
        <v>289</v>
      </c>
      <c r="EG978">
        <v>390</v>
      </c>
      <c r="EH978">
        <v>440</v>
      </c>
      <c r="EI978">
        <v>500</v>
      </c>
      <c r="EJ978">
        <v>540</v>
      </c>
    </row>
    <row r="979" ht="15" customHeight="1" spans="111:140" x14ac:dyDescent="0.25">
      <c r="DG979" t="s">
        <v>6246</v>
      </c>
      <c r="DH979" t="s">
        <v>87</v>
      </c>
      <c r="DI979" t="s">
        <v>1835</v>
      </c>
      <c r="DJ979" t="s">
        <v>1836</v>
      </c>
      <c r="DK979" t="s">
        <v>692</v>
      </c>
      <c r="DL979">
        <v>3.85</v>
      </c>
      <c r="DM979" t="s">
        <v>669</v>
      </c>
      <c r="DN979" t="s">
        <v>670</v>
      </c>
      <c r="DO979">
        <v>2</v>
      </c>
      <c r="DP979">
        <v>1629.38</v>
      </c>
      <c r="DQ979">
        <v>1629.38</v>
      </c>
      <c r="DR979" t="s">
        <v>6247</v>
      </c>
      <c r="EB979" t="s">
        <v>6248</v>
      </c>
      <c r="EC979" t="s">
        <v>2522</v>
      </c>
      <c r="ED979" t="s">
        <v>2523</v>
      </c>
      <c r="EE979" t="s">
        <v>275</v>
      </c>
      <c r="EF979" t="s">
        <v>6249</v>
      </c>
      <c r="EG979">
        <v>1320</v>
      </c>
      <c r="EH979">
        <v>1520</v>
      </c>
      <c r="EI979">
        <v>1720</v>
      </c>
      <c r="EJ979">
        <v>1850</v>
      </c>
    </row>
    <row r="980" ht="15" customHeight="1" spans="111:135" x14ac:dyDescent="0.25">
      <c r="DG980" t="s">
        <v>6250</v>
      </c>
      <c r="DH980" t="s">
        <v>87</v>
      </c>
      <c r="DI980" t="s">
        <v>1838</v>
      </c>
      <c r="DJ980" t="s">
        <v>1839</v>
      </c>
      <c r="DK980" t="s">
        <v>692</v>
      </c>
      <c r="DL980">
        <v>3.85</v>
      </c>
      <c r="DM980" t="s">
        <v>669</v>
      </c>
      <c r="DN980" t="s">
        <v>670</v>
      </c>
      <c r="DO980">
        <v>1</v>
      </c>
      <c r="DP980">
        <v>2952</v>
      </c>
      <c r="DQ980">
        <v>2952</v>
      </c>
      <c r="DR980" t="s">
        <v>6251</v>
      </c>
      <c r="EB980" t="s">
        <v>6252</v>
      </c>
      <c r="EC980" t="s">
        <v>2522</v>
      </c>
      <c r="EE980" t="s">
        <v>298</v>
      </c>
    </row>
    <row r="981" ht="15" customHeight="1" spans="111:140" x14ac:dyDescent="0.25">
      <c r="DG981" t="s">
        <v>6253</v>
      </c>
      <c r="DH981" t="s">
        <v>87</v>
      </c>
      <c r="DI981" t="s">
        <v>1841</v>
      </c>
      <c r="DJ981" t="s">
        <v>1842</v>
      </c>
      <c r="DK981" t="s">
        <v>692</v>
      </c>
      <c r="DL981">
        <v>3.85</v>
      </c>
      <c r="DM981" t="s">
        <v>669</v>
      </c>
      <c r="DN981" t="s">
        <v>670</v>
      </c>
      <c r="DO981">
        <v>3</v>
      </c>
      <c r="DP981">
        <v>2160</v>
      </c>
      <c r="DQ981">
        <v>2160</v>
      </c>
      <c r="DR981" t="s">
        <v>6254</v>
      </c>
      <c r="EB981" t="s">
        <v>6255</v>
      </c>
      <c r="EC981" t="s">
        <v>2522</v>
      </c>
      <c r="ED981" t="s">
        <v>2523</v>
      </c>
      <c r="EE981" t="s">
        <v>286</v>
      </c>
      <c r="EF981" t="s">
        <v>284</v>
      </c>
      <c r="EG981">
        <v>720</v>
      </c>
      <c r="EH981">
        <v>830</v>
      </c>
      <c r="EI981">
        <v>940</v>
      </c>
      <c r="EJ981">
        <v>1010</v>
      </c>
    </row>
    <row r="982" ht="15" customHeight="1" spans="111:140" x14ac:dyDescent="0.25">
      <c r="DG982" t="s">
        <v>6256</v>
      </c>
      <c r="DH982" t="s">
        <v>87</v>
      </c>
      <c r="DI982" t="s">
        <v>1844</v>
      </c>
      <c r="DJ982" t="s">
        <v>1845</v>
      </c>
      <c r="DK982" t="s">
        <v>692</v>
      </c>
      <c r="DL982">
        <v>3.85</v>
      </c>
      <c r="DM982" t="s">
        <v>669</v>
      </c>
      <c r="DN982" t="s">
        <v>670</v>
      </c>
      <c r="DO982">
        <v>3</v>
      </c>
      <c r="DP982">
        <v>1156.02</v>
      </c>
      <c r="DQ982">
        <v>1156.02</v>
      </c>
      <c r="DR982" t="s">
        <v>6257</v>
      </c>
      <c r="EB982" t="s">
        <v>6258</v>
      </c>
      <c r="EC982" t="s">
        <v>2522</v>
      </c>
      <c r="ED982" t="s">
        <v>2523</v>
      </c>
      <c r="EE982" t="s">
        <v>272</v>
      </c>
      <c r="EF982" t="s">
        <v>270</v>
      </c>
      <c r="EG982">
        <v>2110</v>
      </c>
      <c r="EH982">
        <v>2300</v>
      </c>
      <c r="EI982">
        <v>2600</v>
      </c>
      <c r="EJ982">
        <v>2800</v>
      </c>
    </row>
    <row r="983" ht="15" customHeight="1" spans="111:140" x14ac:dyDescent="0.25">
      <c r="DG983" t="s">
        <v>6259</v>
      </c>
      <c r="DH983" t="s">
        <v>87</v>
      </c>
      <c r="DI983" t="s">
        <v>1847</v>
      </c>
      <c r="DJ983" t="s">
        <v>1848</v>
      </c>
      <c r="DK983" t="s">
        <v>692</v>
      </c>
      <c r="DL983">
        <v>3.85</v>
      </c>
      <c r="DM983" t="s">
        <v>670</v>
      </c>
      <c r="DN983" t="s">
        <v>669</v>
      </c>
      <c r="DO983">
        <v>0</v>
      </c>
      <c r="DP983">
        <v>0</v>
      </c>
      <c r="DQ983">
        <v>2.81</v>
      </c>
      <c r="DR983" t="s">
        <v>6260</v>
      </c>
      <c r="EB983" t="s">
        <v>6261</v>
      </c>
      <c r="EC983" t="s">
        <v>2522</v>
      </c>
      <c r="ED983" t="s">
        <v>2523</v>
      </c>
      <c r="EE983" t="s">
        <v>283</v>
      </c>
      <c r="EF983" t="s">
        <v>281</v>
      </c>
      <c r="EG983">
        <v>430</v>
      </c>
      <c r="EH983">
        <v>490</v>
      </c>
      <c r="EI983">
        <v>560</v>
      </c>
      <c r="EJ983">
        <v>600</v>
      </c>
    </row>
    <row r="984" ht="15" customHeight="1" spans="111:140" x14ac:dyDescent="0.25">
      <c r="DG984" t="s">
        <v>6262</v>
      </c>
      <c r="DH984" t="s">
        <v>87</v>
      </c>
      <c r="DI984" t="s">
        <v>1850</v>
      </c>
      <c r="DJ984" t="s">
        <v>1851</v>
      </c>
      <c r="DK984" t="s">
        <v>692</v>
      </c>
      <c r="DL984">
        <v>3.85</v>
      </c>
      <c r="DM984" t="s">
        <v>669</v>
      </c>
      <c r="DN984" t="s">
        <v>670</v>
      </c>
      <c r="DO984">
        <v>2</v>
      </c>
      <c r="DP984">
        <v>240</v>
      </c>
      <c r="DQ984">
        <v>240</v>
      </c>
      <c r="DR984" t="s">
        <v>6263</v>
      </c>
      <c r="EB984" t="s">
        <v>6264</v>
      </c>
      <c r="EC984" t="s">
        <v>2522</v>
      </c>
      <c r="ED984" t="s">
        <v>2523</v>
      </c>
      <c r="EE984" t="s">
        <v>267</v>
      </c>
      <c r="EF984" t="s">
        <v>265</v>
      </c>
      <c r="EG984">
        <v>3160</v>
      </c>
      <c r="EH984">
        <v>3630</v>
      </c>
      <c r="EI984">
        <v>4110</v>
      </c>
      <c r="EJ984">
        <v>4420</v>
      </c>
    </row>
    <row r="985" ht="15" customHeight="1" spans="111:140" x14ac:dyDescent="0.25">
      <c r="DG985" t="s">
        <v>6265</v>
      </c>
      <c r="DH985" t="s">
        <v>87</v>
      </c>
      <c r="DI985" t="s">
        <v>1853</v>
      </c>
      <c r="DJ985" t="s">
        <v>1854</v>
      </c>
      <c r="DK985" t="s">
        <v>692</v>
      </c>
      <c r="DL985">
        <v>3.85</v>
      </c>
      <c r="DM985" t="s">
        <v>669</v>
      </c>
      <c r="DN985" t="s">
        <v>670</v>
      </c>
      <c r="DO985">
        <v>2</v>
      </c>
      <c r="DP985">
        <v>638</v>
      </c>
      <c r="DQ985">
        <v>638</v>
      </c>
      <c r="DR985" t="s">
        <v>6266</v>
      </c>
      <c r="EB985" t="s">
        <v>6267</v>
      </c>
      <c r="EC985" t="s">
        <v>2522</v>
      </c>
      <c r="ED985" t="s">
        <v>2523</v>
      </c>
      <c r="EE985" t="s">
        <v>258</v>
      </c>
      <c r="EF985" t="s">
        <v>256</v>
      </c>
      <c r="EG985">
        <v>4200</v>
      </c>
      <c r="EH985">
        <v>4830</v>
      </c>
      <c r="EI985">
        <v>5460</v>
      </c>
      <c r="EJ985">
        <v>5880</v>
      </c>
    </row>
    <row r="986" ht="15" customHeight="1" spans="111:140" x14ac:dyDescent="0.25">
      <c r="DG986" t="s">
        <v>6268</v>
      </c>
      <c r="DH986" t="s">
        <v>87</v>
      </c>
      <c r="DI986" t="s">
        <v>1856</v>
      </c>
      <c r="DJ986" t="s">
        <v>1857</v>
      </c>
      <c r="DK986" t="s">
        <v>692</v>
      </c>
      <c r="DL986">
        <v>3.85</v>
      </c>
      <c r="DM986" t="s">
        <v>670</v>
      </c>
      <c r="DN986" t="s">
        <v>669</v>
      </c>
      <c r="DO986">
        <v>0</v>
      </c>
      <c r="DP986">
        <v>0</v>
      </c>
      <c r="DQ986">
        <v>210.94</v>
      </c>
      <c r="DR986" t="s">
        <v>6269</v>
      </c>
      <c r="EB986" t="s">
        <v>6270</v>
      </c>
      <c r="EC986" t="s">
        <v>2522</v>
      </c>
      <c r="ED986" t="s">
        <v>2523</v>
      </c>
      <c r="EE986" t="s">
        <v>222</v>
      </c>
      <c r="EF986" t="s">
        <v>220</v>
      </c>
      <c r="EG986">
        <v>2790</v>
      </c>
      <c r="EH986">
        <v>3210</v>
      </c>
      <c r="EI986">
        <v>3630</v>
      </c>
      <c r="EJ986">
        <v>3910</v>
      </c>
    </row>
    <row r="987" ht="15" customHeight="1" spans="111:140" x14ac:dyDescent="0.25">
      <c r="DG987" t="s">
        <v>6271</v>
      </c>
      <c r="DH987" t="s">
        <v>87</v>
      </c>
      <c r="DI987" t="s">
        <v>1859</v>
      </c>
      <c r="DJ987" t="s">
        <v>1860</v>
      </c>
      <c r="DK987" t="s">
        <v>692</v>
      </c>
      <c r="DL987">
        <v>3.85</v>
      </c>
      <c r="DM987" t="s">
        <v>669</v>
      </c>
      <c r="DN987" t="s">
        <v>670</v>
      </c>
      <c r="DO987">
        <v>1</v>
      </c>
      <c r="DP987">
        <v>199.51</v>
      </c>
      <c r="DQ987">
        <v>199.51</v>
      </c>
      <c r="DR987" t="s">
        <v>6272</v>
      </c>
      <c r="EB987" t="s">
        <v>6273</v>
      </c>
      <c r="EC987" t="s">
        <v>2522</v>
      </c>
      <c r="ED987" t="s">
        <v>2523</v>
      </c>
      <c r="EE987" t="s">
        <v>233</v>
      </c>
      <c r="EF987" t="s">
        <v>231</v>
      </c>
      <c r="EG987">
        <v>1910</v>
      </c>
      <c r="EH987">
        <v>2200</v>
      </c>
      <c r="EI987">
        <v>2480</v>
      </c>
      <c r="EJ987">
        <v>2670</v>
      </c>
    </row>
    <row r="988" ht="15" customHeight="1" spans="111:140" x14ac:dyDescent="0.25">
      <c r="DG988" t="s">
        <v>6274</v>
      </c>
      <c r="DH988" t="s">
        <v>87</v>
      </c>
      <c r="DI988" t="s">
        <v>1862</v>
      </c>
      <c r="DJ988" t="s">
        <v>1863</v>
      </c>
      <c r="DK988" t="s">
        <v>692</v>
      </c>
      <c r="DL988">
        <v>3.85</v>
      </c>
      <c r="DM988" t="s">
        <v>669</v>
      </c>
      <c r="DN988" t="s">
        <v>670</v>
      </c>
      <c r="DO988">
        <v>1</v>
      </c>
      <c r="DP988">
        <v>995</v>
      </c>
      <c r="DQ988">
        <v>995</v>
      </c>
      <c r="DR988" t="s">
        <v>6275</v>
      </c>
      <c r="EB988" t="s">
        <v>6276</v>
      </c>
      <c r="EC988" t="s">
        <v>2522</v>
      </c>
      <c r="ED988" t="s">
        <v>2523</v>
      </c>
      <c r="EE988" t="s">
        <v>225</v>
      </c>
      <c r="EF988" t="s">
        <v>223</v>
      </c>
      <c r="EG988">
        <v>3000</v>
      </c>
      <c r="EH988">
        <v>3450</v>
      </c>
      <c r="EI988">
        <v>3900</v>
      </c>
      <c r="EJ988">
        <v>4200</v>
      </c>
    </row>
    <row r="989" ht="15" customHeight="1" spans="111:140" x14ac:dyDescent="0.25">
      <c r="DG989" t="s">
        <v>6277</v>
      </c>
      <c r="DH989" t="s">
        <v>87</v>
      </c>
      <c r="DI989" t="s">
        <v>1865</v>
      </c>
      <c r="DJ989" t="s">
        <v>205</v>
      </c>
      <c r="DK989" t="s">
        <v>692</v>
      </c>
      <c r="DL989">
        <v>3.85</v>
      </c>
      <c r="DM989" t="s">
        <v>669</v>
      </c>
      <c r="DN989" t="s">
        <v>670</v>
      </c>
      <c r="DO989">
        <v>1</v>
      </c>
      <c r="DP989">
        <v>27280</v>
      </c>
      <c r="DQ989">
        <v>27280</v>
      </c>
      <c r="DR989" t="s">
        <v>6278</v>
      </c>
      <c r="EB989" t="s">
        <v>6279</v>
      </c>
      <c r="EC989" t="s">
        <v>2522</v>
      </c>
      <c r="ED989" t="s">
        <v>2523</v>
      </c>
      <c r="EE989" t="s">
        <v>288</v>
      </c>
      <c r="EF989" t="s">
        <v>287</v>
      </c>
      <c r="EG989">
        <v>550</v>
      </c>
      <c r="EH989">
        <v>560</v>
      </c>
      <c r="EI989">
        <v>630</v>
      </c>
      <c r="EJ989">
        <v>630</v>
      </c>
    </row>
    <row r="990" ht="15" customHeight="1" spans="111:140" x14ac:dyDescent="0.25">
      <c r="DG990" t="s">
        <v>6280</v>
      </c>
      <c r="DH990" t="s">
        <v>87</v>
      </c>
      <c r="DI990" t="s">
        <v>1867</v>
      </c>
      <c r="DJ990" t="s">
        <v>1868</v>
      </c>
      <c r="DK990" t="s">
        <v>692</v>
      </c>
      <c r="DL990">
        <v>3.85</v>
      </c>
      <c r="DM990" t="s">
        <v>670</v>
      </c>
      <c r="DN990" t="s">
        <v>669</v>
      </c>
      <c r="DO990">
        <v>0</v>
      </c>
      <c r="DP990">
        <v>0</v>
      </c>
      <c r="DQ990">
        <v>447</v>
      </c>
      <c r="DR990" t="s">
        <v>6281</v>
      </c>
      <c r="EB990" t="s">
        <v>6282</v>
      </c>
      <c r="EC990" t="s">
        <v>2522</v>
      </c>
      <c r="ED990" t="s">
        <v>2523</v>
      </c>
      <c r="EE990" t="s">
        <v>269</v>
      </c>
      <c r="EF990" t="s">
        <v>3239</v>
      </c>
      <c r="EG990">
        <v>1850</v>
      </c>
      <c r="EH990">
        <v>2000</v>
      </c>
      <c r="EI990">
        <v>2180</v>
      </c>
      <c r="EJ990">
        <v>2340</v>
      </c>
    </row>
    <row r="991" ht="15" customHeight="1" spans="111:140" x14ac:dyDescent="0.25">
      <c r="DG991" t="s">
        <v>6283</v>
      </c>
      <c r="DH991" t="s">
        <v>87</v>
      </c>
      <c r="DI991" t="s">
        <v>1870</v>
      </c>
      <c r="DJ991" t="s">
        <v>1871</v>
      </c>
      <c r="DK991" t="s">
        <v>692</v>
      </c>
      <c r="DL991">
        <v>3.85</v>
      </c>
      <c r="DM991" t="s">
        <v>670</v>
      </c>
      <c r="DN991" t="s">
        <v>669</v>
      </c>
      <c r="DO991">
        <v>0</v>
      </c>
      <c r="DP991">
        <v>0</v>
      </c>
      <c r="DQ991">
        <v>356</v>
      </c>
      <c r="DR991" t="s">
        <v>6284</v>
      </c>
      <c r="EB991" t="s">
        <v>6285</v>
      </c>
      <c r="EC991" t="s">
        <v>2522</v>
      </c>
      <c r="ED991" t="s">
        <v>2523</v>
      </c>
      <c r="EE991" t="s">
        <v>237</v>
      </c>
      <c r="EF991" t="s">
        <v>3246</v>
      </c>
      <c r="EG991">
        <v>3440</v>
      </c>
      <c r="EH991">
        <v>3740</v>
      </c>
      <c r="EI991">
        <v>4060</v>
      </c>
      <c r="EJ991">
        <v>4370</v>
      </c>
    </row>
    <row r="992" ht="15" customHeight="1" spans="111:140" x14ac:dyDescent="0.25">
      <c r="DG992" t="s">
        <v>6286</v>
      </c>
      <c r="DH992" t="s">
        <v>87</v>
      </c>
      <c r="DI992" t="s">
        <v>1873</v>
      </c>
      <c r="DJ992" t="s">
        <v>1874</v>
      </c>
      <c r="DK992" t="s">
        <v>692</v>
      </c>
      <c r="DL992">
        <v>3.85</v>
      </c>
      <c r="DM992" t="s">
        <v>669</v>
      </c>
      <c r="DN992" t="s">
        <v>670</v>
      </c>
      <c r="DO992">
        <v>1</v>
      </c>
      <c r="DP992">
        <v>331</v>
      </c>
      <c r="DQ992">
        <v>331</v>
      </c>
      <c r="DR992" t="s">
        <v>6287</v>
      </c>
      <c r="EB992" t="s">
        <v>6288</v>
      </c>
      <c r="EC992" t="s">
        <v>2522</v>
      </c>
      <c r="ED992" t="s">
        <v>2523</v>
      </c>
      <c r="EE992" t="s">
        <v>249</v>
      </c>
      <c r="EF992" t="s">
        <v>247</v>
      </c>
      <c r="EG992">
        <v>440</v>
      </c>
      <c r="EH992">
        <v>510</v>
      </c>
      <c r="EI992">
        <v>570</v>
      </c>
      <c r="EJ992">
        <v>620</v>
      </c>
    </row>
    <row r="993" ht="15" customHeight="1" spans="111:140" x14ac:dyDescent="0.25">
      <c r="DG993" t="s">
        <v>6289</v>
      </c>
      <c r="DH993" t="s">
        <v>87</v>
      </c>
      <c r="DI993" t="s">
        <v>1876</v>
      </c>
      <c r="DJ993" t="s">
        <v>1830</v>
      </c>
      <c r="DK993" t="s">
        <v>692</v>
      </c>
      <c r="DL993">
        <v>3.85</v>
      </c>
      <c r="DM993" t="s">
        <v>670</v>
      </c>
      <c r="DN993" t="s">
        <v>669</v>
      </c>
      <c r="DO993">
        <v>0</v>
      </c>
      <c r="DP993">
        <v>0</v>
      </c>
      <c r="DQ993">
        <v>0</v>
      </c>
      <c r="DR993" t="s">
        <v>6222</v>
      </c>
      <c r="EB993" t="s">
        <v>6290</v>
      </c>
      <c r="EC993" t="s">
        <v>2522</v>
      </c>
      <c r="ED993" t="s">
        <v>2523</v>
      </c>
      <c r="EE993" t="s">
        <v>293</v>
      </c>
      <c r="EF993" t="s">
        <v>291</v>
      </c>
      <c r="EG993">
        <v>730</v>
      </c>
      <c r="EH993">
        <v>840</v>
      </c>
      <c r="EI993">
        <v>950</v>
      </c>
      <c r="EJ993">
        <v>1020</v>
      </c>
    </row>
    <row r="994" ht="15" customHeight="1" spans="111:140" x14ac:dyDescent="0.25">
      <c r="DG994" t="s">
        <v>6291</v>
      </c>
      <c r="DH994" t="s">
        <v>87</v>
      </c>
      <c r="DI994" t="s">
        <v>1878</v>
      </c>
      <c r="DJ994" t="s">
        <v>1879</v>
      </c>
      <c r="DK994" t="s">
        <v>692</v>
      </c>
      <c r="DL994">
        <v>3.85</v>
      </c>
      <c r="DM994" t="s">
        <v>670</v>
      </c>
      <c r="DN994" t="s">
        <v>669</v>
      </c>
      <c r="DO994">
        <v>0</v>
      </c>
      <c r="DP994">
        <v>0</v>
      </c>
      <c r="DQ994">
        <v>200</v>
      </c>
      <c r="DR994" t="s">
        <v>6292</v>
      </c>
      <c r="EB994" t="s">
        <v>6293</v>
      </c>
      <c r="EC994" t="s">
        <v>2522</v>
      </c>
      <c r="ED994" t="s">
        <v>2523</v>
      </c>
      <c r="EE994" t="s">
        <v>280</v>
      </c>
      <c r="EF994" t="s">
        <v>279</v>
      </c>
      <c r="EG994">
        <v>910</v>
      </c>
      <c r="EH994">
        <v>1050</v>
      </c>
      <c r="EI994">
        <v>1180</v>
      </c>
      <c r="EJ994">
        <v>1270</v>
      </c>
    </row>
    <row r="995" ht="15" customHeight="1" spans="111:140" x14ac:dyDescent="0.25">
      <c r="DG995" t="s">
        <v>6294</v>
      </c>
      <c r="DH995" t="s">
        <v>87</v>
      </c>
      <c r="DI995" t="s">
        <v>1881</v>
      </c>
      <c r="DJ995" t="s">
        <v>1882</v>
      </c>
      <c r="DK995" t="s">
        <v>692</v>
      </c>
      <c r="DL995">
        <v>3.85</v>
      </c>
      <c r="DM995" t="s">
        <v>669</v>
      </c>
      <c r="DN995" t="s">
        <v>670</v>
      </c>
      <c r="DO995">
        <v>20</v>
      </c>
      <c r="DP995">
        <v>2341.9</v>
      </c>
      <c r="DQ995">
        <v>2341.9</v>
      </c>
      <c r="DR995" t="s">
        <v>6295</v>
      </c>
      <c r="EB995" t="s">
        <v>6296</v>
      </c>
      <c r="EC995" t="s">
        <v>2522</v>
      </c>
      <c r="ED995" t="s">
        <v>2523</v>
      </c>
      <c r="EE995" t="s">
        <v>264</v>
      </c>
      <c r="EF995" t="s">
        <v>262</v>
      </c>
      <c r="EG995">
        <v>1650</v>
      </c>
      <c r="EH995">
        <v>1900</v>
      </c>
      <c r="EI995">
        <v>2150</v>
      </c>
      <c r="EJ995">
        <v>2310</v>
      </c>
    </row>
    <row r="996" ht="15" customHeight="1" spans="111:135" x14ac:dyDescent="0.25">
      <c r="DG996" t="s">
        <v>6297</v>
      </c>
      <c r="DH996" t="s">
        <v>87</v>
      </c>
      <c r="DI996" t="s">
        <v>1883</v>
      </c>
      <c r="DJ996" t="s">
        <v>1884</v>
      </c>
      <c r="DK996" t="s">
        <v>692</v>
      </c>
      <c r="DL996">
        <v>3.85</v>
      </c>
      <c r="DM996" t="s">
        <v>669</v>
      </c>
      <c r="DN996" t="s">
        <v>670</v>
      </c>
      <c r="DO996">
        <v>1</v>
      </c>
      <c r="DP996">
        <v>113.44</v>
      </c>
      <c r="DQ996">
        <v>113.44</v>
      </c>
      <c r="DR996" t="s">
        <v>6298</v>
      </c>
      <c r="EB996" t="s">
        <v>6299</v>
      </c>
      <c r="EC996" t="s">
        <v>2522</v>
      </c>
      <c r="EE996" t="s">
        <v>278</v>
      </c>
    </row>
    <row r="997" ht="15" customHeight="1" spans="111:140" x14ac:dyDescent="0.25">
      <c r="DG997" t="s">
        <v>6300</v>
      </c>
      <c r="DH997" t="s">
        <v>87</v>
      </c>
      <c r="DI997" t="s">
        <v>1886</v>
      </c>
      <c r="DJ997" t="s">
        <v>1887</v>
      </c>
      <c r="DK997" t="s">
        <v>692</v>
      </c>
      <c r="DL997">
        <v>3.85</v>
      </c>
      <c r="DM997" t="s">
        <v>669</v>
      </c>
      <c r="DN997" t="s">
        <v>670</v>
      </c>
      <c r="DO997">
        <v>10</v>
      </c>
      <c r="DP997">
        <v>1134.4</v>
      </c>
      <c r="DQ997">
        <v>1134.4</v>
      </c>
      <c r="DR997" t="s">
        <v>6301</v>
      </c>
      <c r="EB997" t="s">
        <v>6302</v>
      </c>
      <c r="EC997" t="s">
        <v>2522</v>
      </c>
      <c r="ED997" t="s">
        <v>2523</v>
      </c>
      <c r="EE997" t="s">
        <v>240</v>
      </c>
      <c r="EF997" t="s">
        <v>238</v>
      </c>
      <c r="EG997">
        <v>3710</v>
      </c>
      <c r="EH997">
        <v>3710</v>
      </c>
      <c r="EI997">
        <v>3710</v>
      </c>
      <c r="EJ997">
        <v>3710</v>
      </c>
    </row>
    <row r="998" ht="15" customHeight="1" spans="111:140" x14ac:dyDescent="0.25">
      <c r="DG998" t="s">
        <v>6303</v>
      </c>
      <c r="DH998" t="s">
        <v>87</v>
      </c>
      <c r="DI998" t="s">
        <v>1888</v>
      </c>
      <c r="DJ998" t="s">
        <v>1889</v>
      </c>
      <c r="DK998" t="s">
        <v>692</v>
      </c>
      <c r="DL998">
        <v>3.85</v>
      </c>
      <c r="DM998" t="s">
        <v>669</v>
      </c>
      <c r="DN998" t="s">
        <v>670</v>
      </c>
      <c r="DO998">
        <v>10</v>
      </c>
      <c r="DP998">
        <v>1181.2</v>
      </c>
      <c r="DQ998">
        <v>1181.2</v>
      </c>
      <c r="DR998" t="s">
        <v>6304</v>
      </c>
      <c r="EB998" t="s">
        <v>6305</v>
      </c>
      <c r="EC998" t="s">
        <v>2522</v>
      </c>
      <c r="ED998" t="s">
        <v>2523</v>
      </c>
      <c r="EE998" t="s">
        <v>252</v>
      </c>
      <c r="EF998" t="s">
        <v>250</v>
      </c>
      <c r="EG998">
        <v>370</v>
      </c>
      <c r="EH998">
        <v>370</v>
      </c>
      <c r="EI998">
        <v>370</v>
      </c>
      <c r="EJ998">
        <v>370</v>
      </c>
    </row>
    <row r="999" ht="15" customHeight="1" spans="111:140" x14ac:dyDescent="0.25">
      <c r="DG999" t="s">
        <v>6306</v>
      </c>
      <c r="DH999" t="s">
        <v>87</v>
      </c>
      <c r="DI999" t="s">
        <v>1891</v>
      </c>
      <c r="DJ999" t="s">
        <v>1892</v>
      </c>
      <c r="DK999" t="s">
        <v>692</v>
      </c>
      <c r="DL999">
        <v>3.85</v>
      </c>
      <c r="DM999" t="s">
        <v>670</v>
      </c>
      <c r="DN999" t="s">
        <v>669</v>
      </c>
      <c r="DO999">
        <v>0</v>
      </c>
      <c r="DP999">
        <v>0</v>
      </c>
      <c r="DQ999">
        <v>63</v>
      </c>
      <c r="DR999" t="s">
        <v>6307</v>
      </c>
      <c r="EB999" t="s">
        <v>6308</v>
      </c>
      <c r="EC999" t="s">
        <v>2522</v>
      </c>
      <c r="ED999" t="s">
        <v>2523</v>
      </c>
      <c r="EE999" t="s">
        <v>229</v>
      </c>
      <c r="EF999" t="s">
        <v>227</v>
      </c>
      <c r="EG999">
        <v>170</v>
      </c>
      <c r="EH999">
        <v>200</v>
      </c>
      <c r="EI999">
        <v>220</v>
      </c>
      <c r="EJ999">
        <v>240</v>
      </c>
    </row>
    <row r="1000" ht="15" customHeight="1" spans="111:140" x14ac:dyDescent="0.25">
      <c r="DG1000" t="s">
        <v>6309</v>
      </c>
      <c r="DH1000" t="s">
        <v>87</v>
      </c>
      <c r="DI1000" t="s">
        <v>1893</v>
      </c>
      <c r="DJ1000" t="s">
        <v>1894</v>
      </c>
      <c r="DK1000" t="s">
        <v>692</v>
      </c>
      <c r="DL1000">
        <v>3.85</v>
      </c>
      <c r="DM1000" t="s">
        <v>669</v>
      </c>
      <c r="DN1000" t="s">
        <v>670</v>
      </c>
      <c r="DO1000">
        <v>1</v>
      </c>
      <c r="DP1000">
        <v>164</v>
      </c>
      <c r="DQ1000">
        <v>164</v>
      </c>
      <c r="DR1000" t="s">
        <v>6310</v>
      </c>
      <c r="EB1000" t="s">
        <v>6311</v>
      </c>
      <c r="EC1000" t="s">
        <v>2522</v>
      </c>
      <c r="ED1000" t="s">
        <v>2523</v>
      </c>
      <c r="EE1000" t="s">
        <v>246</v>
      </c>
      <c r="EF1000" t="s">
        <v>244</v>
      </c>
      <c r="EG1000">
        <v>620</v>
      </c>
      <c r="EH1000">
        <v>620</v>
      </c>
      <c r="EI1000">
        <v>620</v>
      </c>
      <c r="EJ1000">
        <v>620</v>
      </c>
    </row>
    <row r="1001" ht="15" customHeight="1" spans="111:140" x14ac:dyDescent="0.25">
      <c r="DG1001" t="s">
        <v>6312</v>
      </c>
      <c r="DH1001" t="s">
        <v>87</v>
      </c>
      <c r="DI1001" t="s">
        <v>1895</v>
      </c>
      <c r="DJ1001" t="s">
        <v>1896</v>
      </c>
      <c r="DK1001" t="s">
        <v>692</v>
      </c>
      <c r="DL1001">
        <v>3.85</v>
      </c>
      <c r="DM1001" t="s">
        <v>670</v>
      </c>
      <c r="DN1001" t="s">
        <v>669</v>
      </c>
      <c r="DO1001">
        <v>0</v>
      </c>
      <c r="DP1001">
        <v>0</v>
      </c>
      <c r="DQ1001">
        <v>259.5</v>
      </c>
      <c r="DR1001" t="s">
        <v>6313</v>
      </c>
      <c r="EB1001" t="s">
        <v>6314</v>
      </c>
      <c r="EC1001" t="s">
        <v>2522</v>
      </c>
      <c r="ED1001" t="s">
        <v>2523</v>
      </c>
      <c r="EE1001" t="s">
        <v>255</v>
      </c>
      <c r="EF1001" t="s">
        <v>6315</v>
      </c>
      <c r="EG1001">
        <v>430</v>
      </c>
      <c r="EH1001">
        <v>500</v>
      </c>
      <c r="EI1001">
        <v>560</v>
      </c>
      <c r="EJ1001">
        <v>600</v>
      </c>
    </row>
    <row r="1002" ht="15" customHeight="1" spans="111:135" x14ac:dyDescent="0.25">
      <c r="DG1002" t="s">
        <v>6316</v>
      </c>
      <c r="DH1002" t="s">
        <v>87</v>
      </c>
      <c r="DI1002" t="s">
        <v>1898</v>
      </c>
      <c r="DJ1002" t="s">
        <v>1899</v>
      </c>
      <c r="DK1002" t="s">
        <v>692</v>
      </c>
      <c r="DL1002">
        <v>3.85</v>
      </c>
      <c r="DM1002" t="s">
        <v>669</v>
      </c>
      <c r="DN1002" t="s">
        <v>670</v>
      </c>
      <c r="DO1002">
        <v>5</v>
      </c>
      <c r="DP1002">
        <v>45</v>
      </c>
      <c r="DQ1002">
        <v>45</v>
      </c>
      <c r="DR1002" t="s">
        <v>6317</v>
      </c>
      <c r="EB1002" t="s">
        <v>6318</v>
      </c>
      <c r="EC1002" t="s">
        <v>2522</v>
      </c>
      <c r="EE1002" t="s">
        <v>243</v>
      </c>
    </row>
    <row r="1003" ht="15" customHeight="1" spans="111:135" x14ac:dyDescent="0.25">
      <c r="DG1003" t="s">
        <v>6319</v>
      </c>
      <c r="DH1003" t="s">
        <v>87</v>
      </c>
      <c r="DI1003" t="s">
        <v>1900</v>
      </c>
      <c r="DJ1003" t="s">
        <v>1901</v>
      </c>
      <c r="DK1003" t="s">
        <v>692</v>
      </c>
      <c r="DL1003">
        <v>3.85</v>
      </c>
      <c r="DM1003" t="s">
        <v>669</v>
      </c>
      <c r="DN1003" t="s">
        <v>670</v>
      </c>
      <c r="DO1003">
        <v>5</v>
      </c>
      <c r="DP1003">
        <v>129.4</v>
      </c>
      <c r="DQ1003">
        <v>129.4</v>
      </c>
      <c r="DR1003" t="s">
        <v>6320</v>
      </c>
      <c r="EB1003" t="s">
        <v>6321</v>
      </c>
      <c r="EC1003" t="s">
        <v>2522</v>
      </c>
      <c r="EE1003" t="s">
        <v>261</v>
      </c>
    </row>
    <row r="1004" ht="15" customHeight="1" spans="111:135" x14ac:dyDescent="0.25">
      <c r="DG1004" t="s">
        <v>6322</v>
      </c>
      <c r="DH1004" t="s">
        <v>87</v>
      </c>
      <c r="DI1004" t="s">
        <v>1903</v>
      </c>
      <c r="DJ1004" t="s">
        <v>1904</v>
      </c>
      <c r="DK1004" t="s">
        <v>692</v>
      </c>
      <c r="DL1004">
        <v>3.85</v>
      </c>
      <c r="DM1004" t="s">
        <v>669</v>
      </c>
      <c r="DN1004" t="s">
        <v>670</v>
      </c>
      <c r="DO1004">
        <v>1</v>
      </c>
      <c r="DP1004">
        <v>1649</v>
      </c>
      <c r="DQ1004">
        <v>1649</v>
      </c>
      <c r="DR1004" t="s">
        <v>6323</v>
      </c>
      <c r="EB1004" t="s">
        <v>6324</v>
      </c>
      <c r="EC1004" t="s">
        <v>2522</v>
      </c>
      <c r="EE1004" t="s">
        <v>296</v>
      </c>
    </row>
    <row r="1005" ht="15" customHeight="1" spans="111:122" x14ac:dyDescent="0.25">
      <c r="DG1005" t="s">
        <v>6325</v>
      </c>
      <c r="DH1005" t="s">
        <v>87</v>
      </c>
      <c r="DI1005" t="s">
        <v>1906</v>
      </c>
      <c r="DJ1005" t="s">
        <v>1907</v>
      </c>
      <c r="DK1005" t="s">
        <v>692</v>
      </c>
      <c r="DL1005">
        <v>3.85</v>
      </c>
      <c r="DM1005" t="s">
        <v>669</v>
      </c>
      <c r="DN1005" t="s">
        <v>670</v>
      </c>
      <c r="DO1005">
        <v>1</v>
      </c>
      <c r="DP1005">
        <v>18</v>
      </c>
      <c r="DQ1005">
        <v>18</v>
      </c>
      <c r="DR1005" t="s">
        <v>6326</v>
      </c>
    </row>
    <row r="1006" ht="15" customHeight="1" spans="111:122" x14ac:dyDescent="0.25">
      <c r="DG1006" t="s">
        <v>6327</v>
      </c>
      <c r="DH1006" t="s">
        <v>87</v>
      </c>
      <c r="DI1006" t="s">
        <v>1908</v>
      </c>
      <c r="DJ1006" t="s">
        <v>1909</v>
      </c>
      <c r="DK1006" t="s">
        <v>692</v>
      </c>
      <c r="DL1006">
        <v>3.85</v>
      </c>
      <c r="DM1006" t="s">
        <v>670</v>
      </c>
      <c r="DN1006" t="s">
        <v>669</v>
      </c>
      <c r="DO1006">
        <v>0</v>
      </c>
      <c r="DP1006">
        <v>0</v>
      </c>
      <c r="DQ1006">
        <v>380</v>
      </c>
      <c r="DR1006" t="s">
        <v>6328</v>
      </c>
    </row>
    <row r="1007" ht="15" customHeight="1" spans="111:122" x14ac:dyDescent="0.25">
      <c r="DG1007" t="s">
        <v>6329</v>
      </c>
      <c r="DH1007" t="s">
        <v>87</v>
      </c>
      <c r="DI1007" t="s">
        <v>1911</v>
      </c>
      <c r="DJ1007" t="s">
        <v>1912</v>
      </c>
      <c r="DK1007" t="s">
        <v>692</v>
      </c>
      <c r="DL1007">
        <v>3.85</v>
      </c>
      <c r="DM1007" t="s">
        <v>669</v>
      </c>
      <c r="DN1007" t="s">
        <v>670</v>
      </c>
      <c r="DO1007">
        <v>1</v>
      </c>
      <c r="DP1007">
        <v>1295</v>
      </c>
      <c r="DQ1007">
        <v>1295</v>
      </c>
      <c r="DR1007" t="s">
        <v>6330</v>
      </c>
    </row>
    <row r="1008" ht="15" customHeight="1" spans="111:122" x14ac:dyDescent="0.25">
      <c r="DG1008" t="s">
        <v>6331</v>
      </c>
      <c r="DH1008" t="s">
        <v>87</v>
      </c>
      <c r="DI1008" t="s">
        <v>1914</v>
      </c>
      <c r="DJ1008" t="s">
        <v>1915</v>
      </c>
      <c r="DK1008" t="s">
        <v>692</v>
      </c>
      <c r="DL1008">
        <v>3.85</v>
      </c>
      <c r="DM1008" t="s">
        <v>669</v>
      </c>
      <c r="DN1008" t="s">
        <v>670</v>
      </c>
      <c r="DO1008">
        <v>1</v>
      </c>
      <c r="DP1008">
        <v>211</v>
      </c>
      <c r="DQ1008">
        <v>211</v>
      </c>
      <c r="DR1008" t="s">
        <v>6332</v>
      </c>
    </row>
    <row r="1009" ht="15" customHeight="1" spans="111:122" x14ac:dyDescent="0.25">
      <c r="DG1009" t="s">
        <v>6333</v>
      </c>
      <c r="DH1009" t="s">
        <v>87</v>
      </c>
      <c r="DI1009" t="s">
        <v>1917</v>
      </c>
      <c r="DJ1009" t="s">
        <v>1918</v>
      </c>
      <c r="DK1009" t="s">
        <v>692</v>
      </c>
      <c r="DL1009">
        <v>3.85</v>
      </c>
      <c r="DM1009" t="s">
        <v>669</v>
      </c>
      <c r="DN1009" t="s">
        <v>670</v>
      </c>
      <c r="DO1009">
        <v>1</v>
      </c>
      <c r="DP1009">
        <v>890</v>
      </c>
      <c r="DQ1009">
        <v>890</v>
      </c>
      <c r="DR1009" t="s">
        <v>6334</v>
      </c>
    </row>
    <row r="1010" ht="15" customHeight="1" spans="111:122" x14ac:dyDescent="0.25">
      <c r="DG1010" t="s">
        <v>6335</v>
      </c>
      <c r="DH1010" t="s">
        <v>87</v>
      </c>
      <c r="DI1010" t="s">
        <v>1920</v>
      </c>
      <c r="DJ1010" t="s">
        <v>1921</v>
      </c>
      <c r="DK1010" t="s">
        <v>692</v>
      </c>
      <c r="DL1010">
        <v>3.85</v>
      </c>
      <c r="DM1010" t="s">
        <v>670</v>
      </c>
      <c r="DN1010" t="s">
        <v>669</v>
      </c>
      <c r="DO1010">
        <v>0</v>
      </c>
      <c r="DP1010">
        <v>0</v>
      </c>
      <c r="DQ1010">
        <v>1013.44</v>
      </c>
      <c r="DR1010" t="s">
        <v>6336</v>
      </c>
    </row>
    <row r="1011" ht="15" customHeight="1" spans="111:122" x14ac:dyDescent="0.25">
      <c r="DG1011" t="s">
        <v>6337</v>
      </c>
      <c r="DH1011" t="s">
        <v>87</v>
      </c>
      <c r="DI1011" t="s">
        <v>1923</v>
      </c>
      <c r="DJ1011" t="s">
        <v>1924</v>
      </c>
      <c r="DK1011" t="s">
        <v>692</v>
      </c>
      <c r="DL1011">
        <v>3.85</v>
      </c>
      <c r="DM1011" t="s">
        <v>670</v>
      </c>
      <c r="DN1011" t="s">
        <v>669</v>
      </c>
      <c r="DO1011">
        <v>0</v>
      </c>
      <c r="DP1011">
        <v>0</v>
      </c>
      <c r="DQ1011">
        <v>569</v>
      </c>
      <c r="DR1011" t="s">
        <v>6338</v>
      </c>
    </row>
    <row r="1012" ht="15" customHeight="1" spans="111:122" x14ac:dyDescent="0.25">
      <c r="DG1012" t="s">
        <v>6339</v>
      </c>
      <c r="DH1012" t="s">
        <v>87</v>
      </c>
      <c r="DI1012" t="s">
        <v>1926</v>
      </c>
      <c r="DJ1012" t="s">
        <v>1927</v>
      </c>
      <c r="DK1012" t="s">
        <v>692</v>
      </c>
      <c r="DL1012">
        <v>3.85</v>
      </c>
      <c r="DM1012" t="s">
        <v>669</v>
      </c>
      <c r="DN1012" t="s">
        <v>670</v>
      </c>
      <c r="DO1012">
        <v>4</v>
      </c>
      <c r="DP1012">
        <v>896.24</v>
      </c>
      <c r="DQ1012">
        <v>896.24</v>
      </c>
      <c r="DR1012" t="s">
        <v>6340</v>
      </c>
    </row>
    <row r="1013" ht="15" customHeight="1" spans="111:122" x14ac:dyDescent="0.25">
      <c r="DG1013" t="s">
        <v>6341</v>
      </c>
      <c r="DH1013" t="s">
        <v>87</v>
      </c>
      <c r="DI1013" t="s">
        <v>1385</v>
      </c>
      <c r="DJ1013" t="s">
        <v>1929</v>
      </c>
      <c r="DK1013" t="s">
        <v>692</v>
      </c>
      <c r="DL1013">
        <v>3.85</v>
      </c>
      <c r="DM1013" t="s">
        <v>670</v>
      </c>
      <c r="DN1013" t="s">
        <v>669</v>
      </c>
      <c r="DO1013">
        <v>0</v>
      </c>
      <c r="DP1013">
        <v>0</v>
      </c>
      <c r="DQ1013">
        <v>768</v>
      </c>
      <c r="DR1013" t="s">
        <v>6342</v>
      </c>
    </row>
    <row r="1014" ht="15" customHeight="1" spans="111:122" x14ac:dyDescent="0.25">
      <c r="DG1014" t="s">
        <v>6343</v>
      </c>
      <c r="DH1014" t="s">
        <v>87</v>
      </c>
      <c r="DI1014" t="s">
        <v>1930</v>
      </c>
      <c r="DJ1014" t="s">
        <v>1931</v>
      </c>
      <c r="DK1014" t="s">
        <v>692</v>
      </c>
      <c r="DL1014">
        <v>3.85</v>
      </c>
      <c r="DM1014" t="s">
        <v>670</v>
      </c>
      <c r="DN1014" t="s">
        <v>669</v>
      </c>
      <c r="DO1014">
        <v>0</v>
      </c>
      <c r="DP1014">
        <v>0</v>
      </c>
      <c r="DQ1014">
        <v>225</v>
      </c>
      <c r="DR1014" t="s">
        <v>6344</v>
      </c>
    </row>
    <row r="1015" ht="15" customHeight="1" spans="111:122" x14ac:dyDescent="0.25">
      <c r="DG1015" t="s">
        <v>6345</v>
      </c>
      <c r="DH1015" t="s">
        <v>87</v>
      </c>
      <c r="DI1015" t="s">
        <v>1933</v>
      </c>
      <c r="DJ1015" t="s">
        <v>1934</v>
      </c>
      <c r="DK1015" t="s">
        <v>692</v>
      </c>
      <c r="DL1015">
        <v>3.85</v>
      </c>
      <c r="DM1015" t="s">
        <v>670</v>
      </c>
      <c r="DN1015" t="s">
        <v>669</v>
      </c>
      <c r="DO1015">
        <v>0</v>
      </c>
      <c r="DP1015">
        <v>0</v>
      </c>
      <c r="DQ1015">
        <v>229.69</v>
      </c>
      <c r="DR1015" t="s">
        <v>6346</v>
      </c>
    </row>
    <row r="1016" ht="15" customHeight="1" spans="111:122" x14ac:dyDescent="0.25">
      <c r="DG1016" t="s">
        <v>6347</v>
      </c>
      <c r="DH1016" t="s">
        <v>87</v>
      </c>
      <c r="DI1016" t="s">
        <v>1936</v>
      </c>
      <c r="DJ1016" t="s">
        <v>1937</v>
      </c>
      <c r="DK1016" t="s">
        <v>692</v>
      </c>
      <c r="DL1016">
        <v>3.85</v>
      </c>
      <c r="DM1016" t="s">
        <v>669</v>
      </c>
      <c r="DN1016" t="s">
        <v>670</v>
      </c>
      <c r="DO1016">
        <v>1</v>
      </c>
      <c r="DP1016">
        <v>3.28</v>
      </c>
      <c r="DQ1016">
        <v>3.28</v>
      </c>
      <c r="DR1016" t="s">
        <v>6348</v>
      </c>
    </row>
    <row r="1017" ht="15" customHeight="1" spans="111:122" x14ac:dyDescent="0.25">
      <c r="DG1017" t="s">
        <v>6349</v>
      </c>
      <c r="DH1017" t="s">
        <v>87</v>
      </c>
      <c r="DI1017" t="s">
        <v>1939</v>
      </c>
      <c r="DJ1017" t="s">
        <v>1940</v>
      </c>
      <c r="DK1017" t="s">
        <v>692</v>
      </c>
      <c r="DL1017">
        <v>3.85</v>
      </c>
      <c r="DM1017" t="s">
        <v>669</v>
      </c>
      <c r="DN1017" t="s">
        <v>670</v>
      </c>
      <c r="DO1017">
        <v>1</v>
      </c>
      <c r="DP1017">
        <v>4</v>
      </c>
      <c r="DQ1017">
        <v>4</v>
      </c>
      <c r="DR1017" t="s">
        <v>6350</v>
      </c>
    </row>
    <row r="1018" ht="15" customHeight="1" spans="111:122" x14ac:dyDescent="0.25">
      <c r="DG1018" t="s">
        <v>6351</v>
      </c>
      <c r="DH1018" t="s">
        <v>87</v>
      </c>
      <c r="DI1018" t="s">
        <v>1941</v>
      </c>
      <c r="DJ1018" t="s">
        <v>1942</v>
      </c>
      <c r="DK1018" t="s">
        <v>692</v>
      </c>
      <c r="DL1018">
        <v>3.85</v>
      </c>
      <c r="DM1018" t="s">
        <v>669</v>
      </c>
      <c r="DN1018" t="s">
        <v>670</v>
      </c>
      <c r="DO1018">
        <v>1</v>
      </c>
      <c r="DP1018">
        <v>1546.88</v>
      </c>
      <c r="DQ1018">
        <v>1546.88</v>
      </c>
      <c r="DR1018" t="s">
        <v>6352</v>
      </c>
    </row>
    <row r="1019" ht="15" customHeight="1" spans="111:122" x14ac:dyDescent="0.25">
      <c r="DG1019" t="s">
        <v>6353</v>
      </c>
      <c r="DH1019" t="s">
        <v>87</v>
      </c>
      <c r="DI1019" t="s">
        <v>1944</v>
      </c>
      <c r="DJ1019" t="s">
        <v>1945</v>
      </c>
      <c r="DK1019" t="s">
        <v>692</v>
      </c>
      <c r="DL1019">
        <v>3.85</v>
      </c>
      <c r="DM1019" t="s">
        <v>669</v>
      </c>
      <c r="DN1019" t="s">
        <v>670</v>
      </c>
      <c r="DO1019">
        <v>1</v>
      </c>
      <c r="DP1019">
        <v>510</v>
      </c>
      <c r="DQ1019">
        <v>510</v>
      </c>
      <c r="DR1019" t="s">
        <v>6354</v>
      </c>
    </row>
    <row r="1020" ht="15" customHeight="1" spans="111:122" x14ac:dyDescent="0.25">
      <c r="DG1020" t="s">
        <v>6355</v>
      </c>
      <c r="DH1020" t="s">
        <v>87</v>
      </c>
      <c r="DI1020" t="s">
        <v>1946</v>
      </c>
      <c r="DJ1020" t="s">
        <v>1947</v>
      </c>
      <c r="DK1020" t="s">
        <v>692</v>
      </c>
      <c r="DL1020">
        <v>3.85</v>
      </c>
      <c r="DM1020" t="s">
        <v>670</v>
      </c>
      <c r="DN1020" t="s">
        <v>669</v>
      </c>
      <c r="DO1020">
        <v>0</v>
      </c>
      <c r="DP1020">
        <v>0</v>
      </c>
      <c r="DQ1020">
        <v>999</v>
      </c>
      <c r="DR1020" t="s">
        <v>6356</v>
      </c>
    </row>
    <row r="1021" ht="15" customHeight="1" spans="111:122" x14ac:dyDescent="0.25">
      <c r="DG1021" t="s">
        <v>6357</v>
      </c>
      <c r="DH1021" t="s">
        <v>87</v>
      </c>
      <c r="DI1021" t="s">
        <v>1949</v>
      </c>
      <c r="DJ1021" t="s">
        <v>1950</v>
      </c>
      <c r="DK1021" t="s">
        <v>692</v>
      </c>
      <c r="DL1021">
        <v>3.85</v>
      </c>
      <c r="DM1021" t="s">
        <v>669</v>
      </c>
      <c r="DN1021" t="s">
        <v>670</v>
      </c>
      <c r="DO1021">
        <v>4</v>
      </c>
      <c r="DP1021">
        <v>1880</v>
      </c>
      <c r="DQ1021">
        <v>1880</v>
      </c>
      <c r="DR1021" t="s">
        <v>6358</v>
      </c>
    </row>
    <row r="1022" ht="15" customHeight="1" spans="111:122" x14ac:dyDescent="0.25">
      <c r="DG1022" t="s">
        <v>6359</v>
      </c>
      <c r="DH1022" t="s">
        <v>87</v>
      </c>
      <c r="DI1022" t="s">
        <v>1560</v>
      </c>
      <c r="DJ1022" t="s">
        <v>1951</v>
      </c>
      <c r="DK1022" t="s">
        <v>692</v>
      </c>
      <c r="DL1022">
        <v>3.85</v>
      </c>
      <c r="DM1022" t="s">
        <v>669</v>
      </c>
      <c r="DN1022" t="s">
        <v>670</v>
      </c>
      <c r="DO1022">
        <v>1</v>
      </c>
      <c r="DP1022">
        <v>8250</v>
      </c>
      <c r="DQ1022">
        <v>8250</v>
      </c>
      <c r="DR1022" t="s">
        <v>6360</v>
      </c>
    </row>
    <row r="1023" ht="15" customHeight="1" spans="111:122" x14ac:dyDescent="0.25">
      <c r="DG1023" t="s">
        <v>6361</v>
      </c>
      <c r="DH1023" t="s">
        <v>87</v>
      </c>
      <c r="DI1023" t="s">
        <v>1953</v>
      </c>
      <c r="DJ1023" t="s">
        <v>1954</v>
      </c>
      <c r="DK1023" t="s">
        <v>692</v>
      </c>
      <c r="DL1023">
        <v>3.85</v>
      </c>
      <c r="DM1023" t="s">
        <v>669</v>
      </c>
      <c r="DN1023" t="s">
        <v>670</v>
      </c>
      <c r="DO1023">
        <v>1</v>
      </c>
      <c r="DP1023">
        <v>928</v>
      </c>
      <c r="DQ1023">
        <v>928</v>
      </c>
      <c r="DR1023" t="s">
        <v>6362</v>
      </c>
    </row>
    <row r="1024" ht="15" customHeight="1" spans="111:122" x14ac:dyDescent="0.25">
      <c r="DG1024" t="s">
        <v>6363</v>
      </c>
      <c r="DH1024" t="s">
        <v>87</v>
      </c>
      <c r="DI1024" t="s">
        <v>1956</v>
      </c>
      <c r="DJ1024" t="s">
        <v>1957</v>
      </c>
      <c r="DK1024" t="s">
        <v>692</v>
      </c>
      <c r="DL1024">
        <v>3.85</v>
      </c>
      <c r="DM1024" t="s">
        <v>669</v>
      </c>
      <c r="DN1024" t="s">
        <v>670</v>
      </c>
      <c r="DO1024">
        <v>1</v>
      </c>
      <c r="DP1024">
        <v>112.5</v>
      </c>
      <c r="DQ1024">
        <v>112.5</v>
      </c>
      <c r="DR1024" t="s">
        <v>6364</v>
      </c>
    </row>
    <row r="1025" ht="15" customHeight="1" spans="111:122" x14ac:dyDescent="0.25">
      <c r="DG1025" t="s">
        <v>6365</v>
      </c>
      <c r="DH1025" t="s">
        <v>87</v>
      </c>
      <c r="DI1025" t="s">
        <v>1959</v>
      </c>
      <c r="DJ1025" t="s">
        <v>1831</v>
      </c>
      <c r="DK1025" t="s">
        <v>692</v>
      </c>
      <c r="DL1025">
        <v>3.85</v>
      </c>
      <c r="DM1025" t="s">
        <v>669</v>
      </c>
      <c r="DN1025" t="s">
        <v>670</v>
      </c>
      <c r="DO1025">
        <v>0</v>
      </c>
      <c r="DP1025">
        <v>0</v>
      </c>
      <c r="DQ1025">
        <v>0</v>
      </c>
      <c r="DR1025" t="s">
        <v>6235</v>
      </c>
    </row>
    <row r="1026" ht="15" customHeight="1" spans="111:122" x14ac:dyDescent="0.25">
      <c r="DG1026" t="s">
        <v>6366</v>
      </c>
      <c r="DH1026" t="s">
        <v>87</v>
      </c>
      <c r="DI1026" t="s">
        <v>1961</v>
      </c>
      <c r="DJ1026" t="s">
        <v>1962</v>
      </c>
      <c r="DK1026" t="s">
        <v>692</v>
      </c>
      <c r="DL1026">
        <v>3.85</v>
      </c>
      <c r="DM1026" t="s">
        <v>669</v>
      </c>
      <c r="DN1026" t="s">
        <v>670</v>
      </c>
      <c r="DO1026">
        <v>1</v>
      </c>
      <c r="DP1026">
        <v>1593.75</v>
      </c>
      <c r="DQ1026">
        <v>1593.75</v>
      </c>
      <c r="DR1026" t="s">
        <v>6367</v>
      </c>
    </row>
    <row r="1027" ht="15" customHeight="1" spans="111:122" x14ac:dyDescent="0.25">
      <c r="DG1027" t="s">
        <v>6368</v>
      </c>
      <c r="DH1027" t="s">
        <v>87</v>
      </c>
      <c r="DI1027" t="s">
        <v>1964</v>
      </c>
      <c r="DJ1027" t="s">
        <v>1965</v>
      </c>
      <c r="DK1027" t="s">
        <v>692</v>
      </c>
      <c r="DL1027">
        <v>3.85</v>
      </c>
      <c r="DM1027" t="s">
        <v>669</v>
      </c>
      <c r="DN1027" t="s">
        <v>670</v>
      </c>
      <c r="DO1027">
        <v>2</v>
      </c>
      <c r="DP1027">
        <v>1500</v>
      </c>
      <c r="DQ1027">
        <v>1500</v>
      </c>
      <c r="DR1027" t="s">
        <v>6369</v>
      </c>
    </row>
    <row r="1028" ht="15" customHeight="1" spans="111:122" x14ac:dyDescent="0.25">
      <c r="DG1028" t="s">
        <v>6370</v>
      </c>
      <c r="DH1028" t="s">
        <v>87</v>
      </c>
      <c r="DI1028" t="s">
        <v>1967</v>
      </c>
      <c r="DJ1028" t="s">
        <v>1968</v>
      </c>
      <c r="DK1028" t="s">
        <v>692</v>
      </c>
      <c r="DL1028">
        <v>3.85</v>
      </c>
      <c r="DM1028" t="s">
        <v>669</v>
      </c>
      <c r="DN1028" t="s">
        <v>670</v>
      </c>
      <c r="DO1028">
        <v>2</v>
      </c>
      <c r="DP1028">
        <v>632</v>
      </c>
      <c r="DQ1028">
        <v>632</v>
      </c>
      <c r="DR1028" t="s">
        <v>6371</v>
      </c>
    </row>
    <row r="1029" ht="15" customHeight="1" spans="111:122" x14ac:dyDescent="0.25">
      <c r="DG1029" t="s">
        <v>6372</v>
      </c>
      <c r="DH1029" t="s">
        <v>87</v>
      </c>
      <c r="DI1029" t="s">
        <v>1255</v>
      </c>
      <c r="DJ1029" t="s">
        <v>1970</v>
      </c>
      <c r="DK1029" t="s">
        <v>692</v>
      </c>
      <c r="DL1029">
        <v>3.85</v>
      </c>
      <c r="DM1029" t="s">
        <v>669</v>
      </c>
      <c r="DN1029" t="s">
        <v>670</v>
      </c>
      <c r="DO1029">
        <v>1</v>
      </c>
      <c r="DP1029">
        <v>3500</v>
      </c>
      <c r="DQ1029">
        <v>3500</v>
      </c>
      <c r="DR1029" t="s">
        <v>6373</v>
      </c>
    </row>
    <row r="1030" ht="15" customHeight="1" spans="111:122" x14ac:dyDescent="0.25">
      <c r="DG1030" t="s">
        <v>6374</v>
      </c>
      <c r="DH1030" t="s">
        <v>87</v>
      </c>
      <c r="DI1030" t="s">
        <v>1971</v>
      </c>
      <c r="DJ1030" t="s">
        <v>1972</v>
      </c>
      <c r="DK1030" t="s">
        <v>692</v>
      </c>
      <c r="DL1030">
        <v>3.85</v>
      </c>
      <c r="DM1030" t="s">
        <v>669</v>
      </c>
      <c r="DN1030" t="s">
        <v>670</v>
      </c>
      <c r="DO1030">
        <v>1</v>
      </c>
      <c r="DP1030">
        <v>967</v>
      </c>
      <c r="DQ1030">
        <v>967</v>
      </c>
      <c r="DR1030" t="s">
        <v>6375</v>
      </c>
    </row>
    <row r="1031" ht="15" customHeight="1" spans="111:122" x14ac:dyDescent="0.25">
      <c r="DG1031" t="s">
        <v>6376</v>
      </c>
      <c r="DH1031" t="s">
        <v>87</v>
      </c>
      <c r="DI1031" t="s">
        <v>1974</v>
      </c>
      <c r="DJ1031" t="s">
        <v>1975</v>
      </c>
      <c r="DK1031" t="s">
        <v>692</v>
      </c>
      <c r="DL1031">
        <v>3.85</v>
      </c>
      <c r="DM1031" t="s">
        <v>669</v>
      </c>
      <c r="DN1031" t="s">
        <v>670</v>
      </c>
      <c r="DO1031">
        <v>2</v>
      </c>
      <c r="DP1031">
        <v>1471.88</v>
      </c>
      <c r="DQ1031">
        <v>1471.88</v>
      </c>
      <c r="DR1031" t="s">
        <v>6377</v>
      </c>
    </row>
    <row r="1032" ht="15" customHeight="1" spans="111:122" x14ac:dyDescent="0.25">
      <c r="DG1032" t="s">
        <v>6378</v>
      </c>
      <c r="DH1032" t="s">
        <v>87</v>
      </c>
      <c r="DI1032" t="s">
        <v>1977</v>
      </c>
      <c r="DJ1032" t="s">
        <v>1978</v>
      </c>
      <c r="DK1032" t="s">
        <v>692</v>
      </c>
      <c r="DL1032">
        <v>3.85</v>
      </c>
      <c r="DM1032" t="s">
        <v>669</v>
      </c>
      <c r="DN1032" t="s">
        <v>670</v>
      </c>
      <c r="DO1032">
        <v>2</v>
      </c>
      <c r="DP1032">
        <v>1642.5</v>
      </c>
      <c r="DQ1032">
        <v>1642.5</v>
      </c>
      <c r="DR1032" t="s">
        <v>6379</v>
      </c>
    </row>
    <row r="1033" ht="15" customHeight="1" spans="111:122" x14ac:dyDescent="0.25">
      <c r="DG1033" t="s">
        <v>6380</v>
      </c>
      <c r="DH1033" t="s">
        <v>87</v>
      </c>
      <c r="DI1033" t="s">
        <v>1980</v>
      </c>
      <c r="DJ1033" t="s">
        <v>1981</v>
      </c>
      <c r="DK1033" t="s">
        <v>692</v>
      </c>
      <c r="DL1033">
        <v>3.85</v>
      </c>
      <c r="DM1033" t="s">
        <v>670</v>
      </c>
      <c r="DN1033" t="s">
        <v>669</v>
      </c>
      <c r="DO1033">
        <v>0</v>
      </c>
      <c r="DP1033">
        <v>0</v>
      </c>
      <c r="DQ1033">
        <v>202</v>
      </c>
      <c r="DR1033" t="s">
        <v>6381</v>
      </c>
    </row>
    <row r="1034" ht="15" customHeight="1" spans="111:122" x14ac:dyDescent="0.25">
      <c r="DG1034" t="s">
        <v>6382</v>
      </c>
      <c r="DH1034" t="s">
        <v>87</v>
      </c>
      <c r="DI1034" t="s">
        <v>1983</v>
      </c>
      <c r="DJ1034" t="s">
        <v>1984</v>
      </c>
      <c r="DK1034" t="s">
        <v>692</v>
      </c>
      <c r="DL1034">
        <v>3.85</v>
      </c>
      <c r="DM1034" t="s">
        <v>670</v>
      </c>
      <c r="DN1034" t="s">
        <v>669</v>
      </c>
      <c r="DO1034">
        <v>0</v>
      </c>
      <c r="DP1034">
        <v>0</v>
      </c>
      <c r="DQ1034">
        <v>321.09</v>
      </c>
      <c r="DR1034" t="s">
        <v>6383</v>
      </c>
    </row>
    <row r="1035" ht="15" customHeight="1" spans="111:122" x14ac:dyDescent="0.25">
      <c r="DG1035" s="41" t="s">
        <v>6384</v>
      </c>
      <c r="DH1035" s="41" t="s">
        <v>87</v>
      </c>
      <c r="DI1035" s="41" t="s">
        <v>1985</v>
      </c>
      <c r="DJ1035" s="41" t="s">
        <v>1986</v>
      </c>
      <c r="DK1035" s="41" t="s">
        <v>692</v>
      </c>
      <c r="DL1035" s="41">
        <v>3.85</v>
      </c>
      <c r="DM1035" s="41" t="s">
        <v>670</v>
      </c>
      <c r="DN1035" s="41" t="s">
        <v>669</v>
      </c>
      <c r="DO1035" s="41">
        <v>0</v>
      </c>
      <c r="DP1035" s="41">
        <v>0</v>
      </c>
      <c r="DQ1035" s="41">
        <v>2625</v>
      </c>
      <c r="DR1035" s="41" t="s">
        <v>6385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Builder</vt:lpstr>
      <vt:lpstr>Estimate Summary</vt:lpstr>
      <vt:lpstr>Estimate vs IP FC Actuals</vt:lpstr>
      <vt:lpstr>Advanced Controls</vt:lpstr>
      <vt:lpstr>Service Add-Ons</vt:lpstr>
      <vt:lpstr>Grouped Adjustments</vt:lpstr>
      <vt:lpstr>Grouping Review</vt:lpstr>
      <vt:lpstr>Implant Selection</vt:lpstr>
      <vt:lpstr>Estimate Breakdown</vt:lpstr>
      <vt:lpstr>Line Item Detail</vt:lpstr>
      <vt:lpstr>Pharmacy Template</vt:lpstr>
      <vt:lpstr>Service Template</vt:lpstr>
      <vt:lpstr>Pharmacy Metrics</vt:lpstr>
      <vt:lpstr>IP FC Actuals</vt:lpstr>
      <vt:lpstr>Professional Fees Review</vt:lpstr>
      <vt:lpstr>Reference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fc-builder-api</dc:creator>
  <dc:title/>
  <dc:subject/>
  <dc:description/>
  <cp:keywords/>
  <cp:category/>
  <cp:lastModifiedBy>Unknown</cp:lastModifiedBy>
  <dcterms:created xsi:type="dcterms:W3CDTF">2026-07-07T07:19:28Z</dcterms:created>
  <dcterms:modified xsi:type="dcterms:W3CDTF">2026-07-07T07:19:28Z</dcterms:modified>
</cp:coreProperties>
</file>